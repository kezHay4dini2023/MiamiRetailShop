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een\Desktop\GET A JOB\ExcelRetailShopinMiami\"/>
    </mc:Choice>
  </mc:AlternateContent>
  <xr:revisionPtr revIDLastSave="0" documentId="13_ncr:1_{FB226201-CC55-4B09-8E78-95DBE12D3E32}" xr6:coauthVersionLast="47" xr6:coauthVersionMax="47" xr10:uidLastSave="{00000000-0000-0000-0000-000000000000}"/>
  <bookViews>
    <workbookView xWindow="-120" yWindow="-120" windowWidth="20730" windowHeight="11160" activeTab="3" xr2:uid="{135C283D-6917-4C67-9796-03BA4E00B967}"/>
  </bookViews>
  <sheets>
    <sheet name="survey_2yrs" sheetId="3" r:id="rId1"/>
    <sheet name="weather_2yrs" sheetId="2" r:id="rId2"/>
    <sheet name="sales" sheetId="1" r:id="rId3"/>
    <sheet name="queried" sheetId="4" r:id="rId4"/>
  </sheets>
  <definedNames>
    <definedName name="ExternalData_1" localSheetId="1" hidden="1">weather_2yrs!$A$1:$E$732</definedName>
    <definedName name="ExternalData_2" localSheetId="0" hidden="1">survey_2yrs!$A$1:$E$732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4" l="1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2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2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2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F2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F9F4C5-04C1-41E2-98A1-48EF9D6E3C6A}" keepAlive="1" name="Query - survey_2yrs" description="Connection to the 'survey_2yrs' query in the workbook." type="5" refreshedVersion="8" background="1" saveData="1">
    <dbPr connection="Provider=Microsoft.Mashup.OleDb.1;Data Source=$Workbook$;Location=survey_2yrs;Extended Properties=&quot;&quot;" command="SELECT * FROM [survey_2yrs]"/>
  </connection>
  <connection id="2" xr16:uid="{23462916-7E46-43EE-94FD-8F6A7215830E}" keepAlive="1" name="Query - weather_2yrs" description="Connection to the 'weather_2yrs' query in the workbook." type="5" refreshedVersion="8" background="1" saveData="1">
    <dbPr connection="Provider=Microsoft.Mashup.OleDb.1;Data Source=$Workbook$;Location=weather_2yrs;Extended Properties=&quot;&quot;" command="SELECT * FROM [weather_2yrs]"/>
  </connection>
</connections>
</file>

<file path=xl/sharedStrings.xml><?xml version="1.0" encoding="utf-8"?>
<sst xmlns="http://schemas.openxmlformats.org/spreadsheetml/2006/main" count="2956" uniqueCount="21">
  <si>
    <t>date</t>
  </si>
  <si>
    <t>shop_id</t>
  </si>
  <si>
    <t>shop_name</t>
  </si>
  <si>
    <t>customers</t>
  </si>
  <si>
    <t>sales_usd</t>
  </si>
  <si>
    <t>Miami Beach</t>
  </si>
  <si>
    <t>Orlando</t>
  </si>
  <si>
    <t>Tampa</t>
  </si>
  <si>
    <t>Jacksonville</t>
  </si>
  <si>
    <t>avg_temp_f</t>
  </si>
  <si>
    <t>precip_in</t>
  </si>
  <si>
    <t>is_rain</t>
  </si>
  <si>
    <t>humidity_pct</t>
  </si>
  <si>
    <t>pct_male</t>
  </si>
  <si>
    <t>pct_female</t>
  </si>
  <si>
    <t>pct_family</t>
  </si>
  <si>
    <t>pct_single</t>
  </si>
  <si>
    <t>day_of_week</t>
  </si>
  <si>
    <t>Is_Weekend</t>
  </si>
  <si>
    <t>sales_per_customer</t>
  </si>
  <si>
    <t>null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</si>
</sst>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1F1F1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10" xfId="0" applyFont="1" applyBorder="1" applyAlignment="1">
      <alignment horizontal="left" vertical="center" wrapText="1" readingOrder="1"/>
    </xf>
    <xf numFmtId="0" fontId="18" fillId="0" borderId="11" xfId="0" applyFont="1" applyFill="1" applyBorder="1" applyAlignment="1">
      <alignment horizontal="left" vertical="center" wrapText="1" readingOrder="1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BB78BF5-2FC0-4523-BD51-A6ACD91BF0AC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pct_male" tableColumnId="2"/>
      <queryTableField id="3" name="pct_female" tableColumnId="3"/>
      <queryTableField id="4" name="pct_family" tableColumnId="4"/>
      <queryTableField id="5" name="pct_singl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D15123B-95D5-4E2D-B3B4-7CB6F44FFC1E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avg_temp_f" tableColumnId="2"/>
      <queryTableField id="3" name="precip_in" tableColumnId="3"/>
      <queryTableField id="4" name="is_rain" tableColumnId="4"/>
      <queryTableField id="5" name="humidity_pc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9AE157-15DF-4550-BCA7-5DF15088D2DD}" name="survey_2yrs" displayName="survey_2yrs" ref="A1:E732" tableType="queryTable" totalsRowShown="0">
  <autoFilter ref="A1:E732" xr:uid="{589AE157-15DF-4550-BCA7-5DF15088D2DD}"/>
  <tableColumns count="5">
    <tableColumn id="1" xr3:uid="{3C715B43-DCC4-44A2-8BE6-EF12031D4E23}" uniqueName="1" name="date" queryTableFieldId="1" dataDxfId="1"/>
    <tableColumn id="2" xr3:uid="{27F37721-EEDD-4713-9BCB-6DEA087D912E}" uniqueName="2" name="pct_male" queryTableFieldId="2"/>
    <tableColumn id="3" xr3:uid="{3F5FBCE2-A8B4-43CF-9A81-4DA8B6610CAE}" uniqueName="3" name="pct_female" queryTableFieldId="3"/>
    <tableColumn id="4" xr3:uid="{47C3EA3A-943E-461D-84E5-D50202FCF831}" uniqueName="4" name="pct_family" queryTableFieldId="4"/>
    <tableColumn id="5" xr3:uid="{644FB903-7414-42D1-8F56-8A5FDB69F7E0}" uniqueName="5" name="pct_singl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09E665-1E0B-44E0-8A58-D228FFB11F80}" name="weather_2yrs" displayName="weather_2yrs" ref="A1:E732" tableType="queryTable" totalsRowShown="0">
  <autoFilter ref="A1:E732" xr:uid="{9009E665-1E0B-44E0-8A58-D228FFB11F80}"/>
  <tableColumns count="5">
    <tableColumn id="1" xr3:uid="{F43D4BCB-1C65-40FD-A92A-B70C7D4CE973}" uniqueName="1" name="date" queryTableFieldId="1" dataDxfId="0"/>
    <tableColumn id="2" xr3:uid="{5F192621-446F-40B4-9696-D072398E54F3}" uniqueName="2" name="avg_temp_f" queryTableFieldId="2"/>
    <tableColumn id="3" xr3:uid="{F9E63582-12EC-4A39-BB48-4034792EA183}" uniqueName="3" name="precip_in" queryTableFieldId="3"/>
    <tableColumn id="4" xr3:uid="{3A6F828A-C110-4A76-8730-CF441ABD0946}" uniqueName="4" name="is_rain" queryTableFieldId="4"/>
    <tableColumn id="5" xr3:uid="{DBEDCF7B-75C9-4A11-BD53-624F978865D3}" uniqueName="5" name="humidity_pct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5FC4D2-384E-4E82-946E-8C3350816392}" name="Table4" displayName="Table4" ref="A1:E1048576" totalsRowShown="0">
  <autoFilter ref="A1:E1048576" xr:uid="{035FC4D2-384E-4E82-946E-8C3350816392}"/>
  <tableColumns count="5">
    <tableColumn id="1" xr3:uid="{FD1621C5-AE5D-4315-BFF6-5722887EF190}" name="date"/>
    <tableColumn id="2" xr3:uid="{E202B363-77A7-498A-99AF-945B42F85CAC}" name="shop_id"/>
    <tableColumn id="3" xr3:uid="{5AEABCB2-10E3-41F1-9F0E-66B2582755C1}" name="shop_name"/>
    <tableColumn id="4" xr3:uid="{27EBB599-2C2A-4E77-8EC9-F689C68FF17A}" name="customers"/>
    <tableColumn id="5" xr3:uid="{EDDC4DE0-32CF-4CFB-8892-C6661505119E}" name="sales_usd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3677F-4906-45DC-972F-66B57AAEAC9E}">
  <dimension ref="A1:E732"/>
  <sheetViews>
    <sheetView workbookViewId="0">
      <selection activeCell="G12" sqref="G12"/>
    </sheetView>
  </sheetViews>
  <sheetFormatPr defaultRowHeight="15" x14ac:dyDescent="0.25"/>
  <cols>
    <col min="1" max="1" width="10.42578125" bestFit="1" customWidth="1"/>
    <col min="2" max="2" width="11.42578125" bestFit="1" customWidth="1"/>
    <col min="3" max="3" width="13.28515625" bestFit="1" customWidth="1"/>
    <col min="4" max="4" width="12.5703125" bestFit="1" customWidth="1"/>
    <col min="5" max="5" width="12.42578125" bestFit="1" customWidth="1"/>
  </cols>
  <sheetData>
    <row r="1" spans="1:5" x14ac:dyDescent="0.25">
      <c r="A1" t="s">
        <v>0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s="1">
        <v>44927</v>
      </c>
      <c r="B2">
        <v>47.9</v>
      </c>
      <c r="C2">
        <v>52.1</v>
      </c>
      <c r="D2">
        <v>49.4</v>
      </c>
      <c r="E2">
        <v>50.6</v>
      </c>
    </row>
    <row r="3" spans="1:5" x14ac:dyDescent="0.25">
      <c r="A3" s="1">
        <v>44928</v>
      </c>
      <c r="B3">
        <v>47.4</v>
      </c>
      <c r="C3">
        <v>52.6</v>
      </c>
      <c r="D3">
        <v>45.6</v>
      </c>
      <c r="E3">
        <v>54.4</v>
      </c>
    </row>
    <row r="4" spans="1:5" x14ac:dyDescent="0.25">
      <c r="A4" s="1">
        <v>44929</v>
      </c>
      <c r="B4">
        <v>50.3</v>
      </c>
      <c r="C4">
        <v>49.7</v>
      </c>
      <c r="D4">
        <v>43.9</v>
      </c>
      <c r="E4">
        <v>56.1</v>
      </c>
    </row>
    <row r="5" spans="1:5" x14ac:dyDescent="0.25">
      <c r="A5" s="1">
        <v>44930</v>
      </c>
      <c r="B5">
        <v>48.6</v>
      </c>
      <c r="C5">
        <v>51.4</v>
      </c>
      <c r="D5">
        <v>44.8</v>
      </c>
      <c r="E5">
        <v>55.2</v>
      </c>
    </row>
    <row r="6" spans="1:5" x14ac:dyDescent="0.25">
      <c r="A6" s="1">
        <v>44931</v>
      </c>
      <c r="B6">
        <v>50.4</v>
      </c>
      <c r="C6">
        <v>49.6</v>
      </c>
      <c r="D6">
        <v>43.6</v>
      </c>
      <c r="E6">
        <v>56.4</v>
      </c>
    </row>
    <row r="7" spans="1:5" x14ac:dyDescent="0.25">
      <c r="A7" s="1">
        <v>44932</v>
      </c>
      <c r="B7">
        <v>50.7</v>
      </c>
      <c r="C7">
        <v>49.3</v>
      </c>
      <c r="D7">
        <v>45.3</v>
      </c>
      <c r="E7">
        <v>54.7</v>
      </c>
    </row>
    <row r="8" spans="1:5" x14ac:dyDescent="0.25">
      <c r="A8" s="1">
        <v>44933</v>
      </c>
      <c r="B8">
        <v>49</v>
      </c>
      <c r="C8">
        <v>51</v>
      </c>
      <c r="D8">
        <v>52.5</v>
      </c>
      <c r="E8">
        <v>47.5</v>
      </c>
    </row>
    <row r="9" spans="1:5" x14ac:dyDescent="0.25">
      <c r="A9" s="1">
        <v>44934</v>
      </c>
      <c r="B9">
        <v>49.1</v>
      </c>
      <c r="C9">
        <v>50.9</v>
      </c>
      <c r="D9">
        <v>50.9</v>
      </c>
      <c r="E9">
        <v>49.1</v>
      </c>
    </row>
    <row r="10" spans="1:5" x14ac:dyDescent="0.25">
      <c r="A10" s="1">
        <v>44935</v>
      </c>
      <c r="B10">
        <v>49.2</v>
      </c>
      <c r="C10">
        <v>50.8</v>
      </c>
      <c r="D10">
        <v>45.9</v>
      </c>
      <c r="E10">
        <v>54.1</v>
      </c>
    </row>
    <row r="11" spans="1:5" x14ac:dyDescent="0.25">
      <c r="A11" s="1">
        <v>44936</v>
      </c>
      <c r="B11">
        <v>48.5</v>
      </c>
      <c r="C11">
        <v>51.5</v>
      </c>
      <c r="D11">
        <v>42.5</v>
      </c>
      <c r="E11">
        <v>57.5</v>
      </c>
    </row>
    <row r="12" spans="1:5" x14ac:dyDescent="0.25">
      <c r="A12" s="1">
        <v>44937</v>
      </c>
      <c r="B12">
        <v>50.6</v>
      </c>
      <c r="C12">
        <v>49.4</v>
      </c>
      <c r="D12">
        <v>44.1</v>
      </c>
      <c r="E12">
        <v>55.9</v>
      </c>
    </row>
    <row r="13" spans="1:5" x14ac:dyDescent="0.25">
      <c r="A13" s="1">
        <v>44938</v>
      </c>
      <c r="B13">
        <v>49.7</v>
      </c>
      <c r="C13">
        <v>50.3</v>
      </c>
      <c r="D13">
        <v>45.6</v>
      </c>
      <c r="E13">
        <v>54.4</v>
      </c>
    </row>
    <row r="14" spans="1:5" x14ac:dyDescent="0.25">
      <c r="A14" s="1">
        <v>44939</v>
      </c>
      <c r="B14">
        <v>49.5</v>
      </c>
      <c r="C14">
        <v>50.5</v>
      </c>
      <c r="D14">
        <v>47.3</v>
      </c>
      <c r="E14">
        <v>52.7</v>
      </c>
    </row>
    <row r="15" spans="1:5" x14ac:dyDescent="0.25">
      <c r="A15" s="1">
        <v>44940</v>
      </c>
      <c r="B15">
        <v>50.4</v>
      </c>
      <c r="C15">
        <v>49.6</v>
      </c>
      <c r="D15">
        <v>50.6</v>
      </c>
      <c r="E15">
        <v>49.4</v>
      </c>
    </row>
    <row r="16" spans="1:5" x14ac:dyDescent="0.25">
      <c r="A16" s="1">
        <v>44941</v>
      </c>
      <c r="B16">
        <v>49</v>
      </c>
      <c r="C16">
        <v>51</v>
      </c>
      <c r="D16">
        <v>51.5</v>
      </c>
      <c r="E16">
        <v>48.5</v>
      </c>
    </row>
    <row r="17" spans="1:5" x14ac:dyDescent="0.25">
      <c r="A17" s="1">
        <v>44942</v>
      </c>
      <c r="B17">
        <v>50.9</v>
      </c>
      <c r="C17">
        <v>49.1</v>
      </c>
      <c r="D17">
        <v>45.1</v>
      </c>
      <c r="E17">
        <v>54.9</v>
      </c>
    </row>
    <row r="18" spans="1:5" x14ac:dyDescent="0.25">
      <c r="A18" s="1">
        <v>44943</v>
      </c>
      <c r="B18">
        <v>48.3</v>
      </c>
      <c r="C18">
        <v>51.7</v>
      </c>
      <c r="D18">
        <v>43</v>
      </c>
      <c r="E18">
        <v>57</v>
      </c>
    </row>
    <row r="19" spans="1:5" x14ac:dyDescent="0.25">
      <c r="A19" s="1">
        <v>44944</v>
      </c>
      <c r="B19">
        <v>49.7</v>
      </c>
      <c r="C19">
        <v>50.3</v>
      </c>
      <c r="D19">
        <v>44.7</v>
      </c>
      <c r="E19">
        <v>55.3</v>
      </c>
    </row>
    <row r="20" spans="1:5" x14ac:dyDescent="0.25">
      <c r="A20" s="1">
        <v>44945</v>
      </c>
      <c r="B20">
        <v>49.4</v>
      </c>
      <c r="C20">
        <v>50.6</v>
      </c>
      <c r="D20">
        <v>45.5</v>
      </c>
      <c r="E20">
        <v>54.5</v>
      </c>
    </row>
    <row r="21" spans="1:5" x14ac:dyDescent="0.25">
      <c r="A21" s="1">
        <v>44946</v>
      </c>
      <c r="B21">
        <v>50.2</v>
      </c>
      <c r="C21">
        <v>49.8</v>
      </c>
      <c r="D21">
        <v>43.6</v>
      </c>
      <c r="E21">
        <v>56.4</v>
      </c>
    </row>
    <row r="22" spans="1:5" x14ac:dyDescent="0.25">
      <c r="A22" s="1">
        <v>44947</v>
      </c>
      <c r="B22">
        <v>51.2</v>
      </c>
      <c r="C22">
        <v>48.8</v>
      </c>
      <c r="D22">
        <v>50.4</v>
      </c>
      <c r="E22">
        <v>49.6</v>
      </c>
    </row>
    <row r="23" spans="1:5" x14ac:dyDescent="0.25">
      <c r="A23" s="1">
        <v>44948</v>
      </c>
      <c r="B23">
        <v>49.7</v>
      </c>
      <c r="C23">
        <v>50.3</v>
      </c>
      <c r="D23">
        <v>50.7</v>
      </c>
      <c r="E23">
        <v>49.3</v>
      </c>
    </row>
    <row r="24" spans="1:5" x14ac:dyDescent="0.25">
      <c r="A24" s="1">
        <v>44949</v>
      </c>
      <c r="B24">
        <v>49.9</v>
      </c>
      <c r="C24">
        <v>50.1</v>
      </c>
      <c r="D24">
        <v>44.1</v>
      </c>
      <c r="E24">
        <v>55.9</v>
      </c>
    </row>
    <row r="25" spans="1:5" x14ac:dyDescent="0.25">
      <c r="A25" s="1">
        <v>44950</v>
      </c>
      <c r="B25">
        <v>49.9</v>
      </c>
      <c r="C25">
        <v>50.1</v>
      </c>
      <c r="D25">
        <v>45.2</v>
      </c>
      <c r="E25">
        <v>54.8</v>
      </c>
    </row>
    <row r="26" spans="1:5" x14ac:dyDescent="0.25">
      <c r="A26" s="1">
        <v>44951</v>
      </c>
      <c r="B26">
        <v>48.7</v>
      </c>
      <c r="C26">
        <v>51.3</v>
      </c>
      <c r="D26">
        <v>46</v>
      </c>
      <c r="E26">
        <v>54</v>
      </c>
    </row>
    <row r="27" spans="1:5" x14ac:dyDescent="0.25">
      <c r="A27" s="1">
        <v>44952</v>
      </c>
      <c r="B27">
        <v>51</v>
      </c>
      <c r="C27">
        <v>49</v>
      </c>
      <c r="D27">
        <v>46.8</v>
      </c>
      <c r="E27">
        <v>53.2</v>
      </c>
    </row>
    <row r="28" spans="1:5" x14ac:dyDescent="0.25">
      <c r="A28" s="1">
        <v>44953</v>
      </c>
      <c r="B28">
        <v>50.2</v>
      </c>
      <c r="C28">
        <v>49.8</v>
      </c>
      <c r="D28">
        <v>46.3</v>
      </c>
      <c r="E28">
        <v>53.7</v>
      </c>
    </row>
    <row r="29" spans="1:5" x14ac:dyDescent="0.25">
      <c r="A29" s="1">
        <v>44954</v>
      </c>
      <c r="B29">
        <v>51.1</v>
      </c>
      <c r="C29">
        <v>48.9</v>
      </c>
      <c r="D29">
        <v>51.5</v>
      </c>
      <c r="E29">
        <v>48.5</v>
      </c>
    </row>
    <row r="30" spans="1:5" x14ac:dyDescent="0.25">
      <c r="A30" s="1">
        <v>44955</v>
      </c>
      <c r="B30">
        <v>51.1</v>
      </c>
      <c r="C30">
        <v>48.9</v>
      </c>
      <c r="D30">
        <v>52.8</v>
      </c>
      <c r="E30">
        <v>47.2</v>
      </c>
    </row>
    <row r="31" spans="1:5" x14ac:dyDescent="0.25">
      <c r="A31" s="1">
        <v>44956</v>
      </c>
      <c r="B31">
        <v>49.6</v>
      </c>
      <c r="C31">
        <v>50.4</v>
      </c>
      <c r="D31">
        <v>45.8</v>
      </c>
      <c r="E31">
        <v>54.2</v>
      </c>
    </row>
    <row r="32" spans="1:5" x14ac:dyDescent="0.25">
      <c r="A32" s="1">
        <v>44957</v>
      </c>
      <c r="B32">
        <v>49.5</v>
      </c>
      <c r="C32">
        <v>50.5</v>
      </c>
      <c r="D32">
        <v>45.4</v>
      </c>
      <c r="E32">
        <v>54.6</v>
      </c>
    </row>
    <row r="33" spans="1:5" x14ac:dyDescent="0.25">
      <c r="A33" s="1">
        <v>44958</v>
      </c>
      <c r="B33">
        <v>50.5</v>
      </c>
      <c r="C33">
        <v>49.5</v>
      </c>
      <c r="D33">
        <v>46.4</v>
      </c>
      <c r="E33">
        <v>53.6</v>
      </c>
    </row>
    <row r="34" spans="1:5" x14ac:dyDescent="0.25">
      <c r="A34" s="1">
        <v>44959</v>
      </c>
      <c r="B34">
        <v>50.3</v>
      </c>
      <c r="C34">
        <v>49.7</v>
      </c>
      <c r="D34">
        <v>45.2</v>
      </c>
      <c r="E34">
        <v>54.8</v>
      </c>
    </row>
    <row r="35" spans="1:5" x14ac:dyDescent="0.25">
      <c r="A35" s="1">
        <v>44960</v>
      </c>
      <c r="B35">
        <v>51</v>
      </c>
      <c r="C35">
        <v>49</v>
      </c>
      <c r="D35">
        <v>46</v>
      </c>
      <c r="E35">
        <v>54</v>
      </c>
    </row>
    <row r="36" spans="1:5" x14ac:dyDescent="0.25">
      <c r="A36" s="1">
        <v>44961</v>
      </c>
      <c r="B36">
        <v>49.4</v>
      </c>
      <c r="C36">
        <v>50.6</v>
      </c>
      <c r="D36">
        <v>52.9</v>
      </c>
      <c r="E36">
        <v>47.1</v>
      </c>
    </row>
    <row r="37" spans="1:5" x14ac:dyDescent="0.25">
      <c r="A37" s="1">
        <v>44962</v>
      </c>
      <c r="B37">
        <v>50.2</v>
      </c>
      <c r="C37">
        <v>49.8</v>
      </c>
      <c r="D37">
        <v>51.7</v>
      </c>
      <c r="E37">
        <v>48.3</v>
      </c>
    </row>
    <row r="38" spans="1:5" x14ac:dyDescent="0.25">
      <c r="A38" s="1">
        <v>44963</v>
      </c>
      <c r="B38">
        <v>51.2</v>
      </c>
      <c r="C38">
        <v>48.8</v>
      </c>
      <c r="D38">
        <v>44.9</v>
      </c>
      <c r="E38">
        <v>55.1</v>
      </c>
    </row>
    <row r="39" spans="1:5" x14ac:dyDescent="0.25">
      <c r="A39" s="1">
        <v>44964</v>
      </c>
      <c r="B39">
        <v>50.6</v>
      </c>
      <c r="C39">
        <v>49.4</v>
      </c>
      <c r="D39">
        <v>46.9</v>
      </c>
      <c r="E39">
        <v>53.1</v>
      </c>
    </row>
    <row r="40" spans="1:5" x14ac:dyDescent="0.25">
      <c r="A40" s="1">
        <v>44965</v>
      </c>
      <c r="B40">
        <v>51.8</v>
      </c>
      <c r="C40">
        <v>48.2</v>
      </c>
      <c r="D40">
        <v>45.3</v>
      </c>
      <c r="E40">
        <v>54.7</v>
      </c>
    </row>
    <row r="41" spans="1:5" x14ac:dyDescent="0.25">
      <c r="A41" s="1">
        <v>44966</v>
      </c>
      <c r="B41">
        <v>49.7</v>
      </c>
      <c r="C41">
        <v>50.3</v>
      </c>
      <c r="D41">
        <v>43.9</v>
      </c>
      <c r="E41">
        <v>56.1</v>
      </c>
    </row>
    <row r="42" spans="1:5" x14ac:dyDescent="0.25">
      <c r="A42" s="1">
        <v>44967</v>
      </c>
      <c r="B42">
        <v>51.7</v>
      </c>
      <c r="C42">
        <v>48.3</v>
      </c>
      <c r="D42">
        <v>45.9</v>
      </c>
      <c r="E42">
        <v>54.1</v>
      </c>
    </row>
    <row r="43" spans="1:5" x14ac:dyDescent="0.25">
      <c r="A43" s="1">
        <v>44968</v>
      </c>
      <c r="B43">
        <v>50.1</v>
      </c>
      <c r="C43">
        <v>49.9</v>
      </c>
      <c r="D43">
        <v>50.7</v>
      </c>
      <c r="E43">
        <v>49.3</v>
      </c>
    </row>
    <row r="44" spans="1:5" x14ac:dyDescent="0.25">
      <c r="A44" s="1">
        <v>44969</v>
      </c>
      <c r="B44">
        <v>51.2</v>
      </c>
      <c r="C44">
        <v>48.8</v>
      </c>
      <c r="D44">
        <v>52.1</v>
      </c>
      <c r="E44">
        <v>47.9</v>
      </c>
    </row>
    <row r="45" spans="1:5" x14ac:dyDescent="0.25">
      <c r="A45" s="1">
        <v>44970</v>
      </c>
      <c r="B45">
        <v>52</v>
      </c>
      <c r="C45">
        <v>48</v>
      </c>
      <c r="D45">
        <v>47.6</v>
      </c>
      <c r="E45">
        <v>52.4</v>
      </c>
    </row>
    <row r="46" spans="1:5" x14ac:dyDescent="0.25">
      <c r="A46" s="1">
        <v>44971</v>
      </c>
      <c r="B46">
        <v>51.4</v>
      </c>
      <c r="C46">
        <v>48.6</v>
      </c>
      <c r="D46">
        <v>45.8</v>
      </c>
      <c r="E46">
        <v>54.2</v>
      </c>
    </row>
    <row r="47" spans="1:5" x14ac:dyDescent="0.25">
      <c r="A47" s="1">
        <v>44972</v>
      </c>
      <c r="B47">
        <v>52.4</v>
      </c>
      <c r="C47">
        <v>47.6</v>
      </c>
      <c r="D47">
        <v>47.6</v>
      </c>
      <c r="E47">
        <v>52.4</v>
      </c>
    </row>
    <row r="48" spans="1:5" x14ac:dyDescent="0.25">
      <c r="A48" s="1">
        <v>44973</v>
      </c>
      <c r="B48">
        <v>50.9</v>
      </c>
      <c r="C48">
        <v>49.1</v>
      </c>
      <c r="D48">
        <v>45.8</v>
      </c>
      <c r="E48">
        <v>54.2</v>
      </c>
    </row>
    <row r="49" spans="1:5" x14ac:dyDescent="0.25">
      <c r="A49" s="1">
        <v>44974</v>
      </c>
      <c r="B49">
        <v>52.5</v>
      </c>
      <c r="C49">
        <v>47.5</v>
      </c>
      <c r="D49">
        <v>45.9</v>
      </c>
      <c r="E49">
        <v>54.1</v>
      </c>
    </row>
    <row r="50" spans="1:5" x14ac:dyDescent="0.25">
      <c r="A50" s="1">
        <v>44975</v>
      </c>
      <c r="B50">
        <v>52.4</v>
      </c>
      <c r="C50">
        <v>47.6</v>
      </c>
      <c r="D50">
        <v>52</v>
      </c>
      <c r="E50">
        <v>48</v>
      </c>
    </row>
    <row r="51" spans="1:5" x14ac:dyDescent="0.25">
      <c r="A51" s="1">
        <v>44976</v>
      </c>
      <c r="B51">
        <v>52.1</v>
      </c>
      <c r="C51">
        <v>47.9</v>
      </c>
      <c r="D51">
        <v>53.8</v>
      </c>
      <c r="E51">
        <v>46.2</v>
      </c>
    </row>
    <row r="52" spans="1:5" x14ac:dyDescent="0.25">
      <c r="A52" s="1">
        <v>44977</v>
      </c>
      <c r="B52">
        <v>51.8</v>
      </c>
      <c r="C52">
        <v>48.2</v>
      </c>
      <c r="D52">
        <v>47.9</v>
      </c>
      <c r="E52">
        <v>52.1</v>
      </c>
    </row>
    <row r="53" spans="1:5" x14ac:dyDescent="0.25">
      <c r="A53" s="1">
        <v>44978</v>
      </c>
      <c r="B53">
        <v>50.7</v>
      </c>
      <c r="C53">
        <v>49.3</v>
      </c>
      <c r="D53">
        <v>46.5</v>
      </c>
      <c r="E53">
        <v>53.5</v>
      </c>
    </row>
    <row r="54" spans="1:5" x14ac:dyDescent="0.25">
      <c r="A54" s="1">
        <v>44979</v>
      </c>
      <c r="B54">
        <v>50.3</v>
      </c>
      <c r="C54">
        <v>49.7</v>
      </c>
      <c r="D54">
        <v>46.2</v>
      </c>
      <c r="E54">
        <v>53.8</v>
      </c>
    </row>
    <row r="55" spans="1:5" x14ac:dyDescent="0.25">
      <c r="A55" s="1">
        <v>44980</v>
      </c>
      <c r="B55">
        <v>50.8</v>
      </c>
      <c r="C55">
        <v>49.2</v>
      </c>
      <c r="D55">
        <v>46.6</v>
      </c>
      <c r="E55">
        <v>53.4</v>
      </c>
    </row>
    <row r="56" spans="1:5" x14ac:dyDescent="0.25">
      <c r="A56" s="1">
        <v>44981</v>
      </c>
      <c r="B56">
        <v>52.5</v>
      </c>
      <c r="C56">
        <v>47.5</v>
      </c>
      <c r="D56">
        <v>46.6</v>
      </c>
      <c r="E56">
        <v>53.4</v>
      </c>
    </row>
    <row r="57" spans="1:5" x14ac:dyDescent="0.25">
      <c r="A57" s="1">
        <v>44982</v>
      </c>
      <c r="B57">
        <v>50.5</v>
      </c>
      <c r="C57">
        <v>49.5</v>
      </c>
      <c r="D57">
        <v>54.2</v>
      </c>
      <c r="E57">
        <v>45.8</v>
      </c>
    </row>
    <row r="58" spans="1:5" x14ac:dyDescent="0.25">
      <c r="A58" s="1">
        <v>44983</v>
      </c>
      <c r="B58">
        <v>50.6</v>
      </c>
      <c r="C58">
        <v>49.4</v>
      </c>
      <c r="D58">
        <v>51.7</v>
      </c>
      <c r="E58">
        <v>48.3</v>
      </c>
    </row>
    <row r="59" spans="1:5" x14ac:dyDescent="0.25">
      <c r="A59" s="1">
        <v>44984</v>
      </c>
      <c r="B59">
        <v>53.1</v>
      </c>
      <c r="C59">
        <v>46.9</v>
      </c>
      <c r="D59">
        <v>48.7</v>
      </c>
      <c r="E59">
        <v>51.3</v>
      </c>
    </row>
    <row r="60" spans="1:5" x14ac:dyDescent="0.25">
      <c r="A60" s="1">
        <v>44985</v>
      </c>
      <c r="B60">
        <v>50.3</v>
      </c>
      <c r="C60">
        <v>49.7</v>
      </c>
      <c r="D60">
        <v>47.1</v>
      </c>
      <c r="E60">
        <v>52.9</v>
      </c>
    </row>
    <row r="61" spans="1:5" x14ac:dyDescent="0.25">
      <c r="A61" s="1">
        <v>44986</v>
      </c>
      <c r="B61">
        <v>52.8</v>
      </c>
      <c r="C61">
        <v>47.2</v>
      </c>
      <c r="D61">
        <v>45.3</v>
      </c>
      <c r="E61">
        <v>54.7</v>
      </c>
    </row>
    <row r="62" spans="1:5" x14ac:dyDescent="0.25">
      <c r="A62" s="1">
        <v>44987</v>
      </c>
      <c r="B62">
        <v>50.9</v>
      </c>
      <c r="C62">
        <v>49.1</v>
      </c>
      <c r="D62">
        <v>46.8</v>
      </c>
      <c r="E62">
        <v>53.2</v>
      </c>
    </row>
    <row r="63" spans="1:5" x14ac:dyDescent="0.25">
      <c r="A63" s="1">
        <v>44988</v>
      </c>
      <c r="B63">
        <v>51</v>
      </c>
      <c r="C63">
        <v>49</v>
      </c>
      <c r="D63">
        <v>46.8</v>
      </c>
      <c r="E63">
        <v>53.2</v>
      </c>
    </row>
    <row r="64" spans="1:5" x14ac:dyDescent="0.25">
      <c r="A64" s="1">
        <v>44989</v>
      </c>
      <c r="B64">
        <v>51.1</v>
      </c>
      <c r="C64">
        <v>48.9</v>
      </c>
      <c r="D64">
        <v>51.9</v>
      </c>
      <c r="E64">
        <v>48.1</v>
      </c>
    </row>
    <row r="65" spans="1:5" x14ac:dyDescent="0.25">
      <c r="A65" s="1">
        <v>44990</v>
      </c>
      <c r="B65">
        <v>50.8</v>
      </c>
      <c r="C65">
        <v>49.2</v>
      </c>
      <c r="D65">
        <v>53.6</v>
      </c>
      <c r="E65">
        <v>46.4</v>
      </c>
    </row>
    <row r="66" spans="1:5" x14ac:dyDescent="0.25">
      <c r="A66" s="1">
        <v>44991</v>
      </c>
      <c r="B66">
        <v>51.3</v>
      </c>
      <c r="C66">
        <v>48.7</v>
      </c>
      <c r="D66">
        <v>46.9</v>
      </c>
      <c r="E66">
        <v>53.1</v>
      </c>
    </row>
    <row r="67" spans="1:5" x14ac:dyDescent="0.25">
      <c r="A67" s="1">
        <v>44992</v>
      </c>
      <c r="B67">
        <v>51.4</v>
      </c>
      <c r="C67">
        <v>48.6</v>
      </c>
      <c r="D67">
        <v>46.6</v>
      </c>
      <c r="E67">
        <v>53.4</v>
      </c>
    </row>
    <row r="68" spans="1:5" x14ac:dyDescent="0.25">
      <c r="A68" s="1">
        <v>44993</v>
      </c>
      <c r="B68">
        <v>51.7</v>
      </c>
      <c r="C68">
        <v>48.3</v>
      </c>
      <c r="D68">
        <v>45.4</v>
      </c>
      <c r="E68">
        <v>54.6</v>
      </c>
    </row>
    <row r="69" spans="1:5" x14ac:dyDescent="0.25">
      <c r="A69" s="1">
        <v>44994</v>
      </c>
      <c r="B69">
        <v>53.2</v>
      </c>
      <c r="C69">
        <v>46.8</v>
      </c>
      <c r="D69">
        <v>47.9</v>
      </c>
      <c r="E69">
        <v>52.1</v>
      </c>
    </row>
    <row r="70" spans="1:5" x14ac:dyDescent="0.25">
      <c r="A70" s="1">
        <v>44995</v>
      </c>
      <c r="B70">
        <v>50.5</v>
      </c>
      <c r="C70">
        <v>49.5</v>
      </c>
      <c r="D70">
        <v>47.2</v>
      </c>
      <c r="E70">
        <v>52.8</v>
      </c>
    </row>
    <row r="71" spans="1:5" x14ac:dyDescent="0.25">
      <c r="A71" s="1">
        <v>44996</v>
      </c>
      <c r="B71">
        <v>50.4</v>
      </c>
      <c r="C71">
        <v>49.6</v>
      </c>
      <c r="D71">
        <v>53.2</v>
      </c>
      <c r="E71">
        <v>46.8</v>
      </c>
    </row>
    <row r="72" spans="1:5" x14ac:dyDescent="0.25">
      <c r="A72" s="1">
        <v>44997</v>
      </c>
      <c r="B72">
        <v>51.7</v>
      </c>
      <c r="C72">
        <v>48.3</v>
      </c>
      <c r="D72">
        <v>53.2</v>
      </c>
      <c r="E72">
        <v>46.8</v>
      </c>
    </row>
    <row r="73" spans="1:5" x14ac:dyDescent="0.25">
      <c r="A73" s="1">
        <v>44998</v>
      </c>
      <c r="B73">
        <v>52.4</v>
      </c>
      <c r="C73">
        <v>47.6</v>
      </c>
      <c r="D73">
        <v>49.2</v>
      </c>
      <c r="E73">
        <v>50.8</v>
      </c>
    </row>
    <row r="74" spans="1:5" x14ac:dyDescent="0.25">
      <c r="A74" s="1">
        <v>44999</v>
      </c>
      <c r="B74">
        <v>52.5</v>
      </c>
      <c r="C74">
        <v>47.5</v>
      </c>
      <c r="D74">
        <v>46.5</v>
      </c>
      <c r="E74">
        <v>53.5</v>
      </c>
    </row>
    <row r="75" spans="1:5" x14ac:dyDescent="0.25">
      <c r="A75" s="1">
        <v>45000</v>
      </c>
      <c r="B75">
        <v>50.5</v>
      </c>
      <c r="C75">
        <v>49.5</v>
      </c>
      <c r="D75">
        <v>47.9</v>
      </c>
      <c r="E75">
        <v>52.1</v>
      </c>
    </row>
    <row r="76" spans="1:5" x14ac:dyDescent="0.25">
      <c r="A76" s="1">
        <v>45001</v>
      </c>
      <c r="B76">
        <v>51.4</v>
      </c>
      <c r="C76">
        <v>48.6</v>
      </c>
      <c r="D76">
        <v>47.1</v>
      </c>
      <c r="E76">
        <v>52.9</v>
      </c>
    </row>
    <row r="77" spans="1:5" x14ac:dyDescent="0.25">
      <c r="A77" s="1">
        <v>45002</v>
      </c>
      <c r="B77">
        <v>51.9</v>
      </c>
      <c r="C77">
        <v>48.1</v>
      </c>
      <c r="D77">
        <v>47.6</v>
      </c>
      <c r="E77">
        <v>52.4</v>
      </c>
    </row>
    <row r="78" spans="1:5" x14ac:dyDescent="0.25">
      <c r="A78" s="1">
        <v>45003</v>
      </c>
      <c r="B78">
        <v>53.2</v>
      </c>
      <c r="C78">
        <v>46.8</v>
      </c>
      <c r="D78">
        <v>52.2</v>
      </c>
      <c r="E78">
        <v>47.8</v>
      </c>
    </row>
    <row r="79" spans="1:5" x14ac:dyDescent="0.25">
      <c r="A79" s="1">
        <v>45004</v>
      </c>
      <c r="B79">
        <v>51.9</v>
      </c>
      <c r="C79">
        <v>48.1</v>
      </c>
      <c r="D79">
        <v>52.8</v>
      </c>
      <c r="E79">
        <v>47.2</v>
      </c>
    </row>
    <row r="80" spans="1:5" x14ac:dyDescent="0.25">
      <c r="A80" s="1">
        <v>45005</v>
      </c>
      <c r="B80">
        <v>52.6</v>
      </c>
      <c r="C80">
        <v>47.4</v>
      </c>
      <c r="D80">
        <v>47.3</v>
      </c>
      <c r="E80">
        <v>52.7</v>
      </c>
    </row>
    <row r="81" spans="1:5" x14ac:dyDescent="0.25">
      <c r="A81" s="1">
        <v>45006</v>
      </c>
      <c r="B81">
        <v>53.8</v>
      </c>
      <c r="C81">
        <v>46.2</v>
      </c>
      <c r="D81">
        <v>48.2</v>
      </c>
      <c r="E81">
        <v>51.8</v>
      </c>
    </row>
    <row r="82" spans="1:5" x14ac:dyDescent="0.25">
      <c r="A82" s="1">
        <v>45007</v>
      </c>
      <c r="B82">
        <v>53.6</v>
      </c>
      <c r="C82">
        <v>46.4</v>
      </c>
      <c r="D82">
        <v>46.4</v>
      </c>
      <c r="E82">
        <v>53.6</v>
      </c>
    </row>
    <row r="83" spans="1:5" x14ac:dyDescent="0.25">
      <c r="A83" s="1">
        <v>45008</v>
      </c>
      <c r="B83">
        <v>52.9</v>
      </c>
      <c r="C83">
        <v>47.1</v>
      </c>
      <c r="D83">
        <v>48.6</v>
      </c>
      <c r="E83">
        <v>51.4</v>
      </c>
    </row>
    <row r="84" spans="1:5" x14ac:dyDescent="0.25">
      <c r="A84" s="1">
        <v>45009</v>
      </c>
      <c r="B84">
        <v>53.2</v>
      </c>
      <c r="C84">
        <v>46.8</v>
      </c>
      <c r="D84">
        <v>47</v>
      </c>
      <c r="E84">
        <v>53</v>
      </c>
    </row>
    <row r="85" spans="1:5" x14ac:dyDescent="0.25">
      <c r="A85" s="1">
        <v>45010</v>
      </c>
      <c r="B85">
        <v>51</v>
      </c>
      <c r="C85">
        <v>49</v>
      </c>
      <c r="D85">
        <v>52.7</v>
      </c>
      <c r="E85">
        <v>47.3</v>
      </c>
    </row>
    <row r="86" spans="1:5" x14ac:dyDescent="0.25">
      <c r="A86" s="1">
        <v>45011</v>
      </c>
      <c r="B86">
        <v>52.6</v>
      </c>
      <c r="C86">
        <v>47.4</v>
      </c>
      <c r="D86">
        <v>53.1</v>
      </c>
      <c r="E86">
        <v>46.9</v>
      </c>
    </row>
    <row r="87" spans="1:5" x14ac:dyDescent="0.25">
      <c r="A87" s="1">
        <v>45012</v>
      </c>
      <c r="B87">
        <v>53.3</v>
      </c>
      <c r="C87">
        <v>46.7</v>
      </c>
      <c r="D87">
        <v>47.5</v>
      </c>
      <c r="E87">
        <v>52.5</v>
      </c>
    </row>
    <row r="88" spans="1:5" x14ac:dyDescent="0.25">
      <c r="A88" s="1">
        <v>45013</v>
      </c>
      <c r="B88">
        <v>52.2</v>
      </c>
      <c r="C88">
        <v>47.8</v>
      </c>
      <c r="D88">
        <v>47.7</v>
      </c>
      <c r="E88">
        <v>52.3</v>
      </c>
    </row>
    <row r="89" spans="1:5" x14ac:dyDescent="0.25">
      <c r="A89" s="1">
        <v>45014</v>
      </c>
      <c r="B89">
        <v>52.5</v>
      </c>
      <c r="C89">
        <v>47.5</v>
      </c>
      <c r="D89">
        <v>45.7</v>
      </c>
      <c r="E89">
        <v>54.3</v>
      </c>
    </row>
    <row r="90" spans="1:5" x14ac:dyDescent="0.25">
      <c r="A90" s="1">
        <v>45015</v>
      </c>
      <c r="B90">
        <v>52.7</v>
      </c>
      <c r="C90">
        <v>47.3</v>
      </c>
      <c r="D90">
        <v>45.7</v>
      </c>
      <c r="E90">
        <v>54.3</v>
      </c>
    </row>
    <row r="91" spans="1:5" x14ac:dyDescent="0.25">
      <c r="A91" s="1">
        <v>45016</v>
      </c>
      <c r="B91">
        <v>51.8</v>
      </c>
      <c r="C91">
        <v>48.2</v>
      </c>
      <c r="D91">
        <v>47.2</v>
      </c>
      <c r="E91">
        <v>52.8</v>
      </c>
    </row>
    <row r="92" spans="1:5" x14ac:dyDescent="0.25">
      <c r="A92" s="1">
        <v>45017</v>
      </c>
      <c r="B92">
        <v>50.9</v>
      </c>
      <c r="C92">
        <v>49.1</v>
      </c>
      <c r="D92">
        <v>53.4</v>
      </c>
      <c r="E92">
        <v>46.6</v>
      </c>
    </row>
    <row r="93" spans="1:5" x14ac:dyDescent="0.25">
      <c r="A93" s="1">
        <v>45018</v>
      </c>
      <c r="B93">
        <v>51.6</v>
      </c>
      <c r="C93">
        <v>48.4</v>
      </c>
      <c r="D93">
        <v>52.3</v>
      </c>
      <c r="E93">
        <v>47.7</v>
      </c>
    </row>
    <row r="94" spans="1:5" x14ac:dyDescent="0.25">
      <c r="A94" s="1">
        <v>45019</v>
      </c>
      <c r="B94">
        <v>53.3</v>
      </c>
      <c r="C94">
        <v>46.7</v>
      </c>
      <c r="D94">
        <v>46.2</v>
      </c>
      <c r="E94">
        <v>53.8</v>
      </c>
    </row>
    <row r="95" spans="1:5" x14ac:dyDescent="0.25">
      <c r="A95" s="1">
        <v>45020</v>
      </c>
      <c r="B95">
        <v>50.9</v>
      </c>
      <c r="C95">
        <v>49.1</v>
      </c>
      <c r="D95">
        <v>46.7</v>
      </c>
      <c r="E95">
        <v>53.3</v>
      </c>
    </row>
    <row r="96" spans="1:5" x14ac:dyDescent="0.25">
      <c r="A96" s="1">
        <v>45021</v>
      </c>
      <c r="B96">
        <v>53.3</v>
      </c>
      <c r="C96">
        <v>46.7</v>
      </c>
      <c r="D96">
        <v>47.7</v>
      </c>
      <c r="E96">
        <v>52.3</v>
      </c>
    </row>
    <row r="97" spans="1:5" x14ac:dyDescent="0.25">
      <c r="A97" s="1">
        <v>45022</v>
      </c>
      <c r="B97">
        <v>51.2</v>
      </c>
      <c r="C97">
        <v>48.8</v>
      </c>
      <c r="D97">
        <v>47.4</v>
      </c>
      <c r="E97">
        <v>52.6</v>
      </c>
    </row>
    <row r="98" spans="1:5" x14ac:dyDescent="0.25">
      <c r="A98" s="1">
        <v>45023</v>
      </c>
      <c r="B98">
        <v>51.6</v>
      </c>
      <c r="C98">
        <v>48.4</v>
      </c>
      <c r="D98">
        <v>48.5</v>
      </c>
      <c r="E98">
        <v>51.5</v>
      </c>
    </row>
    <row r="99" spans="1:5" x14ac:dyDescent="0.25">
      <c r="A99" s="1">
        <v>45024</v>
      </c>
      <c r="B99">
        <v>50.8</v>
      </c>
      <c r="C99">
        <v>49.2</v>
      </c>
      <c r="D99">
        <v>54</v>
      </c>
      <c r="E99">
        <v>46</v>
      </c>
    </row>
    <row r="100" spans="1:5" x14ac:dyDescent="0.25">
      <c r="A100" s="1">
        <v>45025</v>
      </c>
      <c r="B100">
        <v>52.5</v>
      </c>
      <c r="C100">
        <v>47.5</v>
      </c>
      <c r="D100">
        <v>52.6</v>
      </c>
      <c r="E100">
        <v>47.4</v>
      </c>
    </row>
    <row r="101" spans="1:5" x14ac:dyDescent="0.25">
      <c r="A101" s="1">
        <v>45026</v>
      </c>
      <c r="B101">
        <v>52.4</v>
      </c>
      <c r="C101">
        <v>47.6</v>
      </c>
      <c r="D101">
        <v>49.3</v>
      </c>
      <c r="E101">
        <v>50.7</v>
      </c>
    </row>
    <row r="102" spans="1:5" x14ac:dyDescent="0.25">
      <c r="A102" s="1">
        <v>45027</v>
      </c>
      <c r="B102">
        <v>52.8</v>
      </c>
      <c r="C102">
        <v>47.2</v>
      </c>
      <c r="D102">
        <v>47.2</v>
      </c>
      <c r="E102">
        <v>52.8</v>
      </c>
    </row>
    <row r="103" spans="1:5" x14ac:dyDescent="0.25">
      <c r="A103" s="1">
        <v>45028</v>
      </c>
      <c r="B103">
        <v>51.3</v>
      </c>
      <c r="C103">
        <v>48.7</v>
      </c>
      <c r="D103">
        <v>48.3</v>
      </c>
      <c r="E103">
        <v>51.7</v>
      </c>
    </row>
    <row r="104" spans="1:5" x14ac:dyDescent="0.25">
      <c r="A104" s="1">
        <v>45029</v>
      </c>
      <c r="B104">
        <v>52.7</v>
      </c>
      <c r="C104">
        <v>47.3</v>
      </c>
      <c r="D104">
        <v>46.8</v>
      </c>
      <c r="E104">
        <v>53.2</v>
      </c>
    </row>
    <row r="105" spans="1:5" x14ac:dyDescent="0.25">
      <c r="A105" s="1">
        <v>45030</v>
      </c>
      <c r="B105">
        <v>53.1</v>
      </c>
      <c r="C105">
        <v>46.9</v>
      </c>
      <c r="D105">
        <v>48.3</v>
      </c>
      <c r="E105">
        <v>51.7</v>
      </c>
    </row>
    <row r="106" spans="1:5" x14ac:dyDescent="0.25">
      <c r="A106" s="1">
        <v>45031</v>
      </c>
      <c r="B106">
        <v>50.9</v>
      </c>
      <c r="C106">
        <v>49.1</v>
      </c>
      <c r="D106">
        <v>53.4</v>
      </c>
      <c r="E106">
        <v>46.6</v>
      </c>
    </row>
    <row r="107" spans="1:5" x14ac:dyDescent="0.25">
      <c r="A107" s="1">
        <v>45032</v>
      </c>
      <c r="B107">
        <v>51.3</v>
      </c>
      <c r="C107">
        <v>48.7</v>
      </c>
      <c r="D107">
        <v>53.1</v>
      </c>
      <c r="E107">
        <v>46.9</v>
      </c>
    </row>
    <row r="108" spans="1:5" x14ac:dyDescent="0.25">
      <c r="A108" s="1">
        <v>45033</v>
      </c>
      <c r="B108">
        <v>51.7</v>
      </c>
      <c r="C108">
        <v>48.3</v>
      </c>
      <c r="D108">
        <v>46.6</v>
      </c>
      <c r="E108">
        <v>53.4</v>
      </c>
    </row>
    <row r="109" spans="1:5" x14ac:dyDescent="0.25">
      <c r="A109" s="1">
        <v>45034</v>
      </c>
      <c r="B109">
        <v>52.9</v>
      </c>
      <c r="C109">
        <v>47.1</v>
      </c>
      <c r="D109">
        <v>45.8</v>
      </c>
      <c r="E109">
        <v>54.2</v>
      </c>
    </row>
    <row r="110" spans="1:5" x14ac:dyDescent="0.25">
      <c r="A110" s="1">
        <v>45035</v>
      </c>
      <c r="B110">
        <v>51.5</v>
      </c>
      <c r="C110">
        <v>48.5</v>
      </c>
      <c r="D110">
        <v>47.2</v>
      </c>
      <c r="E110">
        <v>52.8</v>
      </c>
    </row>
    <row r="111" spans="1:5" x14ac:dyDescent="0.25">
      <c r="A111" s="1">
        <v>45036</v>
      </c>
      <c r="B111">
        <v>50.2</v>
      </c>
      <c r="C111">
        <v>49.8</v>
      </c>
      <c r="D111">
        <v>48.7</v>
      </c>
      <c r="E111">
        <v>51.3</v>
      </c>
    </row>
    <row r="112" spans="1:5" x14ac:dyDescent="0.25">
      <c r="A112" s="1">
        <v>45037</v>
      </c>
      <c r="B112">
        <v>52.1</v>
      </c>
      <c r="C112">
        <v>47.9</v>
      </c>
      <c r="D112">
        <v>48.6</v>
      </c>
      <c r="E112">
        <v>51.4</v>
      </c>
    </row>
    <row r="113" spans="1:5" x14ac:dyDescent="0.25">
      <c r="A113" s="1">
        <v>45038</v>
      </c>
      <c r="B113">
        <v>53.1</v>
      </c>
      <c r="C113">
        <v>46.9</v>
      </c>
      <c r="D113">
        <v>54.9</v>
      </c>
      <c r="E113">
        <v>45.1</v>
      </c>
    </row>
    <row r="114" spans="1:5" x14ac:dyDescent="0.25">
      <c r="A114" s="1">
        <v>45039</v>
      </c>
      <c r="B114">
        <v>51.3</v>
      </c>
      <c r="C114">
        <v>48.7</v>
      </c>
      <c r="D114">
        <v>53.2</v>
      </c>
      <c r="E114">
        <v>46.8</v>
      </c>
    </row>
    <row r="115" spans="1:5" x14ac:dyDescent="0.25">
      <c r="A115" s="1">
        <v>45040</v>
      </c>
      <c r="B115">
        <v>50.8</v>
      </c>
      <c r="C115">
        <v>49.2</v>
      </c>
      <c r="D115">
        <v>49.2</v>
      </c>
      <c r="E115">
        <v>50.8</v>
      </c>
    </row>
    <row r="116" spans="1:5" x14ac:dyDescent="0.25">
      <c r="A116" s="1">
        <v>45041</v>
      </c>
      <c r="B116">
        <v>50.6</v>
      </c>
      <c r="C116">
        <v>49.4</v>
      </c>
      <c r="D116">
        <v>47.3</v>
      </c>
      <c r="E116">
        <v>52.7</v>
      </c>
    </row>
    <row r="117" spans="1:5" x14ac:dyDescent="0.25">
      <c r="A117" s="1">
        <v>45042</v>
      </c>
      <c r="B117">
        <v>51.6</v>
      </c>
      <c r="C117">
        <v>48.4</v>
      </c>
      <c r="D117">
        <v>47.8</v>
      </c>
      <c r="E117">
        <v>52.2</v>
      </c>
    </row>
    <row r="118" spans="1:5" x14ac:dyDescent="0.25">
      <c r="A118" s="1">
        <v>45043</v>
      </c>
      <c r="B118">
        <v>51.3</v>
      </c>
      <c r="C118">
        <v>48.7</v>
      </c>
      <c r="D118">
        <v>48.5</v>
      </c>
      <c r="E118">
        <v>51.5</v>
      </c>
    </row>
    <row r="119" spans="1:5" x14ac:dyDescent="0.25">
      <c r="A119" s="1">
        <v>45044</v>
      </c>
      <c r="B119">
        <v>52.4</v>
      </c>
      <c r="C119">
        <v>47.6</v>
      </c>
      <c r="D119">
        <v>48.1</v>
      </c>
      <c r="E119">
        <v>51.9</v>
      </c>
    </row>
    <row r="120" spans="1:5" x14ac:dyDescent="0.25">
      <c r="A120" s="1">
        <v>45045</v>
      </c>
      <c r="B120">
        <v>50.4</v>
      </c>
      <c r="C120">
        <v>49.6</v>
      </c>
      <c r="D120">
        <v>53</v>
      </c>
      <c r="E120">
        <v>47</v>
      </c>
    </row>
    <row r="121" spans="1:5" x14ac:dyDescent="0.25">
      <c r="A121" s="1">
        <v>45046</v>
      </c>
      <c r="B121">
        <v>52.3</v>
      </c>
      <c r="C121">
        <v>47.7</v>
      </c>
      <c r="D121">
        <v>54.7</v>
      </c>
      <c r="E121">
        <v>45.3</v>
      </c>
    </row>
    <row r="122" spans="1:5" x14ac:dyDescent="0.25">
      <c r="A122" s="1">
        <v>45047</v>
      </c>
      <c r="B122">
        <v>50.7</v>
      </c>
      <c r="C122">
        <v>49.3</v>
      </c>
      <c r="D122">
        <v>47.2</v>
      </c>
      <c r="E122">
        <v>52.8</v>
      </c>
    </row>
    <row r="123" spans="1:5" x14ac:dyDescent="0.25">
      <c r="A123" s="1">
        <v>45048</v>
      </c>
      <c r="B123">
        <v>52.1</v>
      </c>
      <c r="C123">
        <v>47.9</v>
      </c>
      <c r="D123">
        <v>46.3</v>
      </c>
      <c r="E123">
        <v>53.7</v>
      </c>
    </row>
    <row r="124" spans="1:5" x14ac:dyDescent="0.25">
      <c r="A124" s="1">
        <v>45049</v>
      </c>
      <c r="B124">
        <v>50.1</v>
      </c>
      <c r="C124">
        <v>49.9</v>
      </c>
      <c r="D124">
        <v>47.5</v>
      </c>
      <c r="E124">
        <v>52.5</v>
      </c>
    </row>
    <row r="125" spans="1:5" x14ac:dyDescent="0.25">
      <c r="A125" s="1">
        <v>45050</v>
      </c>
      <c r="B125">
        <v>51</v>
      </c>
      <c r="C125">
        <v>49</v>
      </c>
      <c r="D125">
        <v>47.4</v>
      </c>
      <c r="E125">
        <v>52.6</v>
      </c>
    </row>
    <row r="126" spans="1:5" x14ac:dyDescent="0.25">
      <c r="A126" s="1">
        <v>45051</v>
      </c>
      <c r="B126">
        <v>50.5</v>
      </c>
      <c r="C126">
        <v>49.5</v>
      </c>
      <c r="D126">
        <v>47.5</v>
      </c>
      <c r="E126">
        <v>52.5</v>
      </c>
    </row>
    <row r="127" spans="1:5" x14ac:dyDescent="0.25">
      <c r="A127" s="1">
        <v>45052</v>
      </c>
      <c r="B127">
        <v>52.4</v>
      </c>
      <c r="C127">
        <v>47.6</v>
      </c>
      <c r="D127">
        <v>55.3</v>
      </c>
      <c r="E127">
        <v>44.7</v>
      </c>
    </row>
    <row r="128" spans="1:5" x14ac:dyDescent="0.25">
      <c r="A128" s="1">
        <v>45053</v>
      </c>
      <c r="B128">
        <v>52.9</v>
      </c>
      <c r="C128">
        <v>47.1</v>
      </c>
      <c r="D128">
        <v>53.5</v>
      </c>
      <c r="E128">
        <v>46.5</v>
      </c>
    </row>
    <row r="129" spans="1:5" x14ac:dyDescent="0.25">
      <c r="A129" s="1">
        <v>45054</v>
      </c>
      <c r="B129">
        <v>51.4</v>
      </c>
      <c r="C129">
        <v>48.6</v>
      </c>
      <c r="D129">
        <v>48.3</v>
      </c>
      <c r="E129">
        <v>51.7</v>
      </c>
    </row>
    <row r="130" spans="1:5" x14ac:dyDescent="0.25">
      <c r="A130" s="1">
        <v>45055</v>
      </c>
      <c r="B130">
        <v>51.6</v>
      </c>
      <c r="C130">
        <v>48.4</v>
      </c>
      <c r="D130">
        <v>50</v>
      </c>
      <c r="E130">
        <v>50</v>
      </c>
    </row>
    <row r="131" spans="1:5" x14ac:dyDescent="0.25">
      <c r="A131" s="1">
        <v>45056</v>
      </c>
      <c r="B131">
        <v>50.9</v>
      </c>
      <c r="C131">
        <v>49.1</v>
      </c>
      <c r="D131">
        <v>48.2</v>
      </c>
      <c r="E131">
        <v>51.8</v>
      </c>
    </row>
    <row r="132" spans="1:5" x14ac:dyDescent="0.25">
      <c r="A132" s="1">
        <v>45057</v>
      </c>
      <c r="B132">
        <v>51.7</v>
      </c>
      <c r="C132">
        <v>48.3</v>
      </c>
      <c r="D132">
        <v>48.4</v>
      </c>
      <c r="E132">
        <v>51.6</v>
      </c>
    </row>
    <row r="133" spans="1:5" x14ac:dyDescent="0.25">
      <c r="A133" s="1">
        <v>45058</v>
      </c>
      <c r="B133">
        <v>49.4</v>
      </c>
      <c r="C133">
        <v>50.6</v>
      </c>
      <c r="D133">
        <v>47.5</v>
      </c>
      <c r="E133">
        <v>52.5</v>
      </c>
    </row>
    <row r="134" spans="1:5" x14ac:dyDescent="0.25">
      <c r="A134" s="1">
        <v>45059</v>
      </c>
      <c r="B134">
        <v>49.8</v>
      </c>
      <c r="C134">
        <v>50.2</v>
      </c>
      <c r="D134">
        <v>53.1</v>
      </c>
      <c r="E134">
        <v>46.9</v>
      </c>
    </row>
    <row r="135" spans="1:5" x14ac:dyDescent="0.25">
      <c r="A135" s="1">
        <v>45060</v>
      </c>
      <c r="B135">
        <v>53.5</v>
      </c>
      <c r="C135">
        <v>46.5</v>
      </c>
      <c r="D135">
        <v>54.3</v>
      </c>
      <c r="E135">
        <v>45.7</v>
      </c>
    </row>
    <row r="136" spans="1:5" x14ac:dyDescent="0.25">
      <c r="A136" s="1">
        <v>45061</v>
      </c>
      <c r="B136">
        <v>52.2</v>
      </c>
      <c r="C136">
        <v>47.8</v>
      </c>
      <c r="D136">
        <v>47.8</v>
      </c>
      <c r="E136">
        <v>52.2</v>
      </c>
    </row>
    <row r="137" spans="1:5" x14ac:dyDescent="0.25">
      <c r="A137" s="1">
        <v>45062</v>
      </c>
      <c r="B137">
        <v>50.5</v>
      </c>
      <c r="C137">
        <v>49.5</v>
      </c>
      <c r="D137">
        <v>47.4</v>
      </c>
      <c r="E137">
        <v>52.6</v>
      </c>
    </row>
    <row r="138" spans="1:5" x14ac:dyDescent="0.25">
      <c r="A138" s="1">
        <v>45063</v>
      </c>
      <c r="B138">
        <v>51.2</v>
      </c>
      <c r="C138">
        <v>48.8</v>
      </c>
      <c r="D138">
        <v>46.5</v>
      </c>
      <c r="E138">
        <v>53.5</v>
      </c>
    </row>
    <row r="139" spans="1:5" x14ac:dyDescent="0.25">
      <c r="A139" s="1">
        <v>45064</v>
      </c>
      <c r="B139">
        <v>50.1</v>
      </c>
      <c r="C139">
        <v>49.9</v>
      </c>
      <c r="D139">
        <v>47.8</v>
      </c>
      <c r="E139">
        <v>52.2</v>
      </c>
    </row>
    <row r="140" spans="1:5" x14ac:dyDescent="0.25">
      <c r="A140" s="1">
        <v>45065</v>
      </c>
      <c r="B140">
        <v>52.9</v>
      </c>
      <c r="C140">
        <v>47.1</v>
      </c>
      <c r="D140">
        <v>47.9</v>
      </c>
      <c r="E140">
        <v>52.1</v>
      </c>
    </row>
    <row r="141" spans="1:5" x14ac:dyDescent="0.25">
      <c r="A141" s="1">
        <v>45066</v>
      </c>
      <c r="B141">
        <v>51.4</v>
      </c>
      <c r="C141">
        <v>48.6</v>
      </c>
      <c r="D141">
        <v>54</v>
      </c>
      <c r="E141">
        <v>46</v>
      </c>
    </row>
    <row r="142" spans="1:5" x14ac:dyDescent="0.25">
      <c r="A142" s="1">
        <v>45067</v>
      </c>
      <c r="B142">
        <v>51.1</v>
      </c>
      <c r="C142">
        <v>48.9</v>
      </c>
      <c r="D142">
        <v>53.3</v>
      </c>
      <c r="E142">
        <v>46.7</v>
      </c>
    </row>
    <row r="143" spans="1:5" x14ac:dyDescent="0.25">
      <c r="A143" s="1">
        <v>45068</v>
      </c>
      <c r="B143">
        <v>50.7</v>
      </c>
      <c r="C143">
        <v>49.3</v>
      </c>
      <c r="D143">
        <v>49</v>
      </c>
      <c r="E143">
        <v>51</v>
      </c>
    </row>
    <row r="144" spans="1:5" x14ac:dyDescent="0.25">
      <c r="A144" s="1">
        <v>45069</v>
      </c>
      <c r="B144">
        <v>52</v>
      </c>
      <c r="C144">
        <v>48</v>
      </c>
      <c r="D144">
        <v>46.4</v>
      </c>
      <c r="E144">
        <v>53.6</v>
      </c>
    </row>
    <row r="145" spans="1:5" x14ac:dyDescent="0.25">
      <c r="A145" s="1">
        <v>45070</v>
      </c>
      <c r="B145">
        <v>50</v>
      </c>
      <c r="C145">
        <v>50</v>
      </c>
      <c r="D145">
        <v>48.5</v>
      </c>
      <c r="E145">
        <v>51.5</v>
      </c>
    </row>
    <row r="146" spans="1:5" x14ac:dyDescent="0.25">
      <c r="A146" s="1">
        <v>45071</v>
      </c>
      <c r="B146">
        <v>51.2</v>
      </c>
      <c r="C146">
        <v>48.8</v>
      </c>
      <c r="D146">
        <v>46.6</v>
      </c>
      <c r="E146">
        <v>53.4</v>
      </c>
    </row>
    <row r="147" spans="1:5" x14ac:dyDescent="0.25">
      <c r="A147" s="1">
        <v>45072</v>
      </c>
      <c r="B147">
        <v>50.5</v>
      </c>
      <c r="C147">
        <v>49.5</v>
      </c>
      <c r="D147">
        <v>48.8</v>
      </c>
      <c r="E147">
        <v>51.2</v>
      </c>
    </row>
    <row r="148" spans="1:5" x14ac:dyDescent="0.25">
      <c r="A148" s="1">
        <v>45073</v>
      </c>
      <c r="B148">
        <v>49.9</v>
      </c>
      <c r="C148">
        <v>50.1</v>
      </c>
      <c r="D148">
        <v>54.5</v>
      </c>
      <c r="E148">
        <v>45.5</v>
      </c>
    </row>
    <row r="149" spans="1:5" x14ac:dyDescent="0.25">
      <c r="A149" s="1">
        <v>45074</v>
      </c>
      <c r="B149">
        <v>51.4</v>
      </c>
      <c r="C149">
        <v>48.6</v>
      </c>
      <c r="D149">
        <v>53.4</v>
      </c>
      <c r="E149">
        <v>46.6</v>
      </c>
    </row>
    <row r="150" spans="1:5" x14ac:dyDescent="0.25">
      <c r="A150" s="1">
        <v>45075</v>
      </c>
      <c r="B150">
        <v>51.8</v>
      </c>
      <c r="C150">
        <v>48.2</v>
      </c>
      <c r="D150">
        <v>48.3</v>
      </c>
      <c r="E150">
        <v>51.7</v>
      </c>
    </row>
    <row r="151" spans="1:5" x14ac:dyDescent="0.25">
      <c r="A151" s="1">
        <v>45076</v>
      </c>
      <c r="B151">
        <v>51.2</v>
      </c>
      <c r="C151">
        <v>48.8</v>
      </c>
      <c r="D151">
        <v>48.4</v>
      </c>
      <c r="E151">
        <v>51.6</v>
      </c>
    </row>
    <row r="152" spans="1:5" x14ac:dyDescent="0.25">
      <c r="A152" s="1">
        <v>45077</v>
      </c>
      <c r="B152">
        <v>51.4</v>
      </c>
      <c r="C152">
        <v>48.6</v>
      </c>
      <c r="D152">
        <v>45.8</v>
      </c>
      <c r="E152">
        <v>54.2</v>
      </c>
    </row>
    <row r="153" spans="1:5" x14ac:dyDescent="0.25">
      <c r="A153" s="1">
        <v>45078</v>
      </c>
      <c r="B153">
        <v>49.3</v>
      </c>
      <c r="C153">
        <v>50.7</v>
      </c>
      <c r="D153">
        <v>47.4</v>
      </c>
      <c r="E153">
        <v>52.6</v>
      </c>
    </row>
    <row r="154" spans="1:5" x14ac:dyDescent="0.25">
      <c r="A154" s="1">
        <v>45079</v>
      </c>
      <c r="B154">
        <v>50.7</v>
      </c>
      <c r="C154">
        <v>49.3</v>
      </c>
      <c r="D154">
        <v>47.7</v>
      </c>
      <c r="E154">
        <v>52.3</v>
      </c>
    </row>
    <row r="155" spans="1:5" x14ac:dyDescent="0.25">
      <c r="A155" s="1">
        <v>45080</v>
      </c>
      <c r="B155">
        <v>50.9</v>
      </c>
      <c r="C155">
        <v>49.1</v>
      </c>
      <c r="D155">
        <v>55.2</v>
      </c>
      <c r="E155">
        <v>44.8</v>
      </c>
    </row>
    <row r="156" spans="1:5" x14ac:dyDescent="0.25">
      <c r="A156" s="1">
        <v>45081</v>
      </c>
      <c r="B156">
        <v>49.6</v>
      </c>
      <c r="C156">
        <v>50.4</v>
      </c>
      <c r="D156">
        <v>52.3</v>
      </c>
      <c r="E156">
        <v>47.7</v>
      </c>
    </row>
    <row r="157" spans="1:5" x14ac:dyDescent="0.25">
      <c r="A157" s="1">
        <v>45082</v>
      </c>
      <c r="B157">
        <v>49.1</v>
      </c>
      <c r="C157">
        <v>50.9</v>
      </c>
      <c r="D157">
        <v>46.4</v>
      </c>
      <c r="E157">
        <v>53.6</v>
      </c>
    </row>
    <row r="158" spans="1:5" x14ac:dyDescent="0.25">
      <c r="A158" s="1">
        <v>45083</v>
      </c>
      <c r="B158">
        <v>50.6</v>
      </c>
      <c r="C158">
        <v>49.4</v>
      </c>
      <c r="D158">
        <v>46.4</v>
      </c>
      <c r="E158">
        <v>53.6</v>
      </c>
    </row>
    <row r="159" spans="1:5" x14ac:dyDescent="0.25">
      <c r="A159" s="1">
        <v>45084</v>
      </c>
      <c r="B159">
        <v>50</v>
      </c>
      <c r="C159">
        <v>50</v>
      </c>
      <c r="D159">
        <v>48.7</v>
      </c>
      <c r="E159">
        <v>51.3</v>
      </c>
    </row>
    <row r="160" spans="1:5" x14ac:dyDescent="0.25">
      <c r="A160" s="1">
        <v>45085</v>
      </c>
      <c r="B160">
        <v>48.6</v>
      </c>
      <c r="C160">
        <v>51.4</v>
      </c>
      <c r="D160">
        <v>48.4</v>
      </c>
      <c r="E160">
        <v>51.6</v>
      </c>
    </row>
    <row r="161" spans="1:5" x14ac:dyDescent="0.25">
      <c r="A161" s="1">
        <v>45086</v>
      </c>
      <c r="B161">
        <v>50</v>
      </c>
      <c r="C161">
        <v>50</v>
      </c>
      <c r="D161">
        <v>46.1</v>
      </c>
      <c r="E161">
        <v>53.9</v>
      </c>
    </row>
    <row r="162" spans="1:5" x14ac:dyDescent="0.25">
      <c r="A162" s="1">
        <v>45087</v>
      </c>
      <c r="B162">
        <v>50.6</v>
      </c>
      <c r="C162">
        <v>49.4</v>
      </c>
      <c r="D162">
        <v>52.6</v>
      </c>
      <c r="E162">
        <v>47.4</v>
      </c>
    </row>
    <row r="163" spans="1:5" x14ac:dyDescent="0.25">
      <c r="A163" s="1">
        <v>45088</v>
      </c>
      <c r="B163">
        <v>47.9</v>
      </c>
      <c r="C163">
        <v>52.1</v>
      </c>
      <c r="D163">
        <v>55.8</v>
      </c>
      <c r="E163">
        <v>44.2</v>
      </c>
    </row>
    <row r="164" spans="1:5" x14ac:dyDescent="0.25">
      <c r="A164" s="1">
        <v>45089</v>
      </c>
      <c r="B164">
        <v>51.1</v>
      </c>
      <c r="C164">
        <v>48.9</v>
      </c>
      <c r="D164">
        <v>47.2</v>
      </c>
      <c r="E164">
        <v>52.8</v>
      </c>
    </row>
    <row r="165" spans="1:5" x14ac:dyDescent="0.25">
      <c r="A165" s="1">
        <v>45090</v>
      </c>
      <c r="B165">
        <v>49.9</v>
      </c>
      <c r="C165">
        <v>50.1</v>
      </c>
      <c r="D165">
        <v>48.3</v>
      </c>
      <c r="E165">
        <v>51.7</v>
      </c>
    </row>
    <row r="166" spans="1:5" x14ac:dyDescent="0.25">
      <c r="A166" s="1">
        <v>45091</v>
      </c>
      <c r="B166">
        <v>49.3</v>
      </c>
      <c r="C166">
        <v>50.7</v>
      </c>
      <c r="D166">
        <v>46.6</v>
      </c>
      <c r="E166">
        <v>53.4</v>
      </c>
    </row>
    <row r="167" spans="1:5" x14ac:dyDescent="0.25">
      <c r="A167" s="1">
        <v>45092</v>
      </c>
      <c r="B167">
        <v>49</v>
      </c>
      <c r="C167">
        <v>51</v>
      </c>
      <c r="D167">
        <v>47.1</v>
      </c>
      <c r="E167">
        <v>52.9</v>
      </c>
    </row>
    <row r="168" spans="1:5" x14ac:dyDescent="0.25">
      <c r="A168" s="1">
        <v>45093</v>
      </c>
      <c r="B168">
        <v>50.6</v>
      </c>
      <c r="C168">
        <v>49.4</v>
      </c>
      <c r="D168">
        <v>47.9</v>
      </c>
      <c r="E168">
        <v>52.1</v>
      </c>
    </row>
    <row r="169" spans="1:5" x14ac:dyDescent="0.25">
      <c r="A169" s="1">
        <v>45094</v>
      </c>
      <c r="B169">
        <v>48.8</v>
      </c>
      <c r="C169">
        <v>51.2</v>
      </c>
      <c r="D169">
        <v>53.5</v>
      </c>
      <c r="E169">
        <v>46.5</v>
      </c>
    </row>
    <row r="170" spans="1:5" x14ac:dyDescent="0.25">
      <c r="A170" s="1">
        <v>45095</v>
      </c>
      <c r="B170">
        <v>49.2</v>
      </c>
      <c r="C170">
        <v>50.8</v>
      </c>
      <c r="D170">
        <v>54.3</v>
      </c>
      <c r="E170">
        <v>45.7</v>
      </c>
    </row>
    <row r="171" spans="1:5" x14ac:dyDescent="0.25">
      <c r="A171" s="1">
        <v>45096</v>
      </c>
      <c r="B171">
        <v>48.7</v>
      </c>
      <c r="C171">
        <v>51.3</v>
      </c>
      <c r="D171">
        <v>45.5</v>
      </c>
      <c r="E171">
        <v>54.5</v>
      </c>
    </row>
    <row r="172" spans="1:5" x14ac:dyDescent="0.25">
      <c r="A172" s="1">
        <v>45097</v>
      </c>
      <c r="B172">
        <v>50.1</v>
      </c>
      <c r="C172">
        <v>49.9</v>
      </c>
      <c r="D172">
        <v>47.8</v>
      </c>
      <c r="E172">
        <v>52.2</v>
      </c>
    </row>
    <row r="173" spans="1:5" x14ac:dyDescent="0.25">
      <c r="A173" s="1">
        <v>45098</v>
      </c>
      <c r="B173">
        <v>48.1</v>
      </c>
      <c r="C173">
        <v>51.9</v>
      </c>
      <c r="D173">
        <v>48.5</v>
      </c>
      <c r="E173">
        <v>51.5</v>
      </c>
    </row>
    <row r="174" spans="1:5" x14ac:dyDescent="0.25">
      <c r="A174" s="1">
        <v>45099</v>
      </c>
      <c r="B174">
        <v>51.2</v>
      </c>
      <c r="C174">
        <v>48.8</v>
      </c>
      <c r="D174">
        <v>47.2</v>
      </c>
      <c r="E174">
        <v>52.8</v>
      </c>
    </row>
    <row r="175" spans="1:5" x14ac:dyDescent="0.25">
      <c r="A175" s="1">
        <v>45100</v>
      </c>
      <c r="B175">
        <v>48.2</v>
      </c>
      <c r="C175">
        <v>51.8</v>
      </c>
      <c r="D175">
        <v>48.1</v>
      </c>
      <c r="E175">
        <v>51.9</v>
      </c>
    </row>
    <row r="176" spans="1:5" x14ac:dyDescent="0.25">
      <c r="A176" s="1">
        <v>45101</v>
      </c>
      <c r="B176">
        <v>49.4</v>
      </c>
      <c r="C176">
        <v>50.6</v>
      </c>
      <c r="D176">
        <v>53.2</v>
      </c>
      <c r="E176">
        <v>46.8</v>
      </c>
    </row>
    <row r="177" spans="1:5" x14ac:dyDescent="0.25">
      <c r="A177" s="1">
        <v>45102</v>
      </c>
      <c r="B177">
        <v>48.3</v>
      </c>
      <c r="C177">
        <v>51.7</v>
      </c>
      <c r="D177">
        <v>52.3</v>
      </c>
      <c r="E177">
        <v>47.7</v>
      </c>
    </row>
    <row r="178" spans="1:5" x14ac:dyDescent="0.25">
      <c r="A178" s="1">
        <v>45103</v>
      </c>
      <c r="B178">
        <v>50.5</v>
      </c>
      <c r="C178">
        <v>49.5</v>
      </c>
      <c r="D178">
        <v>47.4</v>
      </c>
      <c r="E178">
        <v>52.6</v>
      </c>
    </row>
    <row r="179" spans="1:5" x14ac:dyDescent="0.25">
      <c r="A179" s="1">
        <v>45104</v>
      </c>
      <c r="B179">
        <v>48.9</v>
      </c>
      <c r="C179">
        <v>51.1</v>
      </c>
      <c r="D179">
        <v>47.8</v>
      </c>
      <c r="E179">
        <v>52.2</v>
      </c>
    </row>
    <row r="180" spans="1:5" x14ac:dyDescent="0.25">
      <c r="A180" s="1">
        <v>45105</v>
      </c>
      <c r="B180">
        <v>49.2</v>
      </c>
      <c r="C180">
        <v>50.8</v>
      </c>
      <c r="D180">
        <v>46.8</v>
      </c>
      <c r="E180">
        <v>53.2</v>
      </c>
    </row>
    <row r="181" spans="1:5" x14ac:dyDescent="0.25">
      <c r="A181" s="1">
        <v>45106</v>
      </c>
      <c r="B181">
        <v>48.5</v>
      </c>
      <c r="C181">
        <v>51.5</v>
      </c>
      <c r="D181">
        <v>47.5</v>
      </c>
      <c r="E181">
        <v>52.5</v>
      </c>
    </row>
    <row r="182" spans="1:5" x14ac:dyDescent="0.25">
      <c r="A182" s="1">
        <v>45107</v>
      </c>
      <c r="B182">
        <v>48.7</v>
      </c>
      <c r="C182">
        <v>51.3</v>
      </c>
      <c r="D182">
        <v>46.4</v>
      </c>
      <c r="E182">
        <v>53.6</v>
      </c>
    </row>
    <row r="183" spans="1:5" x14ac:dyDescent="0.25">
      <c r="A183" s="1">
        <v>45108</v>
      </c>
      <c r="B183">
        <v>48.9</v>
      </c>
      <c r="C183">
        <v>51.1</v>
      </c>
      <c r="D183">
        <v>53.6</v>
      </c>
      <c r="E183">
        <v>46.4</v>
      </c>
    </row>
    <row r="184" spans="1:5" x14ac:dyDescent="0.25">
      <c r="A184" s="1">
        <v>45109</v>
      </c>
      <c r="B184">
        <v>48.3</v>
      </c>
      <c r="C184">
        <v>51.7</v>
      </c>
      <c r="D184">
        <v>53.1</v>
      </c>
      <c r="E184">
        <v>46.9</v>
      </c>
    </row>
    <row r="185" spans="1:5" x14ac:dyDescent="0.25">
      <c r="A185" s="1">
        <v>45110</v>
      </c>
      <c r="B185">
        <v>50.9</v>
      </c>
      <c r="C185">
        <v>49.1</v>
      </c>
      <c r="D185">
        <v>48.8</v>
      </c>
      <c r="E185">
        <v>51.2</v>
      </c>
    </row>
    <row r="186" spans="1:5" x14ac:dyDescent="0.25">
      <c r="A186" s="1">
        <v>45111</v>
      </c>
      <c r="B186">
        <v>48.9</v>
      </c>
      <c r="C186">
        <v>51.1</v>
      </c>
      <c r="D186">
        <v>47</v>
      </c>
      <c r="E186">
        <v>53</v>
      </c>
    </row>
    <row r="187" spans="1:5" x14ac:dyDescent="0.25">
      <c r="A187" s="1">
        <v>45112</v>
      </c>
      <c r="B187">
        <v>48.3</v>
      </c>
      <c r="C187">
        <v>51.7</v>
      </c>
      <c r="D187">
        <v>46.7</v>
      </c>
      <c r="E187">
        <v>53.3</v>
      </c>
    </row>
    <row r="188" spans="1:5" x14ac:dyDescent="0.25">
      <c r="A188" s="1">
        <v>45113</v>
      </c>
      <c r="B188">
        <v>48.6</v>
      </c>
      <c r="C188">
        <v>51.4</v>
      </c>
      <c r="D188">
        <v>46.3</v>
      </c>
      <c r="E188">
        <v>53.7</v>
      </c>
    </row>
    <row r="189" spans="1:5" x14ac:dyDescent="0.25">
      <c r="A189" s="1">
        <v>45114</v>
      </c>
      <c r="B189">
        <v>48.9</v>
      </c>
      <c r="C189">
        <v>51.1</v>
      </c>
      <c r="D189">
        <v>45.4</v>
      </c>
      <c r="E189">
        <v>54.6</v>
      </c>
    </row>
    <row r="190" spans="1:5" x14ac:dyDescent="0.25">
      <c r="A190" s="1">
        <v>45115</v>
      </c>
      <c r="B190">
        <v>49.2</v>
      </c>
      <c r="C190">
        <v>50.8</v>
      </c>
      <c r="D190">
        <v>51.9</v>
      </c>
      <c r="E190">
        <v>48.1</v>
      </c>
    </row>
    <row r="191" spans="1:5" x14ac:dyDescent="0.25">
      <c r="A191" s="1">
        <v>45116</v>
      </c>
      <c r="B191">
        <v>49.3</v>
      </c>
      <c r="C191">
        <v>50.7</v>
      </c>
      <c r="D191">
        <v>52.4</v>
      </c>
      <c r="E191">
        <v>47.6</v>
      </c>
    </row>
    <row r="192" spans="1:5" x14ac:dyDescent="0.25">
      <c r="A192" s="1">
        <v>45117</v>
      </c>
      <c r="B192">
        <v>47.3</v>
      </c>
      <c r="C192">
        <v>52.7</v>
      </c>
      <c r="D192">
        <v>46.3</v>
      </c>
      <c r="E192">
        <v>53.7</v>
      </c>
    </row>
    <row r="193" spans="1:5" x14ac:dyDescent="0.25">
      <c r="A193" s="1">
        <v>45118</v>
      </c>
      <c r="B193">
        <v>49.4</v>
      </c>
      <c r="C193">
        <v>50.6</v>
      </c>
      <c r="D193">
        <v>48.2</v>
      </c>
      <c r="E193">
        <v>51.8</v>
      </c>
    </row>
    <row r="194" spans="1:5" x14ac:dyDescent="0.25">
      <c r="A194" s="1">
        <v>45119</v>
      </c>
      <c r="B194">
        <v>48.8</v>
      </c>
      <c r="C194">
        <v>51.2</v>
      </c>
      <c r="D194">
        <v>46.7</v>
      </c>
      <c r="E194">
        <v>53.3</v>
      </c>
    </row>
    <row r="195" spans="1:5" x14ac:dyDescent="0.25">
      <c r="A195" s="1">
        <v>45120</v>
      </c>
      <c r="B195">
        <v>49</v>
      </c>
      <c r="C195">
        <v>51</v>
      </c>
      <c r="D195">
        <v>45.6</v>
      </c>
      <c r="E195">
        <v>54.4</v>
      </c>
    </row>
    <row r="196" spans="1:5" x14ac:dyDescent="0.25">
      <c r="A196" s="1">
        <v>45121</v>
      </c>
      <c r="B196">
        <v>49.4</v>
      </c>
      <c r="C196">
        <v>50.6</v>
      </c>
      <c r="D196">
        <v>47</v>
      </c>
      <c r="E196">
        <v>53</v>
      </c>
    </row>
    <row r="197" spans="1:5" x14ac:dyDescent="0.25">
      <c r="A197" s="1">
        <v>45122</v>
      </c>
      <c r="B197">
        <v>47.9</v>
      </c>
      <c r="C197">
        <v>52.1</v>
      </c>
      <c r="D197">
        <v>52.7</v>
      </c>
      <c r="E197">
        <v>47.3</v>
      </c>
    </row>
    <row r="198" spans="1:5" x14ac:dyDescent="0.25">
      <c r="A198" s="1">
        <v>45123</v>
      </c>
      <c r="B198">
        <v>48.3</v>
      </c>
      <c r="C198">
        <v>51.7</v>
      </c>
      <c r="D198">
        <v>55.4</v>
      </c>
      <c r="E198">
        <v>44.6</v>
      </c>
    </row>
    <row r="199" spans="1:5" x14ac:dyDescent="0.25">
      <c r="A199" s="1">
        <v>45124</v>
      </c>
      <c r="B199">
        <v>45.7</v>
      </c>
      <c r="C199">
        <v>54.3</v>
      </c>
      <c r="D199">
        <v>47</v>
      </c>
      <c r="E199">
        <v>53</v>
      </c>
    </row>
    <row r="200" spans="1:5" x14ac:dyDescent="0.25">
      <c r="A200" s="1">
        <v>45125</v>
      </c>
      <c r="B200">
        <v>48</v>
      </c>
      <c r="C200">
        <v>52</v>
      </c>
      <c r="D200">
        <v>47.1</v>
      </c>
      <c r="E200">
        <v>52.9</v>
      </c>
    </row>
    <row r="201" spans="1:5" x14ac:dyDescent="0.25">
      <c r="A201" s="1">
        <v>45126</v>
      </c>
      <c r="B201">
        <v>48.3</v>
      </c>
      <c r="C201">
        <v>51.7</v>
      </c>
      <c r="D201">
        <v>45.9</v>
      </c>
      <c r="E201">
        <v>54.1</v>
      </c>
    </row>
    <row r="202" spans="1:5" x14ac:dyDescent="0.25">
      <c r="A202" s="1">
        <v>45127</v>
      </c>
      <c r="B202">
        <v>48.2</v>
      </c>
      <c r="C202">
        <v>51.8</v>
      </c>
      <c r="D202">
        <v>47.6</v>
      </c>
      <c r="E202">
        <v>52.4</v>
      </c>
    </row>
    <row r="203" spans="1:5" x14ac:dyDescent="0.25">
      <c r="A203" s="1">
        <v>45128</v>
      </c>
      <c r="B203">
        <v>47.7</v>
      </c>
      <c r="C203">
        <v>52.3</v>
      </c>
      <c r="D203">
        <v>45.6</v>
      </c>
      <c r="E203">
        <v>54.4</v>
      </c>
    </row>
    <row r="204" spans="1:5" x14ac:dyDescent="0.25">
      <c r="A204" s="1">
        <v>45129</v>
      </c>
      <c r="B204">
        <v>47.6</v>
      </c>
      <c r="C204">
        <v>52.4</v>
      </c>
      <c r="D204">
        <v>53.7</v>
      </c>
      <c r="E204">
        <v>46.3</v>
      </c>
    </row>
    <row r="205" spans="1:5" x14ac:dyDescent="0.25">
      <c r="A205" s="1">
        <v>45130</v>
      </c>
      <c r="B205">
        <v>47.1</v>
      </c>
      <c r="C205">
        <v>52.9</v>
      </c>
      <c r="D205">
        <v>54.1</v>
      </c>
      <c r="E205">
        <v>45.9</v>
      </c>
    </row>
    <row r="206" spans="1:5" x14ac:dyDescent="0.25">
      <c r="A206" s="1">
        <v>45131</v>
      </c>
      <c r="B206">
        <v>47.2</v>
      </c>
      <c r="C206">
        <v>52.8</v>
      </c>
      <c r="D206">
        <v>47.1</v>
      </c>
      <c r="E206">
        <v>52.9</v>
      </c>
    </row>
    <row r="207" spans="1:5" x14ac:dyDescent="0.25">
      <c r="A207" s="1">
        <v>45132</v>
      </c>
      <c r="B207">
        <v>48.6</v>
      </c>
      <c r="C207">
        <v>51.4</v>
      </c>
      <c r="D207">
        <v>46.3</v>
      </c>
      <c r="E207">
        <v>53.7</v>
      </c>
    </row>
    <row r="208" spans="1:5" x14ac:dyDescent="0.25">
      <c r="A208" s="1">
        <v>45133</v>
      </c>
      <c r="B208">
        <v>47.3</v>
      </c>
      <c r="C208">
        <v>52.7</v>
      </c>
      <c r="D208">
        <v>48.6</v>
      </c>
      <c r="E208">
        <v>51.4</v>
      </c>
    </row>
    <row r="209" spans="1:5" x14ac:dyDescent="0.25">
      <c r="A209" s="1">
        <v>45134</v>
      </c>
      <c r="B209">
        <v>47</v>
      </c>
      <c r="C209">
        <v>53</v>
      </c>
      <c r="D209">
        <v>45.7</v>
      </c>
      <c r="E209">
        <v>54.3</v>
      </c>
    </row>
    <row r="210" spans="1:5" x14ac:dyDescent="0.25">
      <c r="A210" s="1">
        <v>45135</v>
      </c>
      <c r="B210">
        <v>48.7</v>
      </c>
      <c r="C210">
        <v>51.3</v>
      </c>
      <c r="D210">
        <v>47.4</v>
      </c>
      <c r="E210">
        <v>52.6</v>
      </c>
    </row>
    <row r="211" spans="1:5" x14ac:dyDescent="0.25">
      <c r="A211" s="1">
        <v>45136</v>
      </c>
      <c r="B211">
        <v>47.9</v>
      </c>
      <c r="C211">
        <v>52.1</v>
      </c>
      <c r="D211">
        <v>52.2</v>
      </c>
      <c r="E211">
        <v>47.8</v>
      </c>
    </row>
    <row r="212" spans="1:5" x14ac:dyDescent="0.25">
      <c r="A212" s="1">
        <v>45137</v>
      </c>
      <c r="B212">
        <v>46.9</v>
      </c>
      <c r="C212">
        <v>53.1</v>
      </c>
      <c r="D212">
        <v>52.3</v>
      </c>
      <c r="E212">
        <v>47.7</v>
      </c>
    </row>
    <row r="213" spans="1:5" x14ac:dyDescent="0.25">
      <c r="A213" s="1">
        <v>45138</v>
      </c>
      <c r="B213">
        <v>48.1</v>
      </c>
      <c r="C213">
        <v>51.9</v>
      </c>
      <c r="D213">
        <v>45.4</v>
      </c>
      <c r="E213">
        <v>54.6</v>
      </c>
    </row>
    <row r="214" spans="1:5" x14ac:dyDescent="0.25">
      <c r="A214" s="1">
        <v>45139</v>
      </c>
      <c r="B214">
        <v>48.6</v>
      </c>
      <c r="C214">
        <v>51.4</v>
      </c>
      <c r="D214">
        <v>46.8</v>
      </c>
      <c r="E214">
        <v>53.2</v>
      </c>
    </row>
    <row r="215" spans="1:5" x14ac:dyDescent="0.25">
      <c r="A215" s="1">
        <v>45140</v>
      </c>
      <c r="B215">
        <v>46.6</v>
      </c>
      <c r="C215">
        <v>53.4</v>
      </c>
      <c r="D215">
        <v>46.8</v>
      </c>
      <c r="E215">
        <v>53.2</v>
      </c>
    </row>
    <row r="216" spans="1:5" x14ac:dyDescent="0.25">
      <c r="A216" s="1">
        <v>45141</v>
      </c>
      <c r="B216">
        <v>46.1</v>
      </c>
      <c r="C216">
        <v>53.9</v>
      </c>
      <c r="D216">
        <v>46.7</v>
      </c>
      <c r="E216">
        <v>53.3</v>
      </c>
    </row>
    <row r="217" spans="1:5" x14ac:dyDescent="0.25">
      <c r="A217" s="1">
        <v>45142</v>
      </c>
      <c r="B217">
        <v>48.7</v>
      </c>
      <c r="C217">
        <v>51.3</v>
      </c>
      <c r="D217">
        <v>47</v>
      </c>
      <c r="E217">
        <v>53</v>
      </c>
    </row>
    <row r="218" spans="1:5" x14ac:dyDescent="0.25">
      <c r="A218" s="1">
        <v>45143</v>
      </c>
      <c r="B218">
        <v>45.7</v>
      </c>
      <c r="C218">
        <v>54.3</v>
      </c>
      <c r="D218">
        <v>53.3</v>
      </c>
      <c r="E218">
        <v>46.7</v>
      </c>
    </row>
    <row r="219" spans="1:5" x14ac:dyDescent="0.25">
      <c r="A219" s="1">
        <v>45144</v>
      </c>
      <c r="B219">
        <v>45.5</v>
      </c>
      <c r="C219">
        <v>54.5</v>
      </c>
      <c r="D219">
        <v>51.4</v>
      </c>
      <c r="E219">
        <v>48.6</v>
      </c>
    </row>
    <row r="220" spans="1:5" x14ac:dyDescent="0.25">
      <c r="A220" s="1">
        <v>45145</v>
      </c>
      <c r="B220">
        <v>47</v>
      </c>
      <c r="C220">
        <v>53</v>
      </c>
      <c r="D220">
        <v>45.1</v>
      </c>
      <c r="E220">
        <v>54.9</v>
      </c>
    </row>
    <row r="221" spans="1:5" x14ac:dyDescent="0.25">
      <c r="A221" s="1">
        <v>45146</v>
      </c>
      <c r="B221">
        <v>47.6</v>
      </c>
      <c r="C221">
        <v>52.4</v>
      </c>
      <c r="D221">
        <v>46.2</v>
      </c>
      <c r="E221">
        <v>53.8</v>
      </c>
    </row>
    <row r="222" spans="1:5" x14ac:dyDescent="0.25">
      <c r="A222" s="1">
        <v>45147</v>
      </c>
      <c r="B222">
        <v>47.4</v>
      </c>
      <c r="C222">
        <v>52.6</v>
      </c>
      <c r="D222">
        <v>47.4</v>
      </c>
      <c r="E222">
        <v>52.6</v>
      </c>
    </row>
    <row r="223" spans="1:5" x14ac:dyDescent="0.25">
      <c r="A223" s="1">
        <v>45148</v>
      </c>
      <c r="B223">
        <v>47</v>
      </c>
      <c r="C223">
        <v>53</v>
      </c>
      <c r="D223">
        <v>45.5</v>
      </c>
      <c r="E223">
        <v>54.5</v>
      </c>
    </row>
    <row r="224" spans="1:5" x14ac:dyDescent="0.25">
      <c r="A224" s="1">
        <v>45149</v>
      </c>
      <c r="B224">
        <v>49.6</v>
      </c>
      <c r="C224">
        <v>50.4</v>
      </c>
      <c r="D224">
        <v>45.9</v>
      </c>
      <c r="E224">
        <v>54.1</v>
      </c>
    </row>
    <row r="225" spans="1:5" x14ac:dyDescent="0.25">
      <c r="A225" s="1">
        <v>45150</v>
      </c>
      <c r="B225">
        <v>46.8</v>
      </c>
      <c r="C225">
        <v>53.2</v>
      </c>
      <c r="D225">
        <v>51.9</v>
      </c>
      <c r="E225">
        <v>48.1</v>
      </c>
    </row>
    <row r="226" spans="1:5" x14ac:dyDescent="0.25">
      <c r="A226" s="1">
        <v>45151</v>
      </c>
      <c r="B226">
        <v>46</v>
      </c>
      <c r="C226">
        <v>54</v>
      </c>
      <c r="D226">
        <v>49.7</v>
      </c>
      <c r="E226">
        <v>50.3</v>
      </c>
    </row>
    <row r="227" spans="1:5" x14ac:dyDescent="0.25">
      <c r="A227" s="1">
        <v>45152</v>
      </c>
      <c r="B227">
        <v>46.4</v>
      </c>
      <c r="C227">
        <v>53.6</v>
      </c>
      <c r="D227">
        <v>45.3</v>
      </c>
      <c r="E227">
        <v>54.7</v>
      </c>
    </row>
    <row r="228" spans="1:5" x14ac:dyDescent="0.25">
      <c r="A228" s="1">
        <v>45153</v>
      </c>
      <c r="B228">
        <v>47.1</v>
      </c>
      <c r="C228">
        <v>52.9</v>
      </c>
      <c r="D228">
        <v>44.4</v>
      </c>
      <c r="E228">
        <v>55.6</v>
      </c>
    </row>
    <row r="229" spans="1:5" x14ac:dyDescent="0.25">
      <c r="A229" s="1">
        <v>45154</v>
      </c>
      <c r="B229">
        <v>47.4</v>
      </c>
      <c r="C229">
        <v>52.6</v>
      </c>
      <c r="D229">
        <v>46</v>
      </c>
      <c r="E229">
        <v>54</v>
      </c>
    </row>
    <row r="230" spans="1:5" x14ac:dyDescent="0.25">
      <c r="A230" s="1">
        <v>45155</v>
      </c>
      <c r="B230">
        <v>46.5</v>
      </c>
      <c r="C230">
        <v>53.5</v>
      </c>
      <c r="D230">
        <v>46.4</v>
      </c>
      <c r="E230">
        <v>53.6</v>
      </c>
    </row>
    <row r="231" spans="1:5" x14ac:dyDescent="0.25">
      <c r="A231" s="1">
        <v>45156</v>
      </c>
      <c r="B231">
        <v>46.2</v>
      </c>
      <c r="C231">
        <v>53.8</v>
      </c>
      <c r="D231">
        <v>45.6</v>
      </c>
      <c r="E231">
        <v>54.4</v>
      </c>
    </row>
    <row r="232" spans="1:5" x14ac:dyDescent="0.25">
      <c r="A232" s="1">
        <v>45157</v>
      </c>
      <c r="B232">
        <v>46</v>
      </c>
      <c r="C232">
        <v>54</v>
      </c>
      <c r="D232">
        <v>50.7</v>
      </c>
      <c r="E232">
        <v>49.3</v>
      </c>
    </row>
    <row r="233" spans="1:5" x14ac:dyDescent="0.25">
      <c r="A233" s="1">
        <v>45158</v>
      </c>
      <c r="B233">
        <v>46.6</v>
      </c>
      <c r="C233">
        <v>53.4</v>
      </c>
      <c r="D233">
        <v>52.4</v>
      </c>
      <c r="E233">
        <v>47.6</v>
      </c>
    </row>
    <row r="234" spans="1:5" x14ac:dyDescent="0.25">
      <c r="A234" s="1">
        <v>45159</v>
      </c>
      <c r="B234">
        <v>47</v>
      </c>
      <c r="C234">
        <v>53</v>
      </c>
      <c r="D234">
        <v>46</v>
      </c>
      <c r="E234">
        <v>54</v>
      </c>
    </row>
    <row r="235" spans="1:5" x14ac:dyDescent="0.25">
      <c r="A235" s="1">
        <v>45160</v>
      </c>
      <c r="B235">
        <v>46.2</v>
      </c>
      <c r="C235">
        <v>53.8</v>
      </c>
      <c r="D235">
        <v>45.5</v>
      </c>
      <c r="E235">
        <v>54.5</v>
      </c>
    </row>
    <row r="236" spans="1:5" x14ac:dyDescent="0.25">
      <c r="A236" s="1">
        <v>45161</v>
      </c>
      <c r="B236">
        <v>47.8</v>
      </c>
      <c r="C236">
        <v>52.2</v>
      </c>
      <c r="D236">
        <v>45.9</v>
      </c>
      <c r="E236">
        <v>54.1</v>
      </c>
    </row>
    <row r="237" spans="1:5" x14ac:dyDescent="0.25">
      <c r="A237" s="1">
        <v>45162</v>
      </c>
      <c r="B237">
        <v>46.7</v>
      </c>
      <c r="C237">
        <v>53.3</v>
      </c>
      <c r="D237">
        <v>47.6</v>
      </c>
      <c r="E237">
        <v>52.4</v>
      </c>
    </row>
    <row r="238" spans="1:5" x14ac:dyDescent="0.25">
      <c r="A238" s="1">
        <v>45163</v>
      </c>
      <c r="B238">
        <v>46.2</v>
      </c>
      <c r="C238">
        <v>53.8</v>
      </c>
      <c r="D238">
        <v>45.6</v>
      </c>
      <c r="E238">
        <v>54.4</v>
      </c>
    </row>
    <row r="239" spans="1:5" x14ac:dyDescent="0.25">
      <c r="A239" s="1">
        <v>45164</v>
      </c>
      <c r="B239">
        <v>47.1</v>
      </c>
      <c r="C239">
        <v>52.9</v>
      </c>
      <c r="D239">
        <v>51.5</v>
      </c>
      <c r="E239">
        <v>48.5</v>
      </c>
    </row>
    <row r="240" spans="1:5" x14ac:dyDescent="0.25">
      <c r="A240" s="1">
        <v>45165</v>
      </c>
      <c r="B240">
        <v>45.9</v>
      </c>
      <c r="C240">
        <v>54.1</v>
      </c>
      <c r="D240">
        <v>50.4</v>
      </c>
      <c r="E240">
        <v>49.6</v>
      </c>
    </row>
    <row r="241" spans="1:5" x14ac:dyDescent="0.25">
      <c r="A241" s="1">
        <v>45166</v>
      </c>
      <c r="B241">
        <v>47.4</v>
      </c>
      <c r="C241">
        <v>52.6</v>
      </c>
      <c r="D241">
        <v>44.7</v>
      </c>
      <c r="E241">
        <v>55.3</v>
      </c>
    </row>
    <row r="242" spans="1:5" x14ac:dyDescent="0.25">
      <c r="A242" s="1">
        <v>45167</v>
      </c>
      <c r="B242">
        <v>45</v>
      </c>
      <c r="C242">
        <v>55</v>
      </c>
      <c r="D242">
        <v>46.2</v>
      </c>
      <c r="E242">
        <v>53.8</v>
      </c>
    </row>
    <row r="243" spans="1:5" x14ac:dyDescent="0.25">
      <c r="A243" s="1">
        <v>45168</v>
      </c>
      <c r="B243">
        <v>46.5</v>
      </c>
      <c r="C243">
        <v>53.5</v>
      </c>
      <c r="D243">
        <v>43.9</v>
      </c>
      <c r="E243">
        <v>56.1</v>
      </c>
    </row>
    <row r="244" spans="1:5" x14ac:dyDescent="0.25">
      <c r="A244" s="1">
        <v>45169</v>
      </c>
      <c r="B244">
        <v>45.3</v>
      </c>
      <c r="C244">
        <v>54.7</v>
      </c>
      <c r="D244">
        <v>47.5</v>
      </c>
      <c r="E244">
        <v>52.5</v>
      </c>
    </row>
    <row r="245" spans="1:5" x14ac:dyDescent="0.25">
      <c r="A245" s="1">
        <v>45170</v>
      </c>
      <c r="B245">
        <v>46</v>
      </c>
      <c r="C245">
        <v>54</v>
      </c>
      <c r="D245">
        <v>45.1</v>
      </c>
      <c r="E245">
        <v>54.9</v>
      </c>
    </row>
    <row r="246" spans="1:5" x14ac:dyDescent="0.25">
      <c r="A246" s="1">
        <v>45171</v>
      </c>
      <c r="B246">
        <v>46.9</v>
      </c>
      <c r="C246">
        <v>53.1</v>
      </c>
      <c r="D246">
        <v>50.7</v>
      </c>
      <c r="E246">
        <v>49.3</v>
      </c>
    </row>
    <row r="247" spans="1:5" x14ac:dyDescent="0.25">
      <c r="A247" s="1">
        <v>45172</v>
      </c>
      <c r="B247">
        <v>47.1</v>
      </c>
      <c r="C247">
        <v>52.9</v>
      </c>
      <c r="D247">
        <v>50.9</v>
      </c>
      <c r="E247">
        <v>49.1</v>
      </c>
    </row>
    <row r="248" spans="1:5" x14ac:dyDescent="0.25">
      <c r="A248" s="1">
        <v>45173</v>
      </c>
      <c r="B248">
        <v>46</v>
      </c>
      <c r="C248">
        <v>54</v>
      </c>
      <c r="D248">
        <v>46</v>
      </c>
      <c r="E248">
        <v>54</v>
      </c>
    </row>
    <row r="249" spans="1:5" x14ac:dyDescent="0.25">
      <c r="A249" s="1">
        <v>45174</v>
      </c>
      <c r="B249">
        <v>45.5</v>
      </c>
      <c r="C249">
        <v>54.5</v>
      </c>
      <c r="D249">
        <v>45.3</v>
      </c>
      <c r="E249">
        <v>54.7</v>
      </c>
    </row>
    <row r="250" spans="1:5" x14ac:dyDescent="0.25">
      <c r="A250" s="1">
        <v>45175</v>
      </c>
      <c r="B250">
        <v>45.8</v>
      </c>
      <c r="C250">
        <v>54.2</v>
      </c>
      <c r="D250">
        <v>44.9</v>
      </c>
      <c r="E250">
        <v>55.1</v>
      </c>
    </row>
    <row r="251" spans="1:5" x14ac:dyDescent="0.25">
      <c r="A251" s="1">
        <v>45176</v>
      </c>
      <c r="B251">
        <v>46.3</v>
      </c>
      <c r="C251">
        <v>53.7</v>
      </c>
      <c r="D251">
        <v>43.7</v>
      </c>
      <c r="E251">
        <v>56.3</v>
      </c>
    </row>
    <row r="252" spans="1:5" x14ac:dyDescent="0.25">
      <c r="A252" s="1">
        <v>45177</v>
      </c>
      <c r="B252">
        <v>46.7</v>
      </c>
      <c r="C252">
        <v>53.3</v>
      </c>
      <c r="D252">
        <v>44.7</v>
      </c>
      <c r="E252">
        <v>55.3</v>
      </c>
    </row>
    <row r="253" spans="1:5" x14ac:dyDescent="0.25">
      <c r="A253" s="1">
        <v>45178</v>
      </c>
      <c r="B253">
        <v>47.2</v>
      </c>
      <c r="C253">
        <v>52.8</v>
      </c>
      <c r="D253">
        <v>51</v>
      </c>
      <c r="E253">
        <v>49</v>
      </c>
    </row>
    <row r="254" spans="1:5" x14ac:dyDescent="0.25">
      <c r="A254" s="1">
        <v>45179</v>
      </c>
      <c r="B254">
        <v>47.2</v>
      </c>
      <c r="C254">
        <v>52.8</v>
      </c>
      <c r="D254">
        <v>52.6</v>
      </c>
      <c r="E254">
        <v>47.4</v>
      </c>
    </row>
    <row r="255" spans="1:5" x14ac:dyDescent="0.25">
      <c r="A255" s="1">
        <v>45180</v>
      </c>
      <c r="B255">
        <v>47.1</v>
      </c>
      <c r="C255">
        <v>52.9</v>
      </c>
      <c r="D255">
        <v>44.1</v>
      </c>
      <c r="E255">
        <v>55.9</v>
      </c>
    </row>
    <row r="256" spans="1:5" x14ac:dyDescent="0.25">
      <c r="A256" s="1">
        <v>45181</v>
      </c>
      <c r="B256">
        <v>45.9</v>
      </c>
      <c r="C256">
        <v>54.1</v>
      </c>
      <c r="D256">
        <v>44</v>
      </c>
      <c r="E256">
        <v>56</v>
      </c>
    </row>
    <row r="257" spans="1:5" x14ac:dyDescent="0.25">
      <c r="A257" s="1">
        <v>45182</v>
      </c>
      <c r="B257">
        <v>46.5</v>
      </c>
      <c r="C257">
        <v>53.5</v>
      </c>
      <c r="D257">
        <v>45.4</v>
      </c>
      <c r="E257">
        <v>54.6</v>
      </c>
    </row>
    <row r="258" spans="1:5" x14ac:dyDescent="0.25">
      <c r="A258" s="1">
        <v>45183</v>
      </c>
      <c r="B258">
        <v>47.1</v>
      </c>
      <c r="C258">
        <v>52.9</v>
      </c>
      <c r="D258">
        <v>44.6</v>
      </c>
      <c r="E258">
        <v>55.4</v>
      </c>
    </row>
    <row r="259" spans="1:5" x14ac:dyDescent="0.25">
      <c r="A259" s="1">
        <v>45184</v>
      </c>
      <c r="B259">
        <v>46.8</v>
      </c>
      <c r="C259">
        <v>53.2</v>
      </c>
      <c r="D259">
        <v>45.5</v>
      </c>
      <c r="E259">
        <v>54.5</v>
      </c>
    </row>
    <row r="260" spans="1:5" x14ac:dyDescent="0.25">
      <c r="A260" s="1">
        <v>45185</v>
      </c>
      <c r="B260">
        <v>45.4</v>
      </c>
      <c r="C260">
        <v>54.6</v>
      </c>
      <c r="D260">
        <v>50.6</v>
      </c>
      <c r="E260">
        <v>49.4</v>
      </c>
    </row>
    <row r="261" spans="1:5" x14ac:dyDescent="0.25">
      <c r="A261" s="1">
        <v>45186</v>
      </c>
      <c r="B261">
        <v>45.8</v>
      </c>
      <c r="C261">
        <v>54.2</v>
      </c>
      <c r="D261">
        <v>51.8</v>
      </c>
      <c r="E261">
        <v>48.2</v>
      </c>
    </row>
    <row r="262" spans="1:5" x14ac:dyDescent="0.25">
      <c r="A262" s="1">
        <v>45187</v>
      </c>
      <c r="B262">
        <v>45.3</v>
      </c>
      <c r="C262">
        <v>54.7</v>
      </c>
      <c r="D262">
        <v>45.3</v>
      </c>
      <c r="E262">
        <v>54.7</v>
      </c>
    </row>
    <row r="263" spans="1:5" x14ac:dyDescent="0.25">
      <c r="A263" s="1">
        <v>45188</v>
      </c>
      <c r="B263">
        <v>46.8</v>
      </c>
      <c r="C263">
        <v>53.2</v>
      </c>
      <c r="D263">
        <v>44.3</v>
      </c>
      <c r="E263">
        <v>55.7</v>
      </c>
    </row>
    <row r="264" spans="1:5" x14ac:dyDescent="0.25">
      <c r="A264" s="1">
        <v>45189</v>
      </c>
      <c r="B264">
        <v>44.9</v>
      </c>
      <c r="C264">
        <v>55.1</v>
      </c>
      <c r="D264">
        <v>44.5</v>
      </c>
      <c r="E264">
        <v>55.5</v>
      </c>
    </row>
    <row r="265" spans="1:5" x14ac:dyDescent="0.25">
      <c r="A265" s="1">
        <v>45190</v>
      </c>
      <c r="B265">
        <v>46.1</v>
      </c>
      <c r="C265">
        <v>53.9</v>
      </c>
      <c r="D265">
        <v>44.9</v>
      </c>
      <c r="E265">
        <v>55.1</v>
      </c>
    </row>
    <row r="266" spans="1:5" x14ac:dyDescent="0.25">
      <c r="A266" s="1">
        <v>45191</v>
      </c>
      <c r="B266">
        <v>44.9</v>
      </c>
      <c r="C266">
        <v>55.1</v>
      </c>
      <c r="D266">
        <v>44.5</v>
      </c>
      <c r="E266">
        <v>55.5</v>
      </c>
    </row>
    <row r="267" spans="1:5" x14ac:dyDescent="0.25">
      <c r="A267" s="1">
        <v>45192</v>
      </c>
      <c r="B267">
        <v>46.1</v>
      </c>
      <c r="C267">
        <v>53.9</v>
      </c>
      <c r="D267">
        <v>48.4</v>
      </c>
      <c r="E267">
        <v>51.6</v>
      </c>
    </row>
    <row r="268" spans="1:5" x14ac:dyDescent="0.25">
      <c r="A268" s="1">
        <v>45193</v>
      </c>
      <c r="B268">
        <v>46.9</v>
      </c>
      <c r="C268">
        <v>53.1</v>
      </c>
      <c r="D268">
        <v>51.5</v>
      </c>
      <c r="E268">
        <v>48.5</v>
      </c>
    </row>
    <row r="269" spans="1:5" x14ac:dyDescent="0.25">
      <c r="A269" s="1">
        <v>45194</v>
      </c>
      <c r="B269">
        <v>47.3</v>
      </c>
      <c r="C269">
        <v>52.7</v>
      </c>
      <c r="D269">
        <v>44.6</v>
      </c>
      <c r="E269">
        <v>55.4</v>
      </c>
    </row>
    <row r="270" spans="1:5" x14ac:dyDescent="0.25">
      <c r="A270" s="1">
        <v>45195</v>
      </c>
      <c r="B270">
        <v>44.8</v>
      </c>
      <c r="C270">
        <v>55.2</v>
      </c>
      <c r="D270">
        <v>45.4</v>
      </c>
      <c r="E270">
        <v>54.6</v>
      </c>
    </row>
    <row r="271" spans="1:5" x14ac:dyDescent="0.25">
      <c r="A271" s="1">
        <v>45196</v>
      </c>
      <c r="B271">
        <v>47.1</v>
      </c>
      <c r="C271">
        <v>52.9</v>
      </c>
      <c r="D271">
        <v>44.4</v>
      </c>
      <c r="E271">
        <v>55.6</v>
      </c>
    </row>
    <row r="272" spans="1:5" x14ac:dyDescent="0.25">
      <c r="A272" s="1">
        <v>45197</v>
      </c>
      <c r="B272">
        <v>45.2</v>
      </c>
      <c r="C272">
        <v>54.8</v>
      </c>
      <c r="D272">
        <v>45.7</v>
      </c>
      <c r="E272">
        <v>54.3</v>
      </c>
    </row>
    <row r="273" spans="1:5" x14ac:dyDescent="0.25">
      <c r="A273" s="1">
        <v>45198</v>
      </c>
      <c r="B273">
        <v>45.5</v>
      </c>
      <c r="C273">
        <v>54.5</v>
      </c>
      <c r="D273">
        <v>43.8</v>
      </c>
      <c r="E273">
        <v>56.2</v>
      </c>
    </row>
    <row r="274" spans="1:5" x14ac:dyDescent="0.25">
      <c r="A274" s="1">
        <v>45199</v>
      </c>
      <c r="B274">
        <v>45.9</v>
      </c>
      <c r="C274">
        <v>54.1</v>
      </c>
      <c r="D274">
        <v>49.9</v>
      </c>
      <c r="E274">
        <v>50.1</v>
      </c>
    </row>
    <row r="275" spans="1:5" x14ac:dyDescent="0.25">
      <c r="A275" s="1">
        <v>45200</v>
      </c>
      <c r="B275">
        <v>47</v>
      </c>
      <c r="C275">
        <v>53</v>
      </c>
      <c r="D275">
        <v>48.8</v>
      </c>
      <c r="E275">
        <v>51.2</v>
      </c>
    </row>
    <row r="276" spans="1:5" x14ac:dyDescent="0.25">
      <c r="A276" s="1">
        <v>45201</v>
      </c>
      <c r="B276">
        <v>45</v>
      </c>
      <c r="C276">
        <v>55</v>
      </c>
      <c r="D276">
        <v>44.7</v>
      </c>
      <c r="E276">
        <v>55.3</v>
      </c>
    </row>
    <row r="277" spans="1:5" x14ac:dyDescent="0.25">
      <c r="A277" s="1">
        <v>45202</v>
      </c>
      <c r="B277">
        <v>45.5</v>
      </c>
      <c r="C277">
        <v>54.5</v>
      </c>
      <c r="D277">
        <v>43.8</v>
      </c>
      <c r="E277">
        <v>56.2</v>
      </c>
    </row>
    <row r="278" spans="1:5" x14ac:dyDescent="0.25">
      <c r="A278" s="1">
        <v>45203</v>
      </c>
      <c r="B278">
        <v>45.2</v>
      </c>
      <c r="C278">
        <v>54.8</v>
      </c>
      <c r="D278">
        <v>43.6</v>
      </c>
      <c r="E278">
        <v>56.4</v>
      </c>
    </row>
    <row r="279" spans="1:5" x14ac:dyDescent="0.25">
      <c r="A279" s="1">
        <v>45204</v>
      </c>
      <c r="B279">
        <v>45.1</v>
      </c>
      <c r="C279">
        <v>54.9</v>
      </c>
      <c r="D279">
        <v>44.7</v>
      </c>
      <c r="E279">
        <v>55.3</v>
      </c>
    </row>
    <row r="280" spans="1:5" x14ac:dyDescent="0.25">
      <c r="A280" s="1">
        <v>45205</v>
      </c>
      <c r="B280">
        <v>45.2</v>
      </c>
      <c r="C280">
        <v>54.8</v>
      </c>
      <c r="D280">
        <v>45</v>
      </c>
      <c r="E280">
        <v>55</v>
      </c>
    </row>
    <row r="281" spans="1:5" x14ac:dyDescent="0.25">
      <c r="A281" s="1">
        <v>45206</v>
      </c>
      <c r="B281">
        <v>47.3</v>
      </c>
      <c r="C281">
        <v>52.7</v>
      </c>
      <c r="D281">
        <v>51</v>
      </c>
      <c r="E281">
        <v>49</v>
      </c>
    </row>
    <row r="282" spans="1:5" x14ac:dyDescent="0.25">
      <c r="A282" s="1">
        <v>45207</v>
      </c>
      <c r="B282">
        <v>47</v>
      </c>
      <c r="C282">
        <v>53</v>
      </c>
      <c r="D282">
        <v>50.7</v>
      </c>
      <c r="E282">
        <v>49.3</v>
      </c>
    </row>
    <row r="283" spans="1:5" x14ac:dyDescent="0.25">
      <c r="A283" s="1">
        <v>45208</v>
      </c>
      <c r="B283">
        <v>44.8</v>
      </c>
      <c r="C283">
        <v>55.2</v>
      </c>
      <c r="D283">
        <v>42.6</v>
      </c>
      <c r="E283">
        <v>57.4</v>
      </c>
    </row>
    <row r="284" spans="1:5" x14ac:dyDescent="0.25">
      <c r="A284" s="1">
        <v>45209</v>
      </c>
      <c r="B284">
        <v>45.6</v>
      </c>
      <c r="C284">
        <v>54.4</v>
      </c>
      <c r="D284">
        <v>44.5</v>
      </c>
      <c r="E284">
        <v>55.5</v>
      </c>
    </row>
    <row r="285" spans="1:5" x14ac:dyDescent="0.25">
      <c r="A285" s="1">
        <v>45210</v>
      </c>
      <c r="B285">
        <v>45.9</v>
      </c>
      <c r="C285">
        <v>54.1</v>
      </c>
      <c r="D285">
        <v>44.1</v>
      </c>
      <c r="E285">
        <v>55.9</v>
      </c>
    </row>
    <row r="286" spans="1:5" x14ac:dyDescent="0.25">
      <c r="A286" s="1">
        <v>45211</v>
      </c>
      <c r="B286">
        <v>46.2</v>
      </c>
      <c r="C286">
        <v>53.8</v>
      </c>
      <c r="D286">
        <v>43.9</v>
      </c>
      <c r="E286">
        <v>56.1</v>
      </c>
    </row>
    <row r="287" spans="1:5" x14ac:dyDescent="0.25">
      <c r="A287" s="1">
        <v>45212</v>
      </c>
      <c r="B287">
        <v>47.4</v>
      </c>
      <c r="C287">
        <v>52.6</v>
      </c>
      <c r="D287">
        <v>43.6</v>
      </c>
      <c r="E287">
        <v>56.4</v>
      </c>
    </row>
    <row r="288" spans="1:5" x14ac:dyDescent="0.25">
      <c r="A288" s="1">
        <v>45213</v>
      </c>
      <c r="B288">
        <v>41.9</v>
      </c>
      <c r="C288">
        <v>58.1</v>
      </c>
      <c r="D288">
        <v>48.9</v>
      </c>
      <c r="E288">
        <v>51.1</v>
      </c>
    </row>
    <row r="289" spans="1:5" x14ac:dyDescent="0.25">
      <c r="A289" s="1">
        <v>45214</v>
      </c>
      <c r="B289">
        <v>47.4</v>
      </c>
      <c r="C289">
        <v>52.6</v>
      </c>
      <c r="D289">
        <v>52.5</v>
      </c>
      <c r="E289">
        <v>47.5</v>
      </c>
    </row>
    <row r="290" spans="1:5" x14ac:dyDescent="0.25">
      <c r="A290" s="1">
        <v>45215</v>
      </c>
      <c r="B290">
        <v>47</v>
      </c>
      <c r="C290">
        <v>53</v>
      </c>
      <c r="D290">
        <v>44.8</v>
      </c>
      <c r="E290">
        <v>55.2</v>
      </c>
    </row>
    <row r="291" spans="1:5" x14ac:dyDescent="0.25">
      <c r="A291" s="1">
        <v>45216</v>
      </c>
      <c r="B291">
        <v>46.7</v>
      </c>
      <c r="C291">
        <v>53.3</v>
      </c>
      <c r="D291">
        <v>43</v>
      </c>
      <c r="E291">
        <v>57</v>
      </c>
    </row>
    <row r="292" spans="1:5" x14ac:dyDescent="0.25">
      <c r="A292" s="1">
        <v>45217</v>
      </c>
      <c r="B292">
        <v>46.4</v>
      </c>
      <c r="C292">
        <v>53.6</v>
      </c>
      <c r="D292">
        <v>45.5</v>
      </c>
      <c r="E292">
        <v>54.5</v>
      </c>
    </row>
    <row r="293" spans="1:5" x14ac:dyDescent="0.25">
      <c r="A293" s="1">
        <v>45218</v>
      </c>
      <c r="B293">
        <v>46.1</v>
      </c>
      <c r="C293">
        <v>53.9</v>
      </c>
      <c r="D293">
        <v>45.7</v>
      </c>
      <c r="E293">
        <v>54.3</v>
      </c>
    </row>
    <row r="294" spans="1:5" x14ac:dyDescent="0.25">
      <c r="A294" s="1">
        <v>45219</v>
      </c>
      <c r="B294">
        <v>47.3</v>
      </c>
      <c r="C294">
        <v>52.7</v>
      </c>
      <c r="D294">
        <v>43.7</v>
      </c>
      <c r="E294">
        <v>56.3</v>
      </c>
    </row>
    <row r="295" spans="1:5" x14ac:dyDescent="0.25">
      <c r="A295" s="1">
        <v>45220</v>
      </c>
      <c r="B295">
        <v>46</v>
      </c>
      <c r="C295">
        <v>54</v>
      </c>
      <c r="D295">
        <v>50.6</v>
      </c>
      <c r="E295">
        <v>49.4</v>
      </c>
    </row>
    <row r="296" spans="1:5" x14ac:dyDescent="0.25">
      <c r="A296" s="1">
        <v>45221</v>
      </c>
      <c r="B296">
        <v>47.1</v>
      </c>
      <c r="C296">
        <v>52.9</v>
      </c>
      <c r="D296">
        <v>48.5</v>
      </c>
      <c r="E296">
        <v>51.5</v>
      </c>
    </row>
    <row r="297" spans="1:5" x14ac:dyDescent="0.25">
      <c r="A297" s="1">
        <v>45222</v>
      </c>
      <c r="B297">
        <v>44.1</v>
      </c>
      <c r="C297">
        <v>55.9</v>
      </c>
      <c r="D297">
        <v>44.5</v>
      </c>
      <c r="E297">
        <v>55.5</v>
      </c>
    </row>
    <row r="298" spans="1:5" x14ac:dyDescent="0.25">
      <c r="A298" s="1">
        <v>45223</v>
      </c>
      <c r="B298">
        <v>47.5</v>
      </c>
      <c r="C298">
        <v>52.5</v>
      </c>
      <c r="D298">
        <v>45.2</v>
      </c>
      <c r="E298">
        <v>54.8</v>
      </c>
    </row>
    <row r="299" spans="1:5" x14ac:dyDescent="0.25">
      <c r="A299" s="1">
        <v>45224</v>
      </c>
      <c r="B299">
        <v>45.2</v>
      </c>
      <c r="C299">
        <v>54.8</v>
      </c>
      <c r="D299">
        <v>43.9</v>
      </c>
      <c r="E299">
        <v>56.1</v>
      </c>
    </row>
    <row r="300" spans="1:5" x14ac:dyDescent="0.25">
      <c r="A300" s="1">
        <v>45225</v>
      </c>
      <c r="B300">
        <v>47.2</v>
      </c>
      <c r="C300">
        <v>52.8</v>
      </c>
      <c r="D300">
        <v>45.3</v>
      </c>
      <c r="E300">
        <v>54.7</v>
      </c>
    </row>
    <row r="301" spans="1:5" x14ac:dyDescent="0.25">
      <c r="A301" s="1">
        <v>45226</v>
      </c>
      <c r="B301">
        <v>47.2</v>
      </c>
      <c r="C301">
        <v>52.8</v>
      </c>
      <c r="D301">
        <v>43.7</v>
      </c>
      <c r="E301">
        <v>56.3</v>
      </c>
    </row>
    <row r="302" spans="1:5" x14ac:dyDescent="0.25">
      <c r="A302" s="1">
        <v>45227</v>
      </c>
      <c r="B302">
        <v>46.6</v>
      </c>
      <c r="C302">
        <v>53.4</v>
      </c>
      <c r="D302">
        <v>48.6</v>
      </c>
      <c r="E302">
        <v>51.4</v>
      </c>
    </row>
    <row r="303" spans="1:5" x14ac:dyDescent="0.25">
      <c r="A303" s="1">
        <v>45228</v>
      </c>
      <c r="B303">
        <v>45.7</v>
      </c>
      <c r="C303">
        <v>54.3</v>
      </c>
      <c r="D303">
        <v>49.1</v>
      </c>
      <c r="E303">
        <v>50.9</v>
      </c>
    </row>
    <row r="304" spans="1:5" x14ac:dyDescent="0.25">
      <c r="A304" s="1">
        <v>45229</v>
      </c>
      <c r="B304">
        <v>45.6</v>
      </c>
      <c r="C304">
        <v>54.4</v>
      </c>
      <c r="D304">
        <v>44</v>
      </c>
      <c r="E304">
        <v>56</v>
      </c>
    </row>
    <row r="305" spans="1:5" x14ac:dyDescent="0.25">
      <c r="A305" s="1">
        <v>45230</v>
      </c>
      <c r="B305">
        <v>47.1</v>
      </c>
      <c r="C305">
        <v>52.9</v>
      </c>
      <c r="D305">
        <v>44</v>
      </c>
      <c r="E305">
        <v>56</v>
      </c>
    </row>
    <row r="306" spans="1:5" x14ac:dyDescent="0.25">
      <c r="A306" s="1">
        <v>45231</v>
      </c>
      <c r="B306">
        <v>45.8</v>
      </c>
      <c r="C306">
        <v>54.2</v>
      </c>
      <c r="D306">
        <v>44.6</v>
      </c>
      <c r="E306">
        <v>55.4</v>
      </c>
    </row>
    <row r="307" spans="1:5" x14ac:dyDescent="0.25">
      <c r="A307" s="1">
        <v>45232</v>
      </c>
      <c r="B307">
        <v>44.7</v>
      </c>
      <c r="C307">
        <v>55.3</v>
      </c>
      <c r="D307">
        <v>44.1</v>
      </c>
      <c r="E307">
        <v>55.9</v>
      </c>
    </row>
    <row r="308" spans="1:5" x14ac:dyDescent="0.25">
      <c r="A308" s="1">
        <v>45233</v>
      </c>
      <c r="B308">
        <v>46.1</v>
      </c>
      <c r="C308">
        <v>53.9</v>
      </c>
      <c r="D308">
        <v>44.6</v>
      </c>
      <c r="E308">
        <v>55.4</v>
      </c>
    </row>
    <row r="309" spans="1:5" x14ac:dyDescent="0.25">
      <c r="A309" s="1">
        <v>45234</v>
      </c>
      <c r="B309">
        <v>46.1</v>
      </c>
      <c r="C309">
        <v>53.9</v>
      </c>
      <c r="D309">
        <v>52.4</v>
      </c>
      <c r="E309">
        <v>47.6</v>
      </c>
    </row>
    <row r="310" spans="1:5" x14ac:dyDescent="0.25">
      <c r="A310" s="1">
        <v>45235</v>
      </c>
      <c r="B310">
        <v>46.8</v>
      </c>
      <c r="C310">
        <v>53.2</v>
      </c>
      <c r="D310">
        <v>49</v>
      </c>
      <c r="E310">
        <v>51</v>
      </c>
    </row>
    <row r="311" spans="1:5" x14ac:dyDescent="0.25">
      <c r="A311" s="1">
        <v>45236</v>
      </c>
      <c r="B311">
        <v>45.6</v>
      </c>
      <c r="C311">
        <v>54.4</v>
      </c>
      <c r="D311">
        <v>44.3</v>
      </c>
      <c r="E311">
        <v>55.7</v>
      </c>
    </row>
    <row r="312" spans="1:5" x14ac:dyDescent="0.25">
      <c r="A312" s="1">
        <v>45237</v>
      </c>
      <c r="B312">
        <v>46.3</v>
      </c>
      <c r="C312">
        <v>53.7</v>
      </c>
      <c r="D312">
        <v>41.9</v>
      </c>
      <c r="E312">
        <v>58.1</v>
      </c>
    </row>
    <row r="313" spans="1:5" x14ac:dyDescent="0.25">
      <c r="A313" s="1">
        <v>45238</v>
      </c>
      <c r="B313">
        <v>46.1</v>
      </c>
      <c r="C313">
        <v>53.9</v>
      </c>
      <c r="D313">
        <v>45</v>
      </c>
      <c r="E313">
        <v>55</v>
      </c>
    </row>
    <row r="314" spans="1:5" x14ac:dyDescent="0.25">
      <c r="A314" s="1">
        <v>45239</v>
      </c>
      <c r="B314">
        <v>48</v>
      </c>
      <c r="C314">
        <v>52</v>
      </c>
      <c r="D314">
        <v>43.5</v>
      </c>
      <c r="E314">
        <v>56.5</v>
      </c>
    </row>
    <row r="315" spans="1:5" x14ac:dyDescent="0.25">
      <c r="A315" s="1">
        <v>45240</v>
      </c>
      <c r="B315">
        <v>47.5</v>
      </c>
      <c r="C315">
        <v>52.5</v>
      </c>
      <c r="D315">
        <v>42.3</v>
      </c>
      <c r="E315">
        <v>57.7</v>
      </c>
    </row>
    <row r="316" spans="1:5" x14ac:dyDescent="0.25">
      <c r="A316" s="1">
        <v>45241</v>
      </c>
      <c r="B316">
        <v>46.7</v>
      </c>
      <c r="C316">
        <v>53.3</v>
      </c>
      <c r="D316">
        <v>50.6</v>
      </c>
      <c r="E316">
        <v>49.4</v>
      </c>
    </row>
    <row r="317" spans="1:5" x14ac:dyDescent="0.25">
      <c r="A317" s="1">
        <v>45242</v>
      </c>
      <c r="B317">
        <v>45</v>
      </c>
      <c r="C317">
        <v>55</v>
      </c>
      <c r="D317">
        <v>48.6</v>
      </c>
      <c r="E317">
        <v>51.4</v>
      </c>
    </row>
    <row r="318" spans="1:5" x14ac:dyDescent="0.25">
      <c r="A318" s="1">
        <v>45243</v>
      </c>
      <c r="B318">
        <v>48</v>
      </c>
      <c r="C318">
        <v>52</v>
      </c>
      <c r="D318">
        <v>44.1</v>
      </c>
      <c r="E318">
        <v>55.9</v>
      </c>
    </row>
    <row r="319" spans="1:5" x14ac:dyDescent="0.25">
      <c r="A319" s="1">
        <v>45244</v>
      </c>
      <c r="B319">
        <v>47.8</v>
      </c>
      <c r="C319">
        <v>52.2</v>
      </c>
      <c r="D319">
        <v>43.5</v>
      </c>
      <c r="E319">
        <v>56.5</v>
      </c>
    </row>
    <row r="320" spans="1:5" x14ac:dyDescent="0.25">
      <c r="A320" s="1">
        <v>45245</v>
      </c>
      <c r="B320">
        <v>47.7</v>
      </c>
      <c r="C320">
        <v>52.3</v>
      </c>
      <c r="D320">
        <v>45.6</v>
      </c>
      <c r="E320">
        <v>54.4</v>
      </c>
    </row>
    <row r="321" spans="1:5" x14ac:dyDescent="0.25">
      <c r="A321" s="1">
        <v>45246</v>
      </c>
      <c r="B321">
        <v>47.1</v>
      </c>
      <c r="C321">
        <v>52.9</v>
      </c>
      <c r="D321">
        <v>44.6</v>
      </c>
      <c r="E321">
        <v>55.4</v>
      </c>
    </row>
    <row r="322" spans="1:5" x14ac:dyDescent="0.25">
      <c r="A322" s="1">
        <v>45247</v>
      </c>
      <c r="B322">
        <v>46.2</v>
      </c>
      <c r="C322">
        <v>53.8</v>
      </c>
      <c r="D322">
        <v>46</v>
      </c>
      <c r="E322">
        <v>54</v>
      </c>
    </row>
    <row r="323" spans="1:5" x14ac:dyDescent="0.25">
      <c r="A323" s="1">
        <v>45248</v>
      </c>
      <c r="B323">
        <v>45</v>
      </c>
      <c r="C323">
        <v>55</v>
      </c>
      <c r="D323">
        <v>50.4</v>
      </c>
      <c r="E323">
        <v>49.6</v>
      </c>
    </row>
    <row r="324" spans="1:5" x14ac:dyDescent="0.25">
      <c r="A324" s="1">
        <v>45249</v>
      </c>
      <c r="B324">
        <v>47</v>
      </c>
      <c r="C324">
        <v>53</v>
      </c>
      <c r="D324">
        <v>48</v>
      </c>
      <c r="E324">
        <v>52</v>
      </c>
    </row>
    <row r="325" spans="1:5" x14ac:dyDescent="0.25">
      <c r="A325" s="1">
        <v>45250</v>
      </c>
      <c r="B325">
        <v>48</v>
      </c>
      <c r="C325">
        <v>52</v>
      </c>
      <c r="D325">
        <v>44.9</v>
      </c>
      <c r="E325">
        <v>55.1</v>
      </c>
    </row>
    <row r="326" spans="1:5" x14ac:dyDescent="0.25">
      <c r="A326" s="1">
        <v>45251</v>
      </c>
      <c r="B326">
        <v>45.7</v>
      </c>
      <c r="C326">
        <v>54.3</v>
      </c>
      <c r="D326">
        <v>44.8</v>
      </c>
      <c r="E326">
        <v>55.2</v>
      </c>
    </row>
    <row r="327" spans="1:5" x14ac:dyDescent="0.25">
      <c r="A327" s="1">
        <v>45252</v>
      </c>
      <c r="B327">
        <v>45.2</v>
      </c>
      <c r="C327">
        <v>54.8</v>
      </c>
      <c r="D327">
        <v>43.3</v>
      </c>
      <c r="E327">
        <v>56.7</v>
      </c>
    </row>
    <row r="328" spans="1:5" x14ac:dyDescent="0.25">
      <c r="A328" s="1">
        <v>45253</v>
      </c>
      <c r="B328">
        <v>46.7</v>
      </c>
      <c r="C328">
        <v>53.3</v>
      </c>
      <c r="D328">
        <v>43.5</v>
      </c>
      <c r="E328">
        <v>56.5</v>
      </c>
    </row>
    <row r="329" spans="1:5" x14ac:dyDescent="0.25">
      <c r="A329" s="1">
        <v>45254</v>
      </c>
      <c r="B329">
        <v>46.2</v>
      </c>
      <c r="C329">
        <v>53.8</v>
      </c>
      <c r="D329">
        <v>43.2</v>
      </c>
      <c r="E329">
        <v>56.8</v>
      </c>
    </row>
    <row r="330" spans="1:5" x14ac:dyDescent="0.25">
      <c r="A330" s="1">
        <v>45255</v>
      </c>
      <c r="B330">
        <v>47.4</v>
      </c>
      <c r="C330">
        <v>52.6</v>
      </c>
      <c r="D330">
        <v>51.9</v>
      </c>
      <c r="E330">
        <v>48.1</v>
      </c>
    </row>
    <row r="331" spans="1:5" x14ac:dyDescent="0.25">
      <c r="A331" s="1">
        <v>45256</v>
      </c>
      <c r="B331">
        <v>47.8</v>
      </c>
      <c r="C331">
        <v>52.2</v>
      </c>
      <c r="D331">
        <v>49.8</v>
      </c>
      <c r="E331">
        <v>50.2</v>
      </c>
    </row>
    <row r="332" spans="1:5" x14ac:dyDescent="0.25">
      <c r="A332" s="1">
        <v>45257</v>
      </c>
      <c r="B332">
        <v>47</v>
      </c>
      <c r="C332">
        <v>53</v>
      </c>
      <c r="D332">
        <v>43.1</v>
      </c>
      <c r="E332">
        <v>56.9</v>
      </c>
    </row>
    <row r="333" spans="1:5" x14ac:dyDescent="0.25">
      <c r="A333" s="1">
        <v>45258</v>
      </c>
      <c r="B333">
        <v>48</v>
      </c>
      <c r="C333">
        <v>52</v>
      </c>
      <c r="D333">
        <v>43.5</v>
      </c>
      <c r="E333">
        <v>56.5</v>
      </c>
    </row>
    <row r="334" spans="1:5" x14ac:dyDescent="0.25">
      <c r="A334" s="1">
        <v>45259</v>
      </c>
      <c r="B334">
        <v>47.5</v>
      </c>
      <c r="C334">
        <v>52.5</v>
      </c>
      <c r="D334">
        <v>43.8</v>
      </c>
      <c r="E334">
        <v>56.2</v>
      </c>
    </row>
    <row r="335" spans="1:5" x14ac:dyDescent="0.25">
      <c r="A335" s="1">
        <v>45260</v>
      </c>
      <c r="B335">
        <v>47.7</v>
      </c>
      <c r="C335">
        <v>52.3</v>
      </c>
      <c r="D335">
        <v>42.9</v>
      </c>
      <c r="E335">
        <v>57.1</v>
      </c>
    </row>
    <row r="336" spans="1:5" x14ac:dyDescent="0.25">
      <c r="A336" s="1">
        <v>45261</v>
      </c>
      <c r="B336">
        <v>47.1</v>
      </c>
      <c r="C336">
        <v>52.9</v>
      </c>
      <c r="D336">
        <v>44.2</v>
      </c>
      <c r="E336">
        <v>55.8</v>
      </c>
    </row>
    <row r="337" spans="1:5" x14ac:dyDescent="0.25">
      <c r="A337" s="1">
        <v>45262</v>
      </c>
      <c r="B337">
        <v>48.4</v>
      </c>
      <c r="C337">
        <v>51.6</v>
      </c>
      <c r="D337">
        <v>48.4</v>
      </c>
      <c r="E337">
        <v>51.6</v>
      </c>
    </row>
    <row r="338" spans="1:5" x14ac:dyDescent="0.25">
      <c r="A338" s="1">
        <v>45263</v>
      </c>
      <c r="B338">
        <v>46.5</v>
      </c>
      <c r="C338">
        <v>53.5</v>
      </c>
      <c r="D338">
        <v>50.8</v>
      </c>
      <c r="E338">
        <v>49.2</v>
      </c>
    </row>
    <row r="339" spans="1:5" x14ac:dyDescent="0.25">
      <c r="A339" s="1">
        <v>45264</v>
      </c>
      <c r="B339">
        <v>46.5</v>
      </c>
      <c r="C339">
        <v>53.5</v>
      </c>
      <c r="D339">
        <v>46.4</v>
      </c>
      <c r="E339">
        <v>53.6</v>
      </c>
    </row>
    <row r="340" spans="1:5" x14ac:dyDescent="0.25">
      <c r="A340" s="1">
        <v>45265</v>
      </c>
      <c r="B340">
        <v>47.6</v>
      </c>
      <c r="C340">
        <v>52.4</v>
      </c>
      <c r="D340">
        <v>41.8</v>
      </c>
      <c r="E340">
        <v>58.2</v>
      </c>
    </row>
    <row r="341" spans="1:5" x14ac:dyDescent="0.25">
      <c r="A341" s="1">
        <v>45266</v>
      </c>
      <c r="B341">
        <v>48.1</v>
      </c>
      <c r="C341">
        <v>51.9</v>
      </c>
      <c r="D341">
        <v>46.4</v>
      </c>
      <c r="E341">
        <v>53.6</v>
      </c>
    </row>
    <row r="342" spans="1:5" x14ac:dyDescent="0.25">
      <c r="A342" s="1">
        <v>45267</v>
      </c>
      <c r="B342">
        <v>46</v>
      </c>
      <c r="C342">
        <v>54</v>
      </c>
      <c r="D342">
        <v>42.5</v>
      </c>
      <c r="E342">
        <v>57.5</v>
      </c>
    </row>
    <row r="343" spans="1:5" x14ac:dyDescent="0.25">
      <c r="A343" s="1">
        <v>45268</v>
      </c>
      <c r="B343">
        <v>48.1</v>
      </c>
      <c r="C343">
        <v>51.9</v>
      </c>
      <c r="D343">
        <v>44.9</v>
      </c>
      <c r="E343">
        <v>55.1</v>
      </c>
    </row>
    <row r="344" spans="1:5" x14ac:dyDescent="0.25">
      <c r="A344" s="1">
        <v>45269</v>
      </c>
      <c r="B344">
        <v>47.7</v>
      </c>
      <c r="C344">
        <v>52.3</v>
      </c>
      <c r="D344">
        <v>48.6</v>
      </c>
      <c r="E344">
        <v>51.4</v>
      </c>
    </row>
    <row r="345" spans="1:5" x14ac:dyDescent="0.25">
      <c r="A345" s="1">
        <v>45270</v>
      </c>
      <c r="B345">
        <v>48.2</v>
      </c>
      <c r="C345">
        <v>51.8</v>
      </c>
      <c r="D345">
        <v>50.7</v>
      </c>
      <c r="E345">
        <v>49.3</v>
      </c>
    </row>
    <row r="346" spans="1:5" x14ac:dyDescent="0.25">
      <c r="A346" s="1">
        <v>45271</v>
      </c>
      <c r="B346">
        <v>47.1</v>
      </c>
      <c r="C346">
        <v>52.9</v>
      </c>
      <c r="D346">
        <v>45.1</v>
      </c>
      <c r="E346">
        <v>54.9</v>
      </c>
    </row>
    <row r="347" spans="1:5" x14ac:dyDescent="0.25">
      <c r="A347" s="1">
        <v>45272</v>
      </c>
      <c r="B347">
        <v>49.5</v>
      </c>
      <c r="C347">
        <v>50.5</v>
      </c>
      <c r="D347">
        <v>42.7</v>
      </c>
      <c r="E347">
        <v>57.3</v>
      </c>
    </row>
    <row r="348" spans="1:5" x14ac:dyDescent="0.25">
      <c r="A348" s="1">
        <v>45273</v>
      </c>
      <c r="B348">
        <v>47.9</v>
      </c>
      <c r="C348">
        <v>52.1</v>
      </c>
      <c r="D348">
        <v>43.7</v>
      </c>
      <c r="E348">
        <v>56.3</v>
      </c>
    </row>
    <row r="349" spans="1:5" x14ac:dyDescent="0.25">
      <c r="A349" s="1">
        <v>45274</v>
      </c>
      <c r="B349">
        <v>48.5</v>
      </c>
      <c r="C349">
        <v>51.5</v>
      </c>
      <c r="D349">
        <v>44.5</v>
      </c>
      <c r="E349">
        <v>55.5</v>
      </c>
    </row>
    <row r="350" spans="1:5" x14ac:dyDescent="0.25">
      <c r="A350" s="1">
        <v>45275</v>
      </c>
      <c r="B350">
        <v>47.2</v>
      </c>
      <c r="C350">
        <v>52.8</v>
      </c>
      <c r="D350">
        <v>44.4</v>
      </c>
      <c r="E350">
        <v>55.6</v>
      </c>
    </row>
    <row r="351" spans="1:5" x14ac:dyDescent="0.25">
      <c r="A351" s="1">
        <v>45276</v>
      </c>
      <c r="B351">
        <v>50.4</v>
      </c>
      <c r="C351">
        <v>49.6</v>
      </c>
      <c r="D351">
        <v>51.4</v>
      </c>
      <c r="E351">
        <v>48.6</v>
      </c>
    </row>
    <row r="352" spans="1:5" x14ac:dyDescent="0.25">
      <c r="A352" s="1">
        <v>45277</v>
      </c>
      <c r="B352">
        <v>47.2</v>
      </c>
      <c r="C352">
        <v>52.8</v>
      </c>
      <c r="D352">
        <v>51.1</v>
      </c>
      <c r="E352">
        <v>48.9</v>
      </c>
    </row>
    <row r="353" spans="1:5" x14ac:dyDescent="0.25">
      <c r="A353" s="1">
        <v>45278</v>
      </c>
      <c r="B353">
        <v>47.4</v>
      </c>
      <c r="C353">
        <v>52.6</v>
      </c>
      <c r="D353">
        <v>45.5</v>
      </c>
      <c r="E353">
        <v>54.5</v>
      </c>
    </row>
    <row r="354" spans="1:5" x14ac:dyDescent="0.25">
      <c r="A354" s="1">
        <v>45279</v>
      </c>
      <c r="B354">
        <v>48.2</v>
      </c>
      <c r="C354">
        <v>51.8</v>
      </c>
      <c r="D354">
        <v>43.5</v>
      </c>
      <c r="E354">
        <v>56.5</v>
      </c>
    </row>
    <row r="355" spans="1:5" x14ac:dyDescent="0.25">
      <c r="A355" s="1">
        <v>45280</v>
      </c>
      <c r="B355">
        <v>48.7</v>
      </c>
      <c r="C355">
        <v>51.3</v>
      </c>
      <c r="D355">
        <v>43.2</v>
      </c>
      <c r="E355">
        <v>56.8</v>
      </c>
    </row>
    <row r="356" spans="1:5" x14ac:dyDescent="0.25">
      <c r="A356" s="1">
        <v>45281</v>
      </c>
      <c r="B356">
        <v>48.9</v>
      </c>
      <c r="C356">
        <v>51.1</v>
      </c>
      <c r="D356">
        <v>43</v>
      </c>
      <c r="E356">
        <v>57</v>
      </c>
    </row>
    <row r="357" spans="1:5" x14ac:dyDescent="0.25">
      <c r="A357" s="1">
        <v>45282</v>
      </c>
      <c r="B357">
        <v>48.2</v>
      </c>
      <c r="C357">
        <v>51.8</v>
      </c>
      <c r="D357">
        <v>45.2</v>
      </c>
      <c r="E357">
        <v>54.8</v>
      </c>
    </row>
    <row r="358" spans="1:5" x14ac:dyDescent="0.25">
      <c r="A358" s="1">
        <v>45283</v>
      </c>
      <c r="B358">
        <v>50.3</v>
      </c>
      <c r="C358">
        <v>49.7</v>
      </c>
      <c r="D358">
        <v>50.7</v>
      </c>
      <c r="E358">
        <v>49.3</v>
      </c>
    </row>
    <row r="359" spans="1:5" x14ac:dyDescent="0.25">
      <c r="A359" s="1">
        <v>45284</v>
      </c>
      <c r="B359">
        <v>49.6</v>
      </c>
      <c r="C359">
        <v>50.4</v>
      </c>
      <c r="D359">
        <v>49.6</v>
      </c>
      <c r="E359">
        <v>50.4</v>
      </c>
    </row>
    <row r="360" spans="1:5" x14ac:dyDescent="0.25">
      <c r="A360" s="1">
        <v>45285</v>
      </c>
      <c r="B360">
        <v>47.7</v>
      </c>
      <c r="C360">
        <v>52.3</v>
      </c>
      <c r="D360">
        <v>44.9</v>
      </c>
      <c r="E360">
        <v>55.1</v>
      </c>
    </row>
    <row r="361" spans="1:5" x14ac:dyDescent="0.25">
      <c r="A361" s="1">
        <v>45286</v>
      </c>
      <c r="B361">
        <v>47.2</v>
      </c>
      <c r="C361">
        <v>52.8</v>
      </c>
      <c r="D361">
        <v>43.5</v>
      </c>
      <c r="E361">
        <v>56.5</v>
      </c>
    </row>
    <row r="362" spans="1:5" x14ac:dyDescent="0.25">
      <c r="A362" s="1">
        <v>45287</v>
      </c>
      <c r="B362">
        <v>49.1</v>
      </c>
      <c r="C362">
        <v>50.9</v>
      </c>
      <c r="D362">
        <v>45</v>
      </c>
      <c r="E362">
        <v>55</v>
      </c>
    </row>
    <row r="363" spans="1:5" x14ac:dyDescent="0.25">
      <c r="A363" s="1">
        <v>45288</v>
      </c>
      <c r="B363">
        <v>48.8</v>
      </c>
      <c r="C363">
        <v>51.2</v>
      </c>
      <c r="D363">
        <v>44.5</v>
      </c>
      <c r="E363">
        <v>55.5</v>
      </c>
    </row>
    <row r="364" spans="1:5" x14ac:dyDescent="0.25">
      <c r="A364" s="1">
        <v>45289</v>
      </c>
      <c r="B364">
        <v>48.1</v>
      </c>
      <c r="C364">
        <v>51.9</v>
      </c>
      <c r="D364">
        <v>43.5</v>
      </c>
      <c r="E364">
        <v>56.5</v>
      </c>
    </row>
    <row r="365" spans="1:5" x14ac:dyDescent="0.25">
      <c r="A365" s="1">
        <v>45290</v>
      </c>
      <c r="B365">
        <v>50.2</v>
      </c>
      <c r="C365">
        <v>49.8</v>
      </c>
      <c r="D365">
        <v>49.9</v>
      </c>
      <c r="E365">
        <v>50.1</v>
      </c>
    </row>
    <row r="366" spans="1:5" x14ac:dyDescent="0.25">
      <c r="A366" s="1">
        <v>45291</v>
      </c>
      <c r="B366">
        <v>49</v>
      </c>
      <c r="C366">
        <v>51</v>
      </c>
      <c r="D366">
        <v>49.5</v>
      </c>
      <c r="E366">
        <v>50.5</v>
      </c>
    </row>
    <row r="367" spans="1:5" x14ac:dyDescent="0.25">
      <c r="A367" s="1">
        <v>45292</v>
      </c>
      <c r="B367">
        <v>46.7</v>
      </c>
      <c r="C367">
        <v>53.3</v>
      </c>
      <c r="D367">
        <v>45.3</v>
      </c>
      <c r="E367">
        <v>54.7</v>
      </c>
    </row>
    <row r="368" spans="1:5" x14ac:dyDescent="0.25">
      <c r="A368" s="1">
        <v>45293</v>
      </c>
      <c r="B368">
        <v>47.2</v>
      </c>
      <c r="C368">
        <v>52.8</v>
      </c>
      <c r="D368">
        <v>45.2</v>
      </c>
      <c r="E368">
        <v>54.8</v>
      </c>
    </row>
    <row r="369" spans="1:5" x14ac:dyDescent="0.25">
      <c r="A369" s="1">
        <v>45294</v>
      </c>
      <c r="B369">
        <v>48.8</v>
      </c>
      <c r="C369">
        <v>51.2</v>
      </c>
      <c r="D369">
        <v>44.3</v>
      </c>
      <c r="E369">
        <v>55.7</v>
      </c>
    </row>
    <row r="370" spans="1:5" x14ac:dyDescent="0.25">
      <c r="A370" s="1">
        <v>45295</v>
      </c>
      <c r="B370">
        <v>50.4</v>
      </c>
      <c r="C370">
        <v>49.6</v>
      </c>
      <c r="D370">
        <v>45.4</v>
      </c>
      <c r="E370">
        <v>54.6</v>
      </c>
    </row>
    <row r="371" spans="1:5" x14ac:dyDescent="0.25">
      <c r="A371" s="1">
        <v>45296</v>
      </c>
      <c r="B371">
        <v>49.6</v>
      </c>
      <c r="C371">
        <v>50.4</v>
      </c>
      <c r="D371">
        <v>44.2</v>
      </c>
      <c r="E371">
        <v>55.8</v>
      </c>
    </row>
    <row r="372" spans="1:5" x14ac:dyDescent="0.25">
      <c r="A372" s="1">
        <v>45297</v>
      </c>
      <c r="B372">
        <v>50.2</v>
      </c>
      <c r="C372">
        <v>49.8</v>
      </c>
      <c r="D372">
        <v>52.1</v>
      </c>
      <c r="E372">
        <v>47.9</v>
      </c>
    </row>
    <row r="373" spans="1:5" x14ac:dyDescent="0.25">
      <c r="A373" s="1">
        <v>45298</v>
      </c>
      <c r="B373">
        <v>49.8</v>
      </c>
      <c r="C373">
        <v>50.2</v>
      </c>
      <c r="D373">
        <v>50.3</v>
      </c>
      <c r="E373">
        <v>49.7</v>
      </c>
    </row>
    <row r="374" spans="1:5" x14ac:dyDescent="0.25">
      <c r="A374" s="1">
        <v>45299</v>
      </c>
      <c r="B374">
        <v>49.6</v>
      </c>
      <c r="C374">
        <v>50.4</v>
      </c>
      <c r="D374">
        <v>45.4</v>
      </c>
      <c r="E374">
        <v>54.6</v>
      </c>
    </row>
    <row r="375" spans="1:5" x14ac:dyDescent="0.25">
      <c r="A375" s="1">
        <v>45300</v>
      </c>
      <c r="B375">
        <v>48.8</v>
      </c>
      <c r="C375">
        <v>51.2</v>
      </c>
      <c r="D375">
        <v>44.4</v>
      </c>
      <c r="E375">
        <v>55.6</v>
      </c>
    </row>
    <row r="376" spans="1:5" x14ac:dyDescent="0.25">
      <c r="A376" s="1">
        <v>45301</v>
      </c>
      <c r="B376">
        <v>48.3</v>
      </c>
      <c r="C376">
        <v>51.7</v>
      </c>
      <c r="D376">
        <v>44.8</v>
      </c>
      <c r="E376">
        <v>55.2</v>
      </c>
    </row>
    <row r="377" spans="1:5" x14ac:dyDescent="0.25">
      <c r="A377" s="1">
        <v>45302</v>
      </c>
      <c r="B377">
        <v>50.5</v>
      </c>
      <c r="C377">
        <v>49.5</v>
      </c>
      <c r="D377">
        <v>43</v>
      </c>
      <c r="E377">
        <v>57</v>
      </c>
    </row>
    <row r="378" spans="1:5" x14ac:dyDescent="0.25">
      <c r="A378" s="1">
        <v>45303</v>
      </c>
      <c r="B378">
        <v>50.4</v>
      </c>
      <c r="C378">
        <v>49.6</v>
      </c>
      <c r="D378">
        <v>45.3</v>
      </c>
      <c r="E378">
        <v>54.7</v>
      </c>
    </row>
    <row r="379" spans="1:5" x14ac:dyDescent="0.25">
      <c r="A379" s="1">
        <v>45304</v>
      </c>
      <c r="B379">
        <v>47.6</v>
      </c>
      <c r="C379">
        <v>52.4</v>
      </c>
      <c r="D379">
        <v>51</v>
      </c>
      <c r="E379">
        <v>49</v>
      </c>
    </row>
    <row r="380" spans="1:5" x14ac:dyDescent="0.25">
      <c r="A380" s="1">
        <v>45305</v>
      </c>
      <c r="B380">
        <v>50.5</v>
      </c>
      <c r="C380">
        <v>49.5</v>
      </c>
      <c r="D380">
        <v>51.4</v>
      </c>
      <c r="E380">
        <v>48.6</v>
      </c>
    </row>
    <row r="381" spans="1:5" x14ac:dyDescent="0.25">
      <c r="A381" s="1">
        <v>45306</v>
      </c>
      <c r="B381">
        <v>50.9</v>
      </c>
      <c r="C381">
        <v>49.1</v>
      </c>
      <c r="D381">
        <v>45.6</v>
      </c>
      <c r="E381">
        <v>54.4</v>
      </c>
    </row>
    <row r="382" spans="1:5" x14ac:dyDescent="0.25">
      <c r="A382" s="1">
        <v>45307</v>
      </c>
      <c r="B382">
        <v>48.2</v>
      </c>
      <c r="C382">
        <v>51.8</v>
      </c>
      <c r="D382">
        <v>45.4</v>
      </c>
      <c r="E382">
        <v>54.6</v>
      </c>
    </row>
    <row r="383" spans="1:5" x14ac:dyDescent="0.25">
      <c r="A383" s="1">
        <v>45308</v>
      </c>
      <c r="B383">
        <v>51.2</v>
      </c>
      <c r="C383">
        <v>48.8</v>
      </c>
      <c r="D383">
        <v>45.7</v>
      </c>
      <c r="E383">
        <v>54.3</v>
      </c>
    </row>
    <row r="384" spans="1:5" x14ac:dyDescent="0.25">
      <c r="A384" s="1">
        <v>45309</v>
      </c>
      <c r="B384">
        <v>50.2</v>
      </c>
      <c r="C384">
        <v>49.8</v>
      </c>
      <c r="D384">
        <v>45.2</v>
      </c>
      <c r="E384">
        <v>54.8</v>
      </c>
    </row>
    <row r="385" spans="1:5" x14ac:dyDescent="0.25">
      <c r="A385" s="1">
        <v>45310</v>
      </c>
      <c r="B385">
        <v>48.6</v>
      </c>
      <c r="C385">
        <v>51.4</v>
      </c>
      <c r="D385">
        <v>45.6</v>
      </c>
      <c r="E385">
        <v>54.4</v>
      </c>
    </row>
    <row r="386" spans="1:5" x14ac:dyDescent="0.25">
      <c r="A386" s="1">
        <v>45311</v>
      </c>
      <c r="B386">
        <v>49</v>
      </c>
      <c r="C386">
        <v>51</v>
      </c>
      <c r="D386">
        <v>50.2</v>
      </c>
      <c r="E386">
        <v>49.8</v>
      </c>
    </row>
    <row r="387" spans="1:5" x14ac:dyDescent="0.25">
      <c r="A387" s="1">
        <v>45312</v>
      </c>
      <c r="B387">
        <v>49.2</v>
      </c>
      <c r="C387">
        <v>50.8</v>
      </c>
      <c r="D387">
        <v>51</v>
      </c>
      <c r="E387">
        <v>49</v>
      </c>
    </row>
    <row r="388" spans="1:5" x14ac:dyDescent="0.25">
      <c r="A388" s="1">
        <v>45313</v>
      </c>
      <c r="B388">
        <v>50.2</v>
      </c>
      <c r="C388">
        <v>49.8</v>
      </c>
      <c r="D388">
        <v>45.6</v>
      </c>
      <c r="E388">
        <v>54.4</v>
      </c>
    </row>
    <row r="389" spans="1:5" x14ac:dyDescent="0.25">
      <c r="A389" s="1">
        <v>45314</v>
      </c>
      <c r="B389">
        <v>49.8</v>
      </c>
      <c r="C389">
        <v>50.2</v>
      </c>
      <c r="D389">
        <v>44.4</v>
      </c>
      <c r="E389">
        <v>55.6</v>
      </c>
    </row>
    <row r="390" spans="1:5" x14ac:dyDescent="0.25">
      <c r="A390" s="1">
        <v>45315</v>
      </c>
      <c r="B390">
        <v>49.5</v>
      </c>
      <c r="C390">
        <v>50.5</v>
      </c>
      <c r="D390">
        <v>45.2</v>
      </c>
      <c r="E390">
        <v>54.8</v>
      </c>
    </row>
    <row r="391" spans="1:5" x14ac:dyDescent="0.25">
      <c r="A391" s="1">
        <v>45316</v>
      </c>
      <c r="B391">
        <v>50.9</v>
      </c>
      <c r="C391">
        <v>49.1</v>
      </c>
      <c r="D391">
        <v>45.2</v>
      </c>
      <c r="E391">
        <v>54.8</v>
      </c>
    </row>
    <row r="392" spans="1:5" x14ac:dyDescent="0.25">
      <c r="A392" s="1">
        <v>45317</v>
      </c>
      <c r="B392">
        <v>50.4</v>
      </c>
      <c r="C392">
        <v>49.6</v>
      </c>
      <c r="D392">
        <v>44.6</v>
      </c>
      <c r="E392">
        <v>55.4</v>
      </c>
    </row>
    <row r="393" spans="1:5" x14ac:dyDescent="0.25">
      <c r="A393" s="1">
        <v>45318</v>
      </c>
      <c r="B393">
        <v>51.7</v>
      </c>
      <c r="C393">
        <v>48.3</v>
      </c>
      <c r="D393">
        <v>51.7</v>
      </c>
      <c r="E393">
        <v>48.3</v>
      </c>
    </row>
    <row r="394" spans="1:5" x14ac:dyDescent="0.25">
      <c r="A394" s="1">
        <v>45319</v>
      </c>
      <c r="B394">
        <v>50.9</v>
      </c>
      <c r="C394">
        <v>49.1</v>
      </c>
      <c r="D394">
        <v>51.1</v>
      </c>
      <c r="E394">
        <v>48.9</v>
      </c>
    </row>
    <row r="395" spans="1:5" x14ac:dyDescent="0.25">
      <c r="A395" s="1">
        <v>45320</v>
      </c>
      <c r="B395">
        <v>51.1</v>
      </c>
      <c r="C395">
        <v>48.9</v>
      </c>
      <c r="D395">
        <v>45.2</v>
      </c>
      <c r="E395">
        <v>54.8</v>
      </c>
    </row>
    <row r="396" spans="1:5" x14ac:dyDescent="0.25">
      <c r="A396" s="1">
        <v>45321</v>
      </c>
      <c r="B396">
        <v>50.8</v>
      </c>
      <c r="C396">
        <v>49.2</v>
      </c>
      <c r="D396">
        <v>45.9</v>
      </c>
      <c r="E396">
        <v>54.1</v>
      </c>
    </row>
    <row r="397" spans="1:5" x14ac:dyDescent="0.25">
      <c r="A397" s="1">
        <v>45322</v>
      </c>
      <c r="B397">
        <v>51</v>
      </c>
      <c r="C397">
        <v>49</v>
      </c>
      <c r="D397">
        <v>46.5</v>
      </c>
      <c r="E397">
        <v>53.5</v>
      </c>
    </row>
    <row r="398" spans="1:5" x14ac:dyDescent="0.25">
      <c r="A398" s="1">
        <v>45323</v>
      </c>
      <c r="B398">
        <v>50.5</v>
      </c>
      <c r="C398">
        <v>49.5</v>
      </c>
      <c r="D398">
        <v>45.4</v>
      </c>
      <c r="E398">
        <v>54.6</v>
      </c>
    </row>
    <row r="399" spans="1:5" x14ac:dyDescent="0.25">
      <c r="A399" s="1">
        <v>45324</v>
      </c>
      <c r="B399">
        <v>51.2</v>
      </c>
      <c r="C399">
        <v>48.8</v>
      </c>
      <c r="D399">
        <v>43.2</v>
      </c>
      <c r="E399">
        <v>56.8</v>
      </c>
    </row>
    <row r="400" spans="1:5" x14ac:dyDescent="0.25">
      <c r="A400" s="1">
        <v>45325</v>
      </c>
      <c r="B400">
        <v>50.4</v>
      </c>
      <c r="C400">
        <v>49.6</v>
      </c>
      <c r="D400">
        <v>50.7</v>
      </c>
      <c r="E400">
        <v>49.3</v>
      </c>
    </row>
    <row r="401" spans="1:5" x14ac:dyDescent="0.25">
      <c r="A401" s="1">
        <v>45326</v>
      </c>
      <c r="B401">
        <v>50.7</v>
      </c>
      <c r="C401">
        <v>49.3</v>
      </c>
      <c r="D401">
        <v>51.6</v>
      </c>
      <c r="E401">
        <v>48.4</v>
      </c>
    </row>
    <row r="402" spans="1:5" x14ac:dyDescent="0.25">
      <c r="A402" s="1">
        <v>45327</v>
      </c>
      <c r="B402">
        <v>51.2</v>
      </c>
      <c r="C402">
        <v>48.8</v>
      </c>
      <c r="D402">
        <v>45.5</v>
      </c>
      <c r="E402">
        <v>54.5</v>
      </c>
    </row>
    <row r="403" spans="1:5" x14ac:dyDescent="0.25">
      <c r="A403" s="1">
        <v>45328</v>
      </c>
      <c r="B403">
        <v>49.4</v>
      </c>
      <c r="C403">
        <v>50.6</v>
      </c>
      <c r="D403">
        <v>44.8</v>
      </c>
      <c r="E403">
        <v>55.2</v>
      </c>
    </row>
    <row r="404" spans="1:5" x14ac:dyDescent="0.25">
      <c r="A404" s="1">
        <v>45329</v>
      </c>
      <c r="B404">
        <v>49.7</v>
      </c>
      <c r="C404">
        <v>50.3</v>
      </c>
      <c r="D404">
        <v>46</v>
      </c>
      <c r="E404">
        <v>54</v>
      </c>
    </row>
    <row r="405" spans="1:5" x14ac:dyDescent="0.25">
      <c r="A405" s="1">
        <v>45330</v>
      </c>
      <c r="B405">
        <v>48.7</v>
      </c>
      <c r="C405">
        <v>51.3</v>
      </c>
      <c r="D405">
        <v>46</v>
      </c>
      <c r="E405">
        <v>54</v>
      </c>
    </row>
    <row r="406" spans="1:5" x14ac:dyDescent="0.25">
      <c r="A406" s="1">
        <v>45331</v>
      </c>
      <c r="B406">
        <v>50.9</v>
      </c>
      <c r="C406">
        <v>49.1</v>
      </c>
      <c r="D406">
        <v>46.9</v>
      </c>
      <c r="E406">
        <v>53.1</v>
      </c>
    </row>
    <row r="407" spans="1:5" x14ac:dyDescent="0.25">
      <c r="A407" s="1">
        <v>45332</v>
      </c>
      <c r="B407">
        <v>49.1</v>
      </c>
      <c r="C407">
        <v>50.9</v>
      </c>
      <c r="D407">
        <v>52.5</v>
      </c>
      <c r="E407">
        <v>47.5</v>
      </c>
    </row>
    <row r="408" spans="1:5" x14ac:dyDescent="0.25">
      <c r="A408" s="1">
        <v>45333</v>
      </c>
      <c r="B408">
        <v>51.2</v>
      </c>
      <c r="C408">
        <v>48.8</v>
      </c>
      <c r="D408">
        <v>51.2</v>
      </c>
      <c r="E408">
        <v>48.8</v>
      </c>
    </row>
    <row r="409" spans="1:5" x14ac:dyDescent="0.25">
      <c r="A409" s="1">
        <v>45334</v>
      </c>
      <c r="B409">
        <v>51.3</v>
      </c>
      <c r="C409">
        <v>48.7</v>
      </c>
      <c r="D409">
        <v>46.9</v>
      </c>
      <c r="E409">
        <v>53.1</v>
      </c>
    </row>
    <row r="410" spans="1:5" x14ac:dyDescent="0.25">
      <c r="A410" s="1">
        <v>45335</v>
      </c>
      <c r="B410">
        <v>51.9</v>
      </c>
      <c r="C410">
        <v>48.1</v>
      </c>
      <c r="D410">
        <v>46.1</v>
      </c>
      <c r="E410">
        <v>53.9</v>
      </c>
    </row>
    <row r="411" spans="1:5" x14ac:dyDescent="0.25">
      <c r="A411" s="1">
        <v>45336</v>
      </c>
      <c r="B411">
        <v>52.2</v>
      </c>
      <c r="C411">
        <v>47.8</v>
      </c>
      <c r="D411">
        <v>47.5</v>
      </c>
      <c r="E411">
        <v>52.5</v>
      </c>
    </row>
    <row r="412" spans="1:5" x14ac:dyDescent="0.25">
      <c r="A412" s="1">
        <v>45337</v>
      </c>
      <c r="B412">
        <v>50.5</v>
      </c>
      <c r="C412">
        <v>49.5</v>
      </c>
      <c r="D412">
        <v>47.9</v>
      </c>
      <c r="E412">
        <v>52.1</v>
      </c>
    </row>
    <row r="413" spans="1:5" x14ac:dyDescent="0.25">
      <c r="A413" s="1">
        <v>45338</v>
      </c>
      <c r="B413">
        <v>50.4</v>
      </c>
      <c r="C413">
        <v>49.6</v>
      </c>
      <c r="D413">
        <v>46.6</v>
      </c>
      <c r="E413">
        <v>53.4</v>
      </c>
    </row>
    <row r="414" spans="1:5" x14ac:dyDescent="0.25">
      <c r="A414" s="1">
        <v>45339</v>
      </c>
      <c r="B414">
        <v>51.7</v>
      </c>
      <c r="C414">
        <v>48.3</v>
      </c>
      <c r="D414">
        <v>52.5</v>
      </c>
      <c r="E414">
        <v>47.5</v>
      </c>
    </row>
    <row r="415" spans="1:5" x14ac:dyDescent="0.25">
      <c r="A415" s="1">
        <v>45340</v>
      </c>
      <c r="B415">
        <v>51.7</v>
      </c>
      <c r="C415">
        <v>48.3</v>
      </c>
      <c r="D415">
        <v>53.1</v>
      </c>
      <c r="E415">
        <v>46.9</v>
      </c>
    </row>
    <row r="416" spans="1:5" x14ac:dyDescent="0.25">
      <c r="A416" s="1">
        <v>45341</v>
      </c>
      <c r="B416">
        <v>51.6</v>
      </c>
      <c r="C416">
        <v>48.4</v>
      </c>
      <c r="D416">
        <v>47.3</v>
      </c>
      <c r="E416">
        <v>52.7</v>
      </c>
    </row>
    <row r="417" spans="1:5" x14ac:dyDescent="0.25">
      <c r="A417" s="1">
        <v>45342</v>
      </c>
      <c r="B417">
        <v>51.1</v>
      </c>
      <c r="C417">
        <v>48.9</v>
      </c>
      <c r="D417">
        <v>46.4</v>
      </c>
      <c r="E417">
        <v>53.6</v>
      </c>
    </row>
    <row r="418" spans="1:5" x14ac:dyDescent="0.25">
      <c r="A418" s="1">
        <v>45343</v>
      </c>
      <c r="B418">
        <v>52.4</v>
      </c>
      <c r="C418">
        <v>47.6</v>
      </c>
      <c r="D418">
        <v>47.2</v>
      </c>
      <c r="E418">
        <v>52.8</v>
      </c>
    </row>
    <row r="419" spans="1:5" x14ac:dyDescent="0.25">
      <c r="A419" s="1">
        <v>45344</v>
      </c>
      <c r="B419">
        <v>50.5</v>
      </c>
      <c r="C419">
        <v>49.5</v>
      </c>
      <c r="D419">
        <v>47.7</v>
      </c>
      <c r="E419">
        <v>52.3</v>
      </c>
    </row>
    <row r="420" spans="1:5" x14ac:dyDescent="0.25">
      <c r="A420" s="1">
        <v>45345</v>
      </c>
      <c r="B420">
        <v>52.4</v>
      </c>
      <c r="C420">
        <v>47.6</v>
      </c>
      <c r="D420">
        <v>48.2</v>
      </c>
      <c r="E420">
        <v>51.8</v>
      </c>
    </row>
    <row r="421" spans="1:5" x14ac:dyDescent="0.25">
      <c r="A421" s="1">
        <v>45346</v>
      </c>
      <c r="B421">
        <v>51.8</v>
      </c>
      <c r="C421">
        <v>48.2</v>
      </c>
      <c r="D421">
        <v>51.2</v>
      </c>
      <c r="E421">
        <v>48.8</v>
      </c>
    </row>
    <row r="422" spans="1:5" x14ac:dyDescent="0.25">
      <c r="A422" s="1">
        <v>45347</v>
      </c>
      <c r="B422">
        <v>50.8</v>
      </c>
      <c r="C422">
        <v>49.2</v>
      </c>
      <c r="D422">
        <v>52.8</v>
      </c>
      <c r="E422">
        <v>47.2</v>
      </c>
    </row>
    <row r="423" spans="1:5" x14ac:dyDescent="0.25">
      <c r="A423" s="1">
        <v>45348</v>
      </c>
      <c r="B423">
        <v>51.3</v>
      </c>
      <c r="C423">
        <v>48.7</v>
      </c>
      <c r="D423">
        <v>47.7</v>
      </c>
      <c r="E423">
        <v>52.3</v>
      </c>
    </row>
    <row r="424" spans="1:5" x14ac:dyDescent="0.25">
      <c r="A424" s="1">
        <v>45349</v>
      </c>
      <c r="B424">
        <v>50.6</v>
      </c>
      <c r="C424">
        <v>49.4</v>
      </c>
      <c r="D424">
        <v>47.7</v>
      </c>
      <c r="E424">
        <v>52.3</v>
      </c>
    </row>
    <row r="425" spans="1:5" x14ac:dyDescent="0.25">
      <c r="A425" s="1">
        <v>45350</v>
      </c>
      <c r="B425">
        <v>52</v>
      </c>
      <c r="C425">
        <v>48</v>
      </c>
      <c r="D425">
        <v>48.2</v>
      </c>
      <c r="E425">
        <v>51.8</v>
      </c>
    </row>
    <row r="426" spans="1:5" x14ac:dyDescent="0.25">
      <c r="A426" s="1">
        <v>45351</v>
      </c>
      <c r="B426">
        <v>52</v>
      </c>
      <c r="C426">
        <v>48</v>
      </c>
      <c r="D426">
        <v>47.8</v>
      </c>
      <c r="E426">
        <v>52.2</v>
      </c>
    </row>
    <row r="427" spans="1:5" x14ac:dyDescent="0.25">
      <c r="A427" s="1">
        <v>45352</v>
      </c>
      <c r="B427">
        <v>50.9</v>
      </c>
      <c r="C427">
        <v>49.1</v>
      </c>
      <c r="D427">
        <v>48</v>
      </c>
      <c r="E427">
        <v>52</v>
      </c>
    </row>
    <row r="428" spans="1:5" x14ac:dyDescent="0.25">
      <c r="A428" s="1">
        <v>45353</v>
      </c>
      <c r="B428">
        <v>51.1</v>
      </c>
      <c r="C428">
        <v>48.9</v>
      </c>
      <c r="D428">
        <v>51.8</v>
      </c>
      <c r="E428">
        <v>48.2</v>
      </c>
    </row>
    <row r="429" spans="1:5" x14ac:dyDescent="0.25">
      <c r="A429" s="1">
        <v>45354</v>
      </c>
      <c r="B429">
        <v>51.5</v>
      </c>
      <c r="C429">
        <v>48.5</v>
      </c>
      <c r="D429">
        <v>51.7</v>
      </c>
      <c r="E429">
        <v>48.3</v>
      </c>
    </row>
    <row r="430" spans="1:5" x14ac:dyDescent="0.25">
      <c r="A430" s="1">
        <v>45355</v>
      </c>
      <c r="B430">
        <v>50.5</v>
      </c>
      <c r="C430">
        <v>49.5</v>
      </c>
      <c r="D430">
        <v>48</v>
      </c>
      <c r="E430">
        <v>52</v>
      </c>
    </row>
    <row r="431" spans="1:5" x14ac:dyDescent="0.25">
      <c r="A431" s="1">
        <v>45356</v>
      </c>
      <c r="B431">
        <v>51.2</v>
      </c>
      <c r="C431">
        <v>48.8</v>
      </c>
      <c r="D431">
        <v>46.1</v>
      </c>
      <c r="E431">
        <v>53.9</v>
      </c>
    </row>
    <row r="432" spans="1:5" x14ac:dyDescent="0.25">
      <c r="A432" s="1">
        <v>45357</v>
      </c>
      <c r="B432">
        <v>51</v>
      </c>
      <c r="C432">
        <v>49</v>
      </c>
      <c r="D432">
        <v>46.2</v>
      </c>
      <c r="E432">
        <v>53.8</v>
      </c>
    </row>
    <row r="433" spans="1:5" x14ac:dyDescent="0.25">
      <c r="A433" s="1">
        <v>45358</v>
      </c>
      <c r="B433">
        <v>50.5</v>
      </c>
      <c r="C433">
        <v>49.5</v>
      </c>
      <c r="D433">
        <v>46.6</v>
      </c>
      <c r="E433">
        <v>53.4</v>
      </c>
    </row>
    <row r="434" spans="1:5" x14ac:dyDescent="0.25">
      <c r="A434" s="1">
        <v>45359</v>
      </c>
      <c r="B434">
        <v>50.9</v>
      </c>
      <c r="C434">
        <v>49.1</v>
      </c>
      <c r="D434">
        <v>47.1</v>
      </c>
      <c r="E434">
        <v>52.9</v>
      </c>
    </row>
    <row r="435" spans="1:5" x14ac:dyDescent="0.25">
      <c r="A435" s="1">
        <v>45360</v>
      </c>
      <c r="B435">
        <v>52.3</v>
      </c>
      <c r="C435">
        <v>47.7</v>
      </c>
      <c r="D435">
        <v>51.5</v>
      </c>
      <c r="E435">
        <v>48.5</v>
      </c>
    </row>
    <row r="436" spans="1:5" x14ac:dyDescent="0.25">
      <c r="A436" s="1">
        <v>45361</v>
      </c>
      <c r="B436">
        <v>52.1</v>
      </c>
      <c r="C436">
        <v>47.9</v>
      </c>
      <c r="D436">
        <v>53.2</v>
      </c>
      <c r="E436">
        <v>46.8</v>
      </c>
    </row>
    <row r="437" spans="1:5" x14ac:dyDescent="0.25">
      <c r="A437" s="1">
        <v>45362</v>
      </c>
      <c r="B437">
        <v>52.1</v>
      </c>
      <c r="C437">
        <v>47.9</v>
      </c>
      <c r="D437">
        <v>46.9</v>
      </c>
      <c r="E437">
        <v>53.1</v>
      </c>
    </row>
    <row r="438" spans="1:5" x14ac:dyDescent="0.25">
      <c r="A438" s="1">
        <v>45363</v>
      </c>
      <c r="B438">
        <v>51.9</v>
      </c>
      <c r="C438">
        <v>48.1</v>
      </c>
      <c r="D438">
        <v>47</v>
      </c>
      <c r="E438">
        <v>53</v>
      </c>
    </row>
    <row r="439" spans="1:5" x14ac:dyDescent="0.25">
      <c r="A439" s="1">
        <v>45364</v>
      </c>
      <c r="B439">
        <v>50.7</v>
      </c>
      <c r="C439">
        <v>49.3</v>
      </c>
      <c r="D439">
        <v>47.8</v>
      </c>
      <c r="E439">
        <v>52.2</v>
      </c>
    </row>
    <row r="440" spans="1:5" x14ac:dyDescent="0.25">
      <c r="A440" s="1">
        <v>45365</v>
      </c>
      <c r="B440">
        <v>51.2</v>
      </c>
      <c r="C440">
        <v>48.8</v>
      </c>
      <c r="D440">
        <v>45</v>
      </c>
      <c r="E440">
        <v>55</v>
      </c>
    </row>
    <row r="441" spans="1:5" x14ac:dyDescent="0.25">
      <c r="A441" s="1">
        <v>45366</v>
      </c>
      <c r="B441">
        <v>53.1</v>
      </c>
      <c r="C441">
        <v>46.9</v>
      </c>
      <c r="D441">
        <v>48.2</v>
      </c>
      <c r="E441">
        <v>51.8</v>
      </c>
    </row>
    <row r="442" spans="1:5" x14ac:dyDescent="0.25">
      <c r="A442" s="1">
        <v>45367</v>
      </c>
      <c r="B442">
        <v>52.2</v>
      </c>
      <c r="C442">
        <v>47.8</v>
      </c>
      <c r="D442">
        <v>54.9</v>
      </c>
      <c r="E442">
        <v>45.1</v>
      </c>
    </row>
    <row r="443" spans="1:5" x14ac:dyDescent="0.25">
      <c r="A443" s="1">
        <v>45368</v>
      </c>
      <c r="B443">
        <v>50.8</v>
      </c>
      <c r="C443">
        <v>49.2</v>
      </c>
      <c r="D443">
        <v>55.6</v>
      </c>
      <c r="E443">
        <v>44.4</v>
      </c>
    </row>
    <row r="444" spans="1:5" x14ac:dyDescent="0.25">
      <c r="A444" s="1">
        <v>45369</v>
      </c>
      <c r="B444">
        <v>50.2</v>
      </c>
      <c r="C444">
        <v>49.8</v>
      </c>
      <c r="D444">
        <v>45.3</v>
      </c>
      <c r="E444">
        <v>54.7</v>
      </c>
    </row>
    <row r="445" spans="1:5" x14ac:dyDescent="0.25">
      <c r="A445" s="1">
        <v>45370</v>
      </c>
      <c r="B445">
        <v>53.4</v>
      </c>
      <c r="C445">
        <v>46.6</v>
      </c>
      <c r="D445">
        <v>47.3</v>
      </c>
      <c r="E445">
        <v>52.7</v>
      </c>
    </row>
    <row r="446" spans="1:5" x14ac:dyDescent="0.25">
      <c r="A446" s="1">
        <v>45371</v>
      </c>
      <c r="B446">
        <v>52.6</v>
      </c>
      <c r="C446">
        <v>47.4</v>
      </c>
      <c r="D446">
        <v>47.2</v>
      </c>
      <c r="E446">
        <v>52.8</v>
      </c>
    </row>
    <row r="447" spans="1:5" x14ac:dyDescent="0.25">
      <c r="A447" s="1">
        <v>45372</v>
      </c>
      <c r="B447">
        <v>52.9</v>
      </c>
      <c r="C447">
        <v>47.1</v>
      </c>
      <c r="D447">
        <v>46.6</v>
      </c>
      <c r="E447">
        <v>53.4</v>
      </c>
    </row>
    <row r="448" spans="1:5" x14ac:dyDescent="0.25">
      <c r="A448" s="1">
        <v>45373</v>
      </c>
      <c r="B448">
        <v>51.3</v>
      </c>
      <c r="C448">
        <v>48.7</v>
      </c>
      <c r="D448">
        <v>49.9</v>
      </c>
      <c r="E448">
        <v>50.1</v>
      </c>
    </row>
    <row r="449" spans="1:5" x14ac:dyDescent="0.25">
      <c r="A449" s="1">
        <v>45374</v>
      </c>
      <c r="B449">
        <v>49.9</v>
      </c>
      <c r="C449">
        <v>50.1</v>
      </c>
      <c r="D449">
        <v>55.1</v>
      </c>
      <c r="E449">
        <v>44.9</v>
      </c>
    </row>
    <row r="450" spans="1:5" x14ac:dyDescent="0.25">
      <c r="A450" s="1">
        <v>45375</v>
      </c>
      <c r="B450">
        <v>51</v>
      </c>
      <c r="C450">
        <v>49</v>
      </c>
      <c r="D450">
        <v>52.7</v>
      </c>
      <c r="E450">
        <v>47.3</v>
      </c>
    </row>
    <row r="451" spans="1:5" x14ac:dyDescent="0.25">
      <c r="A451" s="1">
        <v>45376</v>
      </c>
      <c r="B451">
        <v>52</v>
      </c>
      <c r="C451">
        <v>48</v>
      </c>
      <c r="D451">
        <v>44.6</v>
      </c>
      <c r="E451">
        <v>55.4</v>
      </c>
    </row>
    <row r="452" spans="1:5" x14ac:dyDescent="0.25">
      <c r="A452" s="1">
        <v>45377</v>
      </c>
      <c r="B452">
        <v>52.2</v>
      </c>
      <c r="C452">
        <v>47.8</v>
      </c>
      <c r="D452">
        <v>46.4</v>
      </c>
      <c r="E452">
        <v>53.6</v>
      </c>
    </row>
    <row r="453" spans="1:5" x14ac:dyDescent="0.25">
      <c r="A453" s="1">
        <v>45378</v>
      </c>
      <c r="B453">
        <v>52.7</v>
      </c>
      <c r="C453">
        <v>47.3</v>
      </c>
      <c r="D453">
        <v>46.7</v>
      </c>
      <c r="E453">
        <v>53.3</v>
      </c>
    </row>
    <row r="454" spans="1:5" x14ac:dyDescent="0.25">
      <c r="A454" s="1">
        <v>45379</v>
      </c>
      <c r="B454">
        <v>52.2</v>
      </c>
      <c r="C454">
        <v>47.8</v>
      </c>
      <c r="D454">
        <v>49.7</v>
      </c>
      <c r="E454">
        <v>50.3</v>
      </c>
    </row>
    <row r="455" spans="1:5" x14ac:dyDescent="0.25">
      <c r="A455" s="1">
        <v>45380</v>
      </c>
      <c r="B455">
        <v>52.2</v>
      </c>
      <c r="C455">
        <v>47.8</v>
      </c>
      <c r="D455">
        <v>46.9</v>
      </c>
      <c r="E455">
        <v>53.1</v>
      </c>
    </row>
    <row r="456" spans="1:5" x14ac:dyDescent="0.25">
      <c r="A456" s="1">
        <v>45381</v>
      </c>
      <c r="B456">
        <v>51.8</v>
      </c>
      <c r="C456">
        <v>48.2</v>
      </c>
      <c r="D456">
        <v>54</v>
      </c>
      <c r="E456">
        <v>46</v>
      </c>
    </row>
    <row r="457" spans="1:5" x14ac:dyDescent="0.25">
      <c r="A457" s="1">
        <v>45382</v>
      </c>
      <c r="B457">
        <v>52.6</v>
      </c>
      <c r="C457">
        <v>47.4</v>
      </c>
      <c r="D457">
        <v>54.9</v>
      </c>
      <c r="E457">
        <v>45.1</v>
      </c>
    </row>
    <row r="458" spans="1:5" x14ac:dyDescent="0.25">
      <c r="A458" s="1">
        <v>45383</v>
      </c>
      <c r="B458">
        <v>52</v>
      </c>
      <c r="C458">
        <v>48</v>
      </c>
      <c r="D458">
        <v>47.7</v>
      </c>
      <c r="E458">
        <v>52.3</v>
      </c>
    </row>
    <row r="459" spans="1:5" x14ac:dyDescent="0.25">
      <c r="A459" s="1">
        <v>45384</v>
      </c>
      <c r="B459">
        <v>50.6</v>
      </c>
      <c r="C459">
        <v>49.4</v>
      </c>
      <c r="D459">
        <v>46.5</v>
      </c>
      <c r="E459">
        <v>53.5</v>
      </c>
    </row>
    <row r="460" spans="1:5" x14ac:dyDescent="0.25">
      <c r="A460" s="1">
        <v>45385</v>
      </c>
      <c r="B460">
        <v>51.5</v>
      </c>
      <c r="C460">
        <v>48.5</v>
      </c>
      <c r="D460">
        <v>47.1</v>
      </c>
      <c r="E460">
        <v>52.9</v>
      </c>
    </row>
    <row r="461" spans="1:5" x14ac:dyDescent="0.25">
      <c r="A461" s="1">
        <v>45386</v>
      </c>
      <c r="B461">
        <v>51.5</v>
      </c>
      <c r="C461">
        <v>48.5</v>
      </c>
      <c r="D461">
        <v>50</v>
      </c>
      <c r="E461">
        <v>50</v>
      </c>
    </row>
    <row r="462" spans="1:5" x14ac:dyDescent="0.25">
      <c r="A462" s="1">
        <v>45387</v>
      </c>
      <c r="B462">
        <v>53.5</v>
      </c>
      <c r="C462">
        <v>46.5</v>
      </c>
      <c r="D462">
        <v>48.8</v>
      </c>
      <c r="E462">
        <v>51.2</v>
      </c>
    </row>
    <row r="463" spans="1:5" x14ac:dyDescent="0.25">
      <c r="A463" s="1">
        <v>45388</v>
      </c>
      <c r="B463">
        <v>50.9</v>
      </c>
      <c r="C463">
        <v>49.1</v>
      </c>
      <c r="D463">
        <v>54.7</v>
      </c>
      <c r="E463">
        <v>45.3</v>
      </c>
    </row>
    <row r="464" spans="1:5" x14ac:dyDescent="0.25">
      <c r="A464" s="1">
        <v>45389</v>
      </c>
      <c r="B464">
        <v>52</v>
      </c>
      <c r="C464">
        <v>48</v>
      </c>
      <c r="D464">
        <v>52.3</v>
      </c>
      <c r="E464">
        <v>47.7</v>
      </c>
    </row>
    <row r="465" spans="1:5" x14ac:dyDescent="0.25">
      <c r="A465" s="1">
        <v>45390</v>
      </c>
      <c r="B465">
        <v>51.8</v>
      </c>
      <c r="C465">
        <v>48.2</v>
      </c>
      <c r="D465">
        <v>48.2</v>
      </c>
      <c r="E465">
        <v>51.8</v>
      </c>
    </row>
    <row r="466" spans="1:5" x14ac:dyDescent="0.25">
      <c r="A466" s="1">
        <v>45391</v>
      </c>
      <c r="B466">
        <v>51.2</v>
      </c>
      <c r="C466">
        <v>48.8</v>
      </c>
      <c r="D466">
        <v>47.5</v>
      </c>
      <c r="E466">
        <v>52.5</v>
      </c>
    </row>
    <row r="467" spans="1:5" x14ac:dyDescent="0.25">
      <c r="A467" s="1">
        <v>45392</v>
      </c>
      <c r="B467">
        <v>49.7</v>
      </c>
      <c r="C467">
        <v>50.3</v>
      </c>
      <c r="D467">
        <v>47.3</v>
      </c>
      <c r="E467">
        <v>52.7</v>
      </c>
    </row>
    <row r="468" spans="1:5" x14ac:dyDescent="0.25">
      <c r="A468" s="1">
        <v>45393</v>
      </c>
      <c r="B468">
        <v>52.8</v>
      </c>
      <c r="C468">
        <v>47.2</v>
      </c>
      <c r="D468">
        <v>48.8</v>
      </c>
      <c r="E468">
        <v>51.2</v>
      </c>
    </row>
    <row r="469" spans="1:5" x14ac:dyDescent="0.25">
      <c r="A469" s="1">
        <v>45394</v>
      </c>
      <c r="B469">
        <v>51.1</v>
      </c>
      <c r="C469">
        <v>48.9</v>
      </c>
      <c r="D469">
        <v>47.8</v>
      </c>
      <c r="E469">
        <v>52.2</v>
      </c>
    </row>
    <row r="470" spans="1:5" x14ac:dyDescent="0.25">
      <c r="A470" s="1">
        <v>45395</v>
      </c>
      <c r="B470">
        <v>50</v>
      </c>
      <c r="C470">
        <v>50</v>
      </c>
      <c r="D470">
        <v>54.1</v>
      </c>
      <c r="E470">
        <v>45.9</v>
      </c>
    </row>
    <row r="471" spans="1:5" x14ac:dyDescent="0.25">
      <c r="A471" s="1">
        <v>45396</v>
      </c>
      <c r="B471">
        <v>49</v>
      </c>
      <c r="C471">
        <v>51</v>
      </c>
      <c r="D471">
        <v>54.4</v>
      </c>
      <c r="E471">
        <v>45.6</v>
      </c>
    </row>
    <row r="472" spans="1:5" x14ac:dyDescent="0.25">
      <c r="A472" s="1">
        <v>45397</v>
      </c>
      <c r="B472">
        <v>51</v>
      </c>
      <c r="C472">
        <v>49</v>
      </c>
      <c r="D472">
        <v>47.7</v>
      </c>
      <c r="E472">
        <v>52.3</v>
      </c>
    </row>
    <row r="473" spans="1:5" x14ac:dyDescent="0.25">
      <c r="A473" s="1">
        <v>45398</v>
      </c>
      <c r="B473">
        <v>51.5</v>
      </c>
      <c r="C473">
        <v>48.5</v>
      </c>
      <c r="D473">
        <v>47.8</v>
      </c>
      <c r="E473">
        <v>52.2</v>
      </c>
    </row>
    <row r="474" spans="1:5" x14ac:dyDescent="0.25">
      <c r="A474" s="1">
        <v>45399</v>
      </c>
      <c r="B474">
        <v>51.6</v>
      </c>
      <c r="C474">
        <v>48.4</v>
      </c>
      <c r="D474">
        <v>46.7</v>
      </c>
      <c r="E474">
        <v>53.3</v>
      </c>
    </row>
    <row r="475" spans="1:5" x14ac:dyDescent="0.25">
      <c r="A475" s="1">
        <v>45400</v>
      </c>
      <c r="B475">
        <v>51.6</v>
      </c>
      <c r="C475">
        <v>48.4</v>
      </c>
      <c r="D475">
        <v>48.5</v>
      </c>
      <c r="E475">
        <v>51.5</v>
      </c>
    </row>
    <row r="476" spans="1:5" x14ac:dyDescent="0.25">
      <c r="A476" s="1">
        <v>45401</v>
      </c>
      <c r="B476">
        <v>51.2</v>
      </c>
      <c r="C476">
        <v>48.8</v>
      </c>
      <c r="D476">
        <v>49.2</v>
      </c>
      <c r="E476">
        <v>50.8</v>
      </c>
    </row>
    <row r="477" spans="1:5" x14ac:dyDescent="0.25">
      <c r="A477" s="1">
        <v>45402</v>
      </c>
      <c r="B477">
        <v>52.7</v>
      </c>
      <c r="C477">
        <v>47.3</v>
      </c>
      <c r="D477">
        <v>54.1</v>
      </c>
      <c r="E477">
        <v>45.9</v>
      </c>
    </row>
    <row r="478" spans="1:5" x14ac:dyDescent="0.25">
      <c r="A478" s="1">
        <v>45403</v>
      </c>
      <c r="B478">
        <v>50.9</v>
      </c>
      <c r="C478">
        <v>49.1</v>
      </c>
      <c r="D478">
        <v>52.4</v>
      </c>
      <c r="E478">
        <v>47.6</v>
      </c>
    </row>
    <row r="479" spans="1:5" x14ac:dyDescent="0.25">
      <c r="A479" s="1">
        <v>45404</v>
      </c>
      <c r="B479">
        <v>51.2</v>
      </c>
      <c r="C479">
        <v>48.8</v>
      </c>
      <c r="D479">
        <v>47.6</v>
      </c>
      <c r="E479">
        <v>52.4</v>
      </c>
    </row>
    <row r="480" spans="1:5" x14ac:dyDescent="0.25">
      <c r="A480" s="1">
        <v>45405</v>
      </c>
      <c r="B480">
        <v>51.3</v>
      </c>
      <c r="C480">
        <v>48.7</v>
      </c>
      <c r="D480">
        <v>47.4</v>
      </c>
      <c r="E480">
        <v>52.6</v>
      </c>
    </row>
    <row r="481" spans="1:5" x14ac:dyDescent="0.25">
      <c r="A481" s="1">
        <v>45406</v>
      </c>
      <c r="B481">
        <v>51.7</v>
      </c>
      <c r="C481">
        <v>48.3</v>
      </c>
      <c r="D481">
        <v>47.2</v>
      </c>
      <c r="E481">
        <v>52.8</v>
      </c>
    </row>
    <row r="482" spans="1:5" x14ac:dyDescent="0.25">
      <c r="A482" s="1">
        <v>45407</v>
      </c>
      <c r="B482">
        <v>53.9</v>
      </c>
      <c r="C482">
        <v>46.1</v>
      </c>
      <c r="D482">
        <v>46.8</v>
      </c>
      <c r="E482">
        <v>53.2</v>
      </c>
    </row>
    <row r="483" spans="1:5" x14ac:dyDescent="0.25">
      <c r="A483" s="1">
        <v>45408</v>
      </c>
      <c r="B483">
        <v>52.8</v>
      </c>
      <c r="C483">
        <v>47.2</v>
      </c>
      <c r="D483">
        <v>47.3</v>
      </c>
      <c r="E483">
        <v>52.7</v>
      </c>
    </row>
    <row r="484" spans="1:5" x14ac:dyDescent="0.25">
      <c r="A484" s="1">
        <v>45409</v>
      </c>
      <c r="B484">
        <v>50.9</v>
      </c>
      <c r="C484">
        <v>49.1</v>
      </c>
      <c r="D484">
        <v>54.7</v>
      </c>
      <c r="E484">
        <v>45.3</v>
      </c>
    </row>
    <row r="485" spans="1:5" x14ac:dyDescent="0.25">
      <c r="A485" s="1">
        <v>45410</v>
      </c>
      <c r="B485">
        <v>52.4</v>
      </c>
      <c r="C485">
        <v>47.6</v>
      </c>
      <c r="D485">
        <v>53.2</v>
      </c>
      <c r="E485">
        <v>46.8</v>
      </c>
    </row>
    <row r="486" spans="1:5" x14ac:dyDescent="0.25">
      <c r="A486" s="1">
        <v>45411</v>
      </c>
      <c r="B486">
        <v>51.9</v>
      </c>
      <c r="C486">
        <v>48.1</v>
      </c>
      <c r="D486">
        <v>47.9</v>
      </c>
      <c r="E486">
        <v>52.1</v>
      </c>
    </row>
    <row r="487" spans="1:5" x14ac:dyDescent="0.25">
      <c r="A487" s="1">
        <v>45412</v>
      </c>
      <c r="B487">
        <v>50.7</v>
      </c>
      <c r="C487">
        <v>49.3</v>
      </c>
      <c r="D487">
        <v>47.7</v>
      </c>
      <c r="E487">
        <v>52.3</v>
      </c>
    </row>
    <row r="488" spans="1:5" x14ac:dyDescent="0.25">
      <c r="A488" s="1">
        <v>45413</v>
      </c>
      <c r="B488">
        <v>51.2</v>
      </c>
      <c r="C488">
        <v>48.8</v>
      </c>
      <c r="D488">
        <v>48.2</v>
      </c>
      <c r="E488">
        <v>51.8</v>
      </c>
    </row>
    <row r="489" spans="1:5" x14ac:dyDescent="0.25">
      <c r="A489" s="1">
        <v>45414</v>
      </c>
      <c r="B489">
        <v>52</v>
      </c>
      <c r="C489">
        <v>48</v>
      </c>
      <c r="D489">
        <v>48.9</v>
      </c>
      <c r="E489">
        <v>51.1</v>
      </c>
    </row>
    <row r="490" spans="1:5" x14ac:dyDescent="0.25">
      <c r="A490" s="1">
        <v>45415</v>
      </c>
      <c r="B490">
        <v>52.4</v>
      </c>
      <c r="C490">
        <v>47.6</v>
      </c>
      <c r="D490">
        <v>49</v>
      </c>
      <c r="E490">
        <v>51</v>
      </c>
    </row>
    <row r="491" spans="1:5" x14ac:dyDescent="0.25">
      <c r="A491" s="1">
        <v>45416</v>
      </c>
      <c r="B491">
        <v>51.7</v>
      </c>
      <c r="C491">
        <v>48.3</v>
      </c>
      <c r="D491">
        <v>54.1</v>
      </c>
      <c r="E491">
        <v>45.9</v>
      </c>
    </row>
    <row r="492" spans="1:5" x14ac:dyDescent="0.25">
      <c r="A492" s="1">
        <v>45417</v>
      </c>
      <c r="B492">
        <v>51.9</v>
      </c>
      <c r="C492">
        <v>48.1</v>
      </c>
      <c r="D492">
        <v>54.8</v>
      </c>
      <c r="E492">
        <v>45.2</v>
      </c>
    </row>
    <row r="493" spans="1:5" x14ac:dyDescent="0.25">
      <c r="A493" s="1">
        <v>45418</v>
      </c>
      <c r="B493">
        <v>50.4</v>
      </c>
      <c r="C493">
        <v>49.6</v>
      </c>
      <c r="D493">
        <v>47.6</v>
      </c>
      <c r="E493">
        <v>52.4</v>
      </c>
    </row>
    <row r="494" spans="1:5" x14ac:dyDescent="0.25">
      <c r="A494" s="1">
        <v>45419</v>
      </c>
      <c r="B494">
        <v>51.3</v>
      </c>
      <c r="C494">
        <v>48.7</v>
      </c>
      <c r="D494">
        <v>48</v>
      </c>
      <c r="E494">
        <v>52</v>
      </c>
    </row>
    <row r="495" spans="1:5" x14ac:dyDescent="0.25">
      <c r="A495" s="1">
        <v>45420</v>
      </c>
      <c r="B495">
        <v>51</v>
      </c>
      <c r="C495">
        <v>49</v>
      </c>
      <c r="D495">
        <v>46.9</v>
      </c>
      <c r="E495">
        <v>53.1</v>
      </c>
    </row>
    <row r="496" spans="1:5" x14ac:dyDescent="0.25">
      <c r="A496" s="1">
        <v>45421</v>
      </c>
      <c r="B496">
        <v>52.2</v>
      </c>
      <c r="C496">
        <v>47.8</v>
      </c>
      <c r="D496">
        <v>46.1</v>
      </c>
      <c r="E496">
        <v>53.9</v>
      </c>
    </row>
    <row r="497" spans="1:5" x14ac:dyDescent="0.25">
      <c r="A497" s="1">
        <v>45422</v>
      </c>
      <c r="B497">
        <v>48.7</v>
      </c>
      <c r="C497">
        <v>51.3</v>
      </c>
      <c r="D497">
        <v>47.6</v>
      </c>
      <c r="E497">
        <v>52.4</v>
      </c>
    </row>
    <row r="498" spans="1:5" x14ac:dyDescent="0.25">
      <c r="A498" s="1">
        <v>45423</v>
      </c>
      <c r="B498">
        <v>51</v>
      </c>
      <c r="C498">
        <v>49</v>
      </c>
      <c r="D498">
        <v>56.6</v>
      </c>
      <c r="E498">
        <v>43.4</v>
      </c>
    </row>
    <row r="499" spans="1:5" x14ac:dyDescent="0.25">
      <c r="A499" s="1">
        <v>45424</v>
      </c>
      <c r="B499">
        <v>52.6</v>
      </c>
      <c r="C499">
        <v>47.4</v>
      </c>
      <c r="D499">
        <v>53.4</v>
      </c>
      <c r="E499">
        <v>46.6</v>
      </c>
    </row>
    <row r="500" spans="1:5" x14ac:dyDescent="0.25">
      <c r="A500" s="1">
        <v>45425</v>
      </c>
      <c r="B500">
        <v>50.7</v>
      </c>
      <c r="C500">
        <v>49.3</v>
      </c>
      <c r="D500">
        <v>50.6</v>
      </c>
      <c r="E500">
        <v>49.4</v>
      </c>
    </row>
    <row r="501" spans="1:5" x14ac:dyDescent="0.25">
      <c r="A501" s="1">
        <v>45426</v>
      </c>
      <c r="B501">
        <v>50.6</v>
      </c>
      <c r="C501">
        <v>49.4</v>
      </c>
      <c r="D501">
        <v>46.6</v>
      </c>
      <c r="E501">
        <v>53.4</v>
      </c>
    </row>
    <row r="502" spans="1:5" x14ac:dyDescent="0.25">
      <c r="A502" s="1">
        <v>45427</v>
      </c>
      <c r="B502">
        <v>50.5</v>
      </c>
      <c r="C502">
        <v>49.5</v>
      </c>
      <c r="D502">
        <v>48.1</v>
      </c>
      <c r="E502">
        <v>51.9</v>
      </c>
    </row>
    <row r="503" spans="1:5" x14ac:dyDescent="0.25">
      <c r="A503" s="1">
        <v>45428</v>
      </c>
      <c r="B503">
        <v>50.4</v>
      </c>
      <c r="C503">
        <v>49.6</v>
      </c>
      <c r="D503">
        <v>49.6</v>
      </c>
      <c r="E503">
        <v>50.4</v>
      </c>
    </row>
    <row r="504" spans="1:5" x14ac:dyDescent="0.25">
      <c r="A504" s="1">
        <v>45429</v>
      </c>
      <c r="B504">
        <v>50.4</v>
      </c>
      <c r="C504">
        <v>49.6</v>
      </c>
      <c r="D504">
        <v>49</v>
      </c>
      <c r="E504">
        <v>51</v>
      </c>
    </row>
    <row r="505" spans="1:5" x14ac:dyDescent="0.25">
      <c r="A505" s="1">
        <v>45430</v>
      </c>
      <c r="B505">
        <v>50.9</v>
      </c>
      <c r="C505">
        <v>49.1</v>
      </c>
      <c r="D505">
        <v>54.3</v>
      </c>
      <c r="E505">
        <v>45.7</v>
      </c>
    </row>
    <row r="506" spans="1:5" x14ac:dyDescent="0.25">
      <c r="A506" s="1">
        <v>45431</v>
      </c>
      <c r="B506">
        <v>50.6</v>
      </c>
      <c r="C506">
        <v>49.4</v>
      </c>
      <c r="D506">
        <v>54.1</v>
      </c>
      <c r="E506">
        <v>45.9</v>
      </c>
    </row>
    <row r="507" spans="1:5" x14ac:dyDescent="0.25">
      <c r="A507" s="1">
        <v>45432</v>
      </c>
      <c r="B507">
        <v>49.2</v>
      </c>
      <c r="C507">
        <v>50.8</v>
      </c>
      <c r="D507">
        <v>46.7</v>
      </c>
      <c r="E507">
        <v>53.3</v>
      </c>
    </row>
    <row r="508" spans="1:5" x14ac:dyDescent="0.25">
      <c r="A508" s="1">
        <v>45433</v>
      </c>
      <c r="B508">
        <v>50</v>
      </c>
      <c r="C508">
        <v>50</v>
      </c>
      <c r="D508">
        <v>48.5</v>
      </c>
      <c r="E508">
        <v>51.5</v>
      </c>
    </row>
    <row r="509" spans="1:5" x14ac:dyDescent="0.25">
      <c r="A509" s="1">
        <v>45434</v>
      </c>
      <c r="B509">
        <v>48.9</v>
      </c>
      <c r="C509">
        <v>51.1</v>
      </c>
      <c r="D509">
        <v>48.7</v>
      </c>
      <c r="E509">
        <v>51.3</v>
      </c>
    </row>
    <row r="510" spans="1:5" x14ac:dyDescent="0.25">
      <c r="A510" s="1">
        <v>45435</v>
      </c>
      <c r="B510">
        <v>51</v>
      </c>
      <c r="C510">
        <v>49</v>
      </c>
      <c r="D510">
        <v>49</v>
      </c>
      <c r="E510">
        <v>51</v>
      </c>
    </row>
    <row r="511" spans="1:5" x14ac:dyDescent="0.25">
      <c r="A511" s="1">
        <v>45436</v>
      </c>
      <c r="B511">
        <v>52.1</v>
      </c>
      <c r="C511">
        <v>47.9</v>
      </c>
      <c r="D511">
        <v>47.7</v>
      </c>
      <c r="E511">
        <v>52.3</v>
      </c>
    </row>
    <row r="512" spans="1:5" x14ac:dyDescent="0.25">
      <c r="A512" s="1">
        <v>45437</v>
      </c>
      <c r="B512">
        <v>50.7</v>
      </c>
      <c r="C512">
        <v>49.3</v>
      </c>
      <c r="D512">
        <v>53.8</v>
      </c>
      <c r="E512">
        <v>46.2</v>
      </c>
    </row>
    <row r="513" spans="1:5" x14ac:dyDescent="0.25">
      <c r="A513" s="1">
        <v>45438</v>
      </c>
      <c r="B513">
        <v>50.3</v>
      </c>
      <c r="C513">
        <v>49.7</v>
      </c>
      <c r="D513">
        <v>53.7</v>
      </c>
      <c r="E513">
        <v>46.3</v>
      </c>
    </row>
    <row r="514" spans="1:5" x14ac:dyDescent="0.25">
      <c r="A514" s="1">
        <v>45439</v>
      </c>
      <c r="B514">
        <v>50.5</v>
      </c>
      <c r="C514">
        <v>49.5</v>
      </c>
      <c r="D514">
        <v>47.5</v>
      </c>
      <c r="E514">
        <v>52.5</v>
      </c>
    </row>
    <row r="515" spans="1:5" x14ac:dyDescent="0.25">
      <c r="A515" s="1">
        <v>45440</v>
      </c>
      <c r="B515">
        <v>50.8</v>
      </c>
      <c r="C515">
        <v>49.2</v>
      </c>
      <c r="D515">
        <v>47.4</v>
      </c>
      <c r="E515">
        <v>52.6</v>
      </c>
    </row>
    <row r="516" spans="1:5" x14ac:dyDescent="0.25">
      <c r="A516" s="1">
        <v>45441</v>
      </c>
      <c r="B516">
        <v>51.2</v>
      </c>
      <c r="C516">
        <v>48.8</v>
      </c>
      <c r="D516">
        <v>47.7</v>
      </c>
      <c r="E516">
        <v>52.3</v>
      </c>
    </row>
    <row r="517" spans="1:5" x14ac:dyDescent="0.25">
      <c r="A517" s="1">
        <v>45442</v>
      </c>
      <c r="B517">
        <v>50</v>
      </c>
      <c r="C517">
        <v>50</v>
      </c>
      <c r="D517">
        <v>48.1</v>
      </c>
      <c r="E517">
        <v>51.9</v>
      </c>
    </row>
    <row r="518" spans="1:5" x14ac:dyDescent="0.25">
      <c r="A518" s="1">
        <v>45443</v>
      </c>
      <c r="B518">
        <v>52.2</v>
      </c>
      <c r="C518">
        <v>47.8</v>
      </c>
      <c r="D518">
        <v>47.4</v>
      </c>
      <c r="E518">
        <v>52.6</v>
      </c>
    </row>
    <row r="519" spans="1:5" x14ac:dyDescent="0.25">
      <c r="A519" s="1">
        <v>45444</v>
      </c>
      <c r="B519">
        <v>49</v>
      </c>
      <c r="C519">
        <v>51</v>
      </c>
      <c r="D519">
        <v>53.6</v>
      </c>
      <c r="E519">
        <v>46.4</v>
      </c>
    </row>
    <row r="520" spans="1:5" x14ac:dyDescent="0.25">
      <c r="A520" s="1">
        <v>45445</v>
      </c>
      <c r="B520">
        <v>52.5</v>
      </c>
      <c r="C520">
        <v>47.5</v>
      </c>
      <c r="D520">
        <v>53.9</v>
      </c>
      <c r="E520">
        <v>46.1</v>
      </c>
    </row>
    <row r="521" spans="1:5" x14ac:dyDescent="0.25">
      <c r="A521" s="1">
        <v>45446</v>
      </c>
      <c r="B521">
        <v>51.5</v>
      </c>
      <c r="C521">
        <v>48.5</v>
      </c>
      <c r="D521">
        <v>48.5</v>
      </c>
      <c r="E521">
        <v>51.5</v>
      </c>
    </row>
    <row r="522" spans="1:5" x14ac:dyDescent="0.25">
      <c r="A522" s="1">
        <v>45447</v>
      </c>
      <c r="B522">
        <v>50.5</v>
      </c>
      <c r="C522">
        <v>49.5</v>
      </c>
      <c r="D522">
        <v>47.5</v>
      </c>
      <c r="E522">
        <v>52.5</v>
      </c>
    </row>
    <row r="523" spans="1:5" x14ac:dyDescent="0.25">
      <c r="A523" s="1">
        <v>45448</v>
      </c>
      <c r="B523">
        <v>49.5</v>
      </c>
      <c r="C523">
        <v>50.5</v>
      </c>
      <c r="D523">
        <v>46.6</v>
      </c>
      <c r="E523">
        <v>53.4</v>
      </c>
    </row>
    <row r="524" spans="1:5" x14ac:dyDescent="0.25">
      <c r="A524" s="1">
        <v>45449</v>
      </c>
      <c r="B524">
        <v>49.3</v>
      </c>
      <c r="C524">
        <v>50.7</v>
      </c>
      <c r="D524">
        <v>48.1</v>
      </c>
      <c r="E524">
        <v>51.9</v>
      </c>
    </row>
    <row r="525" spans="1:5" x14ac:dyDescent="0.25">
      <c r="A525" s="1">
        <v>45450</v>
      </c>
      <c r="B525">
        <v>50.3</v>
      </c>
      <c r="C525">
        <v>49.7</v>
      </c>
      <c r="D525">
        <v>48.2</v>
      </c>
      <c r="E525">
        <v>51.8</v>
      </c>
    </row>
    <row r="526" spans="1:5" x14ac:dyDescent="0.25">
      <c r="A526" s="1">
        <v>45451</v>
      </c>
      <c r="B526">
        <v>49.3</v>
      </c>
      <c r="C526">
        <v>50.7</v>
      </c>
      <c r="D526">
        <v>53.9</v>
      </c>
      <c r="E526">
        <v>46.1</v>
      </c>
    </row>
    <row r="527" spans="1:5" x14ac:dyDescent="0.25">
      <c r="A527" s="1">
        <v>45452</v>
      </c>
      <c r="B527">
        <v>53.2</v>
      </c>
      <c r="C527">
        <v>46.8</v>
      </c>
      <c r="D527">
        <v>54.6</v>
      </c>
      <c r="E527">
        <v>45.4</v>
      </c>
    </row>
    <row r="528" spans="1:5" x14ac:dyDescent="0.25">
      <c r="A528" s="1">
        <v>45453</v>
      </c>
      <c r="B528">
        <v>48.3</v>
      </c>
      <c r="C528">
        <v>51.7</v>
      </c>
      <c r="D528">
        <v>46.2</v>
      </c>
      <c r="E528">
        <v>53.8</v>
      </c>
    </row>
    <row r="529" spans="1:5" x14ac:dyDescent="0.25">
      <c r="A529" s="1">
        <v>45454</v>
      </c>
      <c r="B529">
        <v>52.3</v>
      </c>
      <c r="C529">
        <v>47.7</v>
      </c>
      <c r="D529">
        <v>47.4</v>
      </c>
      <c r="E529">
        <v>52.6</v>
      </c>
    </row>
    <row r="530" spans="1:5" x14ac:dyDescent="0.25">
      <c r="A530" s="1">
        <v>45455</v>
      </c>
      <c r="B530">
        <v>48.7</v>
      </c>
      <c r="C530">
        <v>51.3</v>
      </c>
      <c r="D530">
        <v>46.9</v>
      </c>
      <c r="E530">
        <v>53.1</v>
      </c>
    </row>
    <row r="531" spans="1:5" x14ac:dyDescent="0.25">
      <c r="A531" s="1">
        <v>45456</v>
      </c>
      <c r="B531">
        <v>49.6</v>
      </c>
      <c r="C531">
        <v>50.4</v>
      </c>
      <c r="D531">
        <v>48.4</v>
      </c>
      <c r="E531">
        <v>51.6</v>
      </c>
    </row>
    <row r="532" spans="1:5" x14ac:dyDescent="0.25">
      <c r="A532" s="1">
        <v>45457</v>
      </c>
      <c r="B532">
        <v>50.6</v>
      </c>
      <c r="C532">
        <v>49.4</v>
      </c>
      <c r="D532">
        <v>48.2</v>
      </c>
      <c r="E532">
        <v>51.8</v>
      </c>
    </row>
    <row r="533" spans="1:5" x14ac:dyDescent="0.25">
      <c r="A533" s="1">
        <v>45458</v>
      </c>
      <c r="B533">
        <v>50.7</v>
      </c>
      <c r="C533">
        <v>49.3</v>
      </c>
      <c r="D533">
        <v>55.2</v>
      </c>
      <c r="E533">
        <v>44.8</v>
      </c>
    </row>
    <row r="534" spans="1:5" x14ac:dyDescent="0.25">
      <c r="A534" s="1">
        <v>45459</v>
      </c>
      <c r="B534">
        <v>49.5</v>
      </c>
      <c r="C534">
        <v>50.5</v>
      </c>
      <c r="D534">
        <v>53.4</v>
      </c>
      <c r="E534">
        <v>46.6</v>
      </c>
    </row>
    <row r="535" spans="1:5" x14ac:dyDescent="0.25">
      <c r="A535" s="1">
        <v>45460</v>
      </c>
      <c r="B535">
        <v>50.4</v>
      </c>
      <c r="C535">
        <v>49.6</v>
      </c>
      <c r="D535">
        <v>46.7</v>
      </c>
      <c r="E535">
        <v>53.3</v>
      </c>
    </row>
    <row r="536" spans="1:5" x14ac:dyDescent="0.25">
      <c r="A536" s="1">
        <v>45461</v>
      </c>
      <c r="B536">
        <v>49.1</v>
      </c>
      <c r="C536">
        <v>50.9</v>
      </c>
      <c r="D536">
        <v>46.6</v>
      </c>
      <c r="E536">
        <v>53.4</v>
      </c>
    </row>
    <row r="537" spans="1:5" x14ac:dyDescent="0.25">
      <c r="A537" s="1">
        <v>45462</v>
      </c>
      <c r="B537">
        <v>47.5</v>
      </c>
      <c r="C537">
        <v>52.5</v>
      </c>
      <c r="D537">
        <v>47</v>
      </c>
      <c r="E537">
        <v>53</v>
      </c>
    </row>
    <row r="538" spans="1:5" x14ac:dyDescent="0.25">
      <c r="A538" s="1">
        <v>45463</v>
      </c>
      <c r="B538">
        <v>49.9</v>
      </c>
      <c r="C538">
        <v>50.1</v>
      </c>
      <c r="D538">
        <v>48</v>
      </c>
      <c r="E538">
        <v>52</v>
      </c>
    </row>
    <row r="539" spans="1:5" x14ac:dyDescent="0.25">
      <c r="A539" s="1">
        <v>45464</v>
      </c>
      <c r="B539">
        <v>51.1</v>
      </c>
      <c r="C539">
        <v>48.9</v>
      </c>
      <c r="D539">
        <v>48.6</v>
      </c>
      <c r="E539">
        <v>51.4</v>
      </c>
    </row>
    <row r="540" spans="1:5" x14ac:dyDescent="0.25">
      <c r="A540" s="1">
        <v>45465</v>
      </c>
      <c r="B540">
        <v>50.2</v>
      </c>
      <c r="C540">
        <v>49.8</v>
      </c>
      <c r="D540">
        <v>54.3</v>
      </c>
      <c r="E540">
        <v>45.7</v>
      </c>
    </row>
    <row r="541" spans="1:5" x14ac:dyDescent="0.25">
      <c r="A541" s="1">
        <v>45466</v>
      </c>
      <c r="B541">
        <v>50.5</v>
      </c>
      <c r="C541">
        <v>49.5</v>
      </c>
      <c r="D541">
        <v>51.9</v>
      </c>
      <c r="E541">
        <v>48.1</v>
      </c>
    </row>
    <row r="542" spans="1:5" x14ac:dyDescent="0.25">
      <c r="A542" s="1">
        <v>45467</v>
      </c>
      <c r="B542">
        <v>48.6</v>
      </c>
      <c r="C542">
        <v>51.4</v>
      </c>
      <c r="D542">
        <v>48.4</v>
      </c>
      <c r="E542">
        <v>51.6</v>
      </c>
    </row>
    <row r="543" spans="1:5" x14ac:dyDescent="0.25">
      <c r="A543" s="1">
        <v>45468</v>
      </c>
      <c r="B543">
        <v>49.2</v>
      </c>
      <c r="C543">
        <v>50.8</v>
      </c>
      <c r="D543">
        <v>46.6</v>
      </c>
      <c r="E543">
        <v>53.4</v>
      </c>
    </row>
    <row r="544" spans="1:5" x14ac:dyDescent="0.25">
      <c r="A544" s="1">
        <v>45469</v>
      </c>
      <c r="B544">
        <v>49.6</v>
      </c>
      <c r="C544">
        <v>50.4</v>
      </c>
      <c r="D544">
        <v>46.5</v>
      </c>
      <c r="E544">
        <v>53.5</v>
      </c>
    </row>
    <row r="545" spans="1:5" x14ac:dyDescent="0.25">
      <c r="A545" s="1">
        <v>45470</v>
      </c>
      <c r="B545">
        <v>49</v>
      </c>
      <c r="C545">
        <v>51</v>
      </c>
      <c r="D545">
        <v>45.1</v>
      </c>
      <c r="E545">
        <v>54.9</v>
      </c>
    </row>
    <row r="546" spans="1:5" x14ac:dyDescent="0.25">
      <c r="A546" s="1">
        <v>45471</v>
      </c>
      <c r="B546">
        <v>49.3</v>
      </c>
      <c r="C546">
        <v>50.7</v>
      </c>
      <c r="D546">
        <v>47.7</v>
      </c>
      <c r="E546">
        <v>52.3</v>
      </c>
    </row>
    <row r="547" spans="1:5" x14ac:dyDescent="0.25">
      <c r="A547" s="1">
        <v>45472</v>
      </c>
      <c r="B547">
        <v>47.6</v>
      </c>
      <c r="C547">
        <v>52.4</v>
      </c>
      <c r="D547">
        <v>52.9</v>
      </c>
      <c r="E547">
        <v>47.1</v>
      </c>
    </row>
    <row r="548" spans="1:5" x14ac:dyDescent="0.25">
      <c r="A548" s="1">
        <v>45473</v>
      </c>
      <c r="B548">
        <v>49.1</v>
      </c>
      <c r="C548">
        <v>50.9</v>
      </c>
      <c r="D548">
        <v>53</v>
      </c>
      <c r="E548">
        <v>47</v>
      </c>
    </row>
    <row r="549" spans="1:5" x14ac:dyDescent="0.25">
      <c r="A549" s="1">
        <v>45474</v>
      </c>
      <c r="B549">
        <v>50.1</v>
      </c>
      <c r="C549">
        <v>49.9</v>
      </c>
      <c r="D549">
        <v>46.8</v>
      </c>
      <c r="E549">
        <v>53.2</v>
      </c>
    </row>
    <row r="550" spans="1:5" x14ac:dyDescent="0.25">
      <c r="A550" s="1">
        <v>45475</v>
      </c>
      <c r="B550">
        <v>50</v>
      </c>
      <c r="C550">
        <v>50</v>
      </c>
      <c r="D550">
        <v>47.3</v>
      </c>
      <c r="E550">
        <v>52.7</v>
      </c>
    </row>
    <row r="551" spans="1:5" x14ac:dyDescent="0.25">
      <c r="A551" s="1">
        <v>45476</v>
      </c>
      <c r="B551">
        <v>50.3</v>
      </c>
      <c r="C551">
        <v>49.7</v>
      </c>
      <c r="D551">
        <v>48.3</v>
      </c>
      <c r="E551">
        <v>51.7</v>
      </c>
    </row>
    <row r="552" spans="1:5" x14ac:dyDescent="0.25">
      <c r="A552" s="1">
        <v>45477</v>
      </c>
      <c r="B552">
        <v>48.6</v>
      </c>
      <c r="C552">
        <v>51.4</v>
      </c>
      <c r="D552">
        <v>47.8</v>
      </c>
      <c r="E552">
        <v>52.2</v>
      </c>
    </row>
    <row r="553" spans="1:5" x14ac:dyDescent="0.25">
      <c r="A553" s="1">
        <v>45478</v>
      </c>
      <c r="B553">
        <v>47.6</v>
      </c>
      <c r="C553">
        <v>52.4</v>
      </c>
      <c r="D553">
        <v>47.7</v>
      </c>
      <c r="E553">
        <v>52.3</v>
      </c>
    </row>
    <row r="554" spans="1:5" x14ac:dyDescent="0.25">
      <c r="A554" s="1">
        <v>45479</v>
      </c>
      <c r="B554">
        <v>50.3</v>
      </c>
      <c r="C554">
        <v>49.7</v>
      </c>
      <c r="D554">
        <v>53.6</v>
      </c>
      <c r="E554">
        <v>46.4</v>
      </c>
    </row>
    <row r="555" spans="1:5" x14ac:dyDescent="0.25">
      <c r="A555" s="1">
        <v>45480</v>
      </c>
      <c r="B555">
        <v>49.9</v>
      </c>
      <c r="C555">
        <v>50.1</v>
      </c>
      <c r="D555">
        <v>52.8</v>
      </c>
      <c r="E555">
        <v>47.2</v>
      </c>
    </row>
    <row r="556" spans="1:5" x14ac:dyDescent="0.25">
      <c r="A556" s="1">
        <v>45481</v>
      </c>
      <c r="B556">
        <v>50</v>
      </c>
      <c r="C556">
        <v>50</v>
      </c>
      <c r="D556">
        <v>46.8</v>
      </c>
      <c r="E556">
        <v>53.2</v>
      </c>
    </row>
    <row r="557" spans="1:5" x14ac:dyDescent="0.25">
      <c r="A557" s="1">
        <v>45482</v>
      </c>
      <c r="B557">
        <v>48.5</v>
      </c>
      <c r="C557">
        <v>51.5</v>
      </c>
      <c r="D557">
        <v>46.3</v>
      </c>
      <c r="E557">
        <v>53.7</v>
      </c>
    </row>
    <row r="558" spans="1:5" x14ac:dyDescent="0.25">
      <c r="A558" s="1">
        <v>45483</v>
      </c>
      <c r="B558">
        <v>49.4</v>
      </c>
      <c r="C558">
        <v>50.6</v>
      </c>
      <c r="D558">
        <v>46.4</v>
      </c>
      <c r="E558">
        <v>53.6</v>
      </c>
    </row>
    <row r="559" spans="1:5" x14ac:dyDescent="0.25">
      <c r="A559" s="1">
        <v>45484</v>
      </c>
      <c r="B559">
        <v>49.3</v>
      </c>
      <c r="C559">
        <v>50.7</v>
      </c>
      <c r="D559">
        <v>46.5</v>
      </c>
      <c r="E559">
        <v>53.5</v>
      </c>
    </row>
    <row r="560" spans="1:5" x14ac:dyDescent="0.25">
      <c r="A560" s="1">
        <v>45485</v>
      </c>
      <c r="B560">
        <v>49.4</v>
      </c>
      <c r="C560">
        <v>50.6</v>
      </c>
      <c r="D560">
        <v>47.9</v>
      </c>
      <c r="E560">
        <v>52.1</v>
      </c>
    </row>
    <row r="561" spans="1:5" x14ac:dyDescent="0.25">
      <c r="A561" s="1">
        <v>45486</v>
      </c>
      <c r="B561">
        <v>49.4</v>
      </c>
      <c r="C561">
        <v>50.6</v>
      </c>
      <c r="D561">
        <v>52.8</v>
      </c>
      <c r="E561">
        <v>47.2</v>
      </c>
    </row>
    <row r="562" spans="1:5" x14ac:dyDescent="0.25">
      <c r="A562" s="1">
        <v>45487</v>
      </c>
      <c r="B562">
        <v>46.5</v>
      </c>
      <c r="C562">
        <v>53.5</v>
      </c>
      <c r="D562">
        <v>52.7</v>
      </c>
      <c r="E562">
        <v>47.3</v>
      </c>
    </row>
    <row r="563" spans="1:5" x14ac:dyDescent="0.25">
      <c r="A563" s="1">
        <v>45488</v>
      </c>
      <c r="B563">
        <v>48.1</v>
      </c>
      <c r="C563">
        <v>51.9</v>
      </c>
      <c r="D563">
        <v>46.8</v>
      </c>
      <c r="E563">
        <v>53.2</v>
      </c>
    </row>
    <row r="564" spans="1:5" x14ac:dyDescent="0.25">
      <c r="A564" s="1">
        <v>45489</v>
      </c>
      <c r="B564">
        <v>49.1</v>
      </c>
      <c r="C564">
        <v>50.9</v>
      </c>
      <c r="D564">
        <v>47.6</v>
      </c>
      <c r="E564">
        <v>52.4</v>
      </c>
    </row>
    <row r="565" spans="1:5" x14ac:dyDescent="0.25">
      <c r="A565" s="1">
        <v>45490</v>
      </c>
      <c r="B565">
        <v>48</v>
      </c>
      <c r="C565">
        <v>52</v>
      </c>
      <c r="D565">
        <v>46.6</v>
      </c>
      <c r="E565">
        <v>53.4</v>
      </c>
    </row>
    <row r="566" spans="1:5" x14ac:dyDescent="0.25">
      <c r="A566" s="1">
        <v>45491</v>
      </c>
      <c r="B566">
        <v>49.2</v>
      </c>
      <c r="C566">
        <v>50.8</v>
      </c>
      <c r="D566">
        <v>48.3</v>
      </c>
      <c r="E566">
        <v>51.7</v>
      </c>
    </row>
    <row r="567" spans="1:5" x14ac:dyDescent="0.25">
      <c r="A567" s="1">
        <v>45492</v>
      </c>
      <c r="B567">
        <v>47.4</v>
      </c>
      <c r="C567">
        <v>52.6</v>
      </c>
      <c r="D567">
        <v>45.5</v>
      </c>
      <c r="E567">
        <v>54.5</v>
      </c>
    </row>
    <row r="568" spans="1:5" x14ac:dyDescent="0.25">
      <c r="A568" s="1">
        <v>45493</v>
      </c>
      <c r="B568">
        <v>48</v>
      </c>
      <c r="C568">
        <v>52</v>
      </c>
      <c r="D568">
        <v>51.4</v>
      </c>
      <c r="E568">
        <v>48.6</v>
      </c>
    </row>
    <row r="569" spans="1:5" x14ac:dyDescent="0.25">
      <c r="A569" s="1">
        <v>45494</v>
      </c>
      <c r="B569">
        <v>45.5</v>
      </c>
      <c r="C569">
        <v>54.5</v>
      </c>
      <c r="D569">
        <v>51.2</v>
      </c>
      <c r="E569">
        <v>48.8</v>
      </c>
    </row>
    <row r="570" spans="1:5" x14ac:dyDescent="0.25">
      <c r="A570" s="1">
        <v>45495</v>
      </c>
      <c r="B570">
        <v>48.8</v>
      </c>
      <c r="C570">
        <v>51.2</v>
      </c>
      <c r="D570">
        <v>47.4</v>
      </c>
      <c r="E570">
        <v>52.6</v>
      </c>
    </row>
    <row r="571" spans="1:5" x14ac:dyDescent="0.25">
      <c r="A571" s="1">
        <v>45496</v>
      </c>
      <c r="B571">
        <v>48</v>
      </c>
      <c r="C571">
        <v>52</v>
      </c>
      <c r="D571">
        <v>47.2</v>
      </c>
      <c r="E571">
        <v>52.8</v>
      </c>
    </row>
    <row r="572" spans="1:5" x14ac:dyDescent="0.25">
      <c r="A572" s="1">
        <v>45497</v>
      </c>
      <c r="B572">
        <v>46.4</v>
      </c>
      <c r="C572">
        <v>53.6</v>
      </c>
      <c r="D572">
        <v>47.6</v>
      </c>
      <c r="E572">
        <v>52.4</v>
      </c>
    </row>
    <row r="573" spans="1:5" x14ac:dyDescent="0.25">
      <c r="A573" s="1">
        <v>45498</v>
      </c>
      <c r="B573">
        <v>49.5</v>
      </c>
      <c r="C573">
        <v>50.5</v>
      </c>
      <c r="D573">
        <v>46.2</v>
      </c>
      <c r="E573">
        <v>53.8</v>
      </c>
    </row>
    <row r="574" spans="1:5" x14ac:dyDescent="0.25">
      <c r="A574" s="1">
        <v>45499</v>
      </c>
      <c r="B574">
        <v>48.3</v>
      </c>
      <c r="C574">
        <v>51.7</v>
      </c>
      <c r="D574">
        <v>46.2</v>
      </c>
      <c r="E574">
        <v>53.8</v>
      </c>
    </row>
    <row r="575" spans="1:5" x14ac:dyDescent="0.25">
      <c r="A575" s="1">
        <v>45500</v>
      </c>
      <c r="B575">
        <v>48.2</v>
      </c>
      <c r="C575">
        <v>51.8</v>
      </c>
      <c r="D575">
        <v>52.4</v>
      </c>
      <c r="E575">
        <v>47.6</v>
      </c>
    </row>
    <row r="576" spans="1:5" x14ac:dyDescent="0.25">
      <c r="A576" s="1">
        <v>45501</v>
      </c>
      <c r="B576">
        <v>47.2</v>
      </c>
      <c r="C576">
        <v>52.8</v>
      </c>
      <c r="D576">
        <v>54</v>
      </c>
      <c r="E576">
        <v>46</v>
      </c>
    </row>
    <row r="577" spans="1:5" x14ac:dyDescent="0.25">
      <c r="A577" s="1">
        <v>45502</v>
      </c>
      <c r="B577">
        <v>48</v>
      </c>
      <c r="C577">
        <v>52</v>
      </c>
      <c r="D577">
        <v>47.7</v>
      </c>
      <c r="E577">
        <v>52.3</v>
      </c>
    </row>
    <row r="578" spans="1:5" x14ac:dyDescent="0.25">
      <c r="A578" s="1">
        <v>45503</v>
      </c>
      <c r="B578">
        <v>48</v>
      </c>
      <c r="C578">
        <v>52</v>
      </c>
      <c r="D578">
        <v>45.4</v>
      </c>
      <c r="E578">
        <v>54.6</v>
      </c>
    </row>
    <row r="579" spans="1:5" x14ac:dyDescent="0.25">
      <c r="A579" s="1">
        <v>45504</v>
      </c>
      <c r="B579">
        <v>48.5</v>
      </c>
      <c r="C579">
        <v>51.5</v>
      </c>
      <c r="D579">
        <v>47.1</v>
      </c>
      <c r="E579">
        <v>52.9</v>
      </c>
    </row>
    <row r="580" spans="1:5" x14ac:dyDescent="0.25">
      <c r="A580" s="1">
        <v>45505</v>
      </c>
      <c r="B580">
        <v>48.7</v>
      </c>
      <c r="C580">
        <v>51.3</v>
      </c>
      <c r="D580">
        <v>46.4</v>
      </c>
      <c r="E580">
        <v>53.6</v>
      </c>
    </row>
    <row r="581" spans="1:5" x14ac:dyDescent="0.25">
      <c r="A581" s="1">
        <v>45506</v>
      </c>
      <c r="B581">
        <v>48.6</v>
      </c>
      <c r="C581">
        <v>51.4</v>
      </c>
      <c r="D581">
        <v>46.8</v>
      </c>
      <c r="E581">
        <v>53.2</v>
      </c>
    </row>
    <row r="582" spans="1:5" x14ac:dyDescent="0.25">
      <c r="A582" s="1">
        <v>45507</v>
      </c>
      <c r="B582">
        <v>49.5</v>
      </c>
      <c r="C582">
        <v>50.5</v>
      </c>
      <c r="D582">
        <v>52.9</v>
      </c>
      <c r="E582">
        <v>47.1</v>
      </c>
    </row>
    <row r="583" spans="1:5" x14ac:dyDescent="0.25">
      <c r="A583" s="1">
        <v>45508</v>
      </c>
      <c r="B583">
        <v>48.5</v>
      </c>
      <c r="C583">
        <v>51.5</v>
      </c>
      <c r="D583">
        <v>51.5</v>
      </c>
      <c r="E583">
        <v>48.5</v>
      </c>
    </row>
    <row r="584" spans="1:5" x14ac:dyDescent="0.25">
      <c r="A584" s="1">
        <v>45509</v>
      </c>
      <c r="B584">
        <v>47.5</v>
      </c>
      <c r="C584">
        <v>52.5</v>
      </c>
      <c r="D584">
        <v>47.3</v>
      </c>
      <c r="E584">
        <v>52.7</v>
      </c>
    </row>
    <row r="585" spans="1:5" x14ac:dyDescent="0.25">
      <c r="A585" s="1">
        <v>45510</v>
      </c>
      <c r="B585">
        <v>45.2</v>
      </c>
      <c r="C585">
        <v>54.8</v>
      </c>
      <c r="D585">
        <v>46.2</v>
      </c>
      <c r="E585">
        <v>53.8</v>
      </c>
    </row>
    <row r="586" spans="1:5" x14ac:dyDescent="0.25">
      <c r="A586" s="1">
        <v>45511</v>
      </c>
      <c r="B586">
        <v>46.7</v>
      </c>
      <c r="C586">
        <v>53.3</v>
      </c>
      <c r="D586">
        <v>46.3</v>
      </c>
      <c r="E586">
        <v>53.7</v>
      </c>
    </row>
    <row r="587" spans="1:5" x14ac:dyDescent="0.25">
      <c r="A587" s="1">
        <v>45512</v>
      </c>
      <c r="B587">
        <v>46.9</v>
      </c>
      <c r="C587">
        <v>53.1</v>
      </c>
      <c r="D587">
        <v>47.2</v>
      </c>
      <c r="E587">
        <v>52.8</v>
      </c>
    </row>
    <row r="588" spans="1:5" x14ac:dyDescent="0.25">
      <c r="A588" s="1">
        <v>45513</v>
      </c>
      <c r="B588">
        <v>46.9</v>
      </c>
      <c r="C588">
        <v>53.1</v>
      </c>
      <c r="D588">
        <v>47.3</v>
      </c>
      <c r="E588">
        <v>52.7</v>
      </c>
    </row>
    <row r="589" spans="1:5" x14ac:dyDescent="0.25">
      <c r="A589" s="1">
        <v>45514</v>
      </c>
      <c r="B589">
        <v>46.5</v>
      </c>
      <c r="C589">
        <v>53.5</v>
      </c>
      <c r="D589">
        <v>51.9</v>
      </c>
      <c r="E589">
        <v>48.1</v>
      </c>
    </row>
    <row r="590" spans="1:5" x14ac:dyDescent="0.25">
      <c r="A590" s="1">
        <v>45515</v>
      </c>
      <c r="B590">
        <v>46.4</v>
      </c>
      <c r="C590">
        <v>53.6</v>
      </c>
      <c r="D590">
        <v>51.1</v>
      </c>
      <c r="E590">
        <v>48.9</v>
      </c>
    </row>
    <row r="591" spans="1:5" x14ac:dyDescent="0.25">
      <c r="A591" s="1">
        <v>45516</v>
      </c>
      <c r="B591">
        <v>47.9</v>
      </c>
      <c r="C591">
        <v>52.1</v>
      </c>
      <c r="D591">
        <v>46</v>
      </c>
      <c r="E591">
        <v>54</v>
      </c>
    </row>
    <row r="592" spans="1:5" x14ac:dyDescent="0.25">
      <c r="A592" s="1">
        <v>45517</v>
      </c>
      <c r="B592">
        <v>45.6</v>
      </c>
      <c r="C592">
        <v>54.4</v>
      </c>
      <c r="D592">
        <v>47.1</v>
      </c>
      <c r="E592">
        <v>52.9</v>
      </c>
    </row>
    <row r="593" spans="1:5" x14ac:dyDescent="0.25">
      <c r="A593" s="1">
        <v>45518</v>
      </c>
      <c r="B593">
        <v>48.6</v>
      </c>
      <c r="C593">
        <v>51.4</v>
      </c>
      <c r="D593">
        <v>47.8</v>
      </c>
      <c r="E593">
        <v>52.2</v>
      </c>
    </row>
    <row r="594" spans="1:5" x14ac:dyDescent="0.25">
      <c r="A594" s="1">
        <v>45519</v>
      </c>
      <c r="B594">
        <v>48.7</v>
      </c>
      <c r="C594">
        <v>51.3</v>
      </c>
      <c r="D594">
        <v>45.1</v>
      </c>
      <c r="E594">
        <v>54.9</v>
      </c>
    </row>
    <row r="595" spans="1:5" x14ac:dyDescent="0.25">
      <c r="A595" s="1">
        <v>45520</v>
      </c>
      <c r="B595">
        <v>47.3</v>
      </c>
      <c r="C595">
        <v>52.7</v>
      </c>
      <c r="D595">
        <v>45.2</v>
      </c>
      <c r="E595">
        <v>54.8</v>
      </c>
    </row>
    <row r="596" spans="1:5" x14ac:dyDescent="0.25">
      <c r="A596" s="1">
        <v>45521</v>
      </c>
      <c r="B596">
        <v>46.6</v>
      </c>
      <c r="C596">
        <v>53.4</v>
      </c>
      <c r="D596">
        <v>50.4</v>
      </c>
      <c r="E596">
        <v>49.6</v>
      </c>
    </row>
    <row r="597" spans="1:5" x14ac:dyDescent="0.25">
      <c r="A597" s="1">
        <v>45522</v>
      </c>
      <c r="B597">
        <v>45.6</v>
      </c>
      <c r="C597">
        <v>54.4</v>
      </c>
      <c r="D597">
        <v>51.3</v>
      </c>
      <c r="E597">
        <v>48.7</v>
      </c>
    </row>
    <row r="598" spans="1:5" x14ac:dyDescent="0.25">
      <c r="A598" s="1">
        <v>45523</v>
      </c>
      <c r="B598">
        <v>46.1</v>
      </c>
      <c r="C598">
        <v>53.9</v>
      </c>
      <c r="D598">
        <v>47.7</v>
      </c>
      <c r="E598">
        <v>52.3</v>
      </c>
    </row>
    <row r="599" spans="1:5" x14ac:dyDescent="0.25">
      <c r="A599" s="1">
        <v>45524</v>
      </c>
      <c r="B599">
        <v>46</v>
      </c>
      <c r="C599">
        <v>54</v>
      </c>
      <c r="D599">
        <v>45.7</v>
      </c>
      <c r="E599">
        <v>54.3</v>
      </c>
    </row>
    <row r="600" spans="1:5" x14ac:dyDescent="0.25">
      <c r="A600" s="1">
        <v>45525</v>
      </c>
      <c r="B600">
        <v>47.6</v>
      </c>
      <c r="C600">
        <v>52.4</v>
      </c>
      <c r="D600">
        <v>44.7</v>
      </c>
      <c r="E600">
        <v>55.3</v>
      </c>
    </row>
    <row r="601" spans="1:5" x14ac:dyDescent="0.25">
      <c r="A601" s="1">
        <v>45526</v>
      </c>
      <c r="B601">
        <v>46.2</v>
      </c>
      <c r="C601">
        <v>53.8</v>
      </c>
      <c r="D601">
        <v>43.4</v>
      </c>
      <c r="E601">
        <v>56.6</v>
      </c>
    </row>
    <row r="602" spans="1:5" x14ac:dyDescent="0.25">
      <c r="A602" s="1">
        <v>45527</v>
      </c>
      <c r="B602">
        <v>47.6</v>
      </c>
      <c r="C602">
        <v>52.4</v>
      </c>
      <c r="D602">
        <v>45.1</v>
      </c>
      <c r="E602">
        <v>54.9</v>
      </c>
    </row>
    <row r="603" spans="1:5" x14ac:dyDescent="0.25">
      <c r="A603" s="1">
        <v>45528</v>
      </c>
      <c r="B603">
        <v>46.8</v>
      </c>
      <c r="C603">
        <v>53.2</v>
      </c>
      <c r="D603">
        <v>51.7</v>
      </c>
      <c r="E603">
        <v>48.3</v>
      </c>
    </row>
    <row r="604" spans="1:5" x14ac:dyDescent="0.25">
      <c r="A604" s="1">
        <v>45529</v>
      </c>
      <c r="B604">
        <v>46.5</v>
      </c>
      <c r="C604">
        <v>53.5</v>
      </c>
      <c r="D604">
        <v>50.5</v>
      </c>
      <c r="E604">
        <v>49.5</v>
      </c>
    </row>
    <row r="605" spans="1:5" x14ac:dyDescent="0.25">
      <c r="A605" s="1">
        <v>45530</v>
      </c>
      <c r="B605">
        <v>47.7</v>
      </c>
      <c r="C605">
        <v>52.3</v>
      </c>
      <c r="D605">
        <v>46.7</v>
      </c>
      <c r="E605">
        <v>53.3</v>
      </c>
    </row>
    <row r="606" spans="1:5" x14ac:dyDescent="0.25">
      <c r="A606" s="1">
        <v>45531</v>
      </c>
      <c r="B606">
        <v>46.9</v>
      </c>
      <c r="C606">
        <v>53.1</v>
      </c>
      <c r="D606">
        <v>45.7</v>
      </c>
      <c r="E606">
        <v>54.3</v>
      </c>
    </row>
    <row r="607" spans="1:5" x14ac:dyDescent="0.25">
      <c r="A607" s="1">
        <v>45532</v>
      </c>
      <c r="B607">
        <v>48.2</v>
      </c>
      <c r="C607">
        <v>51.8</v>
      </c>
      <c r="D607">
        <v>45.2</v>
      </c>
      <c r="E607">
        <v>54.8</v>
      </c>
    </row>
    <row r="608" spans="1:5" x14ac:dyDescent="0.25">
      <c r="A608" s="1">
        <v>45533</v>
      </c>
      <c r="B608">
        <v>46.6</v>
      </c>
      <c r="C608">
        <v>53.4</v>
      </c>
      <c r="D608">
        <v>45.6</v>
      </c>
      <c r="E608">
        <v>54.4</v>
      </c>
    </row>
    <row r="609" spans="1:5" x14ac:dyDescent="0.25">
      <c r="A609" s="1">
        <v>45534</v>
      </c>
      <c r="B609">
        <v>45.3</v>
      </c>
      <c r="C609">
        <v>54.7</v>
      </c>
      <c r="D609">
        <v>46.2</v>
      </c>
      <c r="E609">
        <v>53.8</v>
      </c>
    </row>
    <row r="610" spans="1:5" x14ac:dyDescent="0.25">
      <c r="A610" s="1">
        <v>45535</v>
      </c>
      <c r="B610">
        <v>45</v>
      </c>
      <c r="C610">
        <v>55</v>
      </c>
      <c r="D610">
        <v>51.6</v>
      </c>
      <c r="E610">
        <v>48.4</v>
      </c>
    </row>
    <row r="611" spans="1:5" x14ac:dyDescent="0.25">
      <c r="A611" s="1">
        <v>45536</v>
      </c>
      <c r="B611">
        <v>46.5</v>
      </c>
      <c r="C611">
        <v>53.5</v>
      </c>
      <c r="D611">
        <v>49.7</v>
      </c>
      <c r="E611">
        <v>50.3</v>
      </c>
    </row>
    <row r="612" spans="1:5" x14ac:dyDescent="0.25">
      <c r="A612" s="1">
        <v>45537</v>
      </c>
      <c r="B612">
        <v>45.1</v>
      </c>
      <c r="C612">
        <v>54.9</v>
      </c>
      <c r="D612">
        <v>46.2</v>
      </c>
      <c r="E612">
        <v>53.8</v>
      </c>
    </row>
    <row r="613" spans="1:5" x14ac:dyDescent="0.25">
      <c r="A613" s="1">
        <v>45538</v>
      </c>
      <c r="B613">
        <v>48</v>
      </c>
      <c r="C613">
        <v>52</v>
      </c>
      <c r="D613">
        <v>44.7</v>
      </c>
      <c r="E613">
        <v>55.3</v>
      </c>
    </row>
    <row r="614" spans="1:5" x14ac:dyDescent="0.25">
      <c r="A614" s="1">
        <v>45539</v>
      </c>
      <c r="B614">
        <v>45.8</v>
      </c>
      <c r="C614">
        <v>54.2</v>
      </c>
      <c r="D614">
        <v>45.4</v>
      </c>
      <c r="E614">
        <v>54.6</v>
      </c>
    </row>
    <row r="615" spans="1:5" x14ac:dyDescent="0.25">
      <c r="A615" s="1">
        <v>45540</v>
      </c>
      <c r="B615">
        <v>47.8</v>
      </c>
      <c r="C615">
        <v>52.2</v>
      </c>
      <c r="D615">
        <v>43.6</v>
      </c>
      <c r="E615">
        <v>56.4</v>
      </c>
    </row>
    <row r="616" spans="1:5" x14ac:dyDescent="0.25">
      <c r="A616" s="1">
        <v>45541</v>
      </c>
      <c r="B616">
        <v>47.9</v>
      </c>
      <c r="C616">
        <v>52.1</v>
      </c>
      <c r="D616">
        <v>45.2</v>
      </c>
      <c r="E616">
        <v>54.8</v>
      </c>
    </row>
    <row r="617" spans="1:5" x14ac:dyDescent="0.25">
      <c r="A617" s="1">
        <v>45542</v>
      </c>
      <c r="B617">
        <v>44.8</v>
      </c>
      <c r="C617">
        <v>55.2</v>
      </c>
      <c r="D617">
        <v>50.8</v>
      </c>
      <c r="E617">
        <v>49.2</v>
      </c>
    </row>
    <row r="618" spans="1:5" x14ac:dyDescent="0.25">
      <c r="A618" s="1">
        <v>45543</v>
      </c>
      <c r="B618">
        <v>46.5</v>
      </c>
      <c r="C618">
        <v>53.5</v>
      </c>
      <c r="D618">
        <v>50.7</v>
      </c>
      <c r="E618">
        <v>49.3</v>
      </c>
    </row>
    <row r="619" spans="1:5" x14ac:dyDescent="0.25">
      <c r="A619" s="1">
        <v>45544</v>
      </c>
      <c r="B619">
        <v>44.8</v>
      </c>
      <c r="C619">
        <v>55.2</v>
      </c>
      <c r="D619">
        <v>43.7</v>
      </c>
      <c r="E619">
        <v>56.3</v>
      </c>
    </row>
    <row r="620" spans="1:5" x14ac:dyDescent="0.25">
      <c r="A620" s="1">
        <v>45545</v>
      </c>
      <c r="B620">
        <v>44.7</v>
      </c>
      <c r="C620">
        <v>55.3</v>
      </c>
      <c r="D620">
        <v>44.2</v>
      </c>
      <c r="E620">
        <v>55.8</v>
      </c>
    </row>
    <row r="621" spans="1:5" x14ac:dyDescent="0.25">
      <c r="A621" s="1">
        <v>45546</v>
      </c>
      <c r="B621">
        <v>46.1</v>
      </c>
      <c r="C621">
        <v>53.9</v>
      </c>
      <c r="D621">
        <v>45.6</v>
      </c>
      <c r="E621">
        <v>54.4</v>
      </c>
    </row>
    <row r="622" spans="1:5" x14ac:dyDescent="0.25">
      <c r="A622" s="1">
        <v>45547</v>
      </c>
      <c r="B622">
        <v>46.5</v>
      </c>
      <c r="C622">
        <v>53.5</v>
      </c>
      <c r="D622">
        <v>45.6</v>
      </c>
      <c r="E622">
        <v>54.4</v>
      </c>
    </row>
    <row r="623" spans="1:5" x14ac:dyDescent="0.25">
      <c r="A623" s="1">
        <v>45548</v>
      </c>
      <c r="B623">
        <v>46.6</v>
      </c>
      <c r="C623">
        <v>53.4</v>
      </c>
      <c r="D623">
        <v>45.3</v>
      </c>
      <c r="E623">
        <v>54.7</v>
      </c>
    </row>
    <row r="624" spans="1:5" x14ac:dyDescent="0.25">
      <c r="A624" s="1">
        <v>45549</v>
      </c>
      <c r="B624">
        <v>45.3</v>
      </c>
      <c r="C624">
        <v>54.7</v>
      </c>
      <c r="D624">
        <v>50.8</v>
      </c>
      <c r="E624">
        <v>49.2</v>
      </c>
    </row>
    <row r="625" spans="1:5" x14ac:dyDescent="0.25">
      <c r="A625" s="1">
        <v>45550</v>
      </c>
      <c r="B625">
        <v>48</v>
      </c>
      <c r="C625">
        <v>52</v>
      </c>
      <c r="D625">
        <v>51.6</v>
      </c>
      <c r="E625">
        <v>48.4</v>
      </c>
    </row>
    <row r="626" spans="1:5" x14ac:dyDescent="0.25">
      <c r="A626" s="1">
        <v>45551</v>
      </c>
      <c r="B626">
        <v>48.7</v>
      </c>
      <c r="C626">
        <v>51.3</v>
      </c>
      <c r="D626">
        <v>45.6</v>
      </c>
      <c r="E626">
        <v>54.4</v>
      </c>
    </row>
    <row r="627" spans="1:5" x14ac:dyDescent="0.25">
      <c r="A627" s="1">
        <v>45552</v>
      </c>
      <c r="B627">
        <v>46.4</v>
      </c>
      <c r="C627">
        <v>53.6</v>
      </c>
      <c r="D627">
        <v>45.1</v>
      </c>
      <c r="E627">
        <v>54.9</v>
      </c>
    </row>
    <row r="628" spans="1:5" x14ac:dyDescent="0.25">
      <c r="A628" s="1">
        <v>45553</v>
      </c>
      <c r="B628">
        <v>46.2</v>
      </c>
      <c r="C628">
        <v>53.8</v>
      </c>
      <c r="D628">
        <v>44</v>
      </c>
      <c r="E628">
        <v>56</v>
      </c>
    </row>
    <row r="629" spans="1:5" x14ac:dyDescent="0.25">
      <c r="A629" s="1">
        <v>45554</v>
      </c>
      <c r="B629">
        <v>44.6</v>
      </c>
      <c r="C629">
        <v>55.4</v>
      </c>
      <c r="D629">
        <v>43</v>
      </c>
      <c r="E629">
        <v>57</v>
      </c>
    </row>
    <row r="630" spans="1:5" x14ac:dyDescent="0.25">
      <c r="A630" s="1">
        <v>45555</v>
      </c>
      <c r="B630">
        <v>46.2</v>
      </c>
      <c r="C630">
        <v>53.8</v>
      </c>
      <c r="D630">
        <v>44.2</v>
      </c>
      <c r="E630">
        <v>55.8</v>
      </c>
    </row>
    <row r="631" spans="1:5" x14ac:dyDescent="0.25">
      <c r="A631" s="1">
        <v>45556</v>
      </c>
      <c r="B631">
        <v>46.3</v>
      </c>
      <c r="C631">
        <v>53.7</v>
      </c>
      <c r="D631">
        <v>49.8</v>
      </c>
      <c r="E631">
        <v>50.2</v>
      </c>
    </row>
    <row r="632" spans="1:5" x14ac:dyDescent="0.25">
      <c r="A632" s="1">
        <v>45557</v>
      </c>
      <c r="B632">
        <v>44.9</v>
      </c>
      <c r="C632">
        <v>55.1</v>
      </c>
      <c r="D632">
        <v>50</v>
      </c>
      <c r="E632">
        <v>50</v>
      </c>
    </row>
    <row r="633" spans="1:5" x14ac:dyDescent="0.25">
      <c r="A633" s="1">
        <v>45558</v>
      </c>
      <c r="B633">
        <v>45.6</v>
      </c>
      <c r="C633">
        <v>54.4</v>
      </c>
      <c r="D633">
        <v>46</v>
      </c>
      <c r="E633">
        <v>54</v>
      </c>
    </row>
    <row r="634" spans="1:5" x14ac:dyDescent="0.25">
      <c r="A634" s="1">
        <v>45559</v>
      </c>
      <c r="B634">
        <v>45.5</v>
      </c>
      <c r="C634">
        <v>54.5</v>
      </c>
      <c r="D634">
        <v>44</v>
      </c>
      <c r="E634">
        <v>56</v>
      </c>
    </row>
    <row r="635" spans="1:5" x14ac:dyDescent="0.25">
      <c r="A635" s="1">
        <v>45560</v>
      </c>
      <c r="B635">
        <v>47</v>
      </c>
      <c r="C635">
        <v>53</v>
      </c>
      <c r="D635">
        <v>44.5</v>
      </c>
      <c r="E635">
        <v>55.5</v>
      </c>
    </row>
    <row r="636" spans="1:5" x14ac:dyDescent="0.25">
      <c r="A636" s="1">
        <v>45561</v>
      </c>
      <c r="B636">
        <v>45.9</v>
      </c>
      <c r="C636">
        <v>54.1</v>
      </c>
      <c r="D636">
        <v>44.9</v>
      </c>
      <c r="E636">
        <v>55.1</v>
      </c>
    </row>
    <row r="637" spans="1:5" x14ac:dyDescent="0.25">
      <c r="A637" s="1">
        <v>45562</v>
      </c>
      <c r="B637">
        <v>46.7</v>
      </c>
      <c r="C637">
        <v>53.3</v>
      </c>
      <c r="D637">
        <v>45.3</v>
      </c>
      <c r="E637">
        <v>54.7</v>
      </c>
    </row>
    <row r="638" spans="1:5" x14ac:dyDescent="0.25">
      <c r="A638" s="1">
        <v>45563</v>
      </c>
      <c r="B638">
        <v>47</v>
      </c>
      <c r="C638">
        <v>53</v>
      </c>
      <c r="D638">
        <v>51.2</v>
      </c>
      <c r="E638">
        <v>48.8</v>
      </c>
    </row>
    <row r="639" spans="1:5" x14ac:dyDescent="0.25">
      <c r="A639" s="1">
        <v>45564</v>
      </c>
      <c r="B639">
        <v>45.2</v>
      </c>
      <c r="C639">
        <v>54.8</v>
      </c>
      <c r="D639">
        <v>51.2</v>
      </c>
      <c r="E639">
        <v>48.8</v>
      </c>
    </row>
    <row r="640" spans="1:5" x14ac:dyDescent="0.25">
      <c r="A640" s="1">
        <v>45565</v>
      </c>
      <c r="B640">
        <v>46.5</v>
      </c>
      <c r="C640">
        <v>53.5</v>
      </c>
      <c r="D640">
        <v>45.1</v>
      </c>
      <c r="E640">
        <v>54.9</v>
      </c>
    </row>
    <row r="641" spans="1:5" x14ac:dyDescent="0.25">
      <c r="A641" s="1">
        <v>45566</v>
      </c>
      <c r="B641">
        <v>47.3</v>
      </c>
      <c r="C641">
        <v>52.7</v>
      </c>
      <c r="D641">
        <v>43.9</v>
      </c>
      <c r="E641">
        <v>56.1</v>
      </c>
    </row>
    <row r="642" spans="1:5" x14ac:dyDescent="0.25">
      <c r="A642" s="1">
        <v>45567</v>
      </c>
      <c r="B642">
        <v>44.7</v>
      </c>
      <c r="C642">
        <v>55.3</v>
      </c>
      <c r="D642">
        <v>45.3</v>
      </c>
      <c r="E642">
        <v>54.7</v>
      </c>
    </row>
    <row r="643" spans="1:5" x14ac:dyDescent="0.25">
      <c r="A643" s="1">
        <v>45568</v>
      </c>
      <c r="B643">
        <v>44.6</v>
      </c>
      <c r="C643">
        <v>55.4</v>
      </c>
      <c r="D643">
        <v>42.6</v>
      </c>
      <c r="E643">
        <v>57.4</v>
      </c>
    </row>
    <row r="644" spans="1:5" x14ac:dyDescent="0.25">
      <c r="A644" s="1">
        <v>45569</v>
      </c>
      <c r="B644">
        <v>48</v>
      </c>
      <c r="C644">
        <v>52</v>
      </c>
      <c r="D644">
        <v>44.5</v>
      </c>
      <c r="E644">
        <v>55.5</v>
      </c>
    </row>
    <row r="645" spans="1:5" x14ac:dyDescent="0.25">
      <c r="A645" s="1">
        <v>45570</v>
      </c>
      <c r="B645">
        <v>46.6</v>
      </c>
      <c r="C645">
        <v>53.4</v>
      </c>
      <c r="D645">
        <v>49.6</v>
      </c>
      <c r="E645">
        <v>50.4</v>
      </c>
    </row>
    <row r="646" spans="1:5" x14ac:dyDescent="0.25">
      <c r="A646" s="1">
        <v>45571</v>
      </c>
      <c r="B646">
        <v>45.4</v>
      </c>
      <c r="C646">
        <v>54.6</v>
      </c>
      <c r="D646">
        <v>48.1</v>
      </c>
      <c r="E646">
        <v>51.9</v>
      </c>
    </row>
    <row r="647" spans="1:5" x14ac:dyDescent="0.25">
      <c r="A647" s="1">
        <v>45572</v>
      </c>
      <c r="B647">
        <v>47.2</v>
      </c>
      <c r="C647">
        <v>52.8</v>
      </c>
      <c r="D647">
        <v>44</v>
      </c>
      <c r="E647">
        <v>56</v>
      </c>
    </row>
    <row r="648" spans="1:5" x14ac:dyDescent="0.25">
      <c r="A648" s="1">
        <v>45573</v>
      </c>
      <c r="B648">
        <v>47.7</v>
      </c>
      <c r="C648">
        <v>52.3</v>
      </c>
      <c r="D648">
        <v>46.2</v>
      </c>
      <c r="E648">
        <v>53.8</v>
      </c>
    </row>
    <row r="649" spans="1:5" x14ac:dyDescent="0.25">
      <c r="A649" s="1">
        <v>45574</v>
      </c>
      <c r="B649">
        <v>46.8</v>
      </c>
      <c r="C649">
        <v>53.2</v>
      </c>
      <c r="D649">
        <v>43.4</v>
      </c>
      <c r="E649">
        <v>56.6</v>
      </c>
    </row>
    <row r="650" spans="1:5" x14ac:dyDescent="0.25">
      <c r="A650" s="1">
        <v>45575</v>
      </c>
      <c r="B650">
        <v>45.4</v>
      </c>
      <c r="C650">
        <v>54.6</v>
      </c>
      <c r="D650">
        <v>44.7</v>
      </c>
      <c r="E650">
        <v>55.3</v>
      </c>
    </row>
    <row r="651" spans="1:5" x14ac:dyDescent="0.25">
      <c r="A651" s="1">
        <v>45576</v>
      </c>
      <c r="B651">
        <v>45.3</v>
      </c>
      <c r="C651">
        <v>54.7</v>
      </c>
      <c r="D651">
        <v>43.2</v>
      </c>
      <c r="E651">
        <v>56.8</v>
      </c>
    </row>
    <row r="652" spans="1:5" x14ac:dyDescent="0.25">
      <c r="A652" s="1">
        <v>45577</v>
      </c>
      <c r="B652">
        <v>45.3</v>
      </c>
      <c r="C652">
        <v>54.7</v>
      </c>
      <c r="D652">
        <v>49.4</v>
      </c>
      <c r="E652">
        <v>50.6</v>
      </c>
    </row>
    <row r="653" spans="1:5" x14ac:dyDescent="0.25">
      <c r="A653" s="1">
        <v>45578</v>
      </c>
      <c r="B653">
        <v>44.2</v>
      </c>
      <c r="C653">
        <v>55.8</v>
      </c>
      <c r="D653">
        <v>50.3</v>
      </c>
      <c r="E653">
        <v>49.7</v>
      </c>
    </row>
    <row r="654" spans="1:5" x14ac:dyDescent="0.25">
      <c r="A654" s="1">
        <v>45579</v>
      </c>
      <c r="B654">
        <v>46.7</v>
      </c>
      <c r="C654">
        <v>53.3</v>
      </c>
      <c r="D654">
        <v>42.6</v>
      </c>
      <c r="E654">
        <v>57.4</v>
      </c>
    </row>
    <row r="655" spans="1:5" x14ac:dyDescent="0.25">
      <c r="A655" s="1">
        <v>45580</v>
      </c>
      <c r="B655">
        <v>45.5</v>
      </c>
      <c r="C655">
        <v>54.5</v>
      </c>
      <c r="D655">
        <v>44.4</v>
      </c>
      <c r="E655">
        <v>55.6</v>
      </c>
    </row>
    <row r="656" spans="1:5" x14ac:dyDescent="0.25">
      <c r="A656" s="1">
        <v>45581</v>
      </c>
      <c r="B656">
        <v>45.3</v>
      </c>
      <c r="C656">
        <v>54.7</v>
      </c>
      <c r="D656">
        <v>45.2</v>
      </c>
      <c r="E656">
        <v>54.8</v>
      </c>
    </row>
    <row r="657" spans="1:5" x14ac:dyDescent="0.25">
      <c r="A657" s="1">
        <v>45582</v>
      </c>
      <c r="B657">
        <v>45.7</v>
      </c>
      <c r="C657">
        <v>54.3</v>
      </c>
      <c r="D657">
        <v>43.5</v>
      </c>
      <c r="E657">
        <v>56.5</v>
      </c>
    </row>
    <row r="658" spans="1:5" x14ac:dyDescent="0.25">
      <c r="A658" s="1">
        <v>45583</v>
      </c>
      <c r="B658">
        <v>46.3</v>
      </c>
      <c r="C658">
        <v>53.7</v>
      </c>
      <c r="D658">
        <v>43.9</v>
      </c>
      <c r="E658">
        <v>56.1</v>
      </c>
    </row>
    <row r="659" spans="1:5" x14ac:dyDescent="0.25">
      <c r="A659" s="1">
        <v>45584</v>
      </c>
      <c r="B659">
        <v>46.5</v>
      </c>
      <c r="C659">
        <v>53.5</v>
      </c>
      <c r="D659">
        <v>50.7</v>
      </c>
      <c r="E659">
        <v>49.3</v>
      </c>
    </row>
    <row r="660" spans="1:5" x14ac:dyDescent="0.25">
      <c r="A660" s="1">
        <v>45585</v>
      </c>
      <c r="B660">
        <v>46.2</v>
      </c>
      <c r="C660">
        <v>53.8</v>
      </c>
      <c r="D660">
        <v>51.6</v>
      </c>
      <c r="E660">
        <v>48.4</v>
      </c>
    </row>
    <row r="661" spans="1:5" x14ac:dyDescent="0.25">
      <c r="A661" s="1">
        <v>45586</v>
      </c>
      <c r="B661">
        <v>44.4</v>
      </c>
      <c r="C661">
        <v>55.6</v>
      </c>
      <c r="D661">
        <v>43.3</v>
      </c>
      <c r="E661">
        <v>56.7</v>
      </c>
    </row>
    <row r="662" spans="1:5" x14ac:dyDescent="0.25">
      <c r="A662" s="1">
        <v>45587</v>
      </c>
      <c r="B662">
        <v>46.2</v>
      </c>
      <c r="C662">
        <v>53.8</v>
      </c>
      <c r="D662">
        <v>43.5</v>
      </c>
      <c r="E662">
        <v>56.5</v>
      </c>
    </row>
    <row r="663" spans="1:5" x14ac:dyDescent="0.25">
      <c r="A663" s="1">
        <v>45588</v>
      </c>
      <c r="B663">
        <v>46.9</v>
      </c>
      <c r="C663">
        <v>53.1</v>
      </c>
      <c r="D663">
        <v>45.2</v>
      </c>
      <c r="E663">
        <v>54.8</v>
      </c>
    </row>
    <row r="664" spans="1:5" x14ac:dyDescent="0.25">
      <c r="A664" s="1">
        <v>45589</v>
      </c>
      <c r="B664">
        <v>47.4</v>
      </c>
      <c r="C664">
        <v>52.6</v>
      </c>
      <c r="D664">
        <v>44</v>
      </c>
      <c r="E664">
        <v>56</v>
      </c>
    </row>
    <row r="665" spans="1:5" x14ac:dyDescent="0.25">
      <c r="A665" s="1">
        <v>45590</v>
      </c>
      <c r="B665">
        <v>45.4</v>
      </c>
      <c r="C665">
        <v>54.6</v>
      </c>
      <c r="D665">
        <v>43.4</v>
      </c>
      <c r="E665">
        <v>56.6</v>
      </c>
    </row>
    <row r="666" spans="1:5" x14ac:dyDescent="0.25">
      <c r="A666" s="1">
        <v>45591</v>
      </c>
      <c r="B666">
        <v>46.4</v>
      </c>
      <c r="C666">
        <v>53.6</v>
      </c>
      <c r="D666">
        <v>50.9</v>
      </c>
      <c r="E666">
        <v>49.1</v>
      </c>
    </row>
    <row r="667" spans="1:5" x14ac:dyDescent="0.25">
      <c r="A667" s="1">
        <v>45592</v>
      </c>
      <c r="B667">
        <v>45.1</v>
      </c>
      <c r="C667">
        <v>54.9</v>
      </c>
      <c r="D667">
        <v>48.8</v>
      </c>
      <c r="E667">
        <v>51.2</v>
      </c>
    </row>
    <row r="668" spans="1:5" x14ac:dyDescent="0.25">
      <c r="A668" s="1">
        <v>45593</v>
      </c>
      <c r="B668">
        <v>44.6</v>
      </c>
      <c r="C668">
        <v>55.4</v>
      </c>
      <c r="D668">
        <v>45.3</v>
      </c>
      <c r="E668">
        <v>54.7</v>
      </c>
    </row>
    <row r="669" spans="1:5" x14ac:dyDescent="0.25">
      <c r="A669" s="1">
        <v>45594</v>
      </c>
      <c r="B669">
        <v>46.8</v>
      </c>
      <c r="C669">
        <v>53.2</v>
      </c>
      <c r="D669">
        <v>45</v>
      </c>
      <c r="E669">
        <v>55</v>
      </c>
    </row>
    <row r="670" spans="1:5" x14ac:dyDescent="0.25">
      <c r="A670" s="1">
        <v>45595</v>
      </c>
      <c r="B670">
        <v>46.6</v>
      </c>
      <c r="C670">
        <v>53.4</v>
      </c>
      <c r="D670">
        <v>42.7</v>
      </c>
      <c r="E670">
        <v>57.3</v>
      </c>
    </row>
    <row r="671" spans="1:5" x14ac:dyDescent="0.25">
      <c r="A671" s="1">
        <v>45596</v>
      </c>
      <c r="B671">
        <v>44.6</v>
      </c>
      <c r="C671">
        <v>55.4</v>
      </c>
      <c r="D671">
        <v>44.6</v>
      </c>
      <c r="E671">
        <v>55.4</v>
      </c>
    </row>
    <row r="672" spans="1:5" x14ac:dyDescent="0.25">
      <c r="A672" s="1">
        <v>45597</v>
      </c>
      <c r="B672">
        <v>46.4</v>
      </c>
      <c r="C672">
        <v>53.6</v>
      </c>
      <c r="D672">
        <v>43.9</v>
      </c>
      <c r="E672">
        <v>56.1</v>
      </c>
    </row>
    <row r="673" spans="1:5" x14ac:dyDescent="0.25">
      <c r="A673" s="1">
        <v>45598</v>
      </c>
      <c r="B673">
        <v>46.3</v>
      </c>
      <c r="C673">
        <v>53.7</v>
      </c>
      <c r="D673">
        <v>49</v>
      </c>
      <c r="E673">
        <v>51</v>
      </c>
    </row>
    <row r="674" spans="1:5" x14ac:dyDescent="0.25">
      <c r="A674" s="1">
        <v>45599</v>
      </c>
      <c r="B674">
        <v>45.8</v>
      </c>
      <c r="C674">
        <v>54.2</v>
      </c>
      <c r="D674">
        <v>50.2</v>
      </c>
      <c r="E674">
        <v>49.8</v>
      </c>
    </row>
    <row r="675" spans="1:5" x14ac:dyDescent="0.25">
      <c r="A675" s="1">
        <v>45600</v>
      </c>
      <c r="B675">
        <v>47.1</v>
      </c>
      <c r="C675">
        <v>52.9</v>
      </c>
      <c r="D675">
        <v>44.3</v>
      </c>
      <c r="E675">
        <v>55.7</v>
      </c>
    </row>
    <row r="676" spans="1:5" x14ac:dyDescent="0.25">
      <c r="A676" s="1">
        <v>45601</v>
      </c>
      <c r="B676">
        <v>46.7</v>
      </c>
      <c r="C676">
        <v>53.3</v>
      </c>
      <c r="D676">
        <v>43.6</v>
      </c>
      <c r="E676">
        <v>56.4</v>
      </c>
    </row>
    <row r="677" spans="1:5" x14ac:dyDescent="0.25">
      <c r="A677" s="1">
        <v>45602</v>
      </c>
      <c r="B677">
        <v>45</v>
      </c>
      <c r="C677">
        <v>55</v>
      </c>
      <c r="D677">
        <v>43.4</v>
      </c>
      <c r="E677">
        <v>56.6</v>
      </c>
    </row>
    <row r="678" spans="1:5" x14ac:dyDescent="0.25">
      <c r="A678" s="1">
        <v>45603</v>
      </c>
      <c r="B678">
        <v>45.6</v>
      </c>
      <c r="C678">
        <v>54.4</v>
      </c>
      <c r="D678">
        <v>41</v>
      </c>
      <c r="E678">
        <v>59</v>
      </c>
    </row>
    <row r="679" spans="1:5" x14ac:dyDescent="0.25">
      <c r="A679" s="1">
        <v>45604</v>
      </c>
      <c r="B679">
        <v>47.7</v>
      </c>
      <c r="C679">
        <v>52.3</v>
      </c>
      <c r="D679">
        <v>44.1</v>
      </c>
      <c r="E679">
        <v>55.9</v>
      </c>
    </row>
    <row r="680" spans="1:5" x14ac:dyDescent="0.25">
      <c r="A680" s="1">
        <v>45605</v>
      </c>
      <c r="B680">
        <v>45.9</v>
      </c>
      <c r="C680">
        <v>54.1</v>
      </c>
      <c r="D680">
        <v>50</v>
      </c>
      <c r="E680">
        <v>50</v>
      </c>
    </row>
    <row r="681" spans="1:5" x14ac:dyDescent="0.25">
      <c r="A681" s="1">
        <v>45606</v>
      </c>
      <c r="B681">
        <v>45.2</v>
      </c>
      <c r="C681">
        <v>54.8</v>
      </c>
      <c r="D681">
        <v>49.7</v>
      </c>
      <c r="E681">
        <v>50.3</v>
      </c>
    </row>
    <row r="682" spans="1:5" x14ac:dyDescent="0.25">
      <c r="A682" s="1">
        <v>45607</v>
      </c>
      <c r="B682">
        <v>46.2</v>
      </c>
      <c r="C682">
        <v>53.8</v>
      </c>
      <c r="D682">
        <v>44.5</v>
      </c>
      <c r="E682">
        <v>55.5</v>
      </c>
    </row>
    <row r="683" spans="1:5" x14ac:dyDescent="0.25">
      <c r="A683" s="1">
        <v>45608</v>
      </c>
      <c r="B683">
        <v>46.5</v>
      </c>
      <c r="C683">
        <v>53.5</v>
      </c>
      <c r="D683">
        <v>43.5</v>
      </c>
      <c r="E683">
        <v>56.5</v>
      </c>
    </row>
    <row r="684" spans="1:5" x14ac:dyDescent="0.25">
      <c r="A684" s="1">
        <v>45609</v>
      </c>
      <c r="B684">
        <v>46.2</v>
      </c>
      <c r="C684">
        <v>53.8</v>
      </c>
      <c r="D684">
        <v>43.3</v>
      </c>
      <c r="E684">
        <v>56.7</v>
      </c>
    </row>
    <row r="685" spans="1:5" x14ac:dyDescent="0.25">
      <c r="A685" s="1">
        <v>45610</v>
      </c>
      <c r="B685">
        <v>45.9</v>
      </c>
      <c r="C685">
        <v>54.1</v>
      </c>
      <c r="D685">
        <v>42.4</v>
      </c>
      <c r="E685">
        <v>57.6</v>
      </c>
    </row>
    <row r="686" spans="1:5" x14ac:dyDescent="0.25">
      <c r="A686" s="1">
        <v>45611</v>
      </c>
      <c r="B686">
        <v>47.2</v>
      </c>
      <c r="C686">
        <v>52.8</v>
      </c>
      <c r="D686">
        <v>45</v>
      </c>
      <c r="E686">
        <v>55</v>
      </c>
    </row>
    <row r="687" spans="1:5" x14ac:dyDescent="0.25">
      <c r="A687" s="1">
        <v>45612</v>
      </c>
      <c r="B687">
        <v>47.3</v>
      </c>
      <c r="C687">
        <v>52.7</v>
      </c>
      <c r="D687">
        <v>49</v>
      </c>
      <c r="E687">
        <v>51</v>
      </c>
    </row>
    <row r="688" spans="1:5" x14ac:dyDescent="0.25">
      <c r="A688" s="1">
        <v>45613</v>
      </c>
      <c r="B688">
        <v>45.6</v>
      </c>
      <c r="C688">
        <v>54.4</v>
      </c>
      <c r="D688">
        <v>50.2</v>
      </c>
      <c r="E688">
        <v>49.8</v>
      </c>
    </row>
    <row r="689" spans="1:5" x14ac:dyDescent="0.25">
      <c r="A689" s="1">
        <v>45614</v>
      </c>
      <c r="B689">
        <v>46.2</v>
      </c>
      <c r="C689">
        <v>53.8</v>
      </c>
      <c r="D689">
        <v>44.5</v>
      </c>
      <c r="E689">
        <v>55.5</v>
      </c>
    </row>
    <row r="690" spans="1:5" x14ac:dyDescent="0.25">
      <c r="A690" s="1">
        <v>45615</v>
      </c>
      <c r="B690">
        <v>45.5</v>
      </c>
      <c r="C690">
        <v>54.5</v>
      </c>
      <c r="D690">
        <v>43.5</v>
      </c>
      <c r="E690">
        <v>56.5</v>
      </c>
    </row>
    <row r="691" spans="1:5" x14ac:dyDescent="0.25">
      <c r="A691" s="1">
        <v>45616</v>
      </c>
      <c r="B691">
        <v>46.7</v>
      </c>
      <c r="C691">
        <v>53.3</v>
      </c>
      <c r="D691">
        <v>43.8</v>
      </c>
      <c r="E691">
        <v>56.2</v>
      </c>
    </row>
    <row r="692" spans="1:5" x14ac:dyDescent="0.25">
      <c r="A692" s="1">
        <v>45617</v>
      </c>
      <c r="B692">
        <v>46.9</v>
      </c>
      <c r="C692">
        <v>53.1</v>
      </c>
      <c r="D692">
        <v>44.5</v>
      </c>
      <c r="E692">
        <v>55.5</v>
      </c>
    </row>
    <row r="693" spans="1:5" x14ac:dyDescent="0.25">
      <c r="A693" s="1">
        <v>45618</v>
      </c>
      <c r="B693">
        <v>46</v>
      </c>
      <c r="C693">
        <v>54</v>
      </c>
      <c r="D693">
        <v>43.8</v>
      </c>
      <c r="E693">
        <v>56.2</v>
      </c>
    </row>
    <row r="694" spans="1:5" x14ac:dyDescent="0.25">
      <c r="A694" s="1">
        <v>45619</v>
      </c>
      <c r="B694">
        <v>47.2</v>
      </c>
      <c r="C694">
        <v>52.8</v>
      </c>
      <c r="D694">
        <v>52</v>
      </c>
      <c r="E694">
        <v>48</v>
      </c>
    </row>
    <row r="695" spans="1:5" x14ac:dyDescent="0.25">
      <c r="A695" s="1">
        <v>45620</v>
      </c>
      <c r="B695">
        <v>47.9</v>
      </c>
      <c r="C695">
        <v>52.1</v>
      </c>
      <c r="D695">
        <v>50.7</v>
      </c>
      <c r="E695">
        <v>49.3</v>
      </c>
    </row>
    <row r="696" spans="1:5" x14ac:dyDescent="0.25">
      <c r="A696" s="1">
        <v>45621</v>
      </c>
      <c r="B696">
        <v>47.4</v>
      </c>
      <c r="C696">
        <v>52.6</v>
      </c>
      <c r="D696">
        <v>43.4</v>
      </c>
      <c r="E696">
        <v>56.6</v>
      </c>
    </row>
    <row r="697" spans="1:5" x14ac:dyDescent="0.25">
      <c r="A697" s="1">
        <v>45622</v>
      </c>
      <c r="B697">
        <v>48</v>
      </c>
      <c r="C697">
        <v>52</v>
      </c>
      <c r="D697">
        <v>42.4</v>
      </c>
      <c r="E697">
        <v>57.6</v>
      </c>
    </row>
    <row r="698" spans="1:5" x14ac:dyDescent="0.25">
      <c r="A698" s="1">
        <v>45623</v>
      </c>
      <c r="B698">
        <v>47.9</v>
      </c>
      <c r="C698">
        <v>52.1</v>
      </c>
      <c r="D698">
        <v>45</v>
      </c>
      <c r="E698">
        <v>55</v>
      </c>
    </row>
    <row r="699" spans="1:5" x14ac:dyDescent="0.25">
      <c r="A699" s="1">
        <v>45624</v>
      </c>
      <c r="B699">
        <v>48.3</v>
      </c>
      <c r="C699">
        <v>51.7</v>
      </c>
      <c r="D699">
        <v>43.1</v>
      </c>
      <c r="E699">
        <v>56.9</v>
      </c>
    </row>
    <row r="700" spans="1:5" x14ac:dyDescent="0.25">
      <c r="A700" s="1">
        <v>45625</v>
      </c>
      <c r="B700">
        <v>48.8</v>
      </c>
      <c r="C700">
        <v>51.2</v>
      </c>
      <c r="D700">
        <v>43.7</v>
      </c>
      <c r="E700">
        <v>56.3</v>
      </c>
    </row>
    <row r="701" spans="1:5" x14ac:dyDescent="0.25">
      <c r="A701" s="1">
        <v>45626</v>
      </c>
      <c r="B701">
        <v>47.6</v>
      </c>
      <c r="C701">
        <v>52.4</v>
      </c>
      <c r="D701">
        <v>50.4</v>
      </c>
      <c r="E701">
        <v>49.6</v>
      </c>
    </row>
    <row r="702" spans="1:5" x14ac:dyDescent="0.25">
      <c r="A702" s="1">
        <v>45627</v>
      </c>
      <c r="B702">
        <v>48.5</v>
      </c>
      <c r="C702">
        <v>51.5</v>
      </c>
      <c r="D702">
        <v>50</v>
      </c>
      <c r="E702">
        <v>50</v>
      </c>
    </row>
    <row r="703" spans="1:5" x14ac:dyDescent="0.25">
      <c r="A703" s="1">
        <v>45628</v>
      </c>
      <c r="B703">
        <v>48</v>
      </c>
      <c r="C703">
        <v>52</v>
      </c>
      <c r="D703">
        <v>45.5</v>
      </c>
      <c r="E703">
        <v>54.5</v>
      </c>
    </row>
    <row r="704" spans="1:5" x14ac:dyDescent="0.25">
      <c r="A704" s="1">
        <v>45629</v>
      </c>
      <c r="B704">
        <v>45.8</v>
      </c>
      <c r="C704">
        <v>54.2</v>
      </c>
      <c r="D704">
        <v>43.3</v>
      </c>
      <c r="E704">
        <v>56.7</v>
      </c>
    </row>
    <row r="705" spans="1:5" x14ac:dyDescent="0.25">
      <c r="A705" s="1">
        <v>45630</v>
      </c>
      <c r="B705">
        <v>48.4</v>
      </c>
      <c r="C705">
        <v>51.6</v>
      </c>
      <c r="D705">
        <v>44.9</v>
      </c>
      <c r="E705">
        <v>55.1</v>
      </c>
    </row>
    <row r="706" spans="1:5" x14ac:dyDescent="0.25">
      <c r="A706" s="1">
        <v>45631</v>
      </c>
      <c r="B706">
        <v>48.5</v>
      </c>
      <c r="C706">
        <v>51.5</v>
      </c>
      <c r="D706">
        <v>44.7</v>
      </c>
      <c r="E706">
        <v>55.3</v>
      </c>
    </row>
    <row r="707" spans="1:5" x14ac:dyDescent="0.25">
      <c r="A707" s="1">
        <v>45632</v>
      </c>
      <c r="B707">
        <v>47</v>
      </c>
      <c r="C707">
        <v>53</v>
      </c>
      <c r="D707">
        <v>44.4</v>
      </c>
      <c r="E707">
        <v>55.6</v>
      </c>
    </row>
    <row r="708" spans="1:5" x14ac:dyDescent="0.25">
      <c r="A708" s="1">
        <v>45633</v>
      </c>
      <c r="B708">
        <v>47.1</v>
      </c>
      <c r="C708">
        <v>52.9</v>
      </c>
      <c r="D708">
        <v>50.3</v>
      </c>
      <c r="E708">
        <v>49.7</v>
      </c>
    </row>
    <row r="709" spans="1:5" x14ac:dyDescent="0.25">
      <c r="A709" s="1">
        <v>45634</v>
      </c>
      <c r="B709">
        <v>48</v>
      </c>
      <c r="C709">
        <v>52</v>
      </c>
      <c r="D709">
        <v>52.5</v>
      </c>
      <c r="E709">
        <v>47.5</v>
      </c>
    </row>
    <row r="710" spans="1:5" x14ac:dyDescent="0.25">
      <c r="A710" s="1">
        <v>45635</v>
      </c>
      <c r="B710">
        <v>48.7</v>
      </c>
      <c r="C710">
        <v>51.3</v>
      </c>
      <c r="D710">
        <v>43.9</v>
      </c>
      <c r="E710">
        <v>56.1</v>
      </c>
    </row>
    <row r="711" spans="1:5" x14ac:dyDescent="0.25">
      <c r="A711" s="1">
        <v>45636</v>
      </c>
      <c r="B711">
        <v>47.4</v>
      </c>
      <c r="C711">
        <v>52.6</v>
      </c>
      <c r="D711">
        <v>45.6</v>
      </c>
      <c r="E711">
        <v>54.4</v>
      </c>
    </row>
    <row r="712" spans="1:5" x14ac:dyDescent="0.25">
      <c r="A712" s="1">
        <v>45637</v>
      </c>
      <c r="B712">
        <v>48.8</v>
      </c>
      <c r="C712">
        <v>51.2</v>
      </c>
      <c r="D712">
        <v>42.4</v>
      </c>
      <c r="E712">
        <v>57.6</v>
      </c>
    </row>
    <row r="713" spans="1:5" x14ac:dyDescent="0.25">
      <c r="A713" s="1">
        <v>45638</v>
      </c>
      <c r="B713">
        <v>49.4</v>
      </c>
      <c r="C713">
        <v>50.6</v>
      </c>
      <c r="D713">
        <v>45.7</v>
      </c>
      <c r="E713">
        <v>54.3</v>
      </c>
    </row>
    <row r="714" spans="1:5" x14ac:dyDescent="0.25">
      <c r="A714" s="1">
        <v>45639</v>
      </c>
      <c r="B714">
        <v>49.7</v>
      </c>
      <c r="C714">
        <v>50.3</v>
      </c>
      <c r="D714">
        <v>46</v>
      </c>
      <c r="E714">
        <v>54</v>
      </c>
    </row>
    <row r="715" spans="1:5" x14ac:dyDescent="0.25">
      <c r="A715" s="1">
        <v>45640</v>
      </c>
      <c r="B715">
        <v>48.9</v>
      </c>
      <c r="C715">
        <v>51.1</v>
      </c>
      <c r="D715">
        <v>50.4</v>
      </c>
      <c r="E715">
        <v>49.6</v>
      </c>
    </row>
    <row r="716" spans="1:5" x14ac:dyDescent="0.25">
      <c r="A716" s="1">
        <v>45641</v>
      </c>
      <c r="B716">
        <v>47.8</v>
      </c>
      <c r="C716">
        <v>52.2</v>
      </c>
      <c r="D716">
        <v>49.3</v>
      </c>
      <c r="E716">
        <v>50.7</v>
      </c>
    </row>
    <row r="717" spans="1:5" x14ac:dyDescent="0.25">
      <c r="A717" s="1">
        <v>45642</v>
      </c>
      <c r="B717">
        <v>47.8</v>
      </c>
      <c r="C717">
        <v>52.2</v>
      </c>
      <c r="D717">
        <v>44.3</v>
      </c>
      <c r="E717">
        <v>55.7</v>
      </c>
    </row>
    <row r="718" spans="1:5" x14ac:dyDescent="0.25">
      <c r="A718" s="1">
        <v>45643</v>
      </c>
      <c r="B718">
        <v>47.7</v>
      </c>
      <c r="C718">
        <v>52.3</v>
      </c>
      <c r="D718">
        <v>41.3</v>
      </c>
      <c r="E718">
        <v>58.7</v>
      </c>
    </row>
    <row r="719" spans="1:5" x14ac:dyDescent="0.25">
      <c r="A719" s="1">
        <v>45644</v>
      </c>
      <c r="B719">
        <v>50.5</v>
      </c>
      <c r="C719">
        <v>49.5</v>
      </c>
      <c r="D719">
        <v>46.5</v>
      </c>
      <c r="E719">
        <v>53.5</v>
      </c>
    </row>
    <row r="720" spans="1:5" x14ac:dyDescent="0.25">
      <c r="A720" s="1">
        <v>45645</v>
      </c>
      <c r="B720">
        <v>49.1</v>
      </c>
      <c r="C720">
        <v>50.9</v>
      </c>
      <c r="D720">
        <v>43</v>
      </c>
      <c r="E720">
        <v>57</v>
      </c>
    </row>
    <row r="721" spans="1:5" x14ac:dyDescent="0.25">
      <c r="A721" s="1">
        <v>45646</v>
      </c>
      <c r="B721">
        <v>46.1</v>
      </c>
      <c r="C721">
        <v>53.9</v>
      </c>
      <c r="D721">
        <v>44.4</v>
      </c>
      <c r="E721">
        <v>55.6</v>
      </c>
    </row>
    <row r="722" spans="1:5" x14ac:dyDescent="0.25">
      <c r="A722" s="1">
        <v>45647</v>
      </c>
      <c r="B722">
        <v>49.7</v>
      </c>
      <c r="C722">
        <v>50.3</v>
      </c>
      <c r="D722">
        <v>51.9</v>
      </c>
      <c r="E722">
        <v>48.1</v>
      </c>
    </row>
    <row r="723" spans="1:5" x14ac:dyDescent="0.25">
      <c r="A723" s="1">
        <v>45648</v>
      </c>
      <c r="B723">
        <v>48.3</v>
      </c>
      <c r="C723">
        <v>51.7</v>
      </c>
      <c r="D723">
        <v>49</v>
      </c>
      <c r="E723">
        <v>51</v>
      </c>
    </row>
    <row r="724" spans="1:5" x14ac:dyDescent="0.25">
      <c r="A724" s="1">
        <v>45649</v>
      </c>
      <c r="B724">
        <v>48.5</v>
      </c>
      <c r="C724">
        <v>51.5</v>
      </c>
      <c r="D724">
        <v>44.8</v>
      </c>
      <c r="E724">
        <v>55.2</v>
      </c>
    </row>
    <row r="725" spans="1:5" x14ac:dyDescent="0.25">
      <c r="A725" s="1">
        <v>45650</v>
      </c>
      <c r="B725">
        <v>49.3</v>
      </c>
      <c r="C725">
        <v>50.7</v>
      </c>
      <c r="D725">
        <v>43.8</v>
      </c>
      <c r="E725">
        <v>56.2</v>
      </c>
    </row>
    <row r="726" spans="1:5" x14ac:dyDescent="0.25">
      <c r="A726" s="1">
        <v>45651</v>
      </c>
      <c r="B726">
        <v>49.7</v>
      </c>
      <c r="C726">
        <v>50.3</v>
      </c>
      <c r="D726">
        <v>44.5</v>
      </c>
      <c r="E726">
        <v>55.5</v>
      </c>
    </row>
    <row r="727" spans="1:5" x14ac:dyDescent="0.25">
      <c r="A727" s="1">
        <v>45652</v>
      </c>
      <c r="B727">
        <v>50.3</v>
      </c>
      <c r="C727">
        <v>49.7</v>
      </c>
      <c r="D727">
        <v>44.2</v>
      </c>
      <c r="E727">
        <v>55.8</v>
      </c>
    </row>
    <row r="728" spans="1:5" x14ac:dyDescent="0.25">
      <c r="A728" s="1">
        <v>45653</v>
      </c>
      <c r="B728">
        <v>48.5</v>
      </c>
      <c r="C728">
        <v>51.5</v>
      </c>
      <c r="D728">
        <v>44.5</v>
      </c>
      <c r="E728">
        <v>55.5</v>
      </c>
    </row>
    <row r="729" spans="1:5" x14ac:dyDescent="0.25">
      <c r="A729" s="1">
        <v>45654</v>
      </c>
      <c r="B729">
        <v>48.2</v>
      </c>
      <c r="C729">
        <v>51.8</v>
      </c>
      <c r="D729">
        <v>51.9</v>
      </c>
      <c r="E729">
        <v>48.1</v>
      </c>
    </row>
    <row r="730" spans="1:5" x14ac:dyDescent="0.25">
      <c r="A730" s="1">
        <v>45655</v>
      </c>
      <c r="B730">
        <v>50</v>
      </c>
      <c r="C730">
        <v>50</v>
      </c>
      <c r="D730">
        <v>51.9</v>
      </c>
      <c r="E730">
        <v>48.1</v>
      </c>
    </row>
    <row r="731" spans="1:5" x14ac:dyDescent="0.25">
      <c r="A731" s="1">
        <v>45656</v>
      </c>
      <c r="B731">
        <v>48.9</v>
      </c>
      <c r="C731">
        <v>51.1</v>
      </c>
      <c r="D731">
        <v>46.1</v>
      </c>
      <c r="E731">
        <v>53.9</v>
      </c>
    </row>
    <row r="732" spans="1:5" x14ac:dyDescent="0.25">
      <c r="A732" s="1">
        <v>45657</v>
      </c>
      <c r="B732">
        <v>50.2</v>
      </c>
      <c r="C732">
        <v>49.8</v>
      </c>
      <c r="D732">
        <v>43.8</v>
      </c>
      <c r="E732">
        <v>56.2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A49F-A819-4D0B-B69D-00521516E97E}">
  <dimension ref="A1:E732"/>
  <sheetViews>
    <sheetView workbookViewId="0">
      <selection activeCell="H12" sqref="H12"/>
    </sheetView>
  </sheetViews>
  <sheetFormatPr defaultRowHeight="15" x14ac:dyDescent="0.25"/>
  <cols>
    <col min="1" max="1" width="10.42578125" bestFit="1" customWidth="1"/>
    <col min="2" max="2" width="13.42578125" bestFit="1" customWidth="1"/>
    <col min="3" max="3" width="11.5703125" bestFit="1" customWidth="1"/>
    <col min="5" max="5" width="15" bestFit="1" customWidth="1"/>
  </cols>
  <sheetData>
    <row r="1" spans="1:5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s="1">
        <v>44927</v>
      </c>
      <c r="B2">
        <v>77.900000000000006</v>
      </c>
      <c r="C2">
        <v>0</v>
      </c>
      <c r="D2">
        <v>0</v>
      </c>
      <c r="E2">
        <v>46.3</v>
      </c>
    </row>
    <row r="3" spans="1:5" x14ac:dyDescent="0.25">
      <c r="A3" s="1">
        <v>44928</v>
      </c>
      <c r="B3">
        <v>73.900000000000006</v>
      </c>
      <c r="C3">
        <v>0.31</v>
      </c>
      <c r="D3">
        <v>1</v>
      </c>
      <c r="E3">
        <v>51.1</v>
      </c>
    </row>
    <row r="4" spans="1:5" x14ac:dyDescent="0.25">
      <c r="A4" s="1">
        <v>44929</v>
      </c>
      <c r="B4">
        <v>76.3</v>
      </c>
      <c r="C4">
        <v>0</v>
      </c>
      <c r="D4">
        <v>0</v>
      </c>
      <c r="E4">
        <v>51.6</v>
      </c>
    </row>
    <row r="5" spans="1:5" x14ac:dyDescent="0.25">
      <c r="A5" s="1">
        <v>44930</v>
      </c>
      <c r="B5">
        <v>74.2</v>
      </c>
      <c r="C5">
        <v>0</v>
      </c>
      <c r="D5">
        <v>0</v>
      </c>
      <c r="E5">
        <v>51.6</v>
      </c>
    </row>
    <row r="6" spans="1:5" x14ac:dyDescent="0.25">
      <c r="A6" s="1">
        <v>44931</v>
      </c>
      <c r="B6">
        <v>72.7</v>
      </c>
      <c r="C6">
        <v>0</v>
      </c>
      <c r="D6">
        <v>0</v>
      </c>
      <c r="E6">
        <v>54.8</v>
      </c>
    </row>
    <row r="7" spans="1:5" x14ac:dyDescent="0.25">
      <c r="A7" s="1">
        <v>44932</v>
      </c>
      <c r="B7">
        <v>73.099999999999994</v>
      </c>
      <c r="C7">
        <v>0.33</v>
      </c>
      <c r="D7">
        <v>1</v>
      </c>
      <c r="E7">
        <v>44.1</v>
      </c>
    </row>
    <row r="8" spans="1:5" x14ac:dyDescent="0.25">
      <c r="A8" s="1">
        <v>44933</v>
      </c>
      <c r="B8">
        <v>74.900000000000006</v>
      </c>
      <c r="C8">
        <v>0</v>
      </c>
      <c r="D8">
        <v>0</v>
      </c>
      <c r="E8">
        <v>48.3</v>
      </c>
    </row>
    <row r="9" spans="1:5" x14ac:dyDescent="0.25">
      <c r="A9" s="1">
        <v>44934</v>
      </c>
      <c r="B9">
        <v>68.400000000000006</v>
      </c>
      <c r="C9">
        <v>0.48</v>
      </c>
      <c r="D9">
        <v>1</v>
      </c>
      <c r="E9">
        <v>39.700000000000003</v>
      </c>
    </row>
    <row r="10" spans="1:5" x14ac:dyDescent="0.25">
      <c r="A10" s="1">
        <v>44935</v>
      </c>
      <c r="B10">
        <v>74.3</v>
      </c>
      <c r="C10">
        <v>0</v>
      </c>
      <c r="D10">
        <v>0</v>
      </c>
      <c r="E10">
        <v>49.8</v>
      </c>
    </row>
    <row r="11" spans="1:5" x14ac:dyDescent="0.25">
      <c r="A11" s="1">
        <v>44936</v>
      </c>
      <c r="B11">
        <v>70.3</v>
      </c>
      <c r="C11">
        <v>0</v>
      </c>
      <c r="D11">
        <v>0</v>
      </c>
      <c r="E11">
        <v>37.1</v>
      </c>
    </row>
    <row r="12" spans="1:5" x14ac:dyDescent="0.25">
      <c r="A12" s="1">
        <v>44937</v>
      </c>
      <c r="B12">
        <v>71.900000000000006</v>
      </c>
      <c r="C12">
        <v>0</v>
      </c>
      <c r="D12">
        <v>0</v>
      </c>
      <c r="E12">
        <v>44.6</v>
      </c>
    </row>
    <row r="13" spans="1:5" x14ac:dyDescent="0.25">
      <c r="A13" s="1">
        <v>44938</v>
      </c>
      <c r="B13">
        <v>72</v>
      </c>
      <c r="C13">
        <v>0</v>
      </c>
      <c r="D13">
        <v>0</v>
      </c>
      <c r="E13">
        <v>42.7</v>
      </c>
    </row>
    <row r="14" spans="1:5" x14ac:dyDescent="0.25">
      <c r="A14" s="1">
        <v>44939</v>
      </c>
      <c r="B14">
        <v>76.2</v>
      </c>
      <c r="C14">
        <v>0</v>
      </c>
      <c r="D14">
        <v>0</v>
      </c>
      <c r="E14">
        <v>40.200000000000003</v>
      </c>
    </row>
    <row r="15" spans="1:5" x14ac:dyDescent="0.25">
      <c r="A15" s="1">
        <v>44940</v>
      </c>
      <c r="B15">
        <v>71.2</v>
      </c>
      <c r="C15">
        <v>0</v>
      </c>
      <c r="D15">
        <v>0</v>
      </c>
      <c r="E15">
        <v>38.4</v>
      </c>
    </row>
    <row r="16" spans="1:5" x14ac:dyDescent="0.25">
      <c r="A16" s="1">
        <v>44941</v>
      </c>
      <c r="B16">
        <v>69.2</v>
      </c>
      <c r="C16">
        <v>0</v>
      </c>
      <c r="D16">
        <v>0</v>
      </c>
      <c r="E16">
        <v>39.700000000000003</v>
      </c>
    </row>
    <row r="17" spans="1:5" x14ac:dyDescent="0.25">
      <c r="A17" s="1">
        <v>44942</v>
      </c>
      <c r="B17">
        <v>72.5</v>
      </c>
      <c r="C17">
        <v>0</v>
      </c>
      <c r="D17">
        <v>0</v>
      </c>
      <c r="E17">
        <v>42.2</v>
      </c>
    </row>
    <row r="18" spans="1:5" x14ac:dyDescent="0.25">
      <c r="A18" s="1">
        <v>44943</v>
      </c>
      <c r="B18">
        <v>75.2</v>
      </c>
      <c r="C18">
        <v>0</v>
      </c>
      <c r="D18">
        <v>0</v>
      </c>
      <c r="E18">
        <v>40.9</v>
      </c>
    </row>
    <row r="19" spans="1:5" x14ac:dyDescent="0.25">
      <c r="A19" s="1">
        <v>44944</v>
      </c>
      <c r="B19">
        <v>69.2</v>
      </c>
      <c r="C19">
        <v>2.5099999999999998</v>
      </c>
      <c r="D19">
        <v>1</v>
      </c>
      <c r="E19">
        <v>44.2</v>
      </c>
    </row>
    <row r="20" spans="1:5" x14ac:dyDescent="0.25">
      <c r="A20" s="1">
        <v>44945</v>
      </c>
      <c r="B20">
        <v>77.599999999999994</v>
      </c>
      <c r="C20">
        <v>0</v>
      </c>
      <c r="D20">
        <v>0</v>
      </c>
      <c r="E20">
        <v>49.8</v>
      </c>
    </row>
    <row r="21" spans="1:5" x14ac:dyDescent="0.25">
      <c r="A21" s="1">
        <v>44946</v>
      </c>
      <c r="B21">
        <v>72</v>
      </c>
      <c r="C21">
        <v>0</v>
      </c>
      <c r="D21">
        <v>0</v>
      </c>
      <c r="E21">
        <v>45.2</v>
      </c>
    </row>
    <row r="22" spans="1:5" x14ac:dyDescent="0.25">
      <c r="A22" s="1">
        <v>44947</v>
      </c>
      <c r="B22">
        <v>70.7</v>
      </c>
      <c r="C22">
        <v>0</v>
      </c>
      <c r="D22">
        <v>0</v>
      </c>
      <c r="E22">
        <v>36.700000000000003</v>
      </c>
    </row>
    <row r="23" spans="1:5" x14ac:dyDescent="0.25">
      <c r="A23" s="1">
        <v>44948</v>
      </c>
      <c r="B23">
        <v>69.8</v>
      </c>
      <c r="C23">
        <v>0</v>
      </c>
      <c r="D23">
        <v>0</v>
      </c>
      <c r="E23">
        <v>42.4</v>
      </c>
    </row>
    <row r="24" spans="1:5" x14ac:dyDescent="0.25">
      <c r="A24" s="1">
        <v>44949</v>
      </c>
      <c r="B24">
        <v>72</v>
      </c>
      <c r="C24">
        <v>0</v>
      </c>
      <c r="D24">
        <v>0</v>
      </c>
      <c r="E24">
        <v>42.4</v>
      </c>
    </row>
    <row r="25" spans="1:5" x14ac:dyDescent="0.25">
      <c r="A25" s="1">
        <v>44950</v>
      </c>
      <c r="B25">
        <v>69.099999999999994</v>
      </c>
      <c r="C25">
        <v>0</v>
      </c>
      <c r="D25">
        <v>0</v>
      </c>
      <c r="E25">
        <v>46.4</v>
      </c>
    </row>
    <row r="26" spans="1:5" x14ac:dyDescent="0.25">
      <c r="A26" s="1">
        <v>44951</v>
      </c>
      <c r="B26">
        <v>65.8</v>
      </c>
      <c r="C26">
        <v>3.11</v>
      </c>
      <c r="D26">
        <v>1</v>
      </c>
      <c r="E26">
        <v>46.7</v>
      </c>
    </row>
    <row r="27" spans="1:5" x14ac:dyDescent="0.25">
      <c r="A27" s="1">
        <v>44952</v>
      </c>
      <c r="B27">
        <v>68.5</v>
      </c>
      <c r="C27">
        <v>0</v>
      </c>
      <c r="D27">
        <v>0</v>
      </c>
      <c r="E27">
        <v>35</v>
      </c>
    </row>
    <row r="28" spans="1:5" x14ac:dyDescent="0.25">
      <c r="A28" s="1">
        <v>44953</v>
      </c>
      <c r="B28">
        <v>67.400000000000006</v>
      </c>
      <c r="C28">
        <v>1.5</v>
      </c>
      <c r="D28">
        <v>1</v>
      </c>
      <c r="E28">
        <v>42.3</v>
      </c>
    </row>
    <row r="29" spans="1:5" x14ac:dyDescent="0.25">
      <c r="A29" s="1">
        <v>44954</v>
      </c>
      <c r="B29">
        <v>70.3</v>
      </c>
      <c r="C29">
        <v>0</v>
      </c>
      <c r="D29">
        <v>0</v>
      </c>
      <c r="E29">
        <v>44</v>
      </c>
    </row>
    <row r="30" spans="1:5" x14ac:dyDescent="0.25">
      <c r="A30" s="1">
        <v>44955</v>
      </c>
      <c r="B30">
        <v>75.099999999999994</v>
      </c>
      <c r="C30">
        <v>0</v>
      </c>
      <c r="D30">
        <v>0</v>
      </c>
      <c r="E30">
        <v>35</v>
      </c>
    </row>
    <row r="31" spans="1:5" x14ac:dyDescent="0.25">
      <c r="A31" s="1">
        <v>44956</v>
      </c>
      <c r="B31">
        <v>75.5</v>
      </c>
      <c r="C31">
        <v>0</v>
      </c>
      <c r="D31">
        <v>0</v>
      </c>
      <c r="E31">
        <v>38.700000000000003</v>
      </c>
    </row>
    <row r="32" spans="1:5" x14ac:dyDescent="0.25">
      <c r="A32" s="1">
        <v>44957</v>
      </c>
      <c r="B32">
        <v>69.2</v>
      </c>
      <c r="C32">
        <v>0</v>
      </c>
      <c r="D32">
        <v>0</v>
      </c>
      <c r="E32">
        <v>35</v>
      </c>
    </row>
    <row r="33" spans="1:5" x14ac:dyDescent="0.25">
      <c r="A33" s="1">
        <v>44958</v>
      </c>
      <c r="B33">
        <v>68.8</v>
      </c>
      <c r="C33">
        <v>0</v>
      </c>
      <c r="D33">
        <v>0</v>
      </c>
      <c r="E33">
        <v>46.9</v>
      </c>
    </row>
    <row r="34" spans="1:5" x14ac:dyDescent="0.25">
      <c r="A34" s="1">
        <v>44959</v>
      </c>
      <c r="B34">
        <v>73.400000000000006</v>
      </c>
      <c r="C34">
        <v>0</v>
      </c>
      <c r="D34">
        <v>0</v>
      </c>
      <c r="E34">
        <v>42.2</v>
      </c>
    </row>
    <row r="35" spans="1:5" x14ac:dyDescent="0.25">
      <c r="A35" s="1">
        <v>44960</v>
      </c>
      <c r="B35">
        <v>74.7</v>
      </c>
      <c r="C35">
        <v>0</v>
      </c>
      <c r="D35">
        <v>0</v>
      </c>
      <c r="E35">
        <v>35</v>
      </c>
    </row>
    <row r="36" spans="1:5" x14ac:dyDescent="0.25">
      <c r="A36" s="1">
        <v>44961</v>
      </c>
      <c r="B36">
        <v>66.2</v>
      </c>
      <c r="C36">
        <v>0</v>
      </c>
      <c r="D36">
        <v>0</v>
      </c>
      <c r="E36">
        <v>43.6</v>
      </c>
    </row>
    <row r="37" spans="1:5" x14ac:dyDescent="0.25">
      <c r="A37" s="1">
        <v>44962</v>
      </c>
      <c r="B37">
        <v>66.8</v>
      </c>
      <c r="C37">
        <v>0.79</v>
      </c>
      <c r="D37">
        <v>1</v>
      </c>
      <c r="E37">
        <v>36.9</v>
      </c>
    </row>
    <row r="38" spans="1:5" x14ac:dyDescent="0.25">
      <c r="A38" s="1">
        <v>44963</v>
      </c>
      <c r="B38">
        <v>62</v>
      </c>
      <c r="C38">
        <v>0</v>
      </c>
      <c r="D38">
        <v>0</v>
      </c>
      <c r="E38">
        <v>42.5</v>
      </c>
    </row>
    <row r="39" spans="1:5" x14ac:dyDescent="0.25">
      <c r="A39" s="1">
        <v>44964</v>
      </c>
      <c r="B39">
        <v>66.099999999999994</v>
      </c>
      <c r="C39">
        <v>0</v>
      </c>
      <c r="D39">
        <v>0</v>
      </c>
      <c r="E39">
        <v>35</v>
      </c>
    </row>
    <row r="40" spans="1:5" x14ac:dyDescent="0.25">
      <c r="A40" s="1">
        <v>44965</v>
      </c>
      <c r="B40">
        <v>65.5</v>
      </c>
      <c r="C40">
        <v>3.29</v>
      </c>
      <c r="D40">
        <v>1</v>
      </c>
      <c r="E40">
        <v>41.9</v>
      </c>
    </row>
    <row r="41" spans="1:5" x14ac:dyDescent="0.25">
      <c r="A41" s="1">
        <v>44966</v>
      </c>
      <c r="B41">
        <v>70.400000000000006</v>
      </c>
      <c r="C41">
        <v>0</v>
      </c>
      <c r="D41">
        <v>0</v>
      </c>
      <c r="E41">
        <v>36.9</v>
      </c>
    </row>
    <row r="42" spans="1:5" x14ac:dyDescent="0.25">
      <c r="A42" s="1">
        <v>44967</v>
      </c>
      <c r="B42">
        <v>65.7</v>
      </c>
      <c r="C42">
        <v>0</v>
      </c>
      <c r="D42">
        <v>0</v>
      </c>
      <c r="E42">
        <v>35</v>
      </c>
    </row>
    <row r="43" spans="1:5" x14ac:dyDescent="0.25">
      <c r="A43" s="1">
        <v>44968</v>
      </c>
      <c r="B43">
        <v>64.7</v>
      </c>
      <c r="C43">
        <v>2.4700000000000002</v>
      </c>
      <c r="D43">
        <v>1</v>
      </c>
      <c r="E43">
        <v>40.6</v>
      </c>
    </row>
    <row r="44" spans="1:5" x14ac:dyDescent="0.25">
      <c r="A44" s="1">
        <v>44969</v>
      </c>
      <c r="B44">
        <v>68.099999999999994</v>
      </c>
      <c r="C44">
        <v>0</v>
      </c>
      <c r="D44">
        <v>0</v>
      </c>
      <c r="E44">
        <v>35.700000000000003</v>
      </c>
    </row>
    <row r="45" spans="1:5" x14ac:dyDescent="0.25">
      <c r="A45" s="1">
        <v>44970</v>
      </c>
      <c r="B45">
        <v>69.7</v>
      </c>
      <c r="C45">
        <v>0</v>
      </c>
      <c r="D45">
        <v>0</v>
      </c>
      <c r="E45">
        <v>35</v>
      </c>
    </row>
    <row r="46" spans="1:5" x14ac:dyDescent="0.25">
      <c r="A46" s="1">
        <v>44971</v>
      </c>
      <c r="B46">
        <v>63.7</v>
      </c>
      <c r="C46">
        <v>0</v>
      </c>
      <c r="D46">
        <v>0</v>
      </c>
      <c r="E46">
        <v>35</v>
      </c>
    </row>
    <row r="47" spans="1:5" x14ac:dyDescent="0.25">
      <c r="A47" s="1">
        <v>44972</v>
      </c>
      <c r="B47">
        <v>59.8</v>
      </c>
      <c r="C47">
        <v>0</v>
      </c>
      <c r="D47">
        <v>0</v>
      </c>
      <c r="E47">
        <v>35</v>
      </c>
    </row>
    <row r="48" spans="1:5" x14ac:dyDescent="0.25">
      <c r="A48" s="1">
        <v>44973</v>
      </c>
      <c r="B48">
        <v>69.400000000000006</v>
      </c>
      <c r="C48">
        <v>0.8</v>
      </c>
      <c r="D48">
        <v>1</v>
      </c>
      <c r="E48">
        <v>37.1</v>
      </c>
    </row>
    <row r="49" spans="1:5" x14ac:dyDescent="0.25">
      <c r="A49" s="1">
        <v>44974</v>
      </c>
      <c r="B49">
        <v>59.8</v>
      </c>
      <c r="C49">
        <v>0</v>
      </c>
      <c r="D49">
        <v>0</v>
      </c>
      <c r="E49">
        <v>37.200000000000003</v>
      </c>
    </row>
    <row r="50" spans="1:5" x14ac:dyDescent="0.25">
      <c r="A50" s="1">
        <v>44975</v>
      </c>
      <c r="B50">
        <v>73.5</v>
      </c>
      <c r="C50">
        <v>0</v>
      </c>
      <c r="D50">
        <v>0</v>
      </c>
      <c r="E50">
        <v>35</v>
      </c>
    </row>
    <row r="51" spans="1:5" x14ac:dyDescent="0.25">
      <c r="A51" s="1">
        <v>44976</v>
      </c>
      <c r="B51">
        <v>67.8</v>
      </c>
      <c r="C51">
        <v>0</v>
      </c>
      <c r="D51">
        <v>0</v>
      </c>
      <c r="E51">
        <v>35.200000000000003</v>
      </c>
    </row>
    <row r="52" spans="1:5" x14ac:dyDescent="0.25">
      <c r="A52" s="1">
        <v>44977</v>
      </c>
      <c r="B52">
        <v>70.900000000000006</v>
      </c>
      <c r="C52">
        <v>0.32</v>
      </c>
      <c r="D52">
        <v>1</v>
      </c>
      <c r="E52">
        <v>35.9</v>
      </c>
    </row>
    <row r="53" spans="1:5" x14ac:dyDescent="0.25">
      <c r="A53" s="1">
        <v>44978</v>
      </c>
      <c r="B53">
        <v>69.5</v>
      </c>
      <c r="C53">
        <v>0.59</v>
      </c>
      <c r="D53">
        <v>1</v>
      </c>
      <c r="E53">
        <v>35</v>
      </c>
    </row>
    <row r="54" spans="1:5" x14ac:dyDescent="0.25">
      <c r="A54" s="1">
        <v>44979</v>
      </c>
      <c r="B54">
        <v>69.5</v>
      </c>
      <c r="C54">
        <v>0</v>
      </c>
      <c r="D54">
        <v>0</v>
      </c>
      <c r="E54">
        <v>38.6</v>
      </c>
    </row>
    <row r="55" spans="1:5" x14ac:dyDescent="0.25">
      <c r="A55" s="1">
        <v>44980</v>
      </c>
      <c r="B55">
        <v>67.8</v>
      </c>
      <c r="C55">
        <v>0</v>
      </c>
      <c r="D55">
        <v>0</v>
      </c>
      <c r="E55">
        <v>35</v>
      </c>
    </row>
    <row r="56" spans="1:5" x14ac:dyDescent="0.25">
      <c r="A56" s="1">
        <v>44981</v>
      </c>
      <c r="B56">
        <v>55.5</v>
      </c>
      <c r="C56">
        <v>0</v>
      </c>
      <c r="D56">
        <v>0</v>
      </c>
      <c r="E56">
        <v>37.6</v>
      </c>
    </row>
    <row r="57" spans="1:5" x14ac:dyDescent="0.25">
      <c r="A57" s="1">
        <v>44982</v>
      </c>
      <c r="B57">
        <v>62.7</v>
      </c>
      <c r="C57">
        <v>0.24</v>
      </c>
      <c r="D57">
        <v>1</v>
      </c>
      <c r="E57">
        <v>35.200000000000003</v>
      </c>
    </row>
    <row r="58" spans="1:5" x14ac:dyDescent="0.25">
      <c r="A58" s="1">
        <v>44983</v>
      </c>
      <c r="B58">
        <v>71.8</v>
      </c>
      <c r="C58">
        <v>0</v>
      </c>
      <c r="D58">
        <v>0</v>
      </c>
      <c r="E58">
        <v>41.9</v>
      </c>
    </row>
    <row r="59" spans="1:5" x14ac:dyDescent="0.25">
      <c r="A59" s="1">
        <v>44984</v>
      </c>
      <c r="B59">
        <v>61.3</v>
      </c>
      <c r="C59">
        <v>0</v>
      </c>
      <c r="D59">
        <v>0</v>
      </c>
      <c r="E59">
        <v>39.1</v>
      </c>
    </row>
    <row r="60" spans="1:5" x14ac:dyDescent="0.25">
      <c r="A60" s="1">
        <v>44985</v>
      </c>
      <c r="B60">
        <v>65.8</v>
      </c>
      <c r="C60">
        <v>0</v>
      </c>
      <c r="D60">
        <v>0</v>
      </c>
      <c r="E60">
        <v>35</v>
      </c>
    </row>
    <row r="61" spans="1:5" x14ac:dyDescent="0.25">
      <c r="A61" s="1">
        <v>44986</v>
      </c>
      <c r="B61">
        <v>71.3</v>
      </c>
      <c r="C61">
        <v>0.09</v>
      </c>
      <c r="D61">
        <v>1</v>
      </c>
      <c r="E61">
        <v>35</v>
      </c>
    </row>
    <row r="62" spans="1:5" x14ac:dyDescent="0.25">
      <c r="A62" s="1">
        <v>44987</v>
      </c>
      <c r="B62">
        <v>65.599999999999994</v>
      </c>
      <c r="C62">
        <v>0</v>
      </c>
      <c r="D62">
        <v>0</v>
      </c>
      <c r="E62">
        <v>37.200000000000003</v>
      </c>
    </row>
    <row r="63" spans="1:5" x14ac:dyDescent="0.25">
      <c r="A63" s="1">
        <v>44988</v>
      </c>
      <c r="B63">
        <v>66.900000000000006</v>
      </c>
      <c r="C63">
        <v>0</v>
      </c>
      <c r="D63">
        <v>0</v>
      </c>
      <c r="E63">
        <v>40.4</v>
      </c>
    </row>
    <row r="64" spans="1:5" x14ac:dyDescent="0.25">
      <c r="A64" s="1">
        <v>44989</v>
      </c>
      <c r="B64">
        <v>67.5</v>
      </c>
      <c r="C64">
        <v>0</v>
      </c>
      <c r="D64">
        <v>0</v>
      </c>
      <c r="E64">
        <v>35</v>
      </c>
    </row>
    <row r="65" spans="1:5" x14ac:dyDescent="0.25">
      <c r="A65" s="1">
        <v>44990</v>
      </c>
      <c r="B65">
        <v>62.1</v>
      </c>
      <c r="C65">
        <v>0</v>
      </c>
      <c r="D65">
        <v>0</v>
      </c>
      <c r="E65">
        <v>38</v>
      </c>
    </row>
    <row r="66" spans="1:5" x14ac:dyDescent="0.25">
      <c r="A66" s="1">
        <v>44991</v>
      </c>
      <c r="B66">
        <v>64.7</v>
      </c>
      <c r="C66">
        <v>0.44</v>
      </c>
      <c r="D66">
        <v>1</v>
      </c>
      <c r="E66">
        <v>35</v>
      </c>
    </row>
    <row r="67" spans="1:5" x14ac:dyDescent="0.25">
      <c r="A67" s="1">
        <v>44992</v>
      </c>
      <c r="B67">
        <v>61</v>
      </c>
      <c r="C67">
        <v>0.65</v>
      </c>
      <c r="D67">
        <v>1</v>
      </c>
      <c r="E67">
        <v>37.200000000000003</v>
      </c>
    </row>
    <row r="68" spans="1:5" x14ac:dyDescent="0.25">
      <c r="A68" s="1">
        <v>44993</v>
      </c>
      <c r="B68">
        <v>66.5</v>
      </c>
      <c r="C68">
        <v>0</v>
      </c>
      <c r="D68">
        <v>0</v>
      </c>
      <c r="E68">
        <v>35</v>
      </c>
    </row>
    <row r="69" spans="1:5" x14ac:dyDescent="0.25">
      <c r="A69" s="1">
        <v>44994</v>
      </c>
      <c r="B69">
        <v>63.7</v>
      </c>
      <c r="C69">
        <v>0</v>
      </c>
      <c r="D69">
        <v>0</v>
      </c>
      <c r="E69">
        <v>36.9</v>
      </c>
    </row>
    <row r="70" spans="1:5" x14ac:dyDescent="0.25">
      <c r="A70" s="1">
        <v>44995</v>
      </c>
      <c r="B70">
        <v>63.4</v>
      </c>
      <c r="C70">
        <v>0</v>
      </c>
      <c r="D70">
        <v>0</v>
      </c>
      <c r="E70">
        <v>35</v>
      </c>
    </row>
    <row r="71" spans="1:5" x14ac:dyDescent="0.25">
      <c r="A71" s="1">
        <v>44996</v>
      </c>
      <c r="B71">
        <v>68.7</v>
      </c>
      <c r="C71">
        <v>0.03</v>
      </c>
      <c r="D71">
        <v>1</v>
      </c>
      <c r="E71">
        <v>35</v>
      </c>
    </row>
    <row r="72" spans="1:5" x14ac:dyDescent="0.25">
      <c r="A72" s="1">
        <v>44997</v>
      </c>
      <c r="B72">
        <v>71.900000000000006</v>
      </c>
      <c r="C72">
        <v>0</v>
      </c>
      <c r="D72">
        <v>0</v>
      </c>
      <c r="E72">
        <v>35</v>
      </c>
    </row>
    <row r="73" spans="1:5" x14ac:dyDescent="0.25">
      <c r="A73" s="1">
        <v>44998</v>
      </c>
      <c r="B73">
        <v>66.5</v>
      </c>
      <c r="C73">
        <v>0.21</v>
      </c>
      <c r="D73">
        <v>1</v>
      </c>
      <c r="E73">
        <v>43.3</v>
      </c>
    </row>
    <row r="74" spans="1:5" x14ac:dyDescent="0.25">
      <c r="A74" s="1">
        <v>44999</v>
      </c>
      <c r="B74">
        <v>65.400000000000006</v>
      </c>
      <c r="C74">
        <v>0</v>
      </c>
      <c r="D74">
        <v>0</v>
      </c>
      <c r="E74">
        <v>38.799999999999997</v>
      </c>
    </row>
    <row r="75" spans="1:5" x14ac:dyDescent="0.25">
      <c r="A75" s="1">
        <v>45000</v>
      </c>
      <c r="B75">
        <v>66.900000000000006</v>
      </c>
      <c r="C75">
        <v>0</v>
      </c>
      <c r="D75">
        <v>0</v>
      </c>
      <c r="E75">
        <v>35</v>
      </c>
    </row>
    <row r="76" spans="1:5" x14ac:dyDescent="0.25">
      <c r="A76" s="1">
        <v>45001</v>
      </c>
      <c r="B76">
        <v>72.3</v>
      </c>
      <c r="C76">
        <v>0</v>
      </c>
      <c r="D76">
        <v>0</v>
      </c>
      <c r="E76">
        <v>35</v>
      </c>
    </row>
    <row r="77" spans="1:5" x14ac:dyDescent="0.25">
      <c r="A77" s="1">
        <v>45002</v>
      </c>
      <c r="B77">
        <v>65</v>
      </c>
      <c r="C77">
        <v>0</v>
      </c>
      <c r="D77">
        <v>0</v>
      </c>
      <c r="E77">
        <v>39.700000000000003</v>
      </c>
    </row>
    <row r="78" spans="1:5" x14ac:dyDescent="0.25">
      <c r="A78" s="1">
        <v>45003</v>
      </c>
      <c r="B78">
        <v>62.4</v>
      </c>
      <c r="C78">
        <v>2.29</v>
      </c>
      <c r="D78">
        <v>1</v>
      </c>
      <c r="E78">
        <v>35</v>
      </c>
    </row>
    <row r="79" spans="1:5" x14ac:dyDescent="0.25">
      <c r="A79" s="1">
        <v>45004</v>
      </c>
      <c r="B79">
        <v>64.3</v>
      </c>
      <c r="C79">
        <v>0</v>
      </c>
      <c r="D79">
        <v>0</v>
      </c>
      <c r="E79">
        <v>35</v>
      </c>
    </row>
    <row r="80" spans="1:5" x14ac:dyDescent="0.25">
      <c r="A80" s="1">
        <v>45005</v>
      </c>
      <c r="B80">
        <v>68.8</v>
      </c>
      <c r="C80">
        <v>0.67</v>
      </c>
      <c r="D80">
        <v>1</v>
      </c>
      <c r="E80">
        <v>38.700000000000003</v>
      </c>
    </row>
    <row r="81" spans="1:5" x14ac:dyDescent="0.25">
      <c r="A81" s="1">
        <v>45006</v>
      </c>
      <c r="B81">
        <v>69.8</v>
      </c>
      <c r="C81">
        <v>0</v>
      </c>
      <c r="D81">
        <v>0</v>
      </c>
      <c r="E81">
        <v>39.299999999999997</v>
      </c>
    </row>
    <row r="82" spans="1:5" x14ac:dyDescent="0.25">
      <c r="A82" s="1">
        <v>45007</v>
      </c>
      <c r="B82">
        <v>60.4</v>
      </c>
      <c r="C82">
        <v>0</v>
      </c>
      <c r="D82">
        <v>0</v>
      </c>
      <c r="E82">
        <v>35</v>
      </c>
    </row>
    <row r="83" spans="1:5" x14ac:dyDescent="0.25">
      <c r="A83" s="1">
        <v>45008</v>
      </c>
      <c r="B83">
        <v>67.900000000000006</v>
      </c>
      <c r="C83">
        <v>0</v>
      </c>
      <c r="D83">
        <v>0</v>
      </c>
      <c r="E83">
        <v>38.200000000000003</v>
      </c>
    </row>
    <row r="84" spans="1:5" x14ac:dyDescent="0.25">
      <c r="A84" s="1">
        <v>45009</v>
      </c>
      <c r="B84">
        <v>63.6</v>
      </c>
      <c r="C84">
        <v>0</v>
      </c>
      <c r="D84">
        <v>0</v>
      </c>
      <c r="E84">
        <v>39.299999999999997</v>
      </c>
    </row>
    <row r="85" spans="1:5" x14ac:dyDescent="0.25">
      <c r="A85" s="1">
        <v>45010</v>
      </c>
      <c r="B85">
        <v>61.9</v>
      </c>
      <c r="C85">
        <v>0</v>
      </c>
      <c r="D85">
        <v>0</v>
      </c>
      <c r="E85">
        <v>41.9</v>
      </c>
    </row>
    <row r="86" spans="1:5" x14ac:dyDescent="0.25">
      <c r="A86" s="1">
        <v>45011</v>
      </c>
      <c r="B86">
        <v>66.5</v>
      </c>
      <c r="C86">
        <v>0</v>
      </c>
      <c r="D86">
        <v>0</v>
      </c>
      <c r="E86">
        <v>35</v>
      </c>
    </row>
    <row r="87" spans="1:5" x14ac:dyDescent="0.25">
      <c r="A87" s="1">
        <v>45012</v>
      </c>
      <c r="B87">
        <v>67.8</v>
      </c>
      <c r="C87">
        <v>0</v>
      </c>
      <c r="D87">
        <v>0</v>
      </c>
      <c r="E87">
        <v>38.299999999999997</v>
      </c>
    </row>
    <row r="88" spans="1:5" x14ac:dyDescent="0.25">
      <c r="A88" s="1">
        <v>45013</v>
      </c>
      <c r="B88">
        <v>62.2</v>
      </c>
      <c r="C88">
        <v>0</v>
      </c>
      <c r="D88">
        <v>0</v>
      </c>
      <c r="E88">
        <v>43.5</v>
      </c>
    </row>
    <row r="89" spans="1:5" x14ac:dyDescent="0.25">
      <c r="A89" s="1">
        <v>45014</v>
      </c>
      <c r="B89">
        <v>62.5</v>
      </c>
      <c r="C89">
        <v>0</v>
      </c>
      <c r="D89">
        <v>0</v>
      </c>
      <c r="E89">
        <v>39.200000000000003</v>
      </c>
    </row>
    <row r="90" spans="1:5" x14ac:dyDescent="0.25">
      <c r="A90" s="1">
        <v>45015</v>
      </c>
      <c r="B90">
        <v>70.3</v>
      </c>
      <c r="C90">
        <v>0</v>
      </c>
      <c r="D90">
        <v>0</v>
      </c>
      <c r="E90">
        <v>40.5</v>
      </c>
    </row>
    <row r="91" spans="1:5" x14ac:dyDescent="0.25">
      <c r="A91" s="1">
        <v>45016</v>
      </c>
      <c r="B91">
        <v>66.5</v>
      </c>
      <c r="C91">
        <v>0</v>
      </c>
      <c r="D91">
        <v>0</v>
      </c>
      <c r="E91">
        <v>42.4</v>
      </c>
    </row>
    <row r="92" spans="1:5" x14ac:dyDescent="0.25">
      <c r="A92" s="1">
        <v>45017</v>
      </c>
      <c r="B92">
        <v>65.8</v>
      </c>
      <c r="C92">
        <v>0</v>
      </c>
      <c r="D92">
        <v>0</v>
      </c>
      <c r="E92">
        <v>37</v>
      </c>
    </row>
    <row r="93" spans="1:5" x14ac:dyDescent="0.25">
      <c r="A93" s="1">
        <v>45018</v>
      </c>
      <c r="B93">
        <v>67.099999999999994</v>
      </c>
      <c r="C93">
        <v>0</v>
      </c>
      <c r="D93">
        <v>0</v>
      </c>
      <c r="E93">
        <v>35</v>
      </c>
    </row>
    <row r="94" spans="1:5" x14ac:dyDescent="0.25">
      <c r="A94" s="1">
        <v>45019</v>
      </c>
      <c r="B94">
        <v>70.5</v>
      </c>
      <c r="C94">
        <v>0</v>
      </c>
      <c r="D94">
        <v>0</v>
      </c>
      <c r="E94">
        <v>44</v>
      </c>
    </row>
    <row r="95" spans="1:5" x14ac:dyDescent="0.25">
      <c r="A95" s="1">
        <v>45020</v>
      </c>
      <c r="B95">
        <v>68</v>
      </c>
      <c r="C95">
        <v>0.17</v>
      </c>
      <c r="D95">
        <v>1</v>
      </c>
      <c r="E95">
        <v>38.1</v>
      </c>
    </row>
    <row r="96" spans="1:5" x14ac:dyDescent="0.25">
      <c r="A96" s="1">
        <v>45021</v>
      </c>
      <c r="B96">
        <v>62.9</v>
      </c>
      <c r="C96">
        <v>0</v>
      </c>
      <c r="D96">
        <v>0</v>
      </c>
      <c r="E96">
        <v>45.5</v>
      </c>
    </row>
    <row r="97" spans="1:5" x14ac:dyDescent="0.25">
      <c r="A97" s="1">
        <v>45022</v>
      </c>
      <c r="B97">
        <v>62.9</v>
      </c>
      <c r="C97">
        <v>0</v>
      </c>
      <c r="D97">
        <v>0</v>
      </c>
      <c r="E97">
        <v>36.9</v>
      </c>
    </row>
    <row r="98" spans="1:5" x14ac:dyDescent="0.25">
      <c r="A98" s="1">
        <v>45023</v>
      </c>
      <c r="B98">
        <v>65.3</v>
      </c>
      <c r="C98">
        <v>0</v>
      </c>
      <c r="D98">
        <v>0</v>
      </c>
      <c r="E98">
        <v>35.4</v>
      </c>
    </row>
    <row r="99" spans="1:5" x14ac:dyDescent="0.25">
      <c r="A99" s="1">
        <v>45024</v>
      </c>
      <c r="B99">
        <v>61.2</v>
      </c>
      <c r="C99">
        <v>0</v>
      </c>
      <c r="D99">
        <v>0</v>
      </c>
      <c r="E99">
        <v>38.4</v>
      </c>
    </row>
    <row r="100" spans="1:5" x14ac:dyDescent="0.25">
      <c r="A100" s="1">
        <v>45025</v>
      </c>
      <c r="B100">
        <v>64.900000000000006</v>
      </c>
      <c r="C100">
        <v>0</v>
      </c>
      <c r="D100">
        <v>0</v>
      </c>
      <c r="E100">
        <v>48</v>
      </c>
    </row>
    <row r="101" spans="1:5" x14ac:dyDescent="0.25">
      <c r="A101" s="1">
        <v>45026</v>
      </c>
      <c r="B101">
        <v>63.2</v>
      </c>
      <c r="C101">
        <v>0</v>
      </c>
      <c r="D101">
        <v>0</v>
      </c>
      <c r="E101">
        <v>35</v>
      </c>
    </row>
    <row r="102" spans="1:5" x14ac:dyDescent="0.25">
      <c r="A102" s="1">
        <v>45027</v>
      </c>
      <c r="B102">
        <v>64.3</v>
      </c>
      <c r="C102">
        <v>0</v>
      </c>
      <c r="D102">
        <v>0</v>
      </c>
      <c r="E102">
        <v>41.6</v>
      </c>
    </row>
    <row r="103" spans="1:5" x14ac:dyDescent="0.25">
      <c r="A103" s="1">
        <v>45028</v>
      </c>
      <c r="B103">
        <v>71.099999999999994</v>
      </c>
      <c r="C103">
        <v>0</v>
      </c>
      <c r="D103">
        <v>0</v>
      </c>
      <c r="E103">
        <v>35</v>
      </c>
    </row>
    <row r="104" spans="1:5" x14ac:dyDescent="0.25">
      <c r="A104" s="1">
        <v>45029</v>
      </c>
      <c r="B104">
        <v>73.5</v>
      </c>
      <c r="C104">
        <v>0</v>
      </c>
      <c r="D104">
        <v>0</v>
      </c>
      <c r="E104">
        <v>42.1</v>
      </c>
    </row>
    <row r="105" spans="1:5" x14ac:dyDescent="0.25">
      <c r="A105" s="1">
        <v>45030</v>
      </c>
      <c r="B105">
        <v>65</v>
      </c>
      <c r="C105">
        <v>3.1</v>
      </c>
      <c r="D105">
        <v>1</v>
      </c>
      <c r="E105">
        <v>48.6</v>
      </c>
    </row>
    <row r="106" spans="1:5" x14ac:dyDescent="0.25">
      <c r="A106" s="1">
        <v>45031</v>
      </c>
      <c r="B106">
        <v>69.599999999999994</v>
      </c>
      <c r="C106">
        <v>1.46</v>
      </c>
      <c r="D106">
        <v>1</v>
      </c>
      <c r="E106">
        <v>37.200000000000003</v>
      </c>
    </row>
    <row r="107" spans="1:5" x14ac:dyDescent="0.25">
      <c r="A107" s="1">
        <v>45032</v>
      </c>
      <c r="B107">
        <v>61</v>
      </c>
      <c r="C107">
        <v>0</v>
      </c>
      <c r="D107">
        <v>0</v>
      </c>
      <c r="E107">
        <v>39</v>
      </c>
    </row>
    <row r="108" spans="1:5" x14ac:dyDescent="0.25">
      <c r="A108" s="1">
        <v>45033</v>
      </c>
      <c r="B108">
        <v>64.599999999999994</v>
      </c>
      <c r="C108">
        <v>0</v>
      </c>
      <c r="D108">
        <v>0</v>
      </c>
      <c r="E108">
        <v>46.1</v>
      </c>
    </row>
    <row r="109" spans="1:5" x14ac:dyDescent="0.25">
      <c r="A109" s="1">
        <v>45034</v>
      </c>
      <c r="B109">
        <v>70.099999999999994</v>
      </c>
      <c r="C109">
        <v>0</v>
      </c>
      <c r="D109">
        <v>0</v>
      </c>
      <c r="E109">
        <v>37</v>
      </c>
    </row>
    <row r="110" spans="1:5" x14ac:dyDescent="0.25">
      <c r="A110" s="1">
        <v>45035</v>
      </c>
      <c r="B110">
        <v>67.2</v>
      </c>
      <c r="C110">
        <v>0</v>
      </c>
      <c r="D110">
        <v>0</v>
      </c>
      <c r="E110">
        <v>41.2</v>
      </c>
    </row>
    <row r="111" spans="1:5" x14ac:dyDescent="0.25">
      <c r="A111" s="1">
        <v>45036</v>
      </c>
      <c r="B111">
        <v>70.400000000000006</v>
      </c>
      <c r="C111">
        <v>0.35</v>
      </c>
      <c r="D111">
        <v>1</v>
      </c>
      <c r="E111">
        <v>35.5</v>
      </c>
    </row>
    <row r="112" spans="1:5" x14ac:dyDescent="0.25">
      <c r="A112" s="1">
        <v>45037</v>
      </c>
      <c r="B112">
        <v>71.900000000000006</v>
      </c>
      <c r="C112">
        <v>0</v>
      </c>
      <c r="D112">
        <v>0</v>
      </c>
      <c r="E112">
        <v>37.5</v>
      </c>
    </row>
    <row r="113" spans="1:5" x14ac:dyDescent="0.25">
      <c r="A113" s="1">
        <v>45038</v>
      </c>
      <c r="B113">
        <v>66.400000000000006</v>
      </c>
      <c r="C113">
        <v>0</v>
      </c>
      <c r="D113">
        <v>0</v>
      </c>
      <c r="E113">
        <v>35</v>
      </c>
    </row>
    <row r="114" spans="1:5" x14ac:dyDescent="0.25">
      <c r="A114" s="1">
        <v>45039</v>
      </c>
      <c r="B114">
        <v>71.099999999999994</v>
      </c>
      <c r="C114">
        <v>0</v>
      </c>
      <c r="D114">
        <v>0</v>
      </c>
      <c r="E114">
        <v>35</v>
      </c>
    </row>
    <row r="115" spans="1:5" x14ac:dyDescent="0.25">
      <c r="A115" s="1">
        <v>45040</v>
      </c>
      <c r="B115">
        <v>68.599999999999994</v>
      </c>
      <c r="C115">
        <v>0</v>
      </c>
      <c r="D115">
        <v>0</v>
      </c>
      <c r="E115">
        <v>41.2</v>
      </c>
    </row>
    <row r="116" spans="1:5" x14ac:dyDescent="0.25">
      <c r="A116" s="1">
        <v>45041</v>
      </c>
      <c r="B116">
        <v>70.5</v>
      </c>
      <c r="C116">
        <v>1.79</v>
      </c>
      <c r="D116">
        <v>1</v>
      </c>
      <c r="E116">
        <v>46.2</v>
      </c>
    </row>
    <row r="117" spans="1:5" x14ac:dyDescent="0.25">
      <c r="A117" s="1">
        <v>45042</v>
      </c>
      <c r="B117">
        <v>63.6</v>
      </c>
      <c r="C117">
        <v>0</v>
      </c>
      <c r="D117">
        <v>0</v>
      </c>
      <c r="E117">
        <v>38.4</v>
      </c>
    </row>
    <row r="118" spans="1:5" x14ac:dyDescent="0.25">
      <c r="A118" s="1">
        <v>45043</v>
      </c>
      <c r="B118">
        <v>72.2</v>
      </c>
      <c r="C118">
        <v>0.37</v>
      </c>
      <c r="D118">
        <v>1</v>
      </c>
      <c r="E118">
        <v>40.5</v>
      </c>
    </row>
    <row r="119" spans="1:5" x14ac:dyDescent="0.25">
      <c r="A119" s="1">
        <v>45044</v>
      </c>
      <c r="B119">
        <v>68.3</v>
      </c>
      <c r="C119">
        <v>0</v>
      </c>
      <c r="D119">
        <v>0</v>
      </c>
      <c r="E119">
        <v>39.9</v>
      </c>
    </row>
    <row r="120" spans="1:5" x14ac:dyDescent="0.25">
      <c r="A120" s="1">
        <v>45045</v>
      </c>
      <c r="B120">
        <v>72.900000000000006</v>
      </c>
      <c r="C120">
        <v>0</v>
      </c>
      <c r="D120">
        <v>0</v>
      </c>
      <c r="E120">
        <v>41</v>
      </c>
    </row>
    <row r="121" spans="1:5" x14ac:dyDescent="0.25">
      <c r="A121" s="1">
        <v>45046</v>
      </c>
      <c r="B121">
        <v>69.400000000000006</v>
      </c>
      <c r="C121">
        <v>0</v>
      </c>
      <c r="D121">
        <v>0</v>
      </c>
      <c r="E121">
        <v>48</v>
      </c>
    </row>
    <row r="122" spans="1:5" x14ac:dyDescent="0.25">
      <c r="A122" s="1">
        <v>45047</v>
      </c>
      <c r="B122">
        <v>68.2</v>
      </c>
      <c r="C122">
        <v>0.9</v>
      </c>
      <c r="D122">
        <v>1</v>
      </c>
      <c r="E122">
        <v>40.700000000000003</v>
      </c>
    </row>
    <row r="123" spans="1:5" x14ac:dyDescent="0.25">
      <c r="A123" s="1">
        <v>45048</v>
      </c>
      <c r="B123">
        <v>66</v>
      </c>
      <c r="C123">
        <v>0.72</v>
      </c>
      <c r="D123">
        <v>1</v>
      </c>
      <c r="E123">
        <v>43.7</v>
      </c>
    </row>
    <row r="124" spans="1:5" x14ac:dyDescent="0.25">
      <c r="A124" s="1">
        <v>45049</v>
      </c>
      <c r="B124">
        <v>70.400000000000006</v>
      </c>
      <c r="C124">
        <v>2.17</v>
      </c>
      <c r="D124">
        <v>1</v>
      </c>
      <c r="E124">
        <v>40.200000000000003</v>
      </c>
    </row>
    <row r="125" spans="1:5" x14ac:dyDescent="0.25">
      <c r="A125" s="1">
        <v>45050</v>
      </c>
      <c r="B125">
        <v>69.8</v>
      </c>
      <c r="C125">
        <v>0</v>
      </c>
      <c r="D125">
        <v>0</v>
      </c>
      <c r="E125">
        <v>48.8</v>
      </c>
    </row>
    <row r="126" spans="1:5" x14ac:dyDescent="0.25">
      <c r="A126" s="1">
        <v>45051</v>
      </c>
      <c r="B126">
        <v>67.400000000000006</v>
      </c>
      <c r="C126">
        <v>1.58</v>
      </c>
      <c r="D126">
        <v>1</v>
      </c>
      <c r="E126">
        <v>37</v>
      </c>
    </row>
    <row r="127" spans="1:5" x14ac:dyDescent="0.25">
      <c r="A127" s="1">
        <v>45052</v>
      </c>
      <c r="B127">
        <v>70.5</v>
      </c>
      <c r="C127">
        <v>0.53</v>
      </c>
      <c r="D127">
        <v>1</v>
      </c>
      <c r="E127">
        <v>44.3</v>
      </c>
    </row>
    <row r="128" spans="1:5" x14ac:dyDescent="0.25">
      <c r="A128" s="1">
        <v>45053</v>
      </c>
      <c r="B128">
        <v>64.5</v>
      </c>
      <c r="C128">
        <v>0</v>
      </c>
      <c r="D128">
        <v>0</v>
      </c>
      <c r="E128">
        <v>44.8</v>
      </c>
    </row>
    <row r="129" spans="1:5" x14ac:dyDescent="0.25">
      <c r="A129" s="1">
        <v>45054</v>
      </c>
      <c r="B129">
        <v>70</v>
      </c>
      <c r="C129">
        <v>0</v>
      </c>
      <c r="D129">
        <v>0</v>
      </c>
      <c r="E129">
        <v>43.8</v>
      </c>
    </row>
    <row r="130" spans="1:5" x14ac:dyDescent="0.25">
      <c r="A130" s="1">
        <v>45055</v>
      </c>
      <c r="B130">
        <v>70.3</v>
      </c>
      <c r="C130">
        <v>0.69</v>
      </c>
      <c r="D130">
        <v>1</v>
      </c>
      <c r="E130">
        <v>36.700000000000003</v>
      </c>
    </row>
    <row r="131" spans="1:5" x14ac:dyDescent="0.25">
      <c r="A131" s="1">
        <v>45056</v>
      </c>
      <c r="B131">
        <v>69.599999999999994</v>
      </c>
      <c r="C131">
        <v>0</v>
      </c>
      <c r="D131">
        <v>0</v>
      </c>
      <c r="E131">
        <v>43.3</v>
      </c>
    </row>
    <row r="132" spans="1:5" x14ac:dyDescent="0.25">
      <c r="A132" s="1">
        <v>45057</v>
      </c>
      <c r="B132">
        <v>67.3</v>
      </c>
      <c r="C132">
        <v>0</v>
      </c>
      <c r="D132">
        <v>0</v>
      </c>
      <c r="E132">
        <v>46.5</v>
      </c>
    </row>
    <row r="133" spans="1:5" x14ac:dyDescent="0.25">
      <c r="A133" s="1">
        <v>45058</v>
      </c>
      <c r="B133">
        <v>65.400000000000006</v>
      </c>
      <c r="C133">
        <v>0</v>
      </c>
      <c r="D133">
        <v>0</v>
      </c>
      <c r="E133">
        <v>41.1</v>
      </c>
    </row>
    <row r="134" spans="1:5" x14ac:dyDescent="0.25">
      <c r="A134" s="1">
        <v>45059</v>
      </c>
      <c r="B134">
        <v>70</v>
      </c>
      <c r="C134">
        <v>0.88</v>
      </c>
      <c r="D134">
        <v>1</v>
      </c>
      <c r="E134">
        <v>38.1</v>
      </c>
    </row>
    <row r="135" spans="1:5" x14ac:dyDescent="0.25">
      <c r="A135" s="1">
        <v>45060</v>
      </c>
      <c r="B135">
        <v>72.900000000000006</v>
      </c>
      <c r="C135">
        <v>0</v>
      </c>
      <c r="D135">
        <v>0</v>
      </c>
      <c r="E135">
        <v>44.8</v>
      </c>
    </row>
    <row r="136" spans="1:5" x14ac:dyDescent="0.25">
      <c r="A136" s="1">
        <v>45061</v>
      </c>
      <c r="B136">
        <v>74.8</v>
      </c>
      <c r="C136">
        <v>0</v>
      </c>
      <c r="D136">
        <v>0</v>
      </c>
      <c r="E136">
        <v>49</v>
      </c>
    </row>
    <row r="137" spans="1:5" x14ac:dyDescent="0.25">
      <c r="A137" s="1">
        <v>45062</v>
      </c>
      <c r="B137">
        <v>74.8</v>
      </c>
      <c r="C137">
        <v>0</v>
      </c>
      <c r="D137">
        <v>0</v>
      </c>
      <c r="E137">
        <v>40.5</v>
      </c>
    </row>
    <row r="138" spans="1:5" x14ac:dyDescent="0.25">
      <c r="A138" s="1">
        <v>45063</v>
      </c>
      <c r="B138">
        <v>72.400000000000006</v>
      </c>
      <c r="C138">
        <v>0.79</v>
      </c>
      <c r="D138">
        <v>1</v>
      </c>
      <c r="E138">
        <v>47.5</v>
      </c>
    </row>
    <row r="139" spans="1:5" x14ac:dyDescent="0.25">
      <c r="A139" s="1">
        <v>45064</v>
      </c>
      <c r="B139">
        <v>70</v>
      </c>
      <c r="C139">
        <v>0</v>
      </c>
      <c r="D139">
        <v>0</v>
      </c>
      <c r="E139">
        <v>45.5</v>
      </c>
    </row>
    <row r="140" spans="1:5" x14ac:dyDescent="0.25">
      <c r="A140" s="1">
        <v>45065</v>
      </c>
      <c r="B140">
        <v>76.7</v>
      </c>
      <c r="C140">
        <v>0</v>
      </c>
      <c r="D140">
        <v>0</v>
      </c>
      <c r="E140">
        <v>47.4</v>
      </c>
    </row>
    <row r="141" spans="1:5" x14ac:dyDescent="0.25">
      <c r="A141" s="1">
        <v>45066</v>
      </c>
      <c r="B141">
        <v>67.7</v>
      </c>
      <c r="C141">
        <v>0</v>
      </c>
      <c r="D141">
        <v>0</v>
      </c>
      <c r="E141">
        <v>37.200000000000003</v>
      </c>
    </row>
    <row r="142" spans="1:5" x14ac:dyDescent="0.25">
      <c r="A142" s="1">
        <v>45067</v>
      </c>
      <c r="B142">
        <v>66.400000000000006</v>
      </c>
      <c r="C142">
        <v>0</v>
      </c>
      <c r="D142">
        <v>0</v>
      </c>
      <c r="E142">
        <v>57.4</v>
      </c>
    </row>
    <row r="143" spans="1:5" x14ac:dyDescent="0.25">
      <c r="A143" s="1">
        <v>45068</v>
      </c>
      <c r="B143">
        <v>70.7</v>
      </c>
      <c r="C143">
        <v>0</v>
      </c>
      <c r="D143">
        <v>0</v>
      </c>
      <c r="E143">
        <v>56.6</v>
      </c>
    </row>
    <row r="144" spans="1:5" x14ac:dyDescent="0.25">
      <c r="A144" s="1">
        <v>45069</v>
      </c>
      <c r="B144">
        <v>78.400000000000006</v>
      </c>
      <c r="C144">
        <v>0</v>
      </c>
      <c r="D144">
        <v>0</v>
      </c>
      <c r="E144">
        <v>44.1</v>
      </c>
    </row>
    <row r="145" spans="1:5" x14ac:dyDescent="0.25">
      <c r="A145" s="1">
        <v>45070</v>
      </c>
      <c r="B145">
        <v>77.7</v>
      </c>
      <c r="C145">
        <v>0</v>
      </c>
      <c r="D145">
        <v>0</v>
      </c>
      <c r="E145">
        <v>52.9</v>
      </c>
    </row>
    <row r="146" spans="1:5" x14ac:dyDescent="0.25">
      <c r="A146" s="1">
        <v>45071</v>
      </c>
      <c r="B146">
        <v>75.099999999999994</v>
      </c>
      <c r="C146">
        <v>0</v>
      </c>
      <c r="D146">
        <v>0</v>
      </c>
      <c r="E146">
        <v>50.1</v>
      </c>
    </row>
    <row r="147" spans="1:5" x14ac:dyDescent="0.25">
      <c r="A147" s="1">
        <v>45072</v>
      </c>
      <c r="B147">
        <v>72.5</v>
      </c>
      <c r="C147">
        <v>0</v>
      </c>
      <c r="D147">
        <v>0</v>
      </c>
      <c r="E147">
        <v>41.3</v>
      </c>
    </row>
    <row r="148" spans="1:5" x14ac:dyDescent="0.25">
      <c r="A148" s="1">
        <v>45073</v>
      </c>
      <c r="B148">
        <v>74.900000000000006</v>
      </c>
      <c r="C148">
        <v>0.47</v>
      </c>
      <c r="D148">
        <v>1</v>
      </c>
      <c r="E148">
        <v>44.5</v>
      </c>
    </row>
    <row r="149" spans="1:5" x14ac:dyDescent="0.25">
      <c r="A149" s="1">
        <v>45074</v>
      </c>
      <c r="B149">
        <v>68.2</v>
      </c>
      <c r="C149">
        <v>0.76</v>
      </c>
      <c r="D149">
        <v>1</v>
      </c>
      <c r="E149">
        <v>59.8</v>
      </c>
    </row>
    <row r="150" spans="1:5" x14ac:dyDescent="0.25">
      <c r="A150" s="1">
        <v>45075</v>
      </c>
      <c r="B150">
        <v>72.400000000000006</v>
      </c>
      <c r="C150">
        <v>0.99</v>
      </c>
      <c r="D150">
        <v>1</v>
      </c>
      <c r="E150">
        <v>53.6</v>
      </c>
    </row>
    <row r="151" spans="1:5" x14ac:dyDescent="0.25">
      <c r="A151" s="1">
        <v>45076</v>
      </c>
      <c r="B151">
        <v>76.8</v>
      </c>
      <c r="C151">
        <v>1.28</v>
      </c>
      <c r="D151">
        <v>1</v>
      </c>
      <c r="E151">
        <v>56.8</v>
      </c>
    </row>
    <row r="152" spans="1:5" x14ac:dyDescent="0.25">
      <c r="A152" s="1">
        <v>45077</v>
      </c>
      <c r="B152">
        <v>76.400000000000006</v>
      </c>
      <c r="C152">
        <v>0</v>
      </c>
      <c r="D152">
        <v>0</v>
      </c>
      <c r="E152">
        <v>46.4</v>
      </c>
    </row>
    <row r="153" spans="1:5" x14ac:dyDescent="0.25">
      <c r="A153" s="1">
        <v>45078</v>
      </c>
      <c r="B153">
        <v>72.8</v>
      </c>
      <c r="C153">
        <v>0</v>
      </c>
      <c r="D153">
        <v>0</v>
      </c>
      <c r="E153">
        <v>59.4</v>
      </c>
    </row>
    <row r="154" spans="1:5" x14ac:dyDescent="0.25">
      <c r="A154" s="1">
        <v>45079</v>
      </c>
      <c r="B154">
        <v>68.900000000000006</v>
      </c>
      <c r="C154">
        <v>0</v>
      </c>
      <c r="D154">
        <v>0</v>
      </c>
      <c r="E154">
        <v>50.8</v>
      </c>
    </row>
    <row r="155" spans="1:5" x14ac:dyDescent="0.25">
      <c r="A155" s="1">
        <v>45080</v>
      </c>
      <c r="B155">
        <v>74.7</v>
      </c>
      <c r="C155">
        <v>0.11</v>
      </c>
      <c r="D155">
        <v>1</v>
      </c>
      <c r="E155">
        <v>41.6</v>
      </c>
    </row>
    <row r="156" spans="1:5" x14ac:dyDescent="0.25">
      <c r="A156" s="1">
        <v>45081</v>
      </c>
      <c r="B156">
        <v>76.599999999999994</v>
      </c>
      <c r="C156">
        <v>0</v>
      </c>
      <c r="D156">
        <v>0</v>
      </c>
      <c r="E156">
        <v>44</v>
      </c>
    </row>
    <row r="157" spans="1:5" x14ac:dyDescent="0.25">
      <c r="A157" s="1">
        <v>45082</v>
      </c>
      <c r="B157">
        <v>76.5</v>
      </c>
      <c r="C157">
        <v>0.63</v>
      </c>
      <c r="D157">
        <v>1</v>
      </c>
      <c r="E157">
        <v>58.1</v>
      </c>
    </row>
    <row r="158" spans="1:5" x14ac:dyDescent="0.25">
      <c r="A158" s="1">
        <v>45083</v>
      </c>
      <c r="B158">
        <v>74.900000000000006</v>
      </c>
      <c r="C158">
        <v>0</v>
      </c>
      <c r="D158">
        <v>0</v>
      </c>
      <c r="E158">
        <v>58.4</v>
      </c>
    </row>
    <row r="159" spans="1:5" x14ac:dyDescent="0.25">
      <c r="A159" s="1">
        <v>45084</v>
      </c>
      <c r="B159">
        <v>73.2</v>
      </c>
      <c r="C159">
        <v>1.85</v>
      </c>
      <c r="D159">
        <v>1</v>
      </c>
      <c r="E159">
        <v>53.4</v>
      </c>
    </row>
    <row r="160" spans="1:5" x14ac:dyDescent="0.25">
      <c r="A160" s="1">
        <v>45085</v>
      </c>
      <c r="B160">
        <v>78.599999999999994</v>
      </c>
      <c r="C160">
        <v>0.81</v>
      </c>
      <c r="D160">
        <v>1</v>
      </c>
      <c r="E160">
        <v>64.7</v>
      </c>
    </row>
    <row r="161" spans="1:5" x14ac:dyDescent="0.25">
      <c r="A161" s="1">
        <v>45086</v>
      </c>
      <c r="B161">
        <v>74.3</v>
      </c>
      <c r="C161">
        <v>0.49</v>
      </c>
      <c r="D161">
        <v>1</v>
      </c>
      <c r="E161">
        <v>62.3</v>
      </c>
    </row>
    <row r="162" spans="1:5" x14ac:dyDescent="0.25">
      <c r="A162" s="1">
        <v>45087</v>
      </c>
      <c r="B162">
        <v>74.8</v>
      </c>
      <c r="C162">
        <v>0</v>
      </c>
      <c r="D162">
        <v>0</v>
      </c>
      <c r="E162">
        <v>58.9</v>
      </c>
    </row>
    <row r="163" spans="1:5" x14ac:dyDescent="0.25">
      <c r="A163" s="1">
        <v>45088</v>
      </c>
      <c r="B163">
        <v>78.3</v>
      </c>
      <c r="C163">
        <v>0</v>
      </c>
      <c r="D163">
        <v>0</v>
      </c>
      <c r="E163">
        <v>50.2</v>
      </c>
    </row>
    <row r="164" spans="1:5" x14ac:dyDescent="0.25">
      <c r="A164" s="1">
        <v>45089</v>
      </c>
      <c r="B164">
        <v>75.8</v>
      </c>
      <c r="C164">
        <v>0</v>
      </c>
      <c r="D164">
        <v>0</v>
      </c>
      <c r="E164">
        <v>55.5</v>
      </c>
    </row>
    <row r="165" spans="1:5" x14ac:dyDescent="0.25">
      <c r="A165" s="1">
        <v>45090</v>
      </c>
      <c r="B165">
        <v>82.7</v>
      </c>
      <c r="C165">
        <v>0.67</v>
      </c>
      <c r="D165">
        <v>1</v>
      </c>
      <c r="E165">
        <v>57.7</v>
      </c>
    </row>
    <row r="166" spans="1:5" x14ac:dyDescent="0.25">
      <c r="A166" s="1">
        <v>45091</v>
      </c>
      <c r="B166">
        <v>76.900000000000006</v>
      </c>
      <c r="C166">
        <v>1.6</v>
      </c>
      <c r="D166">
        <v>1</v>
      </c>
      <c r="E166">
        <v>62</v>
      </c>
    </row>
    <row r="167" spans="1:5" x14ac:dyDescent="0.25">
      <c r="A167" s="1">
        <v>45092</v>
      </c>
      <c r="B167">
        <v>78.5</v>
      </c>
      <c r="C167">
        <v>0</v>
      </c>
      <c r="D167">
        <v>0</v>
      </c>
      <c r="E167">
        <v>58.7</v>
      </c>
    </row>
    <row r="168" spans="1:5" x14ac:dyDescent="0.25">
      <c r="A168" s="1">
        <v>45093</v>
      </c>
      <c r="B168">
        <v>82.1</v>
      </c>
      <c r="C168">
        <v>0</v>
      </c>
      <c r="D168">
        <v>0</v>
      </c>
      <c r="E168">
        <v>57.6</v>
      </c>
    </row>
    <row r="169" spans="1:5" x14ac:dyDescent="0.25">
      <c r="A169" s="1">
        <v>45094</v>
      </c>
      <c r="B169">
        <v>83.5</v>
      </c>
      <c r="C169">
        <v>0</v>
      </c>
      <c r="D169">
        <v>0</v>
      </c>
      <c r="E169">
        <v>56.4</v>
      </c>
    </row>
    <row r="170" spans="1:5" x14ac:dyDescent="0.25">
      <c r="A170" s="1">
        <v>45095</v>
      </c>
      <c r="B170">
        <v>71.900000000000006</v>
      </c>
      <c r="C170">
        <v>0</v>
      </c>
      <c r="D170">
        <v>0</v>
      </c>
      <c r="E170">
        <v>60</v>
      </c>
    </row>
    <row r="171" spans="1:5" x14ac:dyDescent="0.25">
      <c r="A171" s="1">
        <v>45096</v>
      </c>
      <c r="B171">
        <v>78.5</v>
      </c>
      <c r="C171">
        <v>7.0000000000000007E-2</v>
      </c>
      <c r="D171">
        <v>1</v>
      </c>
      <c r="E171">
        <v>58.4</v>
      </c>
    </row>
    <row r="172" spans="1:5" x14ac:dyDescent="0.25">
      <c r="A172" s="1">
        <v>45097</v>
      </c>
      <c r="B172">
        <v>72.7</v>
      </c>
      <c r="C172">
        <v>0</v>
      </c>
      <c r="D172">
        <v>0</v>
      </c>
      <c r="E172">
        <v>64.400000000000006</v>
      </c>
    </row>
    <row r="173" spans="1:5" x14ac:dyDescent="0.25">
      <c r="A173" s="1">
        <v>45098</v>
      </c>
      <c r="B173">
        <v>77.3</v>
      </c>
      <c r="C173">
        <v>0</v>
      </c>
      <c r="D173">
        <v>0</v>
      </c>
      <c r="E173">
        <v>59</v>
      </c>
    </row>
    <row r="174" spans="1:5" x14ac:dyDescent="0.25">
      <c r="A174" s="1">
        <v>45099</v>
      </c>
      <c r="B174">
        <v>78.7</v>
      </c>
      <c r="C174">
        <v>0</v>
      </c>
      <c r="D174">
        <v>0</v>
      </c>
      <c r="E174">
        <v>48.7</v>
      </c>
    </row>
    <row r="175" spans="1:5" x14ac:dyDescent="0.25">
      <c r="A175" s="1">
        <v>45100</v>
      </c>
      <c r="B175">
        <v>81.400000000000006</v>
      </c>
      <c r="C175">
        <v>1.02</v>
      </c>
      <c r="D175">
        <v>1</v>
      </c>
      <c r="E175">
        <v>60.4</v>
      </c>
    </row>
    <row r="176" spans="1:5" x14ac:dyDescent="0.25">
      <c r="A176" s="1">
        <v>45101</v>
      </c>
      <c r="B176">
        <v>86.1</v>
      </c>
      <c r="C176">
        <v>1.04</v>
      </c>
      <c r="D176">
        <v>1</v>
      </c>
      <c r="E176">
        <v>56.7</v>
      </c>
    </row>
    <row r="177" spans="1:5" x14ac:dyDescent="0.25">
      <c r="A177" s="1">
        <v>45102</v>
      </c>
      <c r="B177">
        <v>73.900000000000006</v>
      </c>
      <c r="C177">
        <v>0</v>
      </c>
      <c r="D177">
        <v>0</v>
      </c>
      <c r="E177">
        <v>50.8</v>
      </c>
    </row>
    <row r="178" spans="1:5" x14ac:dyDescent="0.25">
      <c r="A178" s="1">
        <v>45103</v>
      </c>
      <c r="B178">
        <v>85.7</v>
      </c>
      <c r="C178">
        <v>0</v>
      </c>
      <c r="D178">
        <v>0</v>
      </c>
      <c r="E178">
        <v>63.4</v>
      </c>
    </row>
    <row r="179" spans="1:5" x14ac:dyDescent="0.25">
      <c r="A179" s="1">
        <v>45104</v>
      </c>
      <c r="B179">
        <v>80.3</v>
      </c>
      <c r="C179">
        <v>2.4500000000000002</v>
      </c>
      <c r="D179">
        <v>1</v>
      </c>
      <c r="E179">
        <v>56.4</v>
      </c>
    </row>
    <row r="180" spans="1:5" x14ac:dyDescent="0.25">
      <c r="A180" s="1">
        <v>45105</v>
      </c>
      <c r="B180">
        <v>79.3</v>
      </c>
      <c r="C180">
        <v>0</v>
      </c>
      <c r="D180">
        <v>0</v>
      </c>
      <c r="E180">
        <v>65.5</v>
      </c>
    </row>
    <row r="181" spans="1:5" x14ac:dyDescent="0.25">
      <c r="A181" s="1">
        <v>45106</v>
      </c>
      <c r="B181">
        <v>83.2</v>
      </c>
      <c r="C181">
        <v>0.11</v>
      </c>
      <c r="D181">
        <v>1</v>
      </c>
      <c r="E181">
        <v>75.7</v>
      </c>
    </row>
    <row r="182" spans="1:5" x14ac:dyDescent="0.25">
      <c r="A182" s="1">
        <v>45107</v>
      </c>
      <c r="B182">
        <v>78.099999999999994</v>
      </c>
      <c r="C182">
        <v>0.96</v>
      </c>
      <c r="D182">
        <v>1</v>
      </c>
      <c r="E182">
        <v>58.9</v>
      </c>
    </row>
    <row r="183" spans="1:5" x14ac:dyDescent="0.25">
      <c r="A183" s="1">
        <v>45108</v>
      </c>
      <c r="B183">
        <v>83.5</v>
      </c>
      <c r="C183">
        <v>0</v>
      </c>
      <c r="D183">
        <v>0</v>
      </c>
      <c r="E183">
        <v>65.099999999999994</v>
      </c>
    </row>
    <row r="184" spans="1:5" x14ac:dyDescent="0.25">
      <c r="A184" s="1">
        <v>45109</v>
      </c>
      <c r="B184">
        <v>77</v>
      </c>
      <c r="C184">
        <v>2.08</v>
      </c>
      <c r="D184">
        <v>1</v>
      </c>
      <c r="E184">
        <v>61.3</v>
      </c>
    </row>
    <row r="185" spans="1:5" x14ac:dyDescent="0.25">
      <c r="A185" s="1">
        <v>45110</v>
      </c>
      <c r="B185">
        <v>82.9</v>
      </c>
      <c r="C185">
        <v>1.27</v>
      </c>
      <c r="D185">
        <v>1</v>
      </c>
      <c r="E185">
        <v>69.5</v>
      </c>
    </row>
    <row r="186" spans="1:5" x14ac:dyDescent="0.25">
      <c r="A186" s="1">
        <v>45111</v>
      </c>
      <c r="B186">
        <v>82.7</v>
      </c>
      <c r="C186">
        <v>0.51</v>
      </c>
      <c r="D186">
        <v>1</v>
      </c>
      <c r="E186">
        <v>56.7</v>
      </c>
    </row>
    <row r="187" spans="1:5" x14ac:dyDescent="0.25">
      <c r="A187" s="1">
        <v>45112</v>
      </c>
      <c r="B187">
        <v>77.599999999999994</v>
      </c>
      <c r="C187">
        <v>0</v>
      </c>
      <c r="D187">
        <v>0</v>
      </c>
      <c r="E187">
        <v>64.3</v>
      </c>
    </row>
    <row r="188" spans="1:5" x14ac:dyDescent="0.25">
      <c r="A188" s="1">
        <v>45113</v>
      </c>
      <c r="B188">
        <v>79.900000000000006</v>
      </c>
      <c r="C188">
        <v>0.95</v>
      </c>
      <c r="D188">
        <v>1</v>
      </c>
      <c r="E188">
        <v>68.8</v>
      </c>
    </row>
    <row r="189" spans="1:5" x14ac:dyDescent="0.25">
      <c r="A189" s="1">
        <v>45114</v>
      </c>
      <c r="B189">
        <v>77.3</v>
      </c>
      <c r="C189">
        <v>0</v>
      </c>
      <c r="D189">
        <v>0</v>
      </c>
      <c r="E189">
        <v>61</v>
      </c>
    </row>
    <row r="190" spans="1:5" x14ac:dyDescent="0.25">
      <c r="A190" s="1">
        <v>45115</v>
      </c>
      <c r="B190">
        <v>82</v>
      </c>
      <c r="C190">
        <v>0.56999999999999995</v>
      </c>
      <c r="D190">
        <v>1</v>
      </c>
      <c r="E190">
        <v>63.8</v>
      </c>
    </row>
    <row r="191" spans="1:5" x14ac:dyDescent="0.25">
      <c r="A191" s="1">
        <v>45116</v>
      </c>
      <c r="B191">
        <v>79.099999999999994</v>
      </c>
      <c r="C191">
        <v>0</v>
      </c>
      <c r="D191">
        <v>0</v>
      </c>
      <c r="E191">
        <v>61.1</v>
      </c>
    </row>
    <row r="192" spans="1:5" x14ac:dyDescent="0.25">
      <c r="A192" s="1">
        <v>45117</v>
      </c>
      <c r="B192">
        <v>80.7</v>
      </c>
      <c r="C192">
        <v>1</v>
      </c>
      <c r="D192">
        <v>1</v>
      </c>
      <c r="E192">
        <v>69.599999999999994</v>
      </c>
    </row>
    <row r="193" spans="1:5" x14ac:dyDescent="0.25">
      <c r="A193" s="1">
        <v>45118</v>
      </c>
      <c r="B193">
        <v>83.3</v>
      </c>
      <c r="C193">
        <v>0</v>
      </c>
      <c r="D193">
        <v>0</v>
      </c>
      <c r="E193">
        <v>68.5</v>
      </c>
    </row>
    <row r="194" spans="1:5" x14ac:dyDescent="0.25">
      <c r="A194" s="1">
        <v>45119</v>
      </c>
      <c r="B194">
        <v>82.7</v>
      </c>
      <c r="C194">
        <v>0</v>
      </c>
      <c r="D194">
        <v>0</v>
      </c>
      <c r="E194">
        <v>70.099999999999994</v>
      </c>
    </row>
    <row r="195" spans="1:5" x14ac:dyDescent="0.25">
      <c r="A195" s="1">
        <v>45120</v>
      </c>
      <c r="B195">
        <v>84.7</v>
      </c>
      <c r="C195">
        <v>1.2</v>
      </c>
      <c r="D195">
        <v>1</v>
      </c>
      <c r="E195">
        <v>68.900000000000006</v>
      </c>
    </row>
    <row r="196" spans="1:5" x14ac:dyDescent="0.25">
      <c r="A196" s="1">
        <v>45121</v>
      </c>
      <c r="B196">
        <v>89</v>
      </c>
      <c r="C196">
        <v>1.1100000000000001</v>
      </c>
      <c r="D196">
        <v>1</v>
      </c>
      <c r="E196">
        <v>68.8</v>
      </c>
    </row>
    <row r="197" spans="1:5" x14ac:dyDescent="0.25">
      <c r="A197" s="1">
        <v>45122</v>
      </c>
      <c r="B197">
        <v>81.3</v>
      </c>
      <c r="C197">
        <v>0</v>
      </c>
      <c r="D197">
        <v>0</v>
      </c>
      <c r="E197">
        <v>72.400000000000006</v>
      </c>
    </row>
    <row r="198" spans="1:5" x14ac:dyDescent="0.25">
      <c r="A198" s="1">
        <v>45123</v>
      </c>
      <c r="B198">
        <v>80.7</v>
      </c>
      <c r="C198">
        <v>0.31</v>
      </c>
      <c r="D198">
        <v>1</v>
      </c>
      <c r="E198">
        <v>73.599999999999994</v>
      </c>
    </row>
    <row r="199" spans="1:5" x14ac:dyDescent="0.25">
      <c r="A199" s="1">
        <v>45124</v>
      </c>
      <c r="B199">
        <v>87.8</v>
      </c>
      <c r="C199">
        <v>0</v>
      </c>
      <c r="D199">
        <v>0</v>
      </c>
      <c r="E199">
        <v>62.5</v>
      </c>
    </row>
    <row r="200" spans="1:5" x14ac:dyDescent="0.25">
      <c r="A200" s="1">
        <v>45125</v>
      </c>
      <c r="B200">
        <v>85</v>
      </c>
      <c r="C200">
        <v>0</v>
      </c>
      <c r="D200">
        <v>0</v>
      </c>
      <c r="E200">
        <v>70.3</v>
      </c>
    </row>
    <row r="201" spans="1:5" x14ac:dyDescent="0.25">
      <c r="A201" s="1">
        <v>45126</v>
      </c>
      <c r="B201">
        <v>84.6</v>
      </c>
      <c r="C201">
        <v>0</v>
      </c>
      <c r="D201">
        <v>0</v>
      </c>
      <c r="E201">
        <v>72.900000000000006</v>
      </c>
    </row>
    <row r="202" spans="1:5" x14ac:dyDescent="0.25">
      <c r="A202" s="1">
        <v>45127</v>
      </c>
      <c r="B202">
        <v>85.7</v>
      </c>
      <c r="C202">
        <v>0</v>
      </c>
      <c r="D202">
        <v>0</v>
      </c>
      <c r="E202">
        <v>68.3</v>
      </c>
    </row>
    <row r="203" spans="1:5" x14ac:dyDescent="0.25">
      <c r="A203" s="1">
        <v>45128</v>
      </c>
      <c r="B203">
        <v>83.4</v>
      </c>
      <c r="C203">
        <v>0</v>
      </c>
      <c r="D203">
        <v>0</v>
      </c>
      <c r="E203">
        <v>68.099999999999994</v>
      </c>
    </row>
    <row r="204" spans="1:5" x14ac:dyDescent="0.25">
      <c r="A204" s="1">
        <v>45129</v>
      </c>
      <c r="B204">
        <v>83</v>
      </c>
      <c r="C204">
        <v>0.49</v>
      </c>
      <c r="D204">
        <v>1</v>
      </c>
      <c r="E204">
        <v>61.9</v>
      </c>
    </row>
    <row r="205" spans="1:5" x14ac:dyDescent="0.25">
      <c r="A205" s="1">
        <v>45130</v>
      </c>
      <c r="B205">
        <v>84.9</v>
      </c>
      <c r="C205">
        <v>0.01</v>
      </c>
      <c r="D205">
        <v>1</v>
      </c>
      <c r="E205">
        <v>70.7</v>
      </c>
    </row>
    <row r="206" spans="1:5" x14ac:dyDescent="0.25">
      <c r="A206" s="1">
        <v>45131</v>
      </c>
      <c r="B206">
        <v>88.9</v>
      </c>
      <c r="C206">
        <v>0.48</v>
      </c>
      <c r="D206">
        <v>1</v>
      </c>
      <c r="E206">
        <v>58.4</v>
      </c>
    </row>
    <row r="207" spans="1:5" x14ac:dyDescent="0.25">
      <c r="A207" s="1">
        <v>45132</v>
      </c>
      <c r="B207">
        <v>82.1</v>
      </c>
      <c r="C207">
        <v>0</v>
      </c>
      <c r="D207">
        <v>0</v>
      </c>
      <c r="E207">
        <v>78.7</v>
      </c>
    </row>
    <row r="208" spans="1:5" x14ac:dyDescent="0.25">
      <c r="A208" s="1">
        <v>45133</v>
      </c>
      <c r="B208">
        <v>88.4</v>
      </c>
      <c r="C208">
        <v>1.02</v>
      </c>
      <c r="D208">
        <v>1</v>
      </c>
      <c r="E208">
        <v>69.8</v>
      </c>
    </row>
    <row r="209" spans="1:5" x14ac:dyDescent="0.25">
      <c r="A209" s="1">
        <v>45134</v>
      </c>
      <c r="B209">
        <v>85.4</v>
      </c>
      <c r="C209">
        <v>0</v>
      </c>
      <c r="D209">
        <v>0</v>
      </c>
      <c r="E209">
        <v>78.3</v>
      </c>
    </row>
    <row r="210" spans="1:5" x14ac:dyDescent="0.25">
      <c r="A210" s="1">
        <v>45135</v>
      </c>
      <c r="B210">
        <v>86.2</v>
      </c>
      <c r="C210">
        <v>0</v>
      </c>
      <c r="D210">
        <v>0</v>
      </c>
      <c r="E210">
        <v>62.3</v>
      </c>
    </row>
    <row r="211" spans="1:5" x14ac:dyDescent="0.25">
      <c r="A211" s="1">
        <v>45136</v>
      </c>
      <c r="B211">
        <v>84.5</v>
      </c>
      <c r="C211">
        <v>0</v>
      </c>
      <c r="D211">
        <v>0</v>
      </c>
      <c r="E211">
        <v>63.8</v>
      </c>
    </row>
    <row r="212" spans="1:5" x14ac:dyDescent="0.25">
      <c r="A212" s="1">
        <v>45137</v>
      </c>
      <c r="B212">
        <v>87.4</v>
      </c>
      <c r="C212">
        <v>0</v>
      </c>
      <c r="D212">
        <v>0</v>
      </c>
      <c r="E212">
        <v>72.900000000000006</v>
      </c>
    </row>
    <row r="213" spans="1:5" x14ac:dyDescent="0.25">
      <c r="A213" s="1">
        <v>45138</v>
      </c>
      <c r="B213">
        <v>89.8</v>
      </c>
      <c r="C213">
        <v>0.71</v>
      </c>
      <c r="D213">
        <v>1</v>
      </c>
      <c r="E213">
        <v>69</v>
      </c>
    </row>
    <row r="214" spans="1:5" x14ac:dyDescent="0.25">
      <c r="A214" s="1">
        <v>45139</v>
      </c>
      <c r="B214">
        <v>86.3</v>
      </c>
      <c r="C214">
        <v>0</v>
      </c>
      <c r="D214">
        <v>0</v>
      </c>
      <c r="E214">
        <v>71.599999999999994</v>
      </c>
    </row>
    <row r="215" spans="1:5" x14ac:dyDescent="0.25">
      <c r="A215" s="1">
        <v>45140</v>
      </c>
      <c r="B215">
        <v>88</v>
      </c>
      <c r="C215">
        <v>0</v>
      </c>
      <c r="D215">
        <v>0</v>
      </c>
      <c r="E215">
        <v>77.2</v>
      </c>
    </row>
    <row r="216" spans="1:5" x14ac:dyDescent="0.25">
      <c r="A216" s="1">
        <v>45141</v>
      </c>
      <c r="B216">
        <v>84.8</v>
      </c>
      <c r="C216">
        <v>2.21</v>
      </c>
      <c r="D216">
        <v>1</v>
      </c>
      <c r="E216">
        <v>61.5</v>
      </c>
    </row>
    <row r="217" spans="1:5" x14ac:dyDescent="0.25">
      <c r="A217" s="1">
        <v>45142</v>
      </c>
      <c r="B217">
        <v>84.1</v>
      </c>
      <c r="C217">
        <v>0.42</v>
      </c>
      <c r="D217">
        <v>1</v>
      </c>
      <c r="E217">
        <v>64.7</v>
      </c>
    </row>
    <row r="218" spans="1:5" x14ac:dyDescent="0.25">
      <c r="A218" s="1">
        <v>45143</v>
      </c>
      <c r="B218">
        <v>88.9</v>
      </c>
      <c r="C218">
        <v>0</v>
      </c>
      <c r="D218">
        <v>0</v>
      </c>
      <c r="E218">
        <v>67.7</v>
      </c>
    </row>
    <row r="219" spans="1:5" x14ac:dyDescent="0.25">
      <c r="A219" s="1">
        <v>45144</v>
      </c>
      <c r="B219">
        <v>90.9</v>
      </c>
      <c r="C219">
        <v>1.5</v>
      </c>
      <c r="D219">
        <v>1</v>
      </c>
      <c r="E219">
        <v>68.099999999999994</v>
      </c>
    </row>
    <row r="220" spans="1:5" x14ac:dyDescent="0.25">
      <c r="A220" s="1">
        <v>45145</v>
      </c>
      <c r="B220">
        <v>87.4</v>
      </c>
      <c r="C220">
        <v>0</v>
      </c>
      <c r="D220">
        <v>0</v>
      </c>
      <c r="E220">
        <v>75.900000000000006</v>
      </c>
    </row>
    <row r="221" spans="1:5" x14ac:dyDescent="0.25">
      <c r="A221" s="1">
        <v>45146</v>
      </c>
      <c r="B221">
        <v>86.4</v>
      </c>
      <c r="C221">
        <v>0.5</v>
      </c>
      <c r="D221">
        <v>1</v>
      </c>
      <c r="E221">
        <v>69.099999999999994</v>
      </c>
    </row>
    <row r="222" spans="1:5" x14ac:dyDescent="0.25">
      <c r="A222" s="1">
        <v>45147</v>
      </c>
      <c r="B222">
        <v>83.5</v>
      </c>
      <c r="C222">
        <v>0</v>
      </c>
      <c r="D222">
        <v>0</v>
      </c>
      <c r="E222">
        <v>78.2</v>
      </c>
    </row>
    <row r="223" spans="1:5" x14ac:dyDescent="0.25">
      <c r="A223" s="1">
        <v>45148</v>
      </c>
      <c r="B223">
        <v>86.5</v>
      </c>
      <c r="C223">
        <v>0.86</v>
      </c>
      <c r="D223">
        <v>1</v>
      </c>
      <c r="E223">
        <v>71.099999999999994</v>
      </c>
    </row>
    <row r="224" spans="1:5" x14ac:dyDescent="0.25">
      <c r="A224" s="1">
        <v>45149</v>
      </c>
      <c r="B224">
        <v>81.3</v>
      </c>
      <c r="C224">
        <v>0</v>
      </c>
      <c r="D224">
        <v>0</v>
      </c>
      <c r="E224">
        <v>76.900000000000006</v>
      </c>
    </row>
    <row r="225" spans="1:5" x14ac:dyDescent="0.25">
      <c r="A225" s="1">
        <v>45150</v>
      </c>
      <c r="B225">
        <v>82.7</v>
      </c>
      <c r="C225">
        <v>5.72</v>
      </c>
      <c r="D225">
        <v>1</v>
      </c>
      <c r="E225">
        <v>79.400000000000006</v>
      </c>
    </row>
    <row r="226" spans="1:5" x14ac:dyDescent="0.25">
      <c r="A226" s="1">
        <v>45151</v>
      </c>
      <c r="B226">
        <v>87.2</v>
      </c>
      <c r="C226">
        <v>0</v>
      </c>
      <c r="D226">
        <v>0</v>
      </c>
      <c r="E226">
        <v>75.099999999999994</v>
      </c>
    </row>
    <row r="227" spans="1:5" x14ac:dyDescent="0.25">
      <c r="A227" s="1">
        <v>45152</v>
      </c>
      <c r="B227">
        <v>85.6</v>
      </c>
      <c r="C227">
        <v>0</v>
      </c>
      <c r="D227">
        <v>0</v>
      </c>
      <c r="E227">
        <v>76.2</v>
      </c>
    </row>
    <row r="228" spans="1:5" x14ac:dyDescent="0.25">
      <c r="A228" s="1">
        <v>45153</v>
      </c>
      <c r="B228">
        <v>82.9</v>
      </c>
      <c r="C228">
        <v>0</v>
      </c>
      <c r="D228">
        <v>0</v>
      </c>
      <c r="E228">
        <v>65.900000000000006</v>
      </c>
    </row>
    <row r="229" spans="1:5" x14ac:dyDescent="0.25">
      <c r="A229" s="1">
        <v>45154</v>
      </c>
      <c r="B229">
        <v>87.1</v>
      </c>
      <c r="C229">
        <v>0.69</v>
      </c>
      <c r="D229">
        <v>1</v>
      </c>
      <c r="E229">
        <v>72.3</v>
      </c>
    </row>
    <row r="230" spans="1:5" x14ac:dyDescent="0.25">
      <c r="A230" s="1">
        <v>45155</v>
      </c>
      <c r="B230">
        <v>89</v>
      </c>
      <c r="C230">
        <v>1.3</v>
      </c>
      <c r="D230">
        <v>1</v>
      </c>
      <c r="E230">
        <v>75.599999999999994</v>
      </c>
    </row>
    <row r="231" spans="1:5" x14ac:dyDescent="0.25">
      <c r="A231" s="1">
        <v>45156</v>
      </c>
      <c r="B231">
        <v>84.7</v>
      </c>
      <c r="C231">
        <v>0.61</v>
      </c>
      <c r="D231">
        <v>1</v>
      </c>
      <c r="E231">
        <v>77.5</v>
      </c>
    </row>
    <row r="232" spans="1:5" x14ac:dyDescent="0.25">
      <c r="A232" s="1">
        <v>45157</v>
      </c>
      <c r="B232">
        <v>87.2</v>
      </c>
      <c r="C232">
        <v>0.76</v>
      </c>
      <c r="D232">
        <v>1</v>
      </c>
      <c r="E232">
        <v>76</v>
      </c>
    </row>
    <row r="233" spans="1:5" x14ac:dyDescent="0.25">
      <c r="A233" s="1">
        <v>45158</v>
      </c>
      <c r="B233">
        <v>89</v>
      </c>
      <c r="C233">
        <v>0.62</v>
      </c>
      <c r="D233">
        <v>1</v>
      </c>
      <c r="E233">
        <v>75.599999999999994</v>
      </c>
    </row>
    <row r="234" spans="1:5" x14ac:dyDescent="0.25">
      <c r="A234" s="1">
        <v>45159</v>
      </c>
      <c r="B234">
        <v>87.1</v>
      </c>
      <c r="C234">
        <v>0</v>
      </c>
      <c r="D234">
        <v>0</v>
      </c>
      <c r="E234">
        <v>67.3</v>
      </c>
    </row>
    <row r="235" spans="1:5" x14ac:dyDescent="0.25">
      <c r="A235" s="1">
        <v>45160</v>
      </c>
      <c r="B235">
        <v>86.2</v>
      </c>
      <c r="C235">
        <v>0</v>
      </c>
      <c r="D235">
        <v>0</v>
      </c>
      <c r="E235">
        <v>66.5</v>
      </c>
    </row>
    <row r="236" spans="1:5" x14ac:dyDescent="0.25">
      <c r="A236" s="1">
        <v>45161</v>
      </c>
      <c r="B236">
        <v>84.8</v>
      </c>
      <c r="C236">
        <v>0</v>
      </c>
      <c r="D236">
        <v>0</v>
      </c>
      <c r="E236">
        <v>80.2</v>
      </c>
    </row>
    <row r="237" spans="1:5" x14ac:dyDescent="0.25">
      <c r="A237" s="1">
        <v>45162</v>
      </c>
      <c r="B237">
        <v>89</v>
      </c>
      <c r="C237">
        <v>0</v>
      </c>
      <c r="D237">
        <v>0</v>
      </c>
      <c r="E237">
        <v>70.5</v>
      </c>
    </row>
    <row r="238" spans="1:5" x14ac:dyDescent="0.25">
      <c r="A238" s="1">
        <v>45163</v>
      </c>
      <c r="B238">
        <v>88</v>
      </c>
      <c r="C238">
        <v>0</v>
      </c>
      <c r="D238">
        <v>0</v>
      </c>
      <c r="E238">
        <v>73.900000000000006</v>
      </c>
    </row>
    <row r="239" spans="1:5" x14ac:dyDescent="0.25">
      <c r="A239" s="1">
        <v>45164</v>
      </c>
      <c r="B239">
        <v>88.1</v>
      </c>
      <c r="C239">
        <v>0</v>
      </c>
      <c r="D239">
        <v>0</v>
      </c>
      <c r="E239">
        <v>63.4</v>
      </c>
    </row>
    <row r="240" spans="1:5" x14ac:dyDescent="0.25">
      <c r="A240" s="1">
        <v>45165</v>
      </c>
      <c r="B240">
        <v>89.7</v>
      </c>
      <c r="C240">
        <v>0.44</v>
      </c>
      <c r="D240">
        <v>1</v>
      </c>
      <c r="E240">
        <v>77.099999999999994</v>
      </c>
    </row>
    <row r="241" spans="1:5" x14ac:dyDescent="0.25">
      <c r="A241" s="1">
        <v>45166</v>
      </c>
      <c r="B241">
        <v>90.1</v>
      </c>
      <c r="C241">
        <v>0</v>
      </c>
      <c r="D241">
        <v>0</v>
      </c>
      <c r="E241">
        <v>77.2</v>
      </c>
    </row>
    <row r="242" spans="1:5" x14ac:dyDescent="0.25">
      <c r="A242" s="1">
        <v>45167</v>
      </c>
      <c r="B242">
        <v>89.2</v>
      </c>
      <c r="C242">
        <v>0.08</v>
      </c>
      <c r="D242">
        <v>1</v>
      </c>
      <c r="E242">
        <v>71.900000000000006</v>
      </c>
    </row>
    <row r="243" spans="1:5" x14ac:dyDescent="0.25">
      <c r="A243" s="1">
        <v>45168</v>
      </c>
      <c r="B243">
        <v>92.8</v>
      </c>
      <c r="C243">
        <v>0</v>
      </c>
      <c r="D243">
        <v>0</v>
      </c>
      <c r="E243">
        <v>72.3</v>
      </c>
    </row>
    <row r="244" spans="1:5" x14ac:dyDescent="0.25">
      <c r="A244" s="1">
        <v>45169</v>
      </c>
      <c r="B244">
        <v>85.6</v>
      </c>
      <c r="C244">
        <v>0</v>
      </c>
      <c r="D244">
        <v>0</v>
      </c>
      <c r="E244">
        <v>75.400000000000006</v>
      </c>
    </row>
    <row r="245" spans="1:5" x14ac:dyDescent="0.25">
      <c r="A245" s="1">
        <v>45170</v>
      </c>
      <c r="B245">
        <v>94.1</v>
      </c>
      <c r="C245">
        <v>0</v>
      </c>
      <c r="D245">
        <v>0</v>
      </c>
      <c r="E245">
        <v>71.5</v>
      </c>
    </row>
    <row r="246" spans="1:5" x14ac:dyDescent="0.25">
      <c r="A246" s="1">
        <v>45171</v>
      </c>
      <c r="B246">
        <v>87.3</v>
      </c>
      <c r="C246">
        <v>0</v>
      </c>
      <c r="D246">
        <v>0</v>
      </c>
      <c r="E246">
        <v>73.599999999999994</v>
      </c>
    </row>
    <row r="247" spans="1:5" x14ac:dyDescent="0.25">
      <c r="A247" s="1">
        <v>45172</v>
      </c>
      <c r="B247">
        <v>87.3</v>
      </c>
      <c r="C247">
        <v>0</v>
      </c>
      <c r="D247">
        <v>0</v>
      </c>
      <c r="E247">
        <v>74.8</v>
      </c>
    </row>
    <row r="248" spans="1:5" x14ac:dyDescent="0.25">
      <c r="A248" s="1">
        <v>45173</v>
      </c>
      <c r="B248">
        <v>86.8</v>
      </c>
      <c r="C248">
        <v>0.68</v>
      </c>
      <c r="D248">
        <v>1</v>
      </c>
      <c r="E248">
        <v>81.3</v>
      </c>
    </row>
    <row r="249" spans="1:5" x14ac:dyDescent="0.25">
      <c r="A249" s="1">
        <v>45174</v>
      </c>
      <c r="B249">
        <v>86.2</v>
      </c>
      <c r="C249">
        <v>0</v>
      </c>
      <c r="D249">
        <v>0</v>
      </c>
      <c r="E249">
        <v>72.2</v>
      </c>
    </row>
    <row r="250" spans="1:5" x14ac:dyDescent="0.25">
      <c r="A250" s="1">
        <v>45175</v>
      </c>
      <c r="B250">
        <v>95.7</v>
      </c>
      <c r="C250">
        <v>0.45</v>
      </c>
      <c r="D250">
        <v>1</v>
      </c>
      <c r="E250">
        <v>78.400000000000006</v>
      </c>
    </row>
    <row r="251" spans="1:5" x14ac:dyDescent="0.25">
      <c r="A251" s="1">
        <v>45176</v>
      </c>
      <c r="B251">
        <v>87.6</v>
      </c>
      <c r="C251">
        <v>0</v>
      </c>
      <c r="D251">
        <v>0</v>
      </c>
      <c r="E251">
        <v>74.900000000000006</v>
      </c>
    </row>
    <row r="252" spans="1:5" x14ac:dyDescent="0.25">
      <c r="A252" s="1">
        <v>45177</v>
      </c>
      <c r="B252">
        <v>88.8</v>
      </c>
      <c r="C252">
        <v>1.94</v>
      </c>
      <c r="D252">
        <v>1</v>
      </c>
      <c r="E252">
        <v>75.3</v>
      </c>
    </row>
    <row r="253" spans="1:5" x14ac:dyDescent="0.25">
      <c r="A253" s="1">
        <v>45178</v>
      </c>
      <c r="B253">
        <v>91.3</v>
      </c>
      <c r="C253">
        <v>0.68</v>
      </c>
      <c r="D253">
        <v>1</v>
      </c>
      <c r="E253">
        <v>80.599999999999994</v>
      </c>
    </row>
    <row r="254" spans="1:5" x14ac:dyDescent="0.25">
      <c r="A254" s="1">
        <v>45179</v>
      </c>
      <c r="B254">
        <v>88.8</v>
      </c>
      <c r="C254">
        <v>0</v>
      </c>
      <c r="D254">
        <v>0</v>
      </c>
      <c r="E254">
        <v>67.400000000000006</v>
      </c>
    </row>
    <row r="255" spans="1:5" x14ac:dyDescent="0.25">
      <c r="A255" s="1">
        <v>45180</v>
      </c>
      <c r="B255">
        <v>89.6</v>
      </c>
      <c r="C255">
        <v>0</v>
      </c>
      <c r="D255">
        <v>0</v>
      </c>
      <c r="E255">
        <v>81.2</v>
      </c>
    </row>
    <row r="256" spans="1:5" x14ac:dyDescent="0.25">
      <c r="A256" s="1">
        <v>45181</v>
      </c>
      <c r="B256">
        <v>96.6</v>
      </c>
      <c r="C256">
        <v>0</v>
      </c>
      <c r="D256">
        <v>0</v>
      </c>
      <c r="E256">
        <v>78.5</v>
      </c>
    </row>
    <row r="257" spans="1:5" x14ac:dyDescent="0.25">
      <c r="A257" s="1">
        <v>45182</v>
      </c>
      <c r="B257">
        <v>88</v>
      </c>
      <c r="C257">
        <v>1.95</v>
      </c>
      <c r="D257">
        <v>1</v>
      </c>
      <c r="E257">
        <v>84.5</v>
      </c>
    </row>
    <row r="258" spans="1:5" x14ac:dyDescent="0.25">
      <c r="A258" s="1">
        <v>45183</v>
      </c>
      <c r="B258">
        <v>87</v>
      </c>
      <c r="C258">
        <v>0</v>
      </c>
      <c r="D258">
        <v>0</v>
      </c>
      <c r="E258">
        <v>71.7</v>
      </c>
    </row>
    <row r="259" spans="1:5" x14ac:dyDescent="0.25">
      <c r="A259" s="1">
        <v>45184</v>
      </c>
      <c r="B259">
        <v>91.3</v>
      </c>
      <c r="C259">
        <v>0.56999999999999995</v>
      </c>
      <c r="D259">
        <v>1</v>
      </c>
      <c r="E259">
        <v>75.2</v>
      </c>
    </row>
    <row r="260" spans="1:5" x14ac:dyDescent="0.25">
      <c r="A260" s="1">
        <v>45185</v>
      </c>
      <c r="B260">
        <v>86.5</v>
      </c>
      <c r="C260">
        <v>0</v>
      </c>
      <c r="D260">
        <v>0</v>
      </c>
      <c r="E260">
        <v>68.7</v>
      </c>
    </row>
    <row r="261" spans="1:5" x14ac:dyDescent="0.25">
      <c r="A261" s="1">
        <v>45186</v>
      </c>
      <c r="B261">
        <v>84.5</v>
      </c>
      <c r="C261">
        <v>0.36</v>
      </c>
      <c r="D261">
        <v>1</v>
      </c>
      <c r="E261">
        <v>77.400000000000006</v>
      </c>
    </row>
    <row r="262" spans="1:5" x14ac:dyDescent="0.25">
      <c r="A262" s="1">
        <v>45187</v>
      </c>
      <c r="B262">
        <v>90.7</v>
      </c>
      <c r="C262">
        <v>0.83</v>
      </c>
      <c r="D262">
        <v>1</v>
      </c>
      <c r="E262">
        <v>72.5</v>
      </c>
    </row>
    <row r="263" spans="1:5" x14ac:dyDescent="0.25">
      <c r="A263" s="1">
        <v>45188</v>
      </c>
      <c r="B263">
        <v>86.7</v>
      </c>
      <c r="C263">
        <v>0.27</v>
      </c>
      <c r="D263">
        <v>1</v>
      </c>
      <c r="E263">
        <v>74.099999999999994</v>
      </c>
    </row>
    <row r="264" spans="1:5" x14ac:dyDescent="0.25">
      <c r="A264" s="1">
        <v>45189</v>
      </c>
      <c r="B264">
        <v>89.9</v>
      </c>
      <c r="C264">
        <v>1.5</v>
      </c>
      <c r="D264">
        <v>1</v>
      </c>
      <c r="E264">
        <v>67.099999999999994</v>
      </c>
    </row>
    <row r="265" spans="1:5" x14ac:dyDescent="0.25">
      <c r="A265" s="1">
        <v>45190</v>
      </c>
      <c r="B265">
        <v>86.3</v>
      </c>
      <c r="C265">
        <v>0.11</v>
      </c>
      <c r="D265">
        <v>1</v>
      </c>
      <c r="E265">
        <v>78.900000000000006</v>
      </c>
    </row>
    <row r="266" spans="1:5" x14ac:dyDescent="0.25">
      <c r="A266" s="1">
        <v>45191</v>
      </c>
      <c r="B266">
        <v>91.6</v>
      </c>
      <c r="C266">
        <v>1.31</v>
      </c>
      <c r="D266">
        <v>1</v>
      </c>
      <c r="E266">
        <v>81.2</v>
      </c>
    </row>
    <row r="267" spans="1:5" x14ac:dyDescent="0.25">
      <c r="A267" s="1">
        <v>45192</v>
      </c>
      <c r="B267">
        <v>84.8</v>
      </c>
      <c r="C267">
        <v>0.5</v>
      </c>
      <c r="D267">
        <v>1</v>
      </c>
      <c r="E267">
        <v>71.400000000000006</v>
      </c>
    </row>
    <row r="268" spans="1:5" x14ac:dyDescent="0.25">
      <c r="A268" s="1">
        <v>45193</v>
      </c>
      <c r="B268">
        <v>87</v>
      </c>
      <c r="C268">
        <v>0</v>
      </c>
      <c r="D268">
        <v>0</v>
      </c>
      <c r="E268">
        <v>62.2</v>
      </c>
    </row>
    <row r="269" spans="1:5" x14ac:dyDescent="0.25">
      <c r="A269" s="1">
        <v>45194</v>
      </c>
      <c r="B269">
        <v>91</v>
      </c>
      <c r="C269">
        <v>0.8</v>
      </c>
      <c r="D269">
        <v>1</v>
      </c>
      <c r="E269">
        <v>81.599999999999994</v>
      </c>
    </row>
    <row r="270" spans="1:5" x14ac:dyDescent="0.25">
      <c r="A270" s="1">
        <v>45195</v>
      </c>
      <c r="B270">
        <v>94.3</v>
      </c>
      <c r="C270">
        <v>0.34</v>
      </c>
      <c r="D270">
        <v>1</v>
      </c>
      <c r="E270">
        <v>65</v>
      </c>
    </row>
    <row r="271" spans="1:5" x14ac:dyDescent="0.25">
      <c r="A271" s="1">
        <v>45196</v>
      </c>
      <c r="B271">
        <v>86</v>
      </c>
      <c r="C271">
        <v>0.28999999999999998</v>
      </c>
      <c r="D271">
        <v>1</v>
      </c>
      <c r="E271">
        <v>70</v>
      </c>
    </row>
    <row r="272" spans="1:5" x14ac:dyDescent="0.25">
      <c r="A272" s="1">
        <v>45197</v>
      </c>
      <c r="B272">
        <v>86.6</v>
      </c>
      <c r="C272">
        <v>0.23</v>
      </c>
      <c r="D272">
        <v>1</v>
      </c>
      <c r="E272">
        <v>73.599999999999994</v>
      </c>
    </row>
    <row r="273" spans="1:5" x14ac:dyDescent="0.25">
      <c r="A273" s="1">
        <v>45198</v>
      </c>
      <c r="B273">
        <v>87.9</v>
      </c>
      <c r="C273">
        <v>0</v>
      </c>
      <c r="D273">
        <v>0</v>
      </c>
      <c r="E273">
        <v>74.7</v>
      </c>
    </row>
    <row r="274" spans="1:5" x14ac:dyDescent="0.25">
      <c r="A274" s="1">
        <v>45199</v>
      </c>
      <c r="B274">
        <v>91.9</v>
      </c>
      <c r="C274">
        <v>0.64</v>
      </c>
      <c r="D274">
        <v>1</v>
      </c>
      <c r="E274">
        <v>69.099999999999994</v>
      </c>
    </row>
    <row r="275" spans="1:5" x14ac:dyDescent="0.25">
      <c r="A275" s="1">
        <v>45200</v>
      </c>
      <c r="B275">
        <v>89.5</v>
      </c>
      <c r="C275">
        <v>0</v>
      </c>
      <c r="D275">
        <v>0</v>
      </c>
      <c r="E275">
        <v>68.599999999999994</v>
      </c>
    </row>
    <row r="276" spans="1:5" x14ac:dyDescent="0.25">
      <c r="A276" s="1">
        <v>45201</v>
      </c>
      <c r="B276">
        <v>88.6</v>
      </c>
      <c r="C276">
        <v>0.23</v>
      </c>
      <c r="D276">
        <v>1</v>
      </c>
      <c r="E276">
        <v>80.5</v>
      </c>
    </row>
    <row r="277" spans="1:5" x14ac:dyDescent="0.25">
      <c r="A277" s="1">
        <v>45202</v>
      </c>
      <c r="B277">
        <v>87.2</v>
      </c>
      <c r="C277">
        <v>0</v>
      </c>
      <c r="D277">
        <v>0</v>
      </c>
      <c r="E277">
        <v>70.900000000000006</v>
      </c>
    </row>
    <row r="278" spans="1:5" x14ac:dyDescent="0.25">
      <c r="A278" s="1">
        <v>45203</v>
      </c>
      <c r="B278">
        <v>89.7</v>
      </c>
      <c r="C278">
        <v>0</v>
      </c>
      <c r="D278">
        <v>0</v>
      </c>
      <c r="E278">
        <v>79.2</v>
      </c>
    </row>
    <row r="279" spans="1:5" x14ac:dyDescent="0.25">
      <c r="A279" s="1">
        <v>45204</v>
      </c>
      <c r="B279">
        <v>85.4</v>
      </c>
      <c r="C279">
        <v>0</v>
      </c>
      <c r="D279">
        <v>0</v>
      </c>
      <c r="E279">
        <v>75.2</v>
      </c>
    </row>
    <row r="280" spans="1:5" x14ac:dyDescent="0.25">
      <c r="A280" s="1">
        <v>45205</v>
      </c>
      <c r="B280">
        <v>89.5</v>
      </c>
      <c r="C280">
        <v>0</v>
      </c>
      <c r="D280">
        <v>0</v>
      </c>
      <c r="E280">
        <v>79.599999999999994</v>
      </c>
    </row>
    <row r="281" spans="1:5" x14ac:dyDescent="0.25">
      <c r="A281" s="1">
        <v>45206</v>
      </c>
      <c r="B281">
        <v>87</v>
      </c>
      <c r="C281">
        <v>1.33</v>
      </c>
      <c r="D281">
        <v>1</v>
      </c>
      <c r="E281">
        <v>71.400000000000006</v>
      </c>
    </row>
    <row r="282" spans="1:5" x14ac:dyDescent="0.25">
      <c r="A282" s="1">
        <v>45207</v>
      </c>
      <c r="B282">
        <v>86.3</v>
      </c>
      <c r="C282">
        <v>0.33</v>
      </c>
      <c r="D282">
        <v>1</v>
      </c>
      <c r="E282">
        <v>74.3</v>
      </c>
    </row>
    <row r="283" spans="1:5" x14ac:dyDescent="0.25">
      <c r="A283" s="1">
        <v>45208</v>
      </c>
      <c r="B283">
        <v>91.5</v>
      </c>
      <c r="C283">
        <v>0</v>
      </c>
      <c r="D283">
        <v>0</v>
      </c>
      <c r="E283">
        <v>70.7</v>
      </c>
    </row>
    <row r="284" spans="1:5" x14ac:dyDescent="0.25">
      <c r="A284" s="1">
        <v>45209</v>
      </c>
      <c r="B284">
        <v>89.8</v>
      </c>
      <c r="C284">
        <v>0</v>
      </c>
      <c r="D284">
        <v>0</v>
      </c>
      <c r="E284">
        <v>75.2</v>
      </c>
    </row>
    <row r="285" spans="1:5" x14ac:dyDescent="0.25">
      <c r="A285" s="1">
        <v>45210</v>
      </c>
      <c r="B285">
        <v>87.4</v>
      </c>
      <c r="C285">
        <v>0</v>
      </c>
      <c r="D285">
        <v>0</v>
      </c>
      <c r="E285">
        <v>78.599999999999994</v>
      </c>
    </row>
    <row r="286" spans="1:5" x14ac:dyDescent="0.25">
      <c r="A286" s="1">
        <v>45211</v>
      </c>
      <c r="B286">
        <v>88.1</v>
      </c>
      <c r="C286">
        <v>0</v>
      </c>
      <c r="D286">
        <v>0</v>
      </c>
      <c r="E286">
        <v>68.5</v>
      </c>
    </row>
    <row r="287" spans="1:5" x14ac:dyDescent="0.25">
      <c r="A287" s="1">
        <v>45212</v>
      </c>
      <c r="B287">
        <v>90.8</v>
      </c>
      <c r="C287">
        <v>0.78</v>
      </c>
      <c r="D287">
        <v>1</v>
      </c>
      <c r="E287">
        <v>72.599999999999994</v>
      </c>
    </row>
    <row r="288" spans="1:5" x14ac:dyDescent="0.25">
      <c r="A288" s="1">
        <v>45213</v>
      </c>
      <c r="B288">
        <v>90.5</v>
      </c>
      <c r="C288">
        <v>0</v>
      </c>
      <c r="D288">
        <v>0</v>
      </c>
      <c r="E288">
        <v>71.2</v>
      </c>
    </row>
    <row r="289" spans="1:5" x14ac:dyDescent="0.25">
      <c r="A289" s="1">
        <v>45214</v>
      </c>
      <c r="B289">
        <v>91.6</v>
      </c>
      <c r="C289">
        <v>0.99</v>
      </c>
      <c r="D289">
        <v>1</v>
      </c>
      <c r="E289">
        <v>71.3</v>
      </c>
    </row>
    <row r="290" spans="1:5" x14ac:dyDescent="0.25">
      <c r="A290" s="1">
        <v>45215</v>
      </c>
      <c r="B290">
        <v>88.2</v>
      </c>
      <c r="C290">
        <v>0</v>
      </c>
      <c r="D290">
        <v>0</v>
      </c>
      <c r="E290">
        <v>71.3</v>
      </c>
    </row>
    <row r="291" spans="1:5" x14ac:dyDescent="0.25">
      <c r="A291" s="1">
        <v>45216</v>
      </c>
      <c r="B291">
        <v>89.1</v>
      </c>
      <c r="C291">
        <v>0</v>
      </c>
      <c r="D291">
        <v>0</v>
      </c>
      <c r="E291">
        <v>71.3</v>
      </c>
    </row>
    <row r="292" spans="1:5" x14ac:dyDescent="0.25">
      <c r="A292" s="1">
        <v>45217</v>
      </c>
      <c r="B292">
        <v>91.5</v>
      </c>
      <c r="C292">
        <v>0.61</v>
      </c>
      <c r="D292">
        <v>1</v>
      </c>
      <c r="E292">
        <v>74.8</v>
      </c>
    </row>
    <row r="293" spans="1:5" x14ac:dyDescent="0.25">
      <c r="A293" s="1">
        <v>45218</v>
      </c>
      <c r="B293">
        <v>85.9</v>
      </c>
      <c r="C293">
        <v>0</v>
      </c>
      <c r="D293">
        <v>0</v>
      </c>
      <c r="E293">
        <v>60.1</v>
      </c>
    </row>
    <row r="294" spans="1:5" x14ac:dyDescent="0.25">
      <c r="A294" s="1">
        <v>45219</v>
      </c>
      <c r="B294">
        <v>89.3</v>
      </c>
      <c r="C294">
        <v>0</v>
      </c>
      <c r="D294">
        <v>0</v>
      </c>
      <c r="E294">
        <v>74.8</v>
      </c>
    </row>
    <row r="295" spans="1:5" x14ac:dyDescent="0.25">
      <c r="A295" s="1">
        <v>45220</v>
      </c>
      <c r="B295">
        <v>86</v>
      </c>
      <c r="C295">
        <v>0</v>
      </c>
      <c r="D295">
        <v>0</v>
      </c>
      <c r="E295">
        <v>73.599999999999994</v>
      </c>
    </row>
    <row r="296" spans="1:5" x14ac:dyDescent="0.25">
      <c r="A296" s="1">
        <v>45221</v>
      </c>
      <c r="B296">
        <v>88.1</v>
      </c>
      <c r="C296">
        <v>0</v>
      </c>
      <c r="D296">
        <v>0</v>
      </c>
      <c r="E296">
        <v>72.3</v>
      </c>
    </row>
    <row r="297" spans="1:5" x14ac:dyDescent="0.25">
      <c r="A297" s="1">
        <v>45222</v>
      </c>
      <c r="B297">
        <v>88.7</v>
      </c>
      <c r="C297">
        <v>0</v>
      </c>
      <c r="D297">
        <v>0</v>
      </c>
      <c r="E297">
        <v>61.6</v>
      </c>
    </row>
    <row r="298" spans="1:5" x14ac:dyDescent="0.25">
      <c r="A298" s="1">
        <v>45223</v>
      </c>
      <c r="B298">
        <v>84.1</v>
      </c>
      <c r="C298">
        <v>0</v>
      </c>
      <c r="D298">
        <v>0</v>
      </c>
      <c r="E298">
        <v>72.099999999999994</v>
      </c>
    </row>
    <row r="299" spans="1:5" x14ac:dyDescent="0.25">
      <c r="A299" s="1">
        <v>45224</v>
      </c>
      <c r="B299">
        <v>84.2</v>
      </c>
      <c r="C299">
        <v>0</v>
      </c>
      <c r="D299">
        <v>0</v>
      </c>
      <c r="E299">
        <v>68.3</v>
      </c>
    </row>
    <row r="300" spans="1:5" x14ac:dyDescent="0.25">
      <c r="A300" s="1">
        <v>45225</v>
      </c>
      <c r="B300">
        <v>81.8</v>
      </c>
      <c r="C300">
        <v>0</v>
      </c>
      <c r="D300">
        <v>0</v>
      </c>
      <c r="E300">
        <v>75.8</v>
      </c>
    </row>
    <row r="301" spans="1:5" x14ac:dyDescent="0.25">
      <c r="A301" s="1">
        <v>45226</v>
      </c>
      <c r="B301">
        <v>85.6</v>
      </c>
      <c r="C301">
        <v>0</v>
      </c>
      <c r="D301">
        <v>0</v>
      </c>
      <c r="E301">
        <v>66.8</v>
      </c>
    </row>
    <row r="302" spans="1:5" x14ac:dyDescent="0.25">
      <c r="A302" s="1">
        <v>45227</v>
      </c>
      <c r="B302">
        <v>86.6</v>
      </c>
      <c r="C302">
        <v>0</v>
      </c>
      <c r="D302">
        <v>0</v>
      </c>
      <c r="E302">
        <v>73.7</v>
      </c>
    </row>
    <row r="303" spans="1:5" x14ac:dyDescent="0.25">
      <c r="A303" s="1">
        <v>45228</v>
      </c>
      <c r="B303">
        <v>83.4</v>
      </c>
      <c r="C303">
        <v>0.4</v>
      </c>
      <c r="D303">
        <v>1</v>
      </c>
      <c r="E303">
        <v>73.8</v>
      </c>
    </row>
    <row r="304" spans="1:5" x14ac:dyDescent="0.25">
      <c r="A304" s="1">
        <v>45229</v>
      </c>
      <c r="B304">
        <v>85.5</v>
      </c>
      <c r="C304">
        <v>0</v>
      </c>
      <c r="D304">
        <v>0</v>
      </c>
      <c r="E304">
        <v>66.7</v>
      </c>
    </row>
    <row r="305" spans="1:5" x14ac:dyDescent="0.25">
      <c r="A305" s="1">
        <v>45230</v>
      </c>
      <c r="B305">
        <v>86.3</v>
      </c>
      <c r="C305">
        <v>0</v>
      </c>
      <c r="D305">
        <v>0</v>
      </c>
      <c r="E305">
        <v>64.900000000000006</v>
      </c>
    </row>
    <row r="306" spans="1:5" x14ac:dyDescent="0.25">
      <c r="A306" s="1">
        <v>45231</v>
      </c>
      <c r="B306">
        <v>89.3</v>
      </c>
      <c r="C306">
        <v>0</v>
      </c>
      <c r="D306">
        <v>0</v>
      </c>
      <c r="E306">
        <v>75.5</v>
      </c>
    </row>
    <row r="307" spans="1:5" x14ac:dyDescent="0.25">
      <c r="A307" s="1">
        <v>45232</v>
      </c>
      <c r="B307">
        <v>81.8</v>
      </c>
      <c r="C307">
        <v>2.65</v>
      </c>
      <c r="D307">
        <v>1</v>
      </c>
      <c r="E307">
        <v>60.3</v>
      </c>
    </row>
    <row r="308" spans="1:5" x14ac:dyDescent="0.25">
      <c r="A308" s="1">
        <v>45233</v>
      </c>
      <c r="B308">
        <v>92.2</v>
      </c>
      <c r="C308">
        <v>0.94</v>
      </c>
      <c r="D308">
        <v>1</v>
      </c>
      <c r="E308">
        <v>74.400000000000006</v>
      </c>
    </row>
    <row r="309" spans="1:5" x14ac:dyDescent="0.25">
      <c r="A309" s="1">
        <v>45234</v>
      </c>
      <c r="B309">
        <v>82.8</v>
      </c>
      <c r="C309">
        <v>0.64</v>
      </c>
      <c r="D309">
        <v>1</v>
      </c>
      <c r="E309">
        <v>68.599999999999994</v>
      </c>
    </row>
    <row r="310" spans="1:5" x14ac:dyDescent="0.25">
      <c r="A310" s="1">
        <v>45235</v>
      </c>
      <c r="B310">
        <v>83</v>
      </c>
      <c r="C310">
        <v>0</v>
      </c>
      <c r="D310">
        <v>0</v>
      </c>
      <c r="E310">
        <v>54.7</v>
      </c>
    </row>
    <row r="311" spans="1:5" x14ac:dyDescent="0.25">
      <c r="A311" s="1">
        <v>45236</v>
      </c>
      <c r="B311">
        <v>80.2</v>
      </c>
      <c r="C311">
        <v>0</v>
      </c>
      <c r="D311">
        <v>0</v>
      </c>
      <c r="E311">
        <v>67.099999999999994</v>
      </c>
    </row>
    <row r="312" spans="1:5" x14ac:dyDescent="0.25">
      <c r="A312" s="1">
        <v>45237</v>
      </c>
      <c r="B312">
        <v>85.4</v>
      </c>
      <c r="C312">
        <v>0</v>
      </c>
      <c r="D312">
        <v>0</v>
      </c>
      <c r="E312">
        <v>70.3</v>
      </c>
    </row>
    <row r="313" spans="1:5" x14ac:dyDescent="0.25">
      <c r="A313" s="1">
        <v>45238</v>
      </c>
      <c r="B313">
        <v>78.900000000000006</v>
      </c>
      <c r="C313">
        <v>0.46</v>
      </c>
      <c r="D313">
        <v>1</v>
      </c>
      <c r="E313">
        <v>66.3</v>
      </c>
    </row>
    <row r="314" spans="1:5" x14ac:dyDescent="0.25">
      <c r="A314" s="1">
        <v>45239</v>
      </c>
      <c r="B314">
        <v>89.1</v>
      </c>
      <c r="C314">
        <v>0.28000000000000003</v>
      </c>
      <c r="D314">
        <v>1</v>
      </c>
      <c r="E314">
        <v>53</v>
      </c>
    </row>
    <row r="315" spans="1:5" x14ac:dyDescent="0.25">
      <c r="A315" s="1">
        <v>45240</v>
      </c>
      <c r="B315">
        <v>77.400000000000006</v>
      </c>
      <c r="C315">
        <v>0</v>
      </c>
      <c r="D315">
        <v>0</v>
      </c>
      <c r="E315">
        <v>70.5</v>
      </c>
    </row>
    <row r="316" spans="1:5" x14ac:dyDescent="0.25">
      <c r="A316" s="1">
        <v>45241</v>
      </c>
      <c r="B316">
        <v>86.7</v>
      </c>
      <c r="C316">
        <v>0.41</v>
      </c>
      <c r="D316">
        <v>1</v>
      </c>
      <c r="E316">
        <v>59.4</v>
      </c>
    </row>
    <row r="317" spans="1:5" x14ac:dyDescent="0.25">
      <c r="A317" s="1">
        <v>45242</v>
      </c>
      <c r="B317">
        <v>83.5</v>
      </c>
      <c r="C317">
        <v>0.61</v>
      </c>
      <c r="D317">
        <v>1</v>
      </c>
      <c r="E317">
        <v>54.8</v>
      </c>
    </row>
    <row r="318" spans="1:5" x14ac:dyDescent="0.25">
      <c r="A318" s="1">
        <v>45243</v>
      </c>
      <c r="B318">
        <v>79.400000000000006</v>
      </c>
      <c r="C318">
        <v>0</v>
      </c>
      <c r="D318">
        <v>0</v>
      </c>
      <c r="E318">
        <v>57</v>
      </c>
    </row>
    <row r="319" spans="1:5" x14ac:dyDescent="0.25">
      <c r="A319" s="1">
        <v>45244</v>
      </c>
      <c r="B319">
        <v>86.2</v>
      </c>
      <c r="C319">
        <v>0</v>
      </c>
      <c r="D319">
        <v>0</v>
      </c>
      <c r="E319">
        <v>63.9</v>
      </c>
    </row>
    <row r="320" spans="1:5" x14ac:dyDescent="0.25">
      <c r="A320" s="1">
        <v>45245</v>
      </c>
      <c r="B320">
        <v>80.8</v>
      </c>
      <c r="C320">
        <v>0</v>
      </c>
      <c r="D320">
        <v>0</v>
      </c>
      <c r="E320">
        <v>63.6</v>
      </c>
    </row>
    <row r="321" spans="1:5" x14ac:dyDescent="0.25">
      <c r="A321" s="1">
        <v>45246</v>
      </c>
      <c r="B321">
        <v>81.2</v>
      </c>
      <c r="C321">
        <v>0</v>
      </c>
      <c r="D321">
        <v>0</v>
      </c>
      <c r="E321">
        <v>58.5</v>
      </c>
    </row>
    <row r="322" spans="1:5" x14ac:dyDescent="0.25">
      <c r="A322" s="1">
        <v>45247</v>
      </c>
      <c r="B322">
        <v>79.2</v>
      </c>
      <c r="C322">
        <v>1.1599999999999999</v>
      </c>
      <c r="D322">
        <v>1</v>
      </c>
      <c r="E322">
        <v>61.4</v>
      </c>
    </row>
    <row r="323" spans="1:5" x14ac:dyDescent="0.25">
      <c r="A323" s="1">
        <v>45248</v>
      </c>
      <c r="B323">
        <v>86.7</v>
      </c>
      <c r="C323">
        <v>0</v>
      </c>
      <c r="D323">
        <v>0</v>
      </c>
      <c r="E323">
        <v>68.8</v>
      </c>
    </row>
    <row r="324" spans="1:5" x14ac:dyDescent="0.25">
      <c r="A324" s="1">
        <v>45249</v>
      </c>
      <c r="B324">
        <v>83.7</v>
      </c>
      <c r="C324">
        <v>1.03</v>
      </c>
      <c r="D324">
        <v>1</v>
      </c>
      <c r="E324">
        <v>55</v>
      </c>
    </row>
    <row r="325" spans="1:5" x14ac:dyDescent="0.25">
      <c r="A325" s="1">
        <v>45250</v>
      </c>
      <c r="B325">
        <v>78.8</v>
      </c>
      <c r="C325">
        <v>0</v>
      </c>
      <c r="D325">
        <v>0</v>
      </c>
      <c r="E325">
        <v>59.8</v>
      </c>
    </row>
    <row r="326" spans="1:5" x14ac:dyDescent="0.25">
      <c r="A326" s="1">
        <v>45251</v>
      </c>
      <c r="B326">
        <v>80.5</v>
      </c>
      <c r="C326">
        <v>0</v>
      </c>
      <c r="D326">
        <v>0</v>
      </c>
      <c r="E326">
        <v>68.3</v>
      </c>
    </row>
    <row r="327" spans="1:5" x14ac:dyDescent="0.25">
      <c r="A327" s="1">
        <v>45252</v>
      </c>
      <c r="B327">
        <v>83</v>
      </c>
      <c r="C327">
        <v>0</v>
      </c>
      <c r="D327">
        <v>0</v>
      </c>
      <c r="E327">
        <v>58.6</v>
      </c>
    </row>
    <row r="328" spans="1:5" x14ac:dyDescent="0.25">
      <c r="A328" s="1">
        <v>45253</v>
      </c>
      <c r="B328">
        <v>80.3</v>
      </c>
      <c r="C328">
        <v>0.1</v>
      </c>
      <c r="D328">
        <v>1</v>
      </c>
      <c r="E328">
        <v>69.2</v>
      </c>
    </row>
    <row r="329" spans="1:5" x14ac:dyDescent="0.25">
      <c r="A329" s="1">
        <v>45254</v>
      </c>
      <c r="B329">
        <v>78.8</v>
      </c>
      <c r="C329">
        <v>0</v>
      </c>
      <c r="D329">
        <v>0</v>
      </c>
      <c r="E329">
        <v>57.8</v>
      </c>
    </row>
    <row r="330" spans="1:5" x14ac:dyDescent="0.25">
      <c r="A330" s="1">
        <v>45255</v>
      </c>
      <c r="B330">
        <v>86.1</v>
      </c>
      <c r="C330">
        <v>0</v>
      </c>
      <c r="D330">
        <v>0</v>
      </c>
      <c r="E330">
        <v>59.5</v>
      </c>
    </row>
    <row r="331" spans="1:5" x14ac:dyDescent="0.25">
      <c r="A331" s="1">
        <v>45256</v>
      </c>
      <c r="B331">
        <v>88.3</v>
      </c>
      <c r="C331">
        <v>0</v>
      </c>
      <c r="D331">
        <v>0</v>
      </c>
      <c r="E331">
        <v>62.9</v>
      </c>
    </row>
    <row r="332" spans="1:5" x14ac:dyDescent="0.25">
      <c r="A332" s="1">
        <v>45257</v>
      </c>
      <c r="B332">
        <v>85.7</v>
      </c>
      <c r="C332">
        <v>0</v>
      </c>
      <c r="D332">
        <v>0</v>
      </c>
      <c r="E332">
        <v>48.7</v>
      </c>
    </row>
    <row r="333" spans="1:5" x14ac:dyDescent="0.25">
      <c r="A333" s="1">
        <v>45258</v>
      </c>
      <c r="B333">
        <v>82.8</v>
      </c>
      <c r="C333">
        <v>0</v>
      </c>
      <c r="D333">
        <v>0</v>
      </c>
      <c r="E333">
        <v>52.6</v>
      </c>
    </row>
    <row r="334" spans="1:5" x14ac:dyDescent="0.25">
      <c r="A334" s="1">
        <v>45259</v>
      </c>
      <c r="B334">
        <v>81.099999999999994</v>
      </c>
      <c r="C334">
        <v>0</v>
      </c>
      <c r="D334">
        <v>0</v>
      </c>
      <c r="E334">
        <v>59.2</v>
      </c>
    </row>
    <row r="335" spans="1:5" x14ac:dyDescent="0.25">
      <c r="A335" s="1">
        <v>45260</v>
      </c>
      <c r="B335">
        <v>78.099999999999994</v>
      </c>
      <c r="C335">
        <v>0</v>
      </c>
      <c r="D335">
        <v>0</v>
      </c>
      <c r="E335">
        <v>57.1</v>
      </c>
    </row>
    <row r="336" spans="1:5" x14ac:dyDescent="0.25">
      <c r="A336" s="1">
        <v>45261</v>
      </c>
      <c r="B336">
        <v>79</v>
      </c>
      <c r="C336">
        <v>0</v>
      </c>
      <c r="D336">
        <v>0</v>
      </c>
      <c r="E336">
        <v>60.5</v>
      </c>
    </row>
    <row r="337" spans="1:5" x14ac:dyDescent="0.25">
      <c r="A337" s="1">
        <v>45262</v>
      </c>
      <c r="B337">
        <v>78.8</v>
      </c>
      <c r="C337">
        <v>0</v>
      </c>
      <c r="D337">
        <v>0</v>
      </c>
      <c r="E337">
        <v>55.3</v>
      </c>
    </row>
    <row r="338" spans="1:5" x14ac:dyDescent="0.25">
      <c r="A338" s="1">
        <v>45263</v>
      </c>
      <c r="B338">
        <v>79.099999999999994</v>
      </c>
      <c r="C338">
        <v>0</v>
      </c>
      <c r="D338">
        <v>0</v>
      </c>
      <c r="E338">
        <v>57.2</v>
      </c>
    </row>
    <row r="339" spans="1:5" x14ac:dyDescent="0.25">
      <c r="A339" s="1">
        <v>45264</v>
      </c>
      <c r="B339">
        <v>76.099999999999994</v>
      </c>
      <c r="C339">
        <v>0</v>
      </c>
      <c r="D339">
        <v>0</v>
      </c>
      <c r="E339">
        <v>56.2</v>
      </c>
    </row>
    <row r="340" spans="1:5" x14ac:dyDescent="0.25">
      <c r="A340" s="1">
        <v>45265</v>
      </c>
      <c r="B340">
        <v>80.599999999999994</v>
      </c>
      <c r="C340">
        <v>0</v>
      </c>
      <c r="D340">
        <v>0</v>
      </c>
      <c r="E340">
        <v>59.9</v>
      </c>
    </row>
    <row r="341" spans="1:5" x14ac:dyDescent="0.25">
      <c r="A341" s="1">
        <v>45266</v>
      </c>
      <c r="B341">
        <v>86</v>
      </c>
      <c r="C341">
        <v>0</v>
      </c>
      <c r="D341">
        <v>0</v>
      </c>
      <c r="E341">
        <v>48.1</v>
      </c>
    </row>
    <row r="342" spans="1:5" x14ac:dyDescent="0.25">
      <c r="A342" s="1">
        <v>45267</v>
      </c>
      <c r="B342">
        <v>78.5</v>
      </c>
      <c r="C342">
        <v>0</v>
      </c>
      <c r="D342">
        <v>0</v>
      </c>
      <c r="E342">
        <v>60.7</v>
      </c>
    </row>
    <row r="343" spans="1:5" x14ac:dyDescent="0.25">
      <c r="A343" s="1">
        <v>45268</v>
      </c>
      <c r="B343">
        <v>79.2</v>
      </c>
      <c r="C343">
        <v>0</v>
      </c>
      <c r="D343">
        <v>0</v>
      </c>
      <c r="E343">
        <v>56.3</v>
      </c>
    </row>
    <row r="344" spans="1:5" x14ac:dyDescent="0.25">
      <c r="A344" s="1">
        <v>45269</v>
      </c>
      <c r="B344">
        <v>78.400000000000006</v>
      </c>
      <c r="C344">
        <v>0</v>
      </c>
      <c r="D344">
        <v>0</v>
      </c>
      <c r="E344">
        <v>50.6</v>
      </c>
    </row>
    <row r="345" spans="1:5" x14ac:dyDescent="0.25">
      <c r="A345" s="1">
        <v>45270</v>
      </c>
      <c r="B345">
        <v>83.7</v>
      </c>
      <c r="C345">
        <v>0</v>
      </c>
      <c r="D345">
        <v>0</v>
      </c>
      <c r="E345">
        <v>59.3</v>
      </c>
    </row>
    <row r="346" spans="1:5" x14ac:dyDescent="0.25">
      <c r="A346" s="1">
        <v>45271</v>
      </c>
      <c r="B346">
        <v>72.8</v>
      </c>
      <c r="C346">
        <v>0</v>
      </c>
      <c r="D346">
        <v>0</v>
      </c>
      <c r="E346">
        <v>52.5</v>
      </c>
    </row>
    <row r="347" spans="1:5" x14ac:dyDescent="0.25">
      <c r="A347" s="1">
        <v>45272</v>
      </c>
      <c r="B347">
        <v>83.6</v>
      </c>
      <c r="C347">
        <v>0</v>
      </c>
      <c r="D347">
        <v>0</v>
      </c>
      <c r="E347">
        <v>49.9</v>
      </c>
    </row>
    <row r="348" spans="1:5" x14ac:dyDescent="0.25">
      <c r="A348" s="1">
        <v>45273</v>
      </c>
      <c r="B348">
        <v>78.400000000000006</v>
      </c>
      <c r="C348">
        <v>0</v>
      </c>
      <c r="D348">
        <v>0</v>
      </c>
      <c r="E348">
        <v>57</v>
      </c>
    </row>
    <row r="349" spans="1:5" x14ac:dyDescent="0.25">
      <c r="A349" s="1">
        <v>45274</v>
      </c>
      <c r="B349">
        <v>78.2</v>
      </c>
      <c r="C349">
        <v>0</v>
      </c>
      <c r="D349">
        <v>0</v>
      </c>
      <c r="E349">
        <v>49.2</v>
      </c>
    </row>
    <row r="350" spans="1:5" x14ac:dyDescent="0.25">
      <c r="A350" s="1">
        <v>45275</v>
      </c>
      <c r="B350">
        <v>73.3</v>
      </c>
      <c r="C350">
        <v>0</v>
      </c>
      <c r="D350">
        <v>0</v>
      </c>
      <c r="E350">
        <v>45</v>
      </c>
    </row>
    <row r="351" spans="1:5" x14ac:dyDescent="0.25">
      <c r="A351" s="1">
        <v>45276</v>
      </c>
      <c r="B351">
        <v>78.3</v>
      </c>
      <c r="C351">
        <v>0</v>
      </c>
      <c r="D351">
        <v>0</v>
      </c>
      <c r="E351">
        <v>54.7</v>
      </c>
    </row>
    <row r="352" spans="1:5" x14ac:dyDescent="0.25">
      <c r="A352" s="1">
        <v>45277</v>
      </c>
      <c r="B352">
        <v>74.900000000000006</v>
      </c>
      <c r="C352">
        <v>0.45</v>
      </c>
      <c r="D352">
        <v>1</v>
      </c>
      <c r="E352">
        <v>53.7</v>
      </c>
    </row>
    <row r="353" spans="1:5" x14ac:dyDescent="0.25">
      <c r="A353" s="1">
        <v>45278</v>
      </c>
      <c r="B353">
        <v>69.900000000000006</v>
      </c>
      <c r="C353">
        <v>0</v>
      </c>
      <c r="D353">
        <v>0</v>
      </c>
      <c r="E353">
        <v>44</v>
      </c>
    </row>
    <row r="354" spans="1:5" x14ac:dyDescent="0.25">
      <c r="A354" s="1">
        <v>45279</v>
      </c>
      <c r="B354">
        <v>76</v>
      </c>
      <c r="C354">
        <v>0</v>
      </c>
      <c r="D354">
        <v>0</v>
      </c>
      <c r="E354">
        <v>54.3</v>
      </c>
    </row>
    <row r="355" spans="1:5" x14ac:dyDescent="0.25">
      <c r="A355" s="1">
        <v>45280</v>
      </c>
      <c r="B355">
        <v>76.900000000000006</v>
      </c>
      <c r="C355">
        <v>0</v>
      </c>
      <c r="D355">
        <v>0</v>
      </c>
      <c r="E355">
        <v>52</v>
      </c>
    </row>
    <row r="356" spans="1:5" x14ac:dyDescent="0.25">
      <c r="A356" s="1">
        <v>45281</v>
      </c>
      <c r="B356">
        <v>79.2</v>
      </c>
      <c r="C356">
        <v>2.35</v>
      </c>
      <c r="D356">
        <v>1</v>
      </c>
      <c r="E356">
        <v>47.7</v>
      </c>
    </row>
    <row r="357" spans="1:5" x14ac:dyDescent="0.25">
      <c r="A357" s="1">
        <v>45282</v>
      </c>
      <c r="B357">
        <v>75.400000000000006</v>
      </c>
      <c r="C357">
        <v>0</v>
      </c>
      <c r="D357">
        <v>0</v>
      </c>
      <c r="E357">
        <v>35</v>
      </c>
    </row>
    <row r="358" spans="1:5" x14ac:dyDescent="0.25">
      <c r="A358" s="1">
        <v>45283</v>
      </c>
      <c r="B358">
        <v>77.3</v>
      </c>
      <c r="C358">
        <v>0</v>
      </c>
      <c r="D358">
        <v>0</v>
      </c>
      <c r="E358">
        <v>51</v>
      </c>
    </row>
    <row r="359" spans="1:5" x14ac:dyDescent="0.25">
      <c r="A359" s="1">
        <v>45284</v>
      </c>
      <c r="B359">
        <v>70.8</v>
      </c>
      <c r="C359">
        <v>0</v>
      </c>
      <c r="D359">
        <v>0</v>
      </c>
      <c r="E359">
        <v>49</v>
      </c>
    </row>
    <row r="360" spans="1:5" x14ac:dyDescent="0.25">
      <c r="A360" s="1">
        <v>45285</v>
      </c>
      <c r="B360">
        <v>80.8</v>
      </c>
      <c r="C360">
        <v>0</v>
      </c>
      <c r="D360">
        <v>0</v>
      </c>
      <c r="E360">
        <v>50.1</v>
      </c>
    </row>
    <row r="361" spans="1:5" x14ac:dyDescent="0.25">
      <c r="A361" s="1">
        <v>45286</v>
      </c>
      <c r="B361">
        <v>69.8</v>
      </c>
      <c r="C361">
        <v>0</v>
      </c>
      <c r="D361">
        <v>0</v>
      </c>
      <c r="E361">
        <v>48.9</v>
      </c>
    </row>
    <row r="362" spans="1:5" x14ac:dyDescent="0.25">
      <c r="A362" s="1">
        <v>45287</v>
      </c>
      <c r="B362">
        <v>80.099999999999994</v>
      </c>
      <c r="C362">
        <v>0</v>
      </c>
      <c r="D362">
        <v>0</v>
      </c>
      <c r="E362">
        <v>53.3</v>
      </c>
    </row>
    <row r="363" spans="1:5" x14ac:dyDescent="0.25">
      <c r="A363" s="1">
        <v>45288</v>
      </c>
      <c r="B363">
        <v>75.099999999999994</v>
      </c>
      <c r="C363">
        <v>0</v>
      </c>
      <c r="D363">
        <v>0</v>
      </c>
      <c r="E363">
        <v>53.3</v>
      </c>
    </row>
    <row r="364" spans="1:5" x14ac:dyDescent="0.25">
      <c r="A364" s="1">
        <v>45289</v>
      </c>
      <c r="B364">
        <v>72.900000000000006</v>
      </c>
      <c r="C364">
        <v>0</v>
      </c>
      <c r="D364">
        <v>0</v>
      </c>
      <c r="E364">
        <v>47.4</v>
      </c>
    </row>
    <row r="365" spans="1:5" x14ac:dyDescent="0.25">
      <c r="A365" s="1">
        <v>45290</v>
      </c>
      <c r="B365">
        <v>75.099999999999994</v>
      </c>
      <c r="C365">
        <v>0</v>
      </c>
      <c r="D365">
        <v>0</v>
      </c>
      <c r="E365">
        <v>40.5</v>
      </c>
    </row>
    <row r="366" spans="1:5" x14ac:dyDescent="0.25">
      <c r="A366" s="1">
        <v>45291</v>
      </c>
      <c r="B366">
        <v>77.2</v>
      </c>
      <c r="C366">
        <v>0</v>
      </c>
      <c r="D366">
        <v>0</v>
      </c>
      <c r="E366">
        <v>37.799999999999997</v>
      </c>
    </row>
    <row r="367" spans="1:5" x14ac:dyDescent="0.25">
      <c r="A367" s="1">
        <v>45292</v>
      </c>
      <c r="B367">
        <v>74.400000000000006</v>
      </c>
      <c r="C367">
        <v>0.67</v>
      </c>
      <c r="D367">
        <v>1</v>
      </c>
      <c r="E367">
        <v>49.5</v>
      </c>
    </row>
    <row r="368" spans="1:5" x14ac:dyDescent="0.25">
      <c r="A368" s="1">
        <v>45293</v>
      </c>
      <c r="B368">
        <v>73.900000000000006</v>
      </c>
      <c r="C368">
        <v>0</v>
      </c>
      <c r="D368">
        <v>0</v>
      </c>
      <c r="E368">
        <v>45.8</v>
      </c>
    </row>
    <row r="369" spans="1:5" x14ac:dyDescent="0.25">
      <c r="A369" s="1">
        <v>45294</v>
      </c>
      <c r="B369">
        <v>72.5</v>
      </c>
      <c r="C369">
        <v>0.04</v>
      </c>
      <c r="D369">
        <v>1</v>
      </c>
      <c r="E369">
        <v>38.299999999999997</v>
      </c>
    </row>
    <row r="370" spans="1:5" x14ac:dyDescent="0.25">
      <c r="A370" s="1">
        <v>45295</v>
      </c>
      <c r="B370">
        <v>73.8</v>
      </c>
      <c r="C370">
        <v>1.57</v>
      </c>
      <c r="D370">
        <v>1</v>
      </c>
      <c r="E370">
        <v>43.7</v>
      </c>
    </row>
    <row r="371" spans="1:5" x14ac:dyDescent="0.25">
      <c r="A371" s="1">
        <v>45296</v>
      </c>
      <c r="B371">
        <v>69</v>
      </c>
      <c r="C371">
        <v>0</v>
      </c>
      <c r="D371">
        <v>0</v>
      </c>
      <c r="E371">
        <v>46.6</v>
      </c>
    </row>
    <row r="372" spans="1:5" x14ac:dyDescent="0.25">
      <c r="A372" s="1">
        <v>45297</v>
      </c>
      <c r="B372">
        <v>77.599999999999994</v>
      </c>
      <c r="C372">
        <v>0</v>
      </c>
      <c r="D372">
        <v>0</v>
      </c>
      <c r="E372">
        <v>45.5</v>
      </c>
    </row>
    <row r="373" spans="1:5" x14ac:dyDescent="0.25">
      <c r="A373" s="1">
        <v>45298</v>
      </c>
      <c r="B373">
        <v>76.099999999999994</v>
      </c>
      <c r="C373">
        <v>0</v>
      </c>
      <c r="D373">
        <v>0</v>
      </c>
      <c r="E373">
        <v>46.8</v>
      </c>
    </row>
    <row r="374" spans="1:5" x14ac:dyDescent="0.25">
      <c r="A374" s="1">
        <v>45299</v>
      </c>
      <c r="B374">
        <v>71.8</v>
      </c>
      <c r="C374">
        <v>0</v>
      </c>
      <c r="D374">
        <v>0</v>
      </c>
      <c r="E374">
        <v>41.8</v>
      </c>
    </row>
    <row r="375" spans="1:5" x14ac:dyDescent="0.25">
      <c r="A375" s="1">
        <v>45300</v>
      </c>
      <c r="B375">
        <v>76.400000000000006</v>
      </c>
      <c r="C375">
        <v>0</v>
      </c>
      <c r="D375">
        <v>0</v>
      </c>
      <c r="E375">
        <v>51.6</v>
      </c>
    </row>
    <row r="376" spans="1:5" x14ac:dyDescent="0.25">
      <c r="A376" s="1">
        <v>45301</v>
      </c>
      <c r="B376">
        <v>76.099999999999994</v>
      </c>
      <c r="C376">
        <v>0</v>
      </c>
      <c r="D376">
        <v>0</v>
      </c>
      <c r="E376">
        <v>35.1</v>
      </c>
    </row>
    <row r="377" spans="1:5" x14ac:dyDescent="0.25">
      <c r="A377" s="1">
        <v>45302</v>
      </c>
      <c r="B377">
        <v>74.900000000000006</v>
      </c>
      <c r="C377">
        <v>0.08</v>
      </c>
      <c r="D377">
        <v>1</v>
      </c>
      <c r="E377">
        <v>39.200000000000003</v>
      </c>
    </row>
    <row r="378" spans="1:5" x14ac:dyDescent="0.25">
      <c r="A378" s="1">
        <v>45303</v>
      </c>
      <c r="B378">
        <v>79.2</v>
      </c>
      <c r="C378">
        <v>0</v>
      </c>
      <c r="D378">
        <v>0</v>
      </c>
      <c r="E378">
        <v>44.7</v>
      </c>
    </row>
    <row r="379" spans="1:5" x14ac:dyDescent="0.25">
      <c r="A379" s="1">
        <v>45304</v>
      </c>
      <c r="B379">
        <v>69</v>
      </c>
      <c r="C379">
        <v>0</v>
      </c>
      <c r="D379">
        <v>0</v>
      </c>
      <c r="E379">
        <v>46.4</v>
      </c>
    </row>
    <row r="380" spans="1:5" x14ac:dyDescent="0.25">
      <c r="A380" s="1">
        <v>45305</v>
      </c>
      <c r="B380">
        <v>67.3</v>
      </c>
      <c r="C380">
        <v>0</v>
      </c>
      <c r="D380">
        <v>0</v>
      </c>
      <c r="E380">
        <v>42</v>
      </c>
    </row>
    <row r="381" spans="1:5" x14ac:dyDescent="0.25">
      <c r="A381" s="1">
        <v>45306</v>
      </c>
      <c r="B381">
        <v>70.7</v>
      </c>
      <c r="C381">
        <v>0</v>
      </c>
      <c r="D381">
        <v>0</v>
      </c>
      <c r="E381">
        <v>45.2</v>
      </c>
    </row>
    <row r="382" spans="1:5" x14ac:dyDescent="0.25">
      <c r="A382" s="1">
        <v>45307</v>
      </c>
      <c r="B382">
        <v>77</v>
      </c>
      <c r="C382">
        <v>0</v>
      </c>
      <c r="D382">
        <v>0</v>
      </c>
      <c r="E382">
        <v>43.4</v>
      </c>
    </row>
    <row r="383" spans="1:5" x14ac:dyDescent="0.25">
      <c r="A383" s="1">
        <v>45308</v>
      </c>
      <c r="B383">
        <v>73.8</v>
      </c>
      <c r="C383">
        <v>0</v>
      </c>
      <c r="D383">
        <v>0</v>
      </c>
      <c r="E383">
        <v>38.799999999999997</v>
      </c>
    </row>
    <row r="384" spans="1:5" x14ac:dyDescent="0.25">
      <c r="A384" s="1">
        <v>45309</v>
      </c>
      <c r="B384">
        <v>70.8</v>
      </c>
      <c r="C384">
        <v>0</v>
      </c>
      <c r="D384">
        <v>0</v>
      </c>
      <c r="E384">
        <v>42.9</v>
      </c>
    </row>
    <row r="385" spans="1:5" x14ac:dyDescent="0.25">
      <c r="A385" s="1">
        <v>45310</v>
      </c>
      <c r="B385">
        <v>69</v>
      </c>
      <c r="C385">
        <v>0</v>
      </c>
      <c r="D385">
        <v>0</v>
      </c>
      <c r="E385">
        <v>44.9</v>
      </c>
    </row>
    <row r="386" spans="1:5" x14ac:dyDescent="0.25">
      <c r="A386" s="1">
        <v>45311</v>
      </c>
      <c r="B386">
        <v>84.3</v>
      </c>
      <c r="C386">
        <v>0</v>
      </c>
      <c r="D386">
        <v>0</v>
      </c>
      <c r="E386">
        <v>59.3</v>
      </c>
    </row>
    <row r="387" spans="1:5" x14ac:dyDescent="0.25">
      <c r="A387" s="1">
        <v>45312</v>
      </c>
      <c r="B387">
        <v>73.400000000000006</v>
      </c>
      <c r="C387">
        <v>0</v>
      </c>
      <c r="D387">
        <v>0</v>
      </c>
      <c r="E387">
        <v>43.6</v>
      </c>
    </row>
    <row r="388" spans="1:5" x14ac:dyDescent="0.25">
      <c r="A388" s="1">
        <v>45313</v>
      </c>
      <c r="B388">
        <v>69.7</v>
      </c>
      <c r="C388">
        <v>0.37</v>
      </c>
      <c r="D388">
        <v>1</v>
      </c>
      <c r="E388">
        <v>35</v>
      </c>
    </row>
    <row r="389" spans="1:5" x14ac:dyDescent="0.25">
      <c r="A389" s="1">
        <v>45314</v>
      </c>
      <c r="B389">
        <v>71.5</v>
      </c>
      <c r="C389">
        <v>0</v>
      </c>
      <c r="D389">
        <v>0</v>
      </c>
      <c r="E389">
        <v>35</v>
      </c>
    </row>
    <row r="390" spans="1:5" x14ac:dyDescent="0.25">
      <c r="A390" s="1">
        <v>45315</v>
      </c>
      <c r="B390">
        <v>72.7</v>
      </c>
      <c r="C390">
        <v>0</v>
      </c>
      <c r="D390">
        <v>0</v>
      </c>
      <c r="E390">
        <v>45.4</v>
      </c>
    </row>
    <row r="391" spans="1:5" x14ac:dyDescent="0.25">
      <c r="A391" s="1">
        <v>45316</v>
      </c>
      <c r="B391">
        <v>75</v>
      </c>
      <c r="C391">
        <v>0.45</v>
      </c>
      <c r="D391">
        <v>1</v>
      </c>
      <c r="E391">
        <v>40.299999999999997</v>
      </c>
    </row>
    <row r="392" spans="1:5" x14ac:dyDescent="0.25">
      <c r="A392" s="1">
        <v>45317</v>
      </c>
      <c r="B392">
        <v>70</v>
      </c>
      <c r="C392">
        <v>0</v>
      </c>
      <c r="D392">
        <v>0</v>
      </c>
      <c r="E392">
        <v>35</v>
      </c>
    </row>
    <row r="393" spans="1:5" x14ac:dyDescent="0.25">
      <c r="A393" s="1">
        <v>45318</v>
      </c>
      <c r="B393">
        <v>69.7</v>
      </c>
      <c r="C393">
        <v>0</v>
      </c>
      <c r="D393">
        <v>0</v>
      </c>
      <c r="E393">
        <v>37.1</v>
      </c>
    </row>
    <row r="394" spans="1:5" x14ac:dyDescent="0.25">
      <c r="A394" s="1">
        <v>45319</v>
      </c>
      <c r="B394">
        <v>70.3</v>
      </c>
      <c r="C394">
        <v>0</v>
      </c>
      <c r="D394">
        <v>0</v>
      </c>
      <c r="E394">
        <v>39.200000000000003</v>
      </c>
    </row>
    <row r="395" spans="1:5" x14ac:dyDescent="0.25">
      <c r="A395" s="1">
        <v>45320</v>
      </c>
      <c r="B395">
        <v>67.900000000000006</v>
      </c>
      <c r="C395">
        <v>0</v>
      </c>
      <c r="D395">
        <v>0</v>
      </c>
      <c r="E395">
        <v>47.5</v>
      </c>
    </row>
    <row r="396" spans="1:5" x14ac:dyDescent="0.25">
      <c r="A396" s="1">
        <v>45321</v>
      </c>
      <c r="B396">
        <v>69.400000000000006</v>
      </c>
      <c r="C396">
        <v>1.26</v>
      </c>
      <c r="D396">
        <v>1</v>
      </c>
      <c r="E396">
        <v>35</v>
      </c>
    </row>
    <row r="397" spans="1:5" x14ac:dyDescent="0.25">
      <c r="A397" s="1">
        <v>45322</v>
      </c>
      <c r="B397">
        <v>71.900000000000006</v>
      </c>
      <c r="C397">
        <v>0.86</v>
      </c>
      <c r="D397">
        <v>1</v>
      </c>
      <c r="E397">
        <v>43</v>
      </c>
    </row>
    <row r="398" spans="1:5" x14ac:dyDescent="0.25">
      <c r="A398" s="1">
        <v>45323</v>
      </c>
      <c r="B398">
        <v>67</v>
      </c>
      <c r="C398">
        <v>0</v>
      </c>
      <c r="D398">
        <v>0</v>
      </c>
      <c r="E398">
        <v>49.1</v>
      </c>
    </row>
    <row r="399" spans="1:5" x14ac:dyDescent="0.25">
      <c r="A399" s="1">
        <v>45324</v>
      </c>
      <c r="B399">
        <v>69</v>
      </c>
      <c r="C399">
        <v>0</v>
      </c>
      <c r="D399">
        <v>0</v>
      </c>
      <c r="E399">
        <v>44.2</v>
      </c>
    </row>
    <row r="400" spans="1:5" x14ac:dyDescent="0.25">
      <c r="A400" s="1">
        <v>45325</v>
      </c>
      <c r="B400">
        <v>67.900000000000006</v>
      </c>
      <c r="C400">
        <v>0</v>
      </c>
      <c r="D400">
        <v>0</v>
      </c>
      <c r="E400">
        <v>37.299999999999997</v>
      </c>
    </row>
    <row r="401" spans="1:5" x14ac:dyDescent="0.25">
      <c r="A401" s="1">
        <v>45326</v>
      </c>
      <c r="B401">
        <v>66.2</v>
      </c>
      <c r="C401">
        <v>1.5</v>
      </c>
      <c r="D401">
        <v>1</v>
      </c>
      <c r="E401">
        <v>35</v>
      </c>
    </row>
    <row r="402" spans="1:5" x14ac:dyDescent="0.25">
      <c r="A402" s="1">
        <v>45327</v>
      </c>
      <c r="B402">
        <v>67.599999999999994</v>
      </c>
      <c r="C402">
        <v>0</v>
      </c>
      <c r="D402">
        <v>0</v>
      </c>
      <c r="E402">
        <v>39.9</v>
      </c>
    </row>
    <row r="403" spans="1:5" x14ac:dyDescent="0.25">
      <c r="A403" s="1">
        <v>45328</v>
      </c>
      <c r="B403">
        <v>71.099999999999994</v>
      </c>
      <c r="C403">
        <v>0</v>
      </c>
      <c r="D403">
        <v>0</v>
      </c>
      <c r="E403">
        <v>45.6</v>
      </c>
    </row>
    <row r="404" spans="1:5" x14ac:dyDescent="0.25">
      <c r="A404" s="1">
        <v>45329</v>
      </c>
      <c r="B404">
        <v>70.900000000000006</v>
      </c>
      <c r="C404">
        <v>0</v>
      </c>
      <c r="D404">
        <v>0</v>
      </c>
      <c r="E404">
        <v>39.6</v>
      </c>
    </row>
    <row r="405" spans="1:5" x14ac:dyDescent="0.25">
      <c r="A405" s="1">
        <v>45330</v>
      </c>
      <c r="B405">
        <v>68.099999999999994</v>
      </c>
      <c r="C405">
        <v>0</v>
      </c>
      <c r="D405">
        <v>0</v>
      </c>
      <c r="E405">
        <v>39.799999999999997</v>
      </c>
    </row>
    <row r="406" spans="1:5" x14ac:dyDescent="0.25">
      <c r="A406" s="1">
        <v>45331</v>
      </c>
      <c r="B406">
        <v>74.900000000000006</v>
      </c>
      <c r="C406">
        <v>1.19</v>
      </c>
      <c r="D406">
        <v>1</v>
      </c>
      <c r="E406">
        <v>35</v>
      </c>
    </row>
    <row r="407" spans="1:5" x14ac:dyDescent="0.25">
      <c r="A407" s="1">
        <v>45332</v>
      </c>
      <c r="B407">
        <v>65.2</v>
      </c>
      <c r="C407">
        <v>0</v>
      </c>
      <c r="D407">
        <v>0</v>
      </c>
      <c r="E407">
        <v>35</v>
      </c>
    </row>
    <row r="408" spans="1:5" x14ac:dyDescent="0.25">
      <c r="A408" s="1">
        <v>45333</v>
      </c>
      <c r="B408">
        <v>70.400000000000006</v>
      </c>
      <c r="C408">
        <v>0</v>
      </c>
      <c r="D408">
        <v>0</v>
      </c>
      <c r="E408">
        <v>42.1</v>
      </c>
    </row>
    <row r="409" spans="1:5" x14ac:dyDescent="0.25">
      <c r="A409" s="1">
        <v>45334</v>
      </c>
      <c r="B409">
        <v>68</v>
      </c>
      <c r="C409">
        <v>0</v>
      </c>
      <c r="D409">
        <v>0</v>
      </c>
      <c r="E409">
        <v>47.9</v>
      </c>
    </row>
    <row r="410" spans="1:5" x14ac:dyDescent="0.25">
      <c r="A410" s="1">
        <v>45335</v>
      </c>
      <c r="B410">
        <v>63.6</v>
      </c>
      <c r="C410">
        <v>0</v>
      </c>
      <c r="D410">
        <v>0</v>
      </c>
      <c r="E410">
        <v>47.8</v>
      </c>
    </row>
    <row r="411" spans="1:5" x14ac:dyDescent="0.25">
      <c r="A411" s="1">
        <v>45336</v>
      </c>
      <c r="B411">
        <v>67.8</v>
      </c>
      <c r="C411">
        <v>0</v>
      </c>
      <c r="D411">
        <v>0</v>
      </c>
      <c r="E411">
        <v>35</v>
      </c>
    </row>
    <row r="412" spans="1:5" x14ac:dyDescent="0.25">
      <c r="A412" s="1">
        <v>45337</v>
      </c>
      <c r="B412">
        <v>68.3</v>
      </c>
      <c r="C412">
        <v>0</v>
      </c>
      <c r="D412">
        <v>0</v>
      </c>
      <c r="E412">
        <v>41.8</v>
      </c>
    </row>
    <row r="413" spans="1:5" x14ac:dyDescent="0.25">
      <c r="A413" s="1">
        <v>45338</v>
      </c>
      <c r="B413">
        <v>66.8</v>
      </c>
      <c r="C413">
        <v>0</v>
      </c>
      <c r="D413">
        <v>0</v>
      </c>
      <c r="E413">
        <v>35.799999999999997</v>
      </c>
    </row>
    <row r="414" spans="1:5" x14ac:dyDescent="0.25">
      <c r="A414" s="1">
        <v>45339</v>
      </c>
      <c r="B414">
        <v>71.7</v>
      </c>
      <c r="C414">
        <v>0</v>
      </c>
      <c r="D414">
        <v>0</v>
      </c>
      <c r="E414">
        <v>35</v>
      </c>
    </row>
    <row r="415" spans="1:5" x14ac:dyDescent="0.25">
      <c r="A415" s="1">
        <v>45340</v>
      </c>
      <c r="B415">
        <v>64</v>
      </c>
      <c r="C415">
        <v>0.79</v>
      </c>
      <c r="D415">
        <v>1</v>
      </c>
      <c r="E415">
        <v>38.799999999999997</v>
      </c>
    </row>
    <row r="416" spans="1:5" x14ac:dyDescent="0.25">
      <c r="A416" s="1">
        <v>45341</v>
      </c>
      <c r="B416">
        <v>66</v>
      </c>
      <c r="C416">
        <v>0</v>
      </c>
      <c r="D416">
        <v>0</v>
      </c>
      <c r="E416">
        <v>44.6</v>
      </c>
    </row>
    <row r="417" spans="1:5" x14ac:dyDescent="0.25">
      <c r="A417" s="1">
        <v>45342</v>
      </c>
      <c r="B417">
        <v>69.8</v>
      </c>
      <c r="C417">
        <v>0</v>
      </c>
      <c r="D417">
        <v>0</v>
      </c>
      <c r="E417">
        <v>37.700000000000003</v>
      </c>
    </row>
    <row r="418" spans="1:5" x14ac:dyDescent="0.25">
      <c r="A418" s="1">
        <v>45343</v>
      </c>
      <c r="B418">
        <v>70.900000000000006</v>
      </c>
      <c r="C418">
        <v>0</v>
      </c>
      <c r="D418">
        <v>0</v>
      </c>
      <c r="E418">
        <v>36.700000000000003</v>
      </c>
    </row>
    <row r="419" spans="1:5" x14ac:dyDescent="0.25">
      <c r="A419" s="1">
        <v>45344</v>
      </c>
      <c r="B419">
        <v>72</v>
      </c>
      <c r="C419">
        <v>0</v>
      </c>
      <c r="D419">
        <v>0</v>
      </c>
      <c r="E419">
        <v>36.9</v>
      </c>
    </row>
    <row r="420" spans="1:5" x14ac:dyDescent="0.25">
      <c r="A420" s="1">
        <v>45345</v>
      </c>
      <c r="B420">
        <v>65.099999999999994</v>
      </c>
      <c r="C420">
        <v>1.41</v>
      </c>
      <c r="D420">
        <v>1</v>
      </c>
      <c r="E420">
        <v>41.8</v>
      </c>
    </row>
    <row r="421" spans="1:5" x14ac:dyDescent="0.25">
      <c r="A421" s="1">
        <v>45346</v>
      </c>
      <c r="B421">
        <v>63.6</v>
      </c>
      <c r="C421">
        <v>0</v>
      </c>
      <c r="D421">
        <v>0</v>
      </c>
      <c r="E421">
        <v>38</v>
      </c>
    </row>
    <row r="422" spans="1:5" x14ac:dyDescent="0.25">
      <c r="A422" s="1">
        <v>45347</v>
      </c>
      <c r="B422">
        <v>67</v>
      </c>
      <c r="C422">
        <v>0</v>
      </c>
      <c r="D422">
        <v>0</v>
      </c>
      <c r="E422">
        <v>36.299999999999997</v>
      </c>
    </row>
    <row r="423" spans="1:5" x14ac:dyDescent="0.25">
      <c r="A423" s="1">
        <v>45348</v>
      </c>
      <c r="B423">
        <v>67</v>
      </c>
      <c r="C423">
        <v>0</v>
      </c>
      <c r="D423">
        <v>0</v>
      </c>
      <c r="E423">
        <v>38.700000000000003</v>
      </c>
    </row>
    <row r="424" spans="1:5" x14ac:dyDescent="0.25">
      <c r="A424" s="1">
        <v>45349</v>
      </c>
      <c r="B424">
        <v>62.5</v>
      </c>
      <c r="C424">
        <v>0</v>
      </c>
      <c r="D424">
        <v>0</v>
      </c>
      <c r="E424">
        <v>39.700000000000003</v>
      </c>
    </row>
    <row r="425" spans="1:5" x14ac:dyDescent="0.25">
      <c r="A425" s="1">
        <v>45350</v>
      </c>
      <c r="B425">
        <v>64.8</v>
      </c>
      <c r="C425">
        <v>0</v>
      </c>
      <c r="D425">
        <v>0</v>
      </c>
      <c r="E425">
        <v>35</v>
      </c>
    </row>
    <row r="426" spans="1:5" x14ac:dyDescent="0.25">
      <c r="A426" s="1">
        <v>45351</v>
      </c>
      <c r="B426">
        <v>69.5</v>
      </c>
      <c r="C426">
        <v>2.56</v>
      </c>
      <c r="D426">
        <v>1</v>
      </c>
      <c r="E426">
        <v>35.200000000000003</v>
      </c>
    </row>
    <row r="427" spans="1:5" x14ac:dyDescent="0.25">
      <c r="A427" s="1">
        <v>45352</v>
      </c>
      <c r="B427">
        <v>64.8</v>
      </c>
      <c r="C427">
        <v>0.15</v>
      </c>
      <c r="D427">
        <v>1</v>
      </c>
      <c r="E427">
        <v>37.1</v>
      </c>
    </row>
    <row r="428" spans="1:5" x14ac:dyDescent="0.25">
      <c r="A428" s="1">
        <v>45353</v>
      </c>
      <c r="B428">
        <v>63.1</v>
      </c>
      <c r="C428">
        <v>0</v>
      </c>
      <c r="D428">
        <v>0</v>
      </c>
      <c r="E428">
        <v>35</v>
      </c>
    </row>
    <row r="429" spans="1:5" x14ac:dyDescent="0.25">
      <c r="A429" s="1">
        <v>45354</v>
      </c>
      <c r="B429">
        <v>63.9</v>
      </c>
      <c r="C429">
        <v>0</v>
      </c>
      <c r="D429">
        <v>0</v>
      </c>
      <c r="E429">
        <v>36.200000000000003</v>
      </c>
    </row>
    <row r="430" spans="1:5" x14ac:dyDescent="0.25">
      <c r="A430" s="1">
        <v>45355</v>
      </c>
      <c r="B430">
        <v>61.4</v>
      </c>
      <c r="C430">
        <v>1.1000000000000001</v>
      </c>
      <c r="D430">
        <v>1</v>
      </c>
      <c r="E430">
        <v>35</v>
      </c>
    </row>
    <row r="431" spans="1:5" x14ac:dyDescent="0.25">
      <c r="A431" s="1">
        <v>45356</v>
      </c>
      <c r="B431">
        <v>61.4</v>
      </c>
      <c r="C431">
        <v>0</v>
      </c>
      <c r="D431">
        <v>0</v>
      </c>
      <c r="E431">
        <v>43</v>
      </c>
    </row>
    <row r="432" spans="1:5" x14ac:dyDescent="0.25">
      <c r="A432" s="1">
        <v>45357</v>
      </c>
      <c r="B432">
        <v>62.7</v>
      </c>
      <c r="C432">
        <v>0</v>
      </c>
      <c r="D432">
        <v>0</v>
      </c>
      <c r="E432">
        <v>36.700000000000003</v>
      </c>
    </row>
    <row r="433" spans="1:5" x14ac:dyDescent="0.25">
      <c r="A433" s="1">
        <v>45358</v>
      </c>
      <c r="B433">
        <v>64.3</v>
      </c>
      <c r="C433">
        <v>1.42</v>
      </c>
      <c r="D433">
        <v>1</v>
      </c>
      <c r="E433">
        <v>35</v>
      </c>
    </row>
    <row r="434" spans="1:5" x14ac:dyDescent="0.25">
      <c r="A434" s="1">
        <v>45359</v>
      </c>
      <c r="B434">
        <v>64.099999999999994</v>
      </c>
      <c r="C434">
        <v>0</v>
      </c>
      <c r="D434">
        <v>0</v>
      </c>
      <c r="E434">
        <v>35</v>
      </c>
    </row>
    <row r="435" spans="1:5" x14ac:dyDescent="0.25">
      <c r="A435" s="1">
        <v>45360</v>
      </c>
      <c r="B435">
        <v>63.3</v>
      </c>
      <c r="C435">
        <v>0</v>
      </c>
      <c r="D435">
        <v>0</v>
      </c>
      <c r="E435">
        <v>39.1</v>
      </c>
    </row>
    <row r="436" spans="1:5" x14ac:dyDescent="0.25">
      <c r="A436" s="1">
        <v>45361</v>
      </c>
      <c r="B436">
        <v>64.3</v>
      </c>
      <c r="C436">
        <v>0</v>
      </c>
      <c r="D436">
        <v>0</v>
      </c>
      <c r="E436">
        <v>36.200000000000003</v>
      </c>
    </row>
    <row r="437" spans="1:5" x14ac:dyDescent="0.25">
      <c r="A437" s="1">
        <v>45362</v>
      </c>
      <c r="B437">
        <v>68.099999999999994</v>
      </c>
      <c r="C437">
        <v>0.31</v>
      </c>
      <c r="D437">
        <v>1</v>
      </c>
      <c r="E437">
        <v>38.299999999999997</v>
      </c>
    </row>
    <row r="438" spans="1:5" x14ac:dyDescent="0.25">
      <c r="A438" s="1">
        <v>45363</v>
      </c>
      <c r="B438">
        <v>62.9</v>
      </c>
      <c r="C438">
        <v>0</v>
      </c>
      <c r="D438">
        <v>0</v>
      </c>
      <c r="E438">
        <v>35</v>
      </c>
    </row>
    <row r="439" spans="1:5" x14ac:dyDescent="0.25">
      <c r="A439" s="1">
        <v>45364</v>
      </c>
      <c r="B439">
        <v>62.1</v>
      </c>
      <c r="C439">
        <v>0</v>
      </c>
      <c r="D439">
        <v>0</v>
      </c>
      <c r="E439">
        <v>35</v>
      </c>
    </row>
    <row r="440" spans="1:5" x14ac:dyDescent="0.25">
      <c r="A440" s="1">
        <v>45365</v>
      </c>
      <c r="B440">
        <v>72.2</v>
      </c>
      <c r="C440">
        <v>0</v>
      </c>
      <c r="D440">
        <v>0</v>
      </c>
      <c r="E440">
        <v>35</v>
      </c>
    </row>
    <row r="441" spans="1:5" x14ac:dyDescent="0.25">
      <c r="A441" s="1">
        <v>45366</v>
      </c>
      <c r="B441">
        <v>73.099999999999994</v>
      </c>
      <c r="C441">
        <v>0</v>
      </c>
      <c r="D441">
        <v>0</v>
      </c>
      <c r="E441">
        <v>35</v>
      </c>
    </row>
    <row r="442" spans="1:5" x14ac:dyDescent="0.25">
      <c r="A442" s="1">
        <v>45367</v>
      </c>
      <c r="B442">
        <v>67.2</v>
      </c>
      <c r="C442">
        <v>0</v>
      </c>
      <c r="D442">
        <v>0</v>
      </c>
      <c r="E442">
        <v>35</v>
      </c>
    </row>
    <row r="443" spans="1:5" x14ac:dyDescent="0.25">
      <c r="A443" s="1">
        <v>45368</v>
      </c>
      <c r="B443">
        <v>68.3</v>
      </c>
      <c r="C443">
        <v>0</v>
      </c>
      <c r="D443">
        <v>0</v>
      </c>
      <c r="E443">
        <v>37.4</v>
      </c>
    </row>
    <row r="444" spans="1:5" x14ac:dyDescent="0.25">
      <c r="A444" s="1">
        <v>45369</v>
      </c>
      <c r="B444">
        <v>64.099999999999994</v>
      </c>
      <c r="C444">
        <v>0</v>
      </c>
      <c r="D444">
        <v>0</v>
      </c>
      <c r="E444">
        <v>38.9</v>
      </c>
    </row>
    <row r="445" spans="1:5" x14ac:dyDescent="0.25">
      <c r="A445" s="1">
        <v>45370</v>
      </c>
      <c r="B445">
        <v>64.599999999999994</v>
      </c>
      <c r="C445">
        <v>0.4</v>
      </c>
      <c r="D445">
        <v>1</v>
      </c>
      <c r="E445">
        <v>35</v>
      </c>
    </row>
    <row r="446" spans="1:5" x14ac:dyDescent="0.25">
      <c r="A446" s="1">
        <v>45371</v>
      </c>
      <c r="B446">
        <v>64.099999999999994</v>
      </c>
      <c r="C446">
        <v>0.49</v>
      </c>
      <c r="D446">
        <v>1</v>
      </c>
      <c r="E446">
        <v>36.9</v>
      </c>
    </row>
    <row r="447" spans="1:5" x14ac:dyDescent="0.25">
      <c r="A447" s="1">
        <v>45372</v>
      </c>
      <c r="B447">
        <v>66.8</v>
      </c>
      <c r="C447">
        <v>0</v>
      </c>
      <c r="D447">
        <v>0</v>
      </c>
      <c r="E447">
        <v>42.2</v>
      </c>
    </row>
    <row r="448" spans="1:5" x14ac:dyDescent="0.25">
      <c r="A448" s="1">
        <v>45373</v>
      </c>
      <c r="B448">
        <v>69.400000000000006</v>
      </c>
      <c r="C448">
        <v>0.18</v>
      </c>
      <c r="D448">
        <v>1</v>
      </c>
      <c r="E448">
        <v>38.200000000000003</v>
      </c>
    </row>
    <row r="449" spans="1:5" x14ac:dyDescent="0.25">
      <c r="A449" s="1">
        <v>45374</v>
      </c>
      <c r="B449">
        <v>67.099999999999994</v>
      </c>
      <c r="C449">
        <v>0</v>
      </c>
      <c r="D449">
        <v>0</v>
      </c>
      <c r="E449">
        <v>39</v>
      </c>
    </row>
    <row r="450" spans="1:5" x14ac:dyDescent="0.25">
      <c r="A450" s="1">
        <v>45375</v>
      </c>
      <c r="B450">
        <v>63.8</v>
      </c>
      <c r="C450">
        <v>0</v>
      </c>
      <c r="D450">
        <v>0</v>
      </c>
      <c r="E450">
        <v>35</v>
      </c>
    </row>
    <row r="451" spans="1:5" x14ac:dyDescent="0.25">
      <c r="A451" s="1">
        <v>45376</v>
      </c>
      <c r="B451">
        <v>69.3</v>
      </c>
      <c r="C451">
        <v>0</v>
      </c>
      <c r="D451">
        <v>0</v>
      </c>
      <c r="E451">
        <v>37.299999999999997</v>
      </c>
    </row>
    <row r="452" spans="1:5" x14ac:dyDescent="0.25">
      <c r="A452" s="1">
        <v>45377</v>
      </c>
      <c r="B452">
        <v>69.599999999999994</v>
      </c>
      <c r="C452">
        <v>0.45</v>
      </c>
      <c r="D452">
        <v>1</v>
      </c>
      <c r="E452">
        <v>35.1</v>
      </c>
    </row>
    <row r="453" spans="1:5" x14ac:dyDescent="0.25">
      <c r="A453" s="1">
        <v>45378</v>
      </c>
      <c r="B453">
        <v>70.400000000000006</v>
      </c>
      <c r="C453">
        <v>0</v>
      </c>
      <c r="D453">
        <v>0</v>
      </c>
      <c r="E453">
        <v>35.6</v>
      </c>
    </row>
    <row r="454" spans="1:5" x14ac:dyDescent="0.25">
      <c r="A454" s="1">
        <v>45379</v>
      </c>
      <c r="B454">
        <v>72.3</v>
      </c>
      <c r="C454">
        <v>0</v>
      </c>
      <c r="D454">
        <v>0</v>
      </c>
      <c r="E454">
        <v>35</v>
      </c>
    </row>
    <row r="455" spans="1:5" x14ac:dyDescent="0.25">
      <c r="A455" s="1">
        <v>45380</v>
      </c>
      <c r="B455">
        <v>71.2</v>
      </c>
      <c r="C455">
        <v>1.59</v>
      </c>
      <c r="D455">
        <v>1</v>
      </c>
      <c r="E455">
        <v>38.200000000000003</v>
      </c>
    </row>
    <row r="456" spans="1:5" x14ac:dyDescent="0.25">
      <c r="A456" s="1">
        <v>45381</v>
      </c>
      <c r="B456">
        <v>58.8</v>
      </c>
      <c r="C456">
        <v>0</v>
      </c>
      <c r="D456">
        <v>0</v>
      </c>
      <c r="E456">
        <v>38.299999999999997</v>
      </c>
    </row>
    <row r="457" spans="1:5" x14ac:dyDescent="0.25">
      <c r="A457" s="1">
        <v>45382</v>
      </c>
      <c r="B457">
        <v>65.599999999999994</v>
      </c>
      <c r="C457">
        <v>0</v>
      </c>
      <c r="D457">
        <v>0</v>
      </c>
      <c r="E457">
        <v>35.1</v>
      </c>
    </row>
    <row r="458" spans="1:5" x14ac:dyDescent="0.25">
      <c r="A458" s="1">
        <v>45383</v>
      </c>
      <c r="B458">
        <v>58.9</v>
      </c>
      <c r="C458">
        <v>0</v>
      </c>
      <c r="D458">
        <v>0</v>
      </c>
      <c r="E458">
        <v>35</v>
      </c>
    </row>
    <row r="459" spans="1:5" x14ac:dyDescent="0.25">
      <c r="A459" s="1">
        <v>45384</v>
      </c>
      <c r="B459">
        <v>65.5</v>
      </c>
      <c r="C459">
        <v>0</v>
      </c>
      <c r="D459">
        <v>0</v>
      </c>
      <c r="E459">
        <v>42.6</v>
      </c>
    </row>
    <row r="460" spans="1:5" x14ac:dyDescent="0.25">
      <c r="A460" s="1">
        <v>45385</v>
      </c>
      <c r="B460">
        <v>62.8</v>
      </c>
      <c r="C460">
        <v>0.44</v>
      </c>
      <c r="D460">
        <v>1</v>
      </c>
      <c r="E460">
        <v>40.5</v>
      </c>
    </row>
    <row r="461" spans="1:5" x14ac:dyDescent="0.25">
      <c r="A461" s="1">
        <v>45386</v>
      </c>
      <c r="B461">
        <v>63.9</v>
      </c>
      <c r="C461">
        <v>0.5</v>
      </c>
      <c r="D461">
        <v>1</v>
      </c>
      <c r="E461">
        <v>42.5</v>
      </c>
    </row>
    <row r="462" spans="1:5" x14ac:dyDescent="0.25">
      <c r="A462" s="1">
        <v>45387</v>
      </c>
      <c r="B462">
        <v>66.8</v>
      </c>
      <c r="C462">
        <v>0</v>
      </c>
      <c r="D462">
        <v>0</v>
      </c>
      <c r="E462">
        <v>44.1</v>
      </c>
    </row>
    <row r="463" spans="1:5" x14ac:dyDescent="0.25">
      <c r="A463" s="1">
        <v>45388</v>
      </c>
      <c r="B463">
        <v>69.7</v>
      </c>
      <c r="C463">
        <v>0</v>
      </c>
      <c r="D463">
        <v>0</v>
      </c>
      <c r="E463">
        <v>35</v>
      </c>
    </row>
    <row r="464" spans="1:5" x14ac:dyDescent="0.25">
      <c r="A464" s="1">
        <v>45389</v>
      </c>
      <c r="B464">
        <v>62.7</v>
      </c>
      <c r="C464">
        <v>0</v>
      </c>
      <c r="D464">
        <v>0</v>
      </c>
      <c r="E464">
        <v>39.799999999999997</v>
      </c>
    </row>
    <row r="465" spans="1:5" x14ac:dyDescent="0.25">
      <c r="A465" s="1">
        <v>45390</v>
      </c>
      <c r="B465">
        <v>67.3</v>
      </c>
      <c r="C465">
        <v>1.7</v>
      </c>
      <c r="D465">
        <v>1</v>
      </c>
      <c r="E465">
        <v>45.9</v>
      </c>
    </row>
    <row r="466" spans="1:5" x14ac:dyDescent="0.25">
      <c r="A466" s="1">
        <v>45391</v>
      </c>
      <c r="B466">
        <v>68.3</v>
      </c>
      <c r="C466">
        <v>0</v>
      </c>
      <c r="D466">
        <v>0</v>
      </c>
      <c r="E466">
        <v>35</v>
      </c>
    </row>
    <row r="467" spans="1:5" x14ac:dyDescent="0.25">
      <c r="A467" s="1">
        <v>45392</v>
      </c>
      <c r="B467">
        <v>64.7</v>
      </c>
      <c r="C467">
        <v>0</v>
      </c>
      <c r="D467">
        <v>0</v>
      </c>
      <c r="E467">
        <v>36.200000000000003</v>
      </c>
    </row>
    <row r="468" spans="1:5" x14ac:dyDescent="0.25">
      <c r="A468" s="1">
        <v>45393</v>
      </c>
      <c r="B468">
        <v>73.099999999999994</v>
      </c>
      <c r="C468">
        <v>0</v>
      </c>
      <c r="D468">
        <v>0</v>
      </c>
      <c r="E468">
        <v>35.1</v>
      </c>
    </row>
    <row r="469" spans="1:5" x14ac:dyDescent="0.25">
      <c r="A469" s="1">
        <v>45394</v>
      </c>
      <c r="B469">
        <v>67.8</v>
      </c>
      <c r="C469">
        <v>0</v>
      </c>
      <c r="D469">
        <v>0</v>
      </c>
      <c r="E469">
        <v>40.700000000000003</v>
      </c>
    </row>
    <row r="470" spans="1:5" x14ac:dyDescent="0.25">
      <c r="A470" s="1">
        <v>45395</v>
      </c>
      <c r="B470">
        <v>67.900000000000006</v>
      </c>
      <c r="C470">
        <v>0</v>
      </c>
      <c r="D470">
        <v>0</v>
      </c>
      <c r="E470">
        <v>35</v>
      </c>
    </row>
    <row r="471" spans="1:5" x14ac:dyDescent="0.25">
      <c r="A471" s="1">
        <v>45396</v>
      </c>
      <c r="B471">
        <v>67.7</v>
      </c>
      <c r="C471">
        <v>0</v>
      </c>
      <c r="D471">
        <v>0</v>
      </c>
      <c r="E471">
        <v>36.299999999999997</v>
      </c>
    </row>
    <row r="472" spans="1:5" x14ac:dyDescent="0.25">
      <c r="A472" s="1">
        <v>45397</v>
      </c>
      <c r="B472">
        <v>67.7</v>
      </c>
      <c r="C472">
        <v>0</v>
      </c>
      <c r="D472">
        <v>0</v>
      </c>
      <c r="E472">
        <v>37.5</v>
      </c>
    </row>
    <row r="473" spans="1:5" x14ac:dyDescent="0.25">
      <c r="A473" s="1">
        <v>45398</v>
      </c>
      <c r="B473">
        <v>71.3</v>
      </c>
      <c r="C473">
        <v>1.78</v>
      </c>
      <c r="D473">
        <v>1</v>
      </c>
      <c r="E473">
        <v>35</v>
      </c>
    </row>
    <row r="474" spans="1:5" x14ac:dyDescent="0.25">
      <c r="A474" s="1">
        <v>45399</v>
      </c>
      <c r="B474">
        <v>68.900000000000006</v>
      </c>
      <c r="C474">
        <v>0</v>
      </c>
      <c r="D474">
        <v>0</v>
      </c>
      <c r="E474">
        <v>35</v>
      </c>
    </row>
    <row r="475" spans="1:5" x14ac:dyDescent="0.25">
      <c r="A475" s="1">
        <v>45400</v>
      </c>
      <c r="B475">
        <v>67.599999999999994</v>
      </c>
      <c r="C475">
        <v>0</v>
      </c>
      <c r="D475">
        <v>0</v>
      </c>
      <c r="E475">
        <v>39.9</v>
      </c>
    </row>
    <row r="476" spans="1:5" x14ac:dyDescent="0.25">
      <c r="A476" s="1">
        <v>45401</v>
      </c>
      <c r="B476">
        <v>75.8</v>
      </c>
      <c r="C476">
        <v>1.07</v>
      </c>
      <c r="D476">
        <v>1</v>
      </c>
      <c r="E476">
        <v>47.8</v>
      </c>
    </row>
    <row r="477" spans="1:5" x14ac:dyDescent="0.25">
      <c r="A477" s="1">
        <v>45402</v>
      </c>
      <c r="B477">
        <v>69.3</v>
      </c>
      <c r="C477">
        <v>0.42</v>
      </c>
      <c r="D477">
        <v>1</v>
      </c>
      <c r="E477">
        <v>39.299999999999997</v>
      </c>
    </row>
    <row r="478" spans="1:5" x14ac:dyDescent="0.25">
      <c r="A478" s="1">
        <v>45403</v>
      </c>
      <c r="B478">
        <v>67.8</v>
      </c>
      <c r="C478">
        <v>0</v>
      </c>
      <c r="D478">
        <v>0</v>
      </c>
      <c r="E478">
        <v>39.1</v>
      </c>
    </row>
    <row r="479" spans="1:5" x14ac:dyDescent="0.25">
      <c r="A479" s="1">
        <v>45404</v>
      </c>
      <c r="B479">
        <v>70.099999999999994</v>
      </c>
      <c r="C479">
        <v>0</v>
      </c>
      <c r="D479">
        <v>0</v>
      </c>
      <c r="E479">
        <v>35</v>
      </c>
    </row>
    <row r="480" spans="1:5" x14ac:dyDescent="0.25">
      <c r="A480" s="1">
        <v>45405</v>
      </c>
      <c r="B480">
        <v>69.2</v>
      </c>
      <c r="C480">
        <v>0</v>
      </c>
      <c r="D480">
        <v>0</v>
      </c>
      <c r="E480">
        <v>39.1</v>
      </c>
    </row>
    <row r="481" spans="1:5" x14ac:dyDescent="0.25">
      <c r="A481" s="1">
        <v>45406</v>
      </c>
      <c r="B481">
        <v>68.8</v>
      </c>
      <c r="C481">
        <v>0</v>
      </c>
      <c r="D481">
        <v>0</v>
      </c>
      <c r="E481">
        <v>35.5</v>
      </c>
    </row>
    <row r="482" spans="1:5" x14ac:dyDescent="0.25">
      <c r="A482" s="1">
        <v>45407</v>
      </c>
      <c r="B482">
        <v>67</v>
      </c>
      <c r="C482">
        <v>2.58</v>
      </c>
      <c r="D482">
        <v>1</v>
      </c>
      <c r="E482">
        <v>38.1</v>
      </c>
    </row>
    <row r="483" spans="1:5" x14ac:dyDescent="0.25">
      <c r="A483" s="1">
        <v>45408</v>
      </c>
      <c r="B483">
        <v>59.9</v>
      </c>
      <c r="C483">
        <v>0</v>
      </c>
      <c r="D483">
        <v>0</v>
      </c>
      <c r="E483">
        <v>36.299999999999997</v>
      </c>
    </row>
    <row r="484" spans="1:5" x14ac:dyDescent="0.25">
      <c r="A484" s="1">
        <v>45409</v>
      </c>
      <c r="B484">
        <v>70.400000000000006</v>
      </c>
      <c r="C484">
        <v>0</v>
      </c>
      <c r="D484">
        <v>0</v>
      </c>
      <c r="E484">
        <v>47.3</v>
      </c>
    </row>
    <row r="485" spans="1:5" x14ac:dyDescent="0.25">
      <c r="A485" s="1">
        <v>45410</v>
      </c>
      <c r="B485">
        <v>67.099999999999994</v>
      </c>
      <c r="C485">
        <v>0</v>
      </c>
      <c r="D485">
        <v>0</v>
      </c>
      <c r="E485">
        <v>53.8</v>
      </c>
    </row>
    <row r="486" spans="1:5" x14ac:dyDescent="0.25">
      <c r="A486" s="1">
        <v>45411</v>
      </c>
      <c r="B486">
        <v>64.8</v>
      </c>
      <c r="C486">
        <v>0</v>
      </c>
      <c r="D486">
        <v>0</v>
      </c>
      <c r="E486">
        <v>42.9</v>
      </c>
    </row>
    <row r="487" spans="1:5" x14ac:dyDescent="0.25">
      <c r="A487" s="1">
        <v>45412</v>
      </c>
      <c r="B487">
        <v>70.099999999999994</v>
      </c>
      <c r="C487">
        <v>0</v>
      </c>
      <c r="D487">
        <v>0</v>
      </c>
      <c r="E487">
        <v>41.7</v>
      </c>
    </row>
    <row r="488" spans="1:5" x14ac:dyDescent="0.25">
      <c r="A488" s="1">
        <v>45413</v>
      </c>
      <c r="B488">
        <v>66.2</v>
      </c>
      <c r="C488">
        <v>0</v>
      </c>
      <c r="D488">
        <v>0</v>
      </c>
      <c r="E488">
        <v>43.1</v>
      </c>
    </row>
    <row r="489" spans="1:5" x14ac:dyDescent="0.25">
      <c r="A489" s="1">
        <v>45414</v>
      </c>
      <c r="B489">
        <v>72.900000000000006</v>
      </c>
      <c r="C489">
        <v>0.5</v>
      </c>
      <c r="D489">
        <v>1</v>
      </c>
      <c r="E489">
        <v>38.9</v>
      </c>
    </row>
    <row r="490" spans="1:5" x14ac:dyDescent="0.25">
      <c r="A490" s="1">
        <v>45415</v>
      </c>
      <c r="B490">
        <v>71</v>
      </c>
      <c r="C490">
        <v>0</v>
      </c>
      <c r="D490">
        <v>0</v>
      </c>
      <c r="E490">
        <v>39.299999999999997</v>
      </c>
    </row>
    <row r="491" spans="1:5" x14ac:dyDescent="0.25">
      <c r="A491" s="1">
        <v>45416</v>
      </c>
      <c r="B491">
        <v>65.400000000000006</v>
      </c>
      <c r="C491">
        <v>0</v>
      </c>
      <c r="D491">
        <v>0</v>
      </c>
      <c r="E491">
        <v>48.3</v>
      </c>
    </row>
    <row r="492" spans="1:5" x14ac:dyDescent="0.25">
      <c r="A492" s="1">
        <v>45417</v>
      </c>
      <c r="B492">
        <v>68.5</v>
      </c>
      <c r="C492">
        <v>0.22</v>
      </c>
      <c r="D492">
        <v>1</v>
      </c>
      <c r="E492">
        <v>42.6</v>
      </c>
    </row>
    <row r="493" spans="1:5" x14ac:dyDescent="0.25">
      <c r="A493" s="1">
        <v>45418</v>
      </c>
      <c r="B493">
        <v>68.5</v>
      </c>
      <c r="C493">
        <v>0.45</v>
      </c>
      <c r="D493">
        <v>1</v>
      </c>
      <c r="E493">
        <v>52.5</v>
      </c>
    </row>
    <row r="494" spans="1:5" x14ac:dyDescent="0.25">
      <c r="A494" s="1">
        <v>45419</v>
      </c>
      <c r="B494">
        <v>71.3</v>
      </c>
      <c r="C494">
        <v>0</v>
      </c>
      <c r="D494">
        <v>0</v>
      </c>
      <c r="E494">
        <v>52.2</v>
      </c>
    </row>
    <row r="495" spans="1:5" x14ac:dyDescent="0.25">
      <c r="A495" s="1">
        <v>45420</v>
      </c>
      <c r="B495">
        <v>65.599999999999994</v>
      </c>
      <c r="C495">
        <v>1</v>
      </c>
      <c r="D495">
        <v>1</v>
      </c>
      <c r="E495">
        <v>35</v>
      </c>
    </row>
    <row r="496" spans="1:5" x14ac:dyDescent="0.25">
      <c r="A496" s="1">
        <v>45421</v>
      </c>
      <c r="B496">
        <v>74.099999999999994</v>
      </c>
      <c r="C496">
        <v>0</v>
      </c>
      <c r="D496">
        <v>0</v>
      </c>
      <c r="E496">
        <v>42.7</v>
      </c>
    </row>
    <row r="497" spans="1:5" x14ac:dyDescent="0.25">
      <c r="A497" s="1">
        <v>45422</v>
      </c>
      <c r="B497">
        <v>72.400000000000006</v>
      </c>
      <c r="C497">
        <v>0</v>
      </c>
      <c r="D497">
        <v>0</v>
      </c>
      <c r="E497">
        <v>46.8</v>
      </c>
    </row>
    <row r="498" spans="1:5" x14ac:dyDescent="0.25">
      <c r="A498" s="1">
        <v>45423</v>
      </c>
      <c r="B498">
        <v>63.2</v>
      </c>
      <c r="C498">
        <v>1.59</v>
      </c>
      <c r="D498">
        <v>1</v>
      </c>
      <c r="E498">
        <v>49.1</v>
      </c>
    </row>
    <row r="499" spans="1:5" x14ac:dyDescent="0.25">
      <c r="A499" s="1">
        <v>45424</v>
      </c>
      <c r="B499">
        <v>74.099999999999994</v>
      </c>
      <c r="C499">
        <v>0.4</v>
      </c>
      <c r="D499">
        <v>1</v>
      </c>
      <c r="E499">
        <v>48.3</v>
      </c>
    </row>
    <row r="500" spans="1:5" x14ac:dyDescent="0.25">
      <c r="A500" s="1">
        <v>45425</v>
      </c>
      <c r="B500">
        <v>68.900000000000006</v>
      </c>
      <c r="C500">
        <v>0.37</v>
      </c>
      <c r="D500">
        <v>1</v>
      </c>
      <c r="E500">
        <v>49.5</v>
      </c>
    </row>
    <row r="501" spans="1:5" x14ac:dyDescent="0.25">
      <c r="A501" s="1">
        <v>45426</v>
      </c>
      <c r="B501">
        <v>77.400000000000006</v>
      </c>
      <c r="C501">
        <v>0</v>
      </c>
      <c r="D501">
        <v>0</v>
      </c>
      <c r="E501">
        <v>43.2</v>
      </c>
    </row>
    <row r="502" spans="1:5" x14ac:dyDescent="0.25">
      <c r="A502" s="1">
        <v>45427</v>
      </c>
      <c r="B502">
        <v>71.599999999999994</v>
      </c>
      <c r="C502">
        <v>0</v>
      </c>
      <c r="D502">
        <v>0</v>
      </c>
      <c r="E502">
        <v>41.7</v>
      </c>
    </row>
    <row r="503" spans="1:5" x14ac:dyDescent="0.25">
      <c r="A503" s="1">
        <v>45428</v>
      </c>
      <c r="B503">
        <v>73.8</v>
      </c>
      <c r="C503">
        <v>0</v>
      </c>
      <c r="D503">
        <v>0</v>
      </c>
      <c r="E503">
        <v>38.799999999999997</v>
      </c>
    </row>
    <row r="504" spans="1:5" x14ac:dyDescent="0.25">
      <c r="A504" s="1">
        <v>45429</v>
      </c>
      <c r="B504">
        <v>70.599999999999994</v>
      </c>
      <c r="C504">
        <v>0</v>
      </c>
      <c r="D504">
        <v>0</v>
      </c>
      <c r="E504">
        <v>49</v>
      </c>
    </row>
    <row r="505" spans="1:5" x14ac:dyDescent="0.25">
      <c r="A505" s="1">
        <v>45430</v>
      </c>
      <c r="B505">
        <v>74.599999999999994</v>
      </c>
      <c r="C505">
        <v>0</v>
      </c>
      <c r="D505">
        <v>0</v>
      </c>
      <c r="E505">
        <v>46.7</v>
      </c>
    </row>
    <row r="506" spans="1:5" x14ac:dyDescent="0.25">
      <c r="A506" s="1">
        <v>45431</v>
      </c>
      <c r="B506">
        <v>71.099999999999994</v>
      </c>
      <c r="C506">
        <v>0.41</v>
      </c>
      <c r="D506">
        <v>1</v>
      </c>
      <c r="E506">
        <v>53.6</v>
      </c>
    </row>
    <row r="507" spans="1:5" x14ac:dyDescent="0.25">
      <c r="A507" s="1">
        <v>45432</v>
      </c>
      <c r="B507">
        <v>69.3</v>
      </c>
      <c r="C507">
        <v>0</v>
      </c>
      <c r="D507">
        <v>0</v>
      </c>
      <c r="E507">
        <v>55.6</v>
      </c>
    </row>
    <row r="508" spans="1:5" x14ac:dyDescent="0.25">
      <c r="A508" s="1">
        <v>45433</v>
      </c>
      <c r="B508">
        <v>72</v>
      </c>
      <c r="C508">
        <v>0</v>
      </c>
      <c r="D508">
        <v>0</v>
      </c>
      <c r="E508">
        <v>52.1</v>
      </c>
    </row>
    <row r="509" spans="1:5" x14ac:dyDescent="0.25">
      <c r="A509" s="1">
        <v>45434</v>
      </c>
      <c r="B509">
        <v>70.400000000000006</v>
      </c>
      <c r="C509">
        <v>0.26</v>
      </c>
      <c r="D509">
        <v>1</v>
      </c>
      <c r="E509">
        <v>47.9</v>
      </c>
    </row>
    <row r="510" spans="1:5" x14ac:dyDescent="0.25">
      <c r="A510" s="1">
        <v>45435</v>
      </c>
      <c r="B510">
        <v>70.599999999999994</v>
      </c>
      <c r="C510">
        <v>0</v>
      </c>
      <c r="D510">
        <v>0</v>
      </c>
      <c r="E510">
        <v>47.1</v>
      </c>
    </row>
    <row r="511" spans="1:5" x14ac:dyDescent="0.25">
      <c r="A511" s="1">
        <v>45436</v>
      </c>
      <c r="B511">
        <v>83.1</v>
      </c>
      <c r="C511">
        <v>1.65</v>
      </c>
      <c r="D511">
        <v>1</v>
      </c>
      <c r="E511">
        <v>53.9</v>
      </c>
    </row>
    <row r="512" spans="1:5" x14ac:dyDescent="0.25">
      <c r="A512" s="1">
        <v>45437</v>
      </c>
      <c r="B512">
        <v>75.400000000000006</v>
      </c>
      <c r="C512">
        <v>0.71</v>
      </c>
      <c r="D512">
        <v>1</v>
      </c>
      <c r="E512">
        <v>55.1</v>
      </c>
    </row>
    <row r="513" spans="1:5" x14ac:dyDescent="0.25">
      <c r="A513" s="1">
        <v>45438</v>
      </c>
      <c r="B513">
        <v>73.2</v>
      </c>
      <c r="C513">
        <v>0.13</v>
      </c>
      <c r="D513">
        <v>1</v>
      </c>
      <c r="E513">
        <v>57.8</v>
      </c>
    </row>
    <row r="514" spans="1:5" x14ac:dyDescent="0.25">
      <c r="A514" s="1">
        <v>45439</v>
      </c>
      <c r="B514">
        <v>69.900000000000006</v>
      </c>
      <c r="C514">
        <v>0</v>
      </c>
      <c r="D514">
        <v>0</v>
      </c>
      <c r="E514">
        <v>48.7</v>
      </c>
    </row>
    <row r="515" spans="1:5" x14ac:dyDescent="0.25">
      <c r="A515" s="1">
        <v>45440</v>
      </c>
      <c r="B515">
        <v>67.5</v>
      </c>
      <c r="C515">
        <v>0</v>
      </c>
      <c r="D515">
        <v>0</v>
      </c>
      <c r="E515">
        <v>54</v>
      </c>
    </row>
    <row r="516" spans="1:5" x14ac:dyDescent="0.25">
      <c r="A516" s="1">
        <v>45441</v>
      </c>
      <c r="B516">
        <v>71.3</v>
      </c>
      <c r="C516">
        <v>0</v>
      </c>
      <c r="D516">
        <v>0</v>
      </c>
      <c r="E516">
        <v>50.9</v>
      </c>
    </row>
    <row r="517" spans="1:5" x14ac:dyDescent="0.25">
      <c r="A517" s="1">
        <v>45442</v>
      </c>
      <c r="B517">
        <v>77.2</v>
      </c>
      <c r="C517">
        <v>0</v>
      </c>
      <c r="D517">
        <v>0</v>
      </c>
      <c r="E517">
        <v>51.2</v>
      </c>
    </row>
    <row r="518" spans="1:5" x14ac:dyDescent="0.25">
      <c r="A518" s="1">
        <v>45443</v>
      </c>
      <c r="B518">
        <v>78.400000000000006</v>
      </c>
      <c r="C518">
        <v>0.52</v>
      </c>
      <c r="D518">
        <v>1</v>
      </c>
      <c r="E518">
        <v>57.9</v>
      </c>
    </row>
    <row r="519" spans="1:5" x14ac:dyDescent="0.25">
      <c r="A519" s="1">
        <v>45444</v>
      </c>
      <c r="B519">
        <v>74.599999999999994</v>
      </c>
      <c r="C519">
        <v>0.54</v>
      </c>
      <c r="D519">
        <v>1</v>
      </c>
      <c r="E519">
        <v>51.6</v>
      </c>
    </row>
    <row r="520" spans="1:5" x14ac:dyDescent="0.25">
      <c r="A520" s="1">
        <v>45445</v>
      </c>
      <c r="B520">
        <v>66.7</v>
      </c>
      <c r="C520">
        <v>1.07</v>
      </c>
      <c r="D520">
        <v>1</v>
      </c>
      <c r="E520">
        <v>48.5</v>
      </c>
    </row>
    <row r="521" spans="1:5" x14ac:dyDescent="0.25">
      <c r="A521" s="1">
        <v>45446</v>
      </c>
      <c r="B521">
        <v>76.8</v>
      </c>
      <c r="C521">
        <v>1.63</v>
      </c>
      <c r="D521">
        <v>1</v>
      </c>
      <c r="E521">
        <v>55.3</v>
      </c>
    </row>
    <row r="522" spans="1:5" x14ac:dyDescent="0.25">
      <c r="A522" s="1">
        <v>45447</v>
      </c>
      <c r="B522">
        <v>77.400000000000006</v>
      </c>
      <c r="C522">
        <v>0</v>
      </c>
      <c r="D522">
        <v>0</v>
      </c>
      <c r="E522">
        <v>44.1</v>
      </c>
    </row>
    <row r="523" spans="1:5" x14ac:dyDescent="0.25">
      <c r="A523" s="1">
        <v>45448</v>
      </c>
      <c r="B523">
        <v>76.5</v>
      </c>
      <c r="C523">
        <v>0</v>
      </c>
      <c r="D523">
        <v>0</v>
      </c>
      <c r="E523">
        <v>56.7</v>
      </c>
    </row>
    <row r="524" spans="1:5" x14ac:dyDescent="0.25">
      <c r="A524" s="1">
        <v>45449</v>
      </c>
      <c r="B524">
        <v>78.8</v>
      </c>
      <c r="C524">
        <v>0.28999999999999998</v>
      </c>
      <c r="D524">
        <v>1</v>
      </c>
      <c r="E524">
        <v>52.1</v>
      </c>
    </row>
    <row r="525" spans="1:5" x14ac:dyDescent="0.25">
      <c r="A525" s="1">
        <v>45450</v>
      </c>
      <c r="B525">
        <v>74</v>
      </c>
      <c r="C525">
        <v>0</v>
      </c>
      <c r="D525">
        <v>0</v>
      </c>
      <c r="E525">
        <v>52.8</v>
      </c>
    </row>
    <row r="526" spans="1:5" x14ac:dyDescent="0.25">
      <c r="A526" s="1">
        <v>45451</v>
      </c>
      <c r="B526">
        <v>73.599999999999994</v>
      </c>
      <c r="C526">
        <v>0.68</v>
      </c>
      <c r="D526">
        <v>1</v>
      </c>
      <c r="E526">
        <v>52.4</v>
      </c>
    </row>
    <row r="527" spans="1:5" x14ac:dyDescent="0.25">
      <c r="A527" s="1">
        <v>45452</v>
      </c>
      <c r="B527">
        <v>69.3</v>
      </c>
      <c r="C527">
        <v>0.27</v>
      </c>
      <c r="D527">
        <v>1</v>
      </c>
      <c r="E527">
        <v>54.1</v>
      </c>
    </row>
    <row r="528" spans="1:5" x14ac:dyDescent="0.25">
      <c r="A528" s="1">
        <v>45453</v>
      </c>
      <c r="B528">
        <v>69.599999999999994</v>
      </c>
      <c r="C528">
        <v>0</v>
      </c>
      <c r="D528">
        <v>0</v>
      </c>
      <c r="E528">
        <v>58.9</v>
      </c>
    </row>
    <row r="529" spans="1:5" x14ac:dyDescent="0.25">
      <c r="A529" s="1">
        <v>45454</v>
      </c>
      <c r="B529">
        <v>72.8</v>
      </c>
      <c r="C529">
        <v>0</v>
      </c>
      <c r="D529">
        <v>0</v>
      </c>
      <c r="E529">
        <v>61.4</v>
      </c>
    </row>
    <row r="530" spans="1:5" x14ac:dyDescent="0.25">
      <c r="A530" s="1">
        <v>45455</v>
      </c>
      <c r="B530">
        <v>78</v>
      </c>
      <c r="C530">
        <v>0.5</v>
      </c>
      <c r="D530">
        <v>1</v>
      </c>
      <c r="E530">
        <v>45</v>
      </c>
    </row>
    <row r="531" spans="1:5" x14ac:dyDescent="0.25">
      <c r="A531" s="1">
        <v>45456</v>
      </c>
      <c r="B531">
        <v>75.7</v>
      </c>
      <c r="C531">
        <v>0</v>
      </c>
      <c r="D531">
        <v>0</v>
      </c>
      <c r="E531">
        <v>49.5</v>
      </c>
    </row>
    <row r="532" spans="1:5" x14ac:dyDescent="0.25">
      <c r="A532" s="1">
        <v>45457</v>
      </c>
      <c r="B532">
        <v>76.8</v>
      </c>
      <c r="C532">
        <v>0</v>
      </c>
      <c r="D532">
        <v>0</v>
      </c>
      <c r="E532">
        <v>58.7</v>
      </c>
    </row>
    <row r="533" spans="1:5" x14ac:dyDescent="0.25">
      <c r="A533" s="1">
        <v>45458</v>
      </c>
      <c r="B533">
        <v>81.400000000000006</v>
      </c>
      <c r="C533">
        <v>0</v>
      </c>
      <c r="D533">
        <v>0</v>
      </c>
      <c r="E533">
        <v>58.5</v>
      </c>
    </row>
    <row r="534" spans="1:5" x14ac:dyDescent="0.25">
      <c r="A534" s="1">
        <v>45459</v>
      </c>
      <c r="B534">
        <v>73.3</v>
      </c>
      <c r="C534">
        <v>0</v>
      </c>
      <c r="D534">
        <v>0</v>
      </c>
      <c r="E534">
        <v>63.4</v>
      </c>
    </row>
    <row r="535" spans="1:5" x14ac:dyDescent="0.25">
      <c r="A535" s="1">
        <v>45460</v>
      </c>
      <c r="B535">
        <v>78.3</v>
      </c>
      <c r="C535">
        <v>0</v>
      </c>
      <c r="D535">
        <v>0</v>
      </c>
      <c r="E535">
        <v>45.9</v>
      </c>
    </row>
    <row r="536" spans="1:5" x14ac:dyDescent="0.25">
      <c r="A536" s="1">
        <v>45461</v>
      </c>
      <c r="B536">
        <v>73.099999999999994</v>
      </c>
      <c r="C536">
        <v>0</v>
      </c>
      <c r="D536">
        <v>0</v>
      </c>
      <c r="E536">
        <v>62.9</v>
      </c>
    </row>
    <row r="537" spans="1:5" x14ac:dyDescent="0.25">
      <c r="A537" s="1">
        <v>45462</v>
      </c>
      <c r="B537">
        <v>81.3</v>
      </c>
      <c r="C537">
        <v>1.21</v>
      </c>
      <c r="D537">
        <v>1</v>
      </c>
      <c r="E537">
        <v>56.5</v>
      </c>
    </row>
    <row r="538" spans="1:5" x14ac:dyDescent="0.25">
      <c r="A538" s="1">
        <v>45463</v>
      </c>
      <c r="B538">
        <v>73.900000000000006</v>
      </c>
      <c r="C538">
        <v>1.39</v>
      </c>
      <c r="D538">
        <v>1</v>
      </c>
      <c r="E538">
        <v>63.3</v>
      </c>
    </row>
    <row r="539" spans="1:5" x14ac:dyDescent="0.25">
      <c r="A539" s="1">
        <v>45464</v>
      </c>
      <c r="B539">
        <v>76.900000000000006</v>
      </c>
      <c r="C539">
        <v>0</v>
      </c>
      <c r="D539">
        <v>0</v>
      </c>
      <c r="E539">
        <v>62.4</v>
      </c>
    </row>
    <row r="540" spans="1:5" x14ac:dyDescent="0.25">
      <c r="A540" s="1">
        <v>45465</v>
      </c>
      <c r="B540">
        <v>76.400000000000006</v>
      </c>
      <c r="C540">
        <v>0</v>
      </c>
      <c r="D540">
        <v>0</v>
      </c>
      <c r="E540">
        <v>48</v>
      </c>
    </row>
    <row r="541" spans="1:5" x14ac:dyDescent="0.25">
      <c r="A541" s="1">
        <v>45466</v>
      </c>
      <c r="B541">
        <v>77.900000000000006</v>
      </c>
      <c r="C541">
        <v>0</v>
      </c>
      <c r="D541">
        <v>0</v>
      </c>
      <c r="E541">
        <v>51.2</v>
      </c>
    </row>
    <row r="542" spans="1:5" x14ac:dyDescent="0.25">
      <c r="A542" s="1">
        <v>45467</v>
      </c>
      <c r="B542">
        <v>81.599999999999994</v>
      </c>
      <c r="C542">
        <v>0.54</v>
      </c>
      <c r="D542">
        <v>1</v>
      </c>
      <c r="E542">
        <v>67</v>
      </c>
    </row>
    <row r="543" spans="1:5" x14ac:dyDescent="0.25">
      <c r="A543" s="1">
        <v>45468</v>
      </c>
      <c r="B543">
        <v>77.8</v>
      </c>
      <c r="C543">
        <v>0</v>
      </c>
      <c r="D543">
        <v>0</v>
      </c>
      <c r="E543">
        <v>59.2</v>
      </c>
    </row>
    <row r="544" spans="1:5" x14ac:dyDescent="0.25">
      <c r="A544" s="1">
        <v>45469</v>
      </c>
      <c r="B544">
        <v>76.900000000000006</v>
      </c>
      <c r="C544">
        <v>0.28000000000000003</v>
      </c>
      <c r="D544">
        <v>1</v>
      </c>
      <c r="E544">
        <v>56.9</v>
      </c>
    </row>
    <row r="545" spans="1:5" x14ac:dyDescent="0.25">
      <c r="A545" s="1">
        <v>45470</v>
      </c>
      <c r="B545">
        <v>77.5</v>
      </c>
      <c r="C545">
        <v>0.72</v>
      </c>
      <c r="D545">
        <v>1</v>
      </c>
      <c r="E545">
        <v>59.8</v>
      </c>
    </row>
    <row r="546" spans="1:5" x14ac:dyDescent="0.25">
      <c r="A546" s="1">
        <v>45471</v>
      </c>
      <c r="B546">
        <v>83.3</v>
      </c>
      <c r="C546">
        <v>0</v>
      </c>
      <c r="D546">
        <v>0</v>
      </c>
      <c r="E546">
        <v>57</v>
      </c>
    </row>
    <row r="547" spans="1:5" x14ac:dyDescent="0.25">
      <c r="A547" s="1">
        <v>45472</v>
      </c>
      <c r="B547">
        <v>79.2</v>
      </c>
      <c r="C547">
        <v>1.75</v>
      </c>
      <c r="D547">
        <v>1</v>
      </c>
      <c r="E547">
        <v>58.9</v>
      </c>
    </row>
    <row r="548" spans="1:5" x14ac:dyDescent="0.25">
      <c r="A548" s="1">
        <v>45473</v>
      </c>
      <c r="B548">
        <v>80.400000000000006</v>
      </c>
      <c r="C548">
        <v>0</v>
      </c>
      <c r="D548">
        <v>0</v>
      </c>
      <c r="E548">
        <v>56.5</v>
      </c>
    </row>
    <row r="549" spans="1:5" x14ac:dyDescent="0.25">
      <c r="A549" s="1">
        <v>45474</v>
      </c>
      <c r="B549">
        <v>81.900000000000006</v>
      </c>
      <c r="C549">
        <v>0</v>
      </c>
      <c r="D549">
        <v>0</v>
      </c>
      <c r="E549">
        <v>57.6</v>
      </c>
    </row>
    <row r="550" spans="1:5" x14ac:dyDescent="0.25">
      <c r="A550" s="1">
        <v>45475</v>
      </c>
      <c r="B550">
        <v>83.8</v>
      </c>
      <c r="C550">
        <v>0</v>
      </c>
      <c r="D550">
        <v>0</v>
      </c>
      <c r="E550">
        <v>69.400000000000006</v>
      </c>
    </row>
    <row r="551" spans="1:5" x14ac:dyDescent="0.25">
      <c r="A551" s="1">
        <v>45476</v>
      </c>
      <c r="B551">
        <v>85.3</v>
      </c>
      <c r="C551">
        <v>0.26</v>
      </c>
      <c r="D551">
        <v>1</v>
      </c>
      <c r="E551">
        <v>62.1</v>
      </c>
    </row>
    <row r="552" spans="1:5" x14ac:dyDescent="0.25">
      <c r="A552" s="1">
        <v>45477</v>
      </c>
      <c r="B552">
        <v>78.5</v>
      </c>
      <c r="C552">
        <v>0</v>
      </c>
      <c r="D552">
        <v>0</v>
      </c>
      <c r="E552">
        <v>57.6</v>
      </c>
    </row>
    <row r="553" spans="1:5" x14ac:dyDescent="0.25">
      <c r="A553" s="1">
        <v>45478</v>
      </c>
      <c r="B553">
        <v>77</v>
      </c>
      <c r="C553">
        <v>0</v>
      </c>
      <c r="D553">
        <v>0</v>
      </c>
      <c r="E553">
        <v>65</v>
      </c>
    </row>
    <row r="554" spans="1:5" x14ac:dyDescent="0.25">
      <c r="A554" s="1">
        <v>45479</v>
      </c>
      <c r="B554">
        <v>82.1</v>
      </c>
      <c r="C554">
        <v>0</v>
      </c>
      <c r="D554">
        <v>0</v>
      </c>
      <c r="E554">
        <v>57.2</v>
      </c>
    </row>
    <row r="555" spans="1:5" x14ac:dyDescent="0.25">
      <c r="A555" s="1">
        <v>45480</v>
      </c>
      <c r="B555">
        <v>82.3</v>
      </c>
      <c r="C555">
        <v>0</v>
      </c>
      <c r="D555">
        <v>0</v>
      </c>
      <c r="E555">
        <v>61.4</v>
      </c>
    </row>
    <row r="556" spans="1:5" x14ac:dyDescent="0.25">
      <c r="A556" s="1">
        <v>45481</v>
      </c>
      <c r="B556">
        <v>86.2</v>
      </c>
      <c r="C556">
        <v>1.61</v>
      </c>
      <c r="D556">
        <v>1</v>
      </c>
      <c r="E556">
        <v>72.3</v>
      </c>
    </row>
    <row r="557" spans="1:5" x14ac:dyDescent="0.25">
      <c r="A557" s="1">
        <v>45482</v>
      </c>
      <c r="B557">
        <v>81.3</v>
      </c>
      <c r="C557">
        <v>0</v>
      </c>
      <c r="D557">
        <v>0</v>
      </c>
      <c r="E557">
        <v>59</v>
      </c>
    </row>
    <row r="558" spans="1:5" x14ac:dyDescent="0.25">
      <c r="A558" s="1">
        <v>45483</v>
      </c>
      <c r="B558">
        <v>79.099999999999994</v>
      </c>
      <c r="C558">
        <v>0.73</v>
      </c>
      <c r="D558">
        <v>1</v>
      </c>
      <c r="E558">
        <v>59.8</v>
      </c>
    </row>
    <row r="559" spans="1:5" x14ac:dyDescent="0.25">
      <c r="A559" s="1">
        <v>45484</v>
      </c>
      <c r="B559">
        <v>82</v>
      </c>
      <c r="C559">
        <v>0.63</v>
      </c>
      <c r="D559">
        <v>1</v>
      </c>
      <c r="E559">
        <v>65.400000000000006</v>
      </c>
    </row>
    <row r="560" spans="1:5" x14ac:dyDescent="0.25">
      <c r="A560" s="1">
        <v>45485</v>
      </c>
      <c r="B560">
        <v>77.099999999999994</v>
      </c>
      <c r="C560">
        <v>0.73</v>
      </c>
      <c r="D560">
        <v>1</v>
      </c>
      <c r="E560">
        <v>68.5</v>
      </c>
    </row>
    <row r="561" spans="1:5" x14ac:dyDescent="0.25">
      <c r="A561" s="1">
        <v>45486</v>
      </c>
      <c r="B561">
        <v>80.3</v>
      </c>
      <c r="C561">
        <v>0</v>
      </c>
      <c r="D561">
        <v>0</v>
      </c>
      <c r="E561">
        <v>73.400000000000006</v>
      </c>
    </row>
    <row r="562" spans="1:5" x14ac:dyDescent="0.25">
      <c r="A562" s="1">
        <v>45487</v>
      </c>
      <c r="B562">
        <v>80.900000000000006</v>
      </c>
      <c r="C562">
        <v>0</v>
      </c>
      <c r="D562">
        <v>0</v>
      </c>
      <c r="E562">
        <v>71.3</v>
      </c>
    </row>
    <row r="563" spans="1:5" x14ac:dyDescent="0.25">
      <c r="A563" s="1">
        <v>45488</v>
      </c>
      <c r="B563">
        <v>84.4</v>
      </c>
      <c r="C563">
        <v>0.56999999999999995</v>
      </c>
      <c r="D563">
        <v>1</v>
      </c>
      <c r="E563">
        <v>65.2</v>
      </c>
    </row>
    <row r="564" spans="1:5" x14ac:dyDescent="0.25">
      <c r="A564" s="1">
        <v>45489</v>
      </c>
      <c r="B564">
        <v>89.4</v>
      </c>
      <c r="C564">
        <v>0</v>
      </c>
      <c r="D564">
        <v>0</v>
      </c>
      <c r="E564">
        <v>69.5</v>
      </c>
    </row>
    <row r="565" spans="1:5" x14ac:dyDescent="0.25">
      <c r="A565" s="1">
        <v>45490</v>
      </c>
      <c r="B565">
        <v>80.7</v>
      </c>
      <c r="C565">
        <v>0</v>
      </c>
      <c r="D565">
        <v>0</v>
      </c>
      <c r="E565">
        <v>63.8</v>
      </c>
    </row>
    <row r="566" spans="1:5" x14ac:dyDescent="0.25">
      <c r="A566" s="1">
        <v>45491</v>
      </c>
      <c r="B566">
        <v>80.3</v>
      </c>
      <c r="C566">
        <v>0.57999999999999996</v>
      </c>
      <c r="D566">
        <v>1</v>
      </c>
      <c r="E566">
        <v>77.7</v>
      </c>
    </row>
    <row r="567" spans="1:5" x14ac:dyDescent="0.25">
      <c r="A567" s="1">
        <v>45492</v>
      </c>
      <c r="B567">
        <v>81</v>
      </c>
      <c r="C567">
        <v>0</v>
      </c>
      <c r="D567">
        <v>0</v>
      </c>
      <c r="E567">
        <v>68.3</v>
      </c>
    </row>
    <row r="568" spans="1:5" x14ac:dyDescent="0.25">
      <c r="A568" s="1">
        <v>45493</v>
      </c>
      <c r="B568">
        <v>85.9</v>
      </c>
      <c r="C568">
        <v>0</v>
      </c>
      <c r="D568">
        <v>0</v>
      </c>
      <c r="E568">
        <v>77.099999999999994</v>
      </c>
    </row>
    <row r="569" spans="1:5" x14ac:dyDescent="0.25">
      <c r="A569" s="1">
        <v>45494</v>
      </c>
      <c r="B569">
        <v>84.5</v>
      </c>
      <c r="C569">
        <v>0</v>
      </c>
      <c r="D569">
        <v>0</v>
      </c>
      <c r="E569">
        <v>70.2</v>
      </c>
    </row>
    <row r="570" spans="1:5" x14ac:dyDescent="0.25">
      <c r="A570" s="1">
        <v>45495</v>
      </c>
      <c r="B570">
        <v>92.5</v>
      </c>
      <c r="C570">
        <v>0</v>
      </c>
      <c r="D570">
        <v>0</v>
      </c>
      <c r="E570">
        <v>70.900000000000006</v>
      </c>
    </row>
    <row r="571" spans="1:5" x14ac:dyDescent="0.25">
      <c r="A571" s="1">
        <v>45496</v>
      </c>
      <c r="B571">
        <v>87.1</v>
      </c>
      <c r="C571">
        <v>0</v>
      </c>
      <c r="D571">
        <v>0</v>
      </c>
      <c r="E571">
        <v>71.900000000000006</v>
      </c>
    </row>
    <row r="572" spans="1:5" x14ac:dyDescent="0.25">
      <c r="A572" s="1">
        <v>45497</v>
      </c>
      <c r="B572">
        <v>81.3</v>
      </c>
      <c r="C572">
        <v>0.33</v>
      </c>
      <c r="D572">
        <v>1</v>
      </c>
      <c r="E572">
        <v>60.8</v>
      </c>
    </row>
    <row r="573" spans="1:5" x14ac:dyDescent="0.25">
      <c r="A573" s="1">
        <v>45498</v>
      </c>
      <c r="B573">
        <v>87.7</v>
      </c>
      <c r="C573">
        <v>0</v>
      </c>
      <c r="D573">
        <v>0</v>
      </c>
      <c r="E573">
        <v>70.099999999999994</v>
      </c>
    </row>
    <row r="574" spans="1:5" x14ac:dyDescent="0.25">
      <c r="A574" s="1">
        <v>45499</v>
      </c>
      <c r="B574">
        <v>87</v>
      </c>
      <c r="C574">
        <v>1.0900000000000001</v>
      </c>
      <c r="D574">
        <v>1</v>
      </c>
      <c r="E574">
        <v>64.5</v>
      </c>
    </row>
    <row r="575" spans="1:5" x14ac:dyDescent="0.25">
      <c r="A575" s="1">
        <v>45500</v>
      </c>
      <c r="B575">
        <v>82.5</v>
      </c>
      <c r="C575">
        <v>0</v>
      </c>
      <c r="D575">
        <v>0</v>
      </c>
      <c r="E575">
        <v>69.099999999999994</v>
      </c>
    </row>
    <row r="576" spans="1:5" x14ac:dyDescent="0.25">
      <c r="A576" s="1">
        <v>45501</v>
      </c>
      <c r="B576">
        <v>88.3</v>
      </c>
      <c r="C576">
        <v>0</v>
      </c>
      <c r="D576">
        <v>0</v>
      </c>
      <c r="E576">
        <v>66.5</v>
      </c>
    </row>
    <row r="577" spans="1:5" x14ac:dyDescent="0.25">
      <c r="A577" s="1">
        <v>45502</v>
      </c>
      <c r="B577">
        <v>85.5</v>
      </c>
      <c r="C577">
        <v>0</v>
      </c>
      <c r="D577">
        <v>0</v>
      </c>
      <c r="E577">
        <v>68.8</v>
      </c>
    </row>
    <row r="578" spans="1:5" x14ac:dyDescent="0.25">
      <c r="A578" s="1">
        <v>45503</v>
      </c>
      <c r="B578">
        <v>88.2</v>
      </c>
      <c r="C578">
        <v>0.5</v>
      </c>
      <c r="D578">
        <v>1</v>
      </c>
      <c r="E578">
        <v>68.2</v>
      </c>
    </row>
    <row r="579" spans="1:5" x14ac:dyDescent="0.25">
      <c r="A579" s="1">
        <v>45504</v>
      </c>
      <c r="B579">
        <v>86.7</v>
      </c>
      <c r="C579">
        <v>0</v>
      </c>
      <c r="D579">
        <v>0</v>
      </c>
      <c r="E579">
        <v>69.3</v>
      </c>
    </row>
    <row r="580" spans="1:5" x14ac:dyDescent="0.25">
      <c r="A580" s="1">
        <v>45505</v>
      </c>
      <c r="B580">
        <v>88.1</v>
      </c>
      <c r="C580">
        <v>0.99</v>
      </c>
      <c r="D580">
        <v>1</v>
      </c>
      <c r="E580">
        <v>65.7</v>
      </c>
    </row>
    <row r="581" spans="1:5" x14ac:dyDescent="0.25">
      <c r="A581" s="1">
        <v>45506</v>
      </c>
      <c r="B581">
        <v>87.9</v>
      </c>
      <c r="C581">
        <v>0</v>
      </c>
      <c r="D581">
        <v>0</v>
      </c>
      <c r="E581">
        <v>74.2</v>
      </c>
    </row>
    <row r="582" spans="1:5" x14ac:dyDescent="0.25">
      <c r="A582" s="1">
        <v>45507</v>
      </c>
      <c r="B582">
        <v>86.5</v>
      </c>
      <c r="C582">
        <v>0</v>
      </c>
      <c r="D582">
        <v>0</v>
      </c>
      <c r="E582">
        <v>68.599999999999994</v>
      </c>
    </row>
    <row r="583" spans="1:5" x14ac:dyDescent="0.25">
      <c r="A583" s="1">
        <v>45508</v>
      </c>
      <c r="B583">
        <v>86.9</v>
      </c>
      <c r="C583">
        <v>0</v>
      </c>
      <c r="D583">
        <v>0</v>
      </c>
      <c r="E583">
        <v>76.900000000000006</v>
      </c>
    </row>
    <row r="584" spans="1:5" x14ac:dyDescent="0.25">
      <c r="A584" s="1">
        <v>45509</v>
      </c>
      <c r="B584">
        <v>90.7</v>
      </c>
      <c r="C584">
        <v>0</v>
      </c>
      <c r="D584">
        <v>0</v>
      </c>
      <c r="E584">
        <v>71.7</v>
      </c>
    </row>
    <row r="585" spans="1:5" x14ac:dyDescent="0.25">
      <c r="A585" s="1">
        <v>45510</v>
      </c>
      <c r="B585">
        <v>84.8</v>
      </c>
      <c r="C585">
        <v>0</v>
      </c>
      <c r="D585">
        <v>0</v>
      </c>
      <c r="E585">
        <v>84</v>
      </c>
    </row>
    <row r="586" spans="1:5" x14ac:dyDescent="0.25">
      <c r="A586" s="1">
        <v>45511</v>
      </c>
      <c r="B586">
        <v>89.5</v>
      </c>
      <c r="C586">
        <v>1.25</v>
      </c>
      <c r="D586">
        <v>1</v>
      </c>
      <c r="E586">
        <v>73.3</v>
      </c>
    </row>
    <row r="587" spans="1:5" x14ac:dyDescent="0.25">
      <c r="A587" s="1">
        <v>45512</v>
      </c>
      <c r="B587">
        <v>91.6</v>
      </c>
      <c r="C587">
        <v>0</v>
      </c>
      <c r="D587">
        <v>0</v>
      </c>
      <c r="E587">
        <v>73.2</v>
      </c>
    </row>
    <row r="588" spans="1:5" x14ac:dyDescent="0.25">
      <c r="A588" s="1">
        <v>45513</v>
      </c>
      <c r="B588">
        <v>83.8</v>
      </c>
      <c r="C588">
        <v>0.97</v>
      </c>
      <c r="D588">
        <v>1</v>
      </c>
      <c r="E588">
        <v>69.400000000000006</v>
      </c>
    </row>
    <row r="589" spans="1:5" x14ac:dyDescent="0.25">
      <c r="A589" s="1">
        <v>45514</v>
      </c>
      <c r="B589">
        <v>88.7</v>
      </c>
      <c r="C589">
        <v>0</v>
      </c>
      <c r="D589">
        <v>0</v>
      </c>
      <c r="E589">
        <v>78.7</v>
      </c>
    </row>
    <row r="590" spans="1:5" x14ac:dyDescent="0.25">
      <c r="A590" s="1">
        <v>45515</v>
      </c>
      <c r="B590">
        <v>93.2</v>
      </c>
      <c r="C590">
        <v>0</v>
      </c>
      <c r="D590">
        <v>0</v>
      </c>
      <c r="E590">
        <v>69.900000000000006</v>
      </c>
    </row>
    <row r="591" spans="1:5" x14ac:dyDescent="0.25">
      <c r="A591" s="1">
        <v>45516</v>
      </c>
      <c r="B591">
        <v>84.6</v>
      </c>
      <c r="C591">
        <v>0</v>
      </c>
      <c r="D591">
        <v>0</v>
      </c>
      <c r="E591">
        <v>80.099999999999994</v>
      </c>
    </row>
    <row r="592" spans="1:5" x14ac:dyDescent="0.25">
      <c r="A592" s="1">
        <v>45517</v>
      </c>
      <c r="B592">
        <v>85.9</v>
      </c>
      <c r="C592">
        <v>0</v>
      </c>
      <c r="D592">
        <v>0</v>
      </c>
      <c r="E592">
        <v>65.900000000000006</v>
      </c>
    </row>
    <row r="593" spans="1:5" x14ac:dyDescent="0.25">
      <c r="A593" s="1">
        <v>45518</v>
      </c>
      <c r="B593">
        <v>85.5</v>
      </c>
      <c r="C593">
        <v>0</v>
      </c>
      <c r="D593">
        <v>0</v>
      </c>
      <c r="E593">
        <v>76</v>
      </c>
    </row>
    <row r="594" spans="1:5" x14ac:dyDescent="0.25">
      <c r="A594" s="1">
        <v>45519</v>
      </c>
      <c r="B594">
        <v>86.7</v>
      </c>
      <c r="C594">
        <v>0</v>
      </c>
      <c r="D594">
        <v>0</v>
      </c>
      <c r="E594">
        <v>74.2</v>
      </c>
    </row>
    <row r="595" spans="1:5" x14ac:dyDescent="0.25">
      <c r="A595" s="1">
        <v>45520</v>
      </c>
      <c r="B595">
        <v>83.4</v>
      </c>
      <c r="C595">
        <v>0</v>
      </c>
      <c r="D595">
        <v>0</v>
      </c>
      <c r="E595">
        <v>74.8</v>
      </c>
    </row>
    <row r="596" spans="1:5" x14ac:dyDescent="0.25">
      <c r="A596" s="1">
        <v>45521</v>
      </c>
      <c r="B596">
        <v>87.5</v>
      </c>
      <c r="C596">
        <v>1.1599999999999999</v>
      </c>
      <c r="D596">
        <v>1</v>
      </c>
      <c r="E596">
        <v>67.599999999999994</v>
      </c>
    </row>
    <row r="597" spans="1:5" x14ac:dyDescent="0.25">
      <c r="A597" s="1">
        <v>45522</v>
      </c>
      <c r="B597">
        <v>85</v>
      </c>
      <c r="C597">
        <v>0</v>
      </c>
      <c r="D597">
        <v>0</v>
      </c>
      <c r="E597">
        <v>72.099999999999994</v>
      </c>
    </row>
    <row r="598" spans="1:5" x14ac:dyDescent="0.25">
      <c r="A598" s="1">
        <v>45523</v>
      </c>
      <c r="B598">
        <v>85.5</v>
      </c>
      <c r="C598">
        <v>1.25</v>
      </c>
      <c r="D598">
        <v>1</v>
      </c>
      <c r="E598">
        <v>75.5</v>
      </c>
    </row>
    <row r="599" spans="1:5" x14ac:dyDescent="0.25">
      <c r="A599" s="1">
        <v>45524</v>
      </c>
      <c r="B599">
        <v>89</v>
      </c>
      <c r="C599">
        <v>0</v>
      </c>
      <c r="D599">
        <v>0</v>
      </c>
      <c r="E599">
        <v>76.5</v>
      </c>
    </row>
    <row r="600" spans="1:5" x14ac:dyDescent="0.25">
      <c r="A600" s="1">
        <v>45525</v>
      </c>
      <c r="B600">
        <v>89.8</v>
      </c>
      <c r="C600">
        <v>0</v>
      </c>
      <c r="D600">
        <v>0</v>
      </c>
      <c r="E600">
        <v>76.099999999999994</v>
      </c>
    </row>
    <row r="601" spans="1:5" x14ac:dyDescent="0.25">
      <c r="A601" s="1">
        <v>45526</v>
      </c>
      <c r="B601">
        <v>88.5</v>
      </c>
      <c r="C601">
        <v>0</v>
      </c>
      <c r="D601">
        <v>0</v>
      </c>
      <c r="E601">
        <v>86.6</v>
      </c>
    </row>
    <row r="602" spans="1:5" x14ac:dyDescent="0.25">
      <c r="A602" s="1">
        <v>45527</v>
      </c>
      <c r="B602">
        <v>83.9</v>
      </c>
      <c r="C602">
        <v>0</v>
      </c>
      <c r="D602">
        <v>0</v>
      </c>
      <c r="E602">
        <v>69.900000000000006</v>
      </c>
    </row>
    <row r="603" spans="1:5" x14ac:dyDescent="0.25">
      <c r="A603" s="1">
        <v>45528</v>
      </c>
      <c r="B603">
        <v>83.4</v>
      </c>
      <c r="C603">
        <v>0</v>
      </c>
      <c r="D603">
        <v>0</v>
      </c>
      <c r="E603">
        <v>74</v>
      </c>
    </row>
    <row r="604" spans="1:5" x14ac:dyDescent="0.25">
      <c r="A604" s="1">
        <v>45529</v>
      </c>
      <c r="B604">
        <v>85.6</v>
      </c>
      <c r="C604">
        <v>1.89</v>
      </c>
      <c r="D604">
        <v>1</v>
      </c>
      <c r="E604">
        <v>76</v>
      </c>
    </row>
    <row r="605" spans="1:5" x14ac:dyDescent="0.25">
      <c r="A605" s="1">
        <v>45530</v>
      </c>
      <c r="B605">
        <v>92.1</v>
      </c>
      <c r="C605">
        <v>7.0000000000000007E-2</v>
      </c>
      <c r="D605">
        <v>1</v>
      </c>
      <c r="E605">
        <v>73.599999999999994</v>
      </c>
    </row>
    <row r="606" spans="1:5" x14ac:dyDescent="0.25">
      <c r="A606" s="1">
        <v>45531</v>
      </c>
      <c r="B606">
        <v>85.6</v>
      </c>
      <c r="C606">
        <v>0.91</v>
      </c>
      <c r="D606">
        <v>1</v>
      </c>
      <c r="E606">
        <v>77.400000000000006</v>
      </c>
    </row>
    <row r="607" spans="1:5" x14ac:dyDescent="0.25">
      <c r="A607" s="1">
        <v>45532</v>
      </c>
      <c r="B607">
        <v>94.6</v>
      </c>
      <c r="C607">
        <v>0</v>
      </c>
      <c r="D607">
        <v>0</v>
      </c>
      <c r="E607">
        <v>81.099999999999994</v>
      </c>
    </row>
    <row r="608" spans="1:5" x14ac:dyDescent="0.25">
      <c r="A608" s="1">
        <v>45533</v>
      </c>
      <c r="B608">
        <v>87.2</v>
      </c>
      <c r="C608">
        <v>0.19</v>
      </c>
      <c r="D608">
        <v>1</v>
      </c>
      <c r="E608">
        <v>81.900000000000006</v>
      </c>
    </row>
    <row r="609" spans="1:5" x14ac:dyDescent="0.25">
      <c r="A609" s="1">
        <v>45534</v>
      </c>
      <c r="B609">
        <v>91.1</v>
      </c>
      <c r="C609">
        <v>0</v>
      </c>
      <c r="D609">
        <v>0</v>
      </c>
      <c r="E609">
        <v>77</v>
      </c>
    </row>
    <row r="610" spans="1:5" x14ac:dyDescent="0.25">
      <c r="A610" s="1">
        <v>45535</v>
      </c>
      <c r="B610">
        <v>92.4</v>
      </c>
      <c r="C610">
        <v>2.13</v>
      </c>
      <c r="D610">
        <v>1</v>
      </c>
      <c r="E610">
        <v>68.099999999999994</v>
      </c>
    </row>
    <row r="611" spans="1:5" x14ac:dyDescent="0.25">
      <c r="A611" s="1">
        <v>45536</v>
      </c>
      <c r="B611">
        <v>91.2</v>
      </c>
      <c r="C611">
        <v>0.87</v>
      </c>
      <c r="D611">
        <v>1</v>
      </c>
      <c r="E611">
        <v>75.7</v>
      </c>
    </row>
    <row r="612" spans="1:5" x14ac:dyDescent="0.25">
      <c r="A612" s="1">
        <v>45537</v>
      </c>
      <c r="B612">
        <v>94.3</v>
      </c>
      <c r="C612">
        <v>0</v>
      </c>
      <c r="D612">
        <v>0</v>
      </c>
      <c r="E612">
        <v>84.8</v>
      </c>
    </row>
    <row r="613" spans="1:5" x14ac:dyDescent="0.25">
      <c r="A613" s="1">
        <v>45538</v>
      </c>
      <c r="B613">
        <v>90.5</v>
      </c>
      <c r="C613">
        <v>2.5499999999999998</v>
      </c>
      <c r="D613">
        <v>1</v>
      </c>
      <c r="E613">
        <v>71.8</v>
      </c>
    </row>
    <row r="614" spans="1:5" x14ac:dyDescent="0.25">
      <c r="A614" s="1">
        <v>45539</v>
      </c>
      <c r="B614">
        <v>82.6</v>
      </c>
      <c r="C614">
        <v>0</v>
      </c>
      <c r="D614">
        <v>0</v>
      </c>
      <c r="E614">
        <v>84.7</v>
      </c>
    </row>
    <row r="615" spans="1:5" x14ac:dyDescent="0.25">
      <c r="A615" s="1">
        <v>45540</v>
      </c>
      <c r="B615">
        <v>87.4</v>
      </c>
      <c r="C615">
        <v>4.01</v>
      </c>
      <c r="D615">
        <v>1</v>
      </c>
      <c r="E615">
        <v>75.400000000000006</v>
      </c>
    </row>
    <row r="616" spans="1:5" x14ac:dyDescent="0.25">
      <c r="A616" s="1">
        <v>45541</v>
      </c>
      <c r="B616">
        <v>89.8</v>
      </c>
      <c r="C616">
        <v>0</v>
      </c>
      <c r="D616">
        <v>0</v>
      </c>
      <c r="E616">
        <v>74.8</v>
      </c>
    </row>
    <row r="617" spans="1:5" x14ac:dyDescent="0.25">
      <c r="A617" s="1">
        <v>45542</v>
      </c>
      <c r="B617">
        <v>88.6</v>
      </c>
      <c r="C617">
        <v>0</v>
      </c>
      <c r="D617">
        <v>0</v>
      </c>
      <c r="E617">
        <v>72.2</v>
      </c>
    </row>
    <row r="618" spans="1:5" x14ac:dyDescent="0.25">
      <c r="A618" s="1">
        <v>45543</v>
      </c>
      <c r="B618">
        <v>83.8</v>
      </c>
      <c r="C618">
        <v>0.45</v>
      </c>
      <c r="D618">
        <v>1</v>
      </c>
      <c r="E618">
        <v>81.5</v>
      </c>
    </row>
    <row r="619" spans="1:5" x14ac:dyDescent="0.25">
      <c r="A619" s="1">
        <v>45544</v>
      </c>
      <c r="B619">
        <v>87.9</v>
      </c>
      <c r="C619">
        <v>0</v>
      </c>
      <c r="D619">
        <v>0</v>
      </c>
      <c r="E619">
        <v>74.8</v>
      </c>
    </row>
    <row r="620" spans="1:5" x14ac:dyDescent="0.25">
      <c r="A620" s="1">
        <v>45545</v>
      </c>
      <c r="B620">
        <v>96.3</v>
      </c>
      <c r="C620">
        <v>0</v>
      </c>
      <c r="D620">
        <v>0</v>
      </c>
      <c r="E620">
        <v>71.599999999999994</v>
      </c>
    </row>
    <row r="621" spans="1:5" x14ac:dyDescent="0.25">
      <c r="A621" s="1">
        <v>45546</v>
      </c>
      <c r="B621">
        <v>87.3</v>
      </c>
      <c r="C621">
        <v>0</v>
      </c>
      <c r="D621">
        <v>0</v>
      </c>
      <c r="E621">
        <v>72.599999999999994</v>
      </c>
    </row>
    <row r="622" spans="1:5" x14ac:dyDescent="0.25">
      <c r="A622" s="1">
        <v>45547</v>
      </c>
      <c r="B622">
        <v>91.7</v>
      </c>
      <c r="C622">
        <v>0.94</v>
      </c>
      <c r="D622">
        <v>1</v>
      </c>
      <c r="E622">
        <v>68</v>
      </c>
    </row>
    <row r="623" spans="1:5" x14ac:dyDescent="0.25">
      <c r="A623" s="1">
        <v>45548</v>
      </c>
      <c r="B623">
        <v>90.9</v>
      </c>
      <c r="C623">
        <v>0</v>
      </c>
      <c r="D623">
        <v>0</v>
      </c>
      <c r="E623">
        <v>71.3</v>
      </c>
    </row>
    <row r="624" spans="1:5" x14ac:dyDescent="0.25">
      <c r="A624" s="1">
        <v>45549</v>
      </c>
      <c r="B624">
        <v>90.2</v>
      </c>
      <c r="C624">
        <v>0</v>
      </c>
      <c r="D624">
        <v>0</v>
      </c>
      <c r="E624">
        <v>67.5</v>
      </c>
    </row>
    <row r="625" spans="1:5" x14ac:dyDescent="0.25">
      <c r="A625" s="1">
        <v>45550</v>
      </c>
      <c r="B625">
        <v>88.9</v>
      </c>
      <c r="C625">
        <v>0</v>
      </c>
      <c r="D625">
        <v>0</v>
      </c>
      <c r="E625">
        <v>75.5</v>
      </c>
    </row>
    <row r="626" spans="1:5" x14ac:dyDescent="0.25">
      <c r="A626" s="1">
        <v>45551</v>
      </c>
      <c r="B626">
        <v>86.3</v>
      </c>
      <c r="C626">
        <v>0</v>
      </c>
      <c r="D626">
        <v>0</v>
      </c>
      <c r="E626">
        <v>78.8</v>
      </c>
    </row>
    <row r="627" spans="1:5" x14ac:dyDescent="0.25">
      <c r="A627" s="1">
        <v>45552</v>
      </c>
      <c r="B627">
        <v>89.1</v>
      </c>
      <c r="C627">
        <v>0.83</v>
      </c>
      <c r="D627">
        <v>1</v>
      </c>
      <c r="E627">
        <v>82.8</v>
      </c>
    </row>
    <row r="628" spans="1:5" x14ac:dyDescent="0.25">
      <c r="A628" s="1">
        <v>45553</v>
      </c>
      <c r="B628">
        <v>89.8</v>
      </c>
      <c r="C628">
        <v>0.83</v>
      </c>
      <c r="D628">
        <v>1</v>
      </c>
      <c r="E628">
        <v>78.400000000000006</v>
      </c>
    </row>
    <row r="629" spans="1:5" x14ac:dyDescent="0.25">
      <c r="A629" s="1">
        <v>45554</v>
      </c>
      <c r="B629">
        <v>90.5</v>
      </c>
      <c r="C629">
        <v>0.68</v>
      </c>
      <c r="D629">
        <v>1</v>
      </c>
      <c r="E629">
        <v>75.400000000000006</v>
      </c>
    </row>
    <row r="630" spans="1:5" x14ac:dyDescent="0.25">
      <c r="A630" s="1">
        <v>45555</v>
      </c>
      <c r="B630">
        <v>87.4</v>
      </c>
      <c r="C630">
        <v>7.0000000000000007E-2</v>
      </c>
      <c r="D630">
        <v>1</v>
      </c>
      <c r="E630">
        <v>76.900000000000006</v>
      </c>
    </row>
    <row r="631" spans="1:5" x14ac:dyDescent="0.25">
      <c r="A631" s="1">
        <v>45556</v>
      </c>
      <c r="B631">
        <v>89.5</v>
      </c>
      <c r="C631">
        <v>0</v>
      </c>
      <c r="D631">
        <v>0</v>
      </c>
      <c r="E631">
        <v>71.8</v>
      </c>
    </row>
    <row r="632" spans="1:5" x14ac:dyDescent="0.25">
      <c r="A632" s="1">
        <v>45557</v>
      </c>
      <c r="B632">
        <v>89.4</v>
      </c>
      <c r="C632">
        <v>0</v>
      </c>
      <c r="D632">
        <v>0</v>
      </c>
      <c r="E632">
        <v>77.5</v>
      </c>
    </row>
    <row r="633" spans="1:5" x14ac:dyDescent="0.25">
      <c r="A633" s="1">
        <v>45558</v>
      </c>
      <c r="B633">
        <v>91.2</v>
      </c>
      <c r="C633">
        <v>0</v>
      </c>
      <c r="D633">
        <v>0</v>
      </c>
      <c r="E633">
        <v>78.400000000000006</v>
      </c>
    </row>
    <row r="634" spans="1:5" x14ac:dyDescent="0.25">
      <c r="A634" s="1">
        <v>45559</v>
      </c>
      <c r="B634">
        <v>90.2</v>
      </c>
      <c r="C634">
        <v>0</v>
      </c>
      <c r="D634">
        <v>0</v>
      </c>
      <c r="E634">
        <v>69.7</v>
      </c>
    </row>
    <row r="635" spans="1:5" x14ac:dyDescent="0.25">
      <c r="A635" s="1">
        <v>45560</v>
      </c>
      <c r="B635">
        <v>87.6</v>
      </c>
      <c r="C635">
        <v>0</v>
      </c>
      <c r="D635">
        <v>0</v>
      </c>
      <c r="E635">
        <v>82.3</v>
      </c>
    </row>
    <row r="636" spans="1:5" x14ac:dyDescent="0.25">
      <c r="A636" s="1">
        <v>45561</v>
      </c>
      <c r="B636">
        <v>89.3</v>
      </c>
      <c r="C636">
        <v>0.8</v>
      </c>
      <c r="D636">
        <v>1</v>
      </c>
      <c r="E636">
        <v>79.099999999999994</v>
      </c>
    </row>
    <row r="637" spans="1:5" x14ac:dyDescent="0.25">
      <c r="A637" s="1">
        <v>45562</v>
      </c>
      <c r="B637">
        <v>89.2</v>
      </c>
      <c r="C637">
        <v>0.23</v>
      </c>
      <c r="D637">
        <v>1</v>
      </c>
      <c r="E637">
        <v>69.5</v>
      </c>
    </row>
    <row r="638" spans="1:5" x14ac:dyDescent="0.25">
      <c r="A638" s="1">
        <v>45563</v>
      </c>
      <c r="B638">
        <v>89.2</v>
      </c>
      <c r="C638">
        <v>0</v>
      </c>
      <c r="D638">
        <v>0</v>
      </c>
      <c r="E638">
        <v>69.8</v>
      </c>
    </row>
    <row r="639" spans="1:5" x14ac:dyDescent="0.25">
      <c r="A639" s="1">
        <v>45564</v>
      </c>
      <c r="B639">
        <v>89.4</v>
      </c>
      <c r="C639">
        <v>0</v>
      </c>
      <c r="D639">
        <v>0</v>
      </c>
      <c r="E639">
        <v>75</v>
      </c>
    </row>
    <row r="640" spans="1:5" x14ac:dyDescent="0.25">
      <c r="A640" s="1">
        <v>45565</v>
      </c>
      <c r="B640">
        <v>91.3</v>
      </c>
      <c r="C640">
        <v>0</v>
      </c>
      <c r="D640">
        <v>0</v>
      </c>
      <c r="E640">
        <v>59.2</v>
      </c>
    </row>
    <row r="641" spans="1:5" x14ac:dyDescent="0.25">
      <c r="A641" s="1">
        <v>45566</v>
      </c>
      <c r="B641">
        <v>86.8</v>
      </c>
      <c r="C641">
        <v>0</v>
      </c>
      <c r="D641">
        <v>0</v>
      </c>
      <c r="E641">
        <v>71</v>
      </c>
    </row>
    <row r="642" spans="1:5" x14ac:dyDescent="0.25">
      <c r="A642" s="1">
        <v>45567</v>
      </c>
      <c r="B642">
        <v>88.1</v>
      </c>
      <c r="C642">
        <v>0</v>
      </c>
      <c r="D642">
        <v>0</v>
      </c>
      <c r="E642">
        <v>73.8</v>
      </c>
    </row>
    <row r="643" spans="1:5" x14ac:dyDescent="0.25">
      <c r="A643" s="1">
        <v>45568</v>
      </c>
      <c r="B643">
        <v>94.9</v>
      </c>
      <c r="C643">
        <v>0</v>
      </c>
      <c r="D643">
        <v>0</v>
      </c>
      <c r="E643">
        <v>64.900000000000006</v>
      </c>
    </row>
    <row r="644" spans="1:5" x14ac:dyDescent="0.25">
      <c r="A644" s="1">
        <v>45569</v>
      </c>
      <c r="B644">
        <v>90</v>
      </c>
      <c r="C644">
        <v>0</v>
      </c>
      <c r="D644">
        <v>0</v>
      </c>
      <c r="E644">
        <v>67.2</v>
      </c>
    </row>
    <row r="645" spans="1:5" x14ac:dyDescent="0.25">
      <c r="A645" s="1">
        <v>45570</v>
      </c>
      <c r="B645">
        <v>94.9</v>
      </c>
      <c r="C645">
        <v>0</v>
      </c>
      <c r="D645">
        <v>0</v>
      </c>
      <c r="E645">
        <v>77.7</v>
      </c>
    </row>
    <row r="646" spans="1:5" x14ac:dyDescent="0.25">
      <c r="A646" s="1">
        <v>45571</v>
      </c>
      <c r="B646">
        <v>88</v>
      </c>
      <c r="C646">
        <v>0</v>
      </c>
      <c r="D646">
        <v>0</v>
      </c>
      <c r="E646">
        <v>63.1</v>
      </c>
    </row>
    <row r="647" spans="1:5" x14ac:dyDescent="0.25">
      <c r="A647" s="1">
        <v>45572</v>
      </c>
      <c r="B647">
        <v>89</v>
      </c>
      <c r="C647">
        <v>0</v>
      </c>
      <c r="D647">
        <v>0</v>
      </c>
      <c r="E647">
        <v>72.2</v>
      </c>
    </row>
    <row r="648" spans="1:5" x14ac:dyDescent="0.25">
      <c r="A648" s="1">
        <v>45573</v>
      </c>
      <c r="B648">
        <v>90.1</v>
      </c>
      <c r="C648">
        <v>0</v>
      </c>
      <c r="D648">
        <v>0</v>
      </c>
      <c r="E648">
        <v>72.900000000000006</v>
      </c>
    </row>
    <row r="649" spans="1:5" x14ac:dyDescent="0.25">
      <c r="A649" s="1">
        <v>45574</v>
      </c>
      <c r="B649">
        <v>86.9</v>
      </c>
      <c r="C649">
        <v>0</v>
      </c>
      <c r="D649">
        <v>0</v>
      </c>
      <c r="E649">
        <v>69.400000000000006</v>
      </c>
    </row>
    <row r="650" spans="1:5" x14ac:dyDescent="0.25">
      <c r="A650" s="1">
        <v>45575</v>
      </c>
      <c r="B650">
        <v>87.9</v>
      </c>
      <c r="C650">
        <v>0.08</v>
      </c>
      <c r="D650">
        <v>1</v>
      </c>
      <c r="E650">
        <v>73.2</v>
      </c>
    </row>
    <row r="651" spans="1:5" x14ac:dyDescent="0.25">
      <c r="A651" s="1">
        <v>45576</v>
      </c>
      <c r="B651">
        <v>83.1</v>
      </c>
      <c r="C651">
        <v>0</v>
      </c>
      <c r="D651">
        <v>0</v>
      </c>
      <c r="E651">
        <v>80.3</v>
      </c>
    </row>
    <row r="652" spans="1:5" x14ac:dyDescent="0.25">
      <c r="A652" s="1">
        <v>45577</v>
      </c>
      <c r="B652">
        <v>87.8</v>
      </c>
      <c r="C652">
        <v>0</v>
      </c>
      <c r="D652">
        <v>0</v>
      </c>
      <c r="E652">
        <v>78.8</v>
      </c>
    </row>
    <row r="653" spans="1:5" x14ac:dyDescent="0.25">
      <c r="A653" s="1">
        <v>45578</v>
      </c>
      <c r="B653">
        <v>87.7</v>
      </c>
      <c r="C653">
        <v>0</v>
      </c>
      <c r="D653">
        <v>0</v>
      </c>
      <c r="E653">
        <v>71.8</v>
      </c>
    </row>
    <row r="654" spans="1:5" x14ac:dyDescent="0.25">
      <c r="A654" s="1">
        <v>45579</v>
      </c>
      <c r="B654">
        <v>86.3</v>
      </c>
      <c r="C654">
        <v>0</v>
      </c>
      <c r="D654">
        <v>0</v>
      </c>
      <c r="E654">
        <v>63.6</v>
      </c>
    </row>
    <row r="655" spans="1:5" x14ac:dyDescent="0.25">
      <c r="A655" s="1">
        <v>45580</v>
      </c>
      <c r="B655">
        <v>88.5</v>
      </c>
      <c r="C655">
        <v>0</v>
      </c>
      <c r="D655">
        <v>0</v>
      </c>
      <c r="E655">
        <v>63.3</v>
      </c>
    </row>
    <row r="656" spans="1:5" x14ac:dyDescent="0.25">
      <c r="A656" s="1">
        <v>45581</v>
      </c>
      <c r="B656">
        <v>96.1</v>
      </c>
      <c r="C656">
        <v>0</v>
      </c>
      <c r="D656">
        <v>0</v>
      </c>
      <c r="E656">
        <v>68.900000000000006</v>
      </c>
    </row>
    <row r="657" spans="1:5" x14ac:dyDescent="0.25">
      <c r="A657" s="1">
        <v>45582</v>
      </c>
      <c r="B657">
        <v>88.8</v>
      </c>
      <c r="C657">
        <v>0</v>
      </c>
      <c r="D657">
        <v>0</v>
      </c>
      <c r="E657">
        <v>70</v>
      </c>
    </row>
    <row r="658" spans="1:5" x14ac:dyDescent="0.25">
      <c r="A658" s="1">
        <v>45583</v>
      </c>
      <c r="B658">
        <v>89.4</v>
      </c>
      <c r="C658">
        <v>0</v>
      </c>
      <c r="D658">
        <v>0</v>
      </c>
      <c r="E658">
        <v>78.400000000000006</v>
      </c>
    </row>
    <row r="659" spans="1:5" x14ac:dyDescent="0.25">
      <c r="A659" s="1">
        <v>45584</v>
      </c>
      <c r="B659">
        <v>88.6</v>
      </c>
      <c r="C659">
        <v>0</v>
      </c>
      <c r="D659">
        <v>0</v>
      </c>
      <c r="E659">
        <v>69.599999999999994</v>
      </c>
    </row>
    <row r="660" spans="1:5" x14ac:dyDescent="0.25">
      <c r="A660" s="1">
        <v>45585</v>
      </c>
      <c r="B660">
        <v>87.6</v>
      </c>
      <c r="C660">
        <v>0</v>
      </c>
      <c r="D660">
        <v>0</v>
      </c>
      <c r="E660">
        <v>75</v>
      </c>
    </row>
    <row r="661" spans="1:5" x14ac:dyDescent="0.25">
      <c r="A661" s="1">
        <v>45586</v>
      </c>
      <c r="B661">
        <v>87.5</v>
      </c>
      <c r="C661">
        <v>0</v>
      </c>
      <c r="D661">
        <v>0</v>
      </c>
      <c r="E661">
        <v>63.4</v>
      </c>
    </row>
    <row r="662" spans="1:5" x14ac:dyDescent="0.25">
      <c r="A662" s="1">
        <v>45587</v>
      </c>
      <c r="B662">
        <v>86</v>
      </c>
      <c r="C662">
        <v>0</v>
      </c>
      <c r="D662">
        <v>0</v>
      </c>
      <c r="E662">
        <v>59.2</v>
      </c>
    </row>
    <row r="663" spans="1:5" x14ac:dyDescent="0.25">
      <c r="A663" s="1">
        <v>45588</v>
      </c>
      <c r="B663">
        <v>90.4</v>
      </c>
      <c r="C663">
        <v>0.52</v>
      </c>
      <c r="D663">
        <v>1</v>
      </c>
      <c r="E663">
        <v>70.400000000000006</v>
      </c>
    </row>
    <row r="664" spans="1:5" x14ac:dyDescent="0.25">
      <c r="A664" s="1">
        <v>45589</v>
      </c>
      <c r="B664">
        <v>88.1</v>
      </c>
      <c r="C664">
        <v>0</v>
      </c>
      <c r="D664">
        <v>0</v>
      </c>
      <c r="E664">
        <v>66.2</v>
      </c>
    </row>
    <row r="665" spans="1:5" x14ac:dyDescent="0.25">
      <c r="A665" s="1">
        <v>45590</v>
      </c>
      <c r="B665">
        <v>87.7</v>
      </c>
      <c r="C665">
        <v>0</v>
      </c>
      <c r="D665">
        <v>0</v>
      </c>
      <c r="E665">
        <v>67.099999999999994</v>
      </c>
    </row>
    <row r="666" spans="1:5" x14ac:dyDescent="0.25">
      <c r="A666" s="1">
        <v>45591</v>
      </c>
      <c r="B666">
        <v>82.8</v>
      </c>
      <c r="C666">
        <v>0</v>
      </c>
      <c r="D666">
        <v>0</v>
      </c>
      <c r="E666">
        <v>69.8</v>
      </c>
    </row>
    <row r="667" spans="1:5" x14ac:dyDescent="0.25">
      <c r="A667" s="1">
        <v>45592</v>
      </c>
      <c r="B667">
        <v>85.7</v>
      </c>
      <c r="C667">
        <v>0.14000000000000001</v>
      </c>
      <c r="D667">
        <v>1</v>
      </c>
      <c r="E667">
        <v>65.099999999999994</v>
      </c>
    </row>
    <row r="668" spans="1:5" x14ac:dyDescent="0.25">
      <c r="A668" s="1">
        <v>45593</v>
      </c>
      <c r="B668">
        <v>87.5</v>
      </c>
      <c r="C668">
        <v>0</v>
      </c>
      <c r="D668">
        <v>0</v>
      </c>
      <c r="E668">
        <v>66.3</v>
      </c>
    </row>
    <row r="669" spans="1:5" x14ac:dyDescent="0.25">
      <c r="A669" s="1">
        <v>45594</v>
      </c>
      <c r="B669">
        <v>90.1</v>
      </c>
      <c r="C669">
        <v>0</v>
      </c>
      <c r="D669">
        <v>0</v>
      </c>
      <c r="E669">
        <v>61.6</v>
      </c>
    </row>
    <row r="670" spans="1:5" x14ac:dyDescent="0.25">
      <c r="A670" s="1">
        <v>45595</v>
      </c>
      <c r="B670">
        <v>83.3</v>
      </c>
      <c r="C670">
        <v>1.25</v>
      </c>
      <c r="D670">
        <v>1</v>
      </c>
      <c r="E670">
        <v>66</v>
      </c>
    </row>
    <row r="671" spans="1:5" x14ac:dyDescent="0.25">
      <c r="A671" s="1">
        <v>45596</v>
      </c>
      <c r="B671">
        <v>86.7</v>
      </c>
      <c r="C671">
        <v>0</v>
      </c>
      <c r="D671">
        <v>0</v>
      </c>
      <c r="E671">
        <v>64.2</v>
      </c>
    </row>
    <row r="672" spans="1:5" x14ac:dyDescent="0.25">
      <c r="A672" s="1">
        <v>45597</v>
      </c>
      <c r="B672">
        <v>86.6</v>
      </c>
      <c r="C672">
        <v>0.78</v>
      </c>
      <c r="D672">
        <v>1</v>
      </c>
      <c r="E672">
        <v>73.599999999999994</v>
      </c>
    </row>
    <row r="673" spans="1:5" x14ac:dyDescent="0.25">
      <c r="A673" s="1">
        <v>45598</v>
      </c>
      <c r="B673">
        <v>87.6</v>
      </c>
      <c r="C673">
        <v>0</v>
      </c>
      <c r="D673">
        <v>0</v>
      </c>
      <c r="E673">
        <v>62.2</v>
      </c>
    </row>
    <row r="674" spans="1:5" x14ac:dyDescent="0.25">
      <c r="A674" s="1">
        <v>45599</v>
      </c>
      <c r="B674">
        <v>91.9</v>
      </c>
      <c r="C674">
        <v>0</v>
      </c>
      <c r="D674">
        <v>0</v>
      </c>
      <c r="E674">
        <v>66.3</v>
      </c>
    </row>
    <row r="675" spans="1:5" x14ac:dyDescent="0.25">
      <c r="A675" s="1">
        <v>45600</v>
      </c>
      <c r="B675">
        <v>83.3</v>
      </c>
      <c r="C675">
        <v>0</v>
      </c>
      <c r="D675">
        <v>0</v>
      </c>
      <c r="E675">
        <v>72</v>
      </c>
    </row>
    <row r="676" spans="1:5" x14ac:dyDescent="0.25">
      <c r="A676" s="1">
        <v>45601</v>
      </c>
      <c r="B676">
        <v>83.1</v>
      </c>
      <c r="C676">
        <v>0.79</v>
      </c>
      <c r="D676">
        <v>1</v>
      </c>
      <c r="E676">
        <v>65.8</v>
      </c>
    </row>
    <row r="677" spans="1:5" x14ac:dyDescent="0.25">
      <c r="A677" s="1">
        <v>45602</v>
      </c>
      <c r="B677">
        <v>86</v>
      </c>
      <c r="C677">
        <v>0</v>
      </c>
      <c r="D677">
        <v>0</v>
      </c>
      <c r="E677">
        <v>58.8</v>
      </c>
    </row>
    <row r="678" spans="1:5" x14ac:dyDescent="0.25">
      <c r="A678" s="1">
        <v>45603</v>
      </c>
      <c r="B678">
        <v>83.8</v>
      </c>
      <c r="C678">
        <v>1.64</v>
      </c>
      <c r="D678">
        <v>1</v>
      </c>
      <c r="E678">
        <v>61.6</v>
      </c>
    </row>
    <row r="679" spans="1:5" x14ac:dyDescent="0.25">
      <c r="A679" s="1">
        <v>45604</v>
      </c>
      <c r="B679">
        <v>82.8</v>
      </c>
      <c r="C679">
        <v>0</v>
      </c>
      <c r="D679">
        <v>0</v>
      </c>
      <c r="E679">
        <v>76</v>
      </c>
    </row>
    <row r="680" spans="1:5" x14ac:dyDescent="0.25">
      <c r="A680" s="1">
        <v>45605</v>
      </c>
      <c r="B680">
        <v>88</v>
      </c>
      <c r="C680">
        <v>0</v>
      </c>
      <c r="D680">
        <v>0</v>
      </c>
      <c r="E680">
        <v>68.3</v>
      </c>
    </row>
    <row r="681" spans="1:5" x14ac:dyDescent="0.25">
      <c r="A681" s="1">
        <v>45606</v>
      </c>
      <c r="B681">
        <v>86.7</v>
      </c>
      <c r="C681">
        <v>0</v>
      </c>
      <c r="D681">
        <v>0</v>
      </c>
      <c r="E681">
        <v>61.7</v>
      </c>
    </row>
    <row r="682" spans="1:5" x14ac:dyDescent="0.25">
      <c r="A682" s="1">
        <v>45607</v>
      </c>
      <c r="B682">
        <v>85.1</v>
      </c>
      <c r="C682">
        <v>0</v>
      </c>
      <c r="D682">
        <v>0</v>
      </c>
      <c r="E682">
        <v>62.7</v>
      </c>
    </row>
    <row r="683" spans="1:5" x14ac:dyDescent="0.25">
      <c r="A683" s="1">
        <v>45608</v>
      </c>
      <c r="B683">
        <v>84.9</v>
      </c>
      <c r="C683">
        <v>0</v>
      </c>
      <c r="D683">
        <v>0</v>
      </c>
      <c r="E683">
        <v>66.3</v>
      </c>
    </row>
    <row r="684" spans="1:5" x14ac:dyDescent="0.25">
      <c r="A684" s="1">
        <v>45609</v>
      </c>
      <c r="B684">
        <v>85.9</v>
      </c>
      <c r="C684">
        <v>0</v>
      </c>
      <c r="D684">
        <v>0</v>
      </c>
      <c r="E684">
        <v>62</v>
      </c>
    </row>
    <row r="685" spans="1:5" x14ac:dyDescent="0.25">
      <c r="A685" s="1">
        <v>45610</v>
      </c>
      <c r="B685">
        <v>76.2</v>
      </c>
      <c r="C685">
        <v>0</v>
      </c>
      <c r="D685">
        <v>0</v>
      </c>
      <c r="E685">
        <v>61.6</v>
      </c>
    </row>
    <row r="686" spans="1:5" x14ac:dyDescent="0.25">
      <c r="A686" s="1">
        <v>45611</v>
      </c>
      <c r="B686">
        <v>77.599999999999994</v>
      </c>
      <c r="C686">
        <v>0</v>
      </c>
      <c r="D686">
        <v>0</v>
      </c>
      <c r="E686">
        <v>59.7</v>
      </c>
    </row>
    <row r="687" spans="1:5" x14ac:dyDescent="0.25">
      <c r="A687" s="1">
        <v>45612</v>
      </c>
      <c r="B687">
        <v>88.2</v>
      </c>
      <c r="C687">
        <v>0</v>
      </c>
      <c r="D687">
        <v>0</v>
      </c>
      <c r="E687">
        <v>59.8</v>
      </c>
    </row>
    <row r="688" spans="1:5" x14ac:dyDescent="0.25">
      <c r="A688" s="1">
        <v>45613</v>
      </c>
      <c r="B688">
        <v>86.1</v>
      </c>
      <c r="C688">
        <v>2.02</v>
      </c>
      <c r="D688">
        <v>1</v>
      </c>
      <c r="E688">
        <v>56.6</v>
      </c>
    </row>
    <row r="689" spans="1:5" x14ac:dyDescent="0.25">
      <c r="A689" s="1">
        <v>45614</v>
      </c>
      <c r="B689">
        <v>81.099999999999994</v>
      </c>
      <c r="C689">
        <v>0</v>
      </c>
      <c r="D689">
        <v>0</v>
      </c>
      <c r="E689">
        <v>58.6</v>
      </c>
    </row>
    <row r="690" spans="1:5" x14ac:dyDescent="0.25">
      <c r="A690" s="1">
        <v>45615</v>
      </c>
      <c r="B690">
        <v>82.6</v>
      </c>
      <c r="C690">
        <v>0</v>
      </c>
      <c r="D690">
        <v>0</v>
      </c>
      <c r="E690">
        <v>58.3</v>
      </c>
    </row>
    <row r="691" spans="1:5" x14ac:dyDescent="0.25">
      <c r="A691" s="1">
        <v>45616</v>
      </c>
      <c r="B691">
        <v>85.9</v>
      </c>
      <c r="C691">
        <v>0</v>
      </c>
      <c r="D691">
        <v>0</v>
      </c>
      <c r="E691">
        <v>67.400000000000006</v>
      </c>
    </row>
    <row r="692" spans="1:5" x14ac:dyDescent="0.25">
      <c r="A692" s="1">
        <v>45617</v>
      </c>
      <c r="B692">
        <v>82.3</v>
      </c>
      <c r="C692">
        <v>0</v>
      </c>
      <c r="D692">
        <v>0</v>
      </c>
      <c r="E692">
        <v>60.6</v>
      </c>
    </row>
    <row r="693" spans="1:5" x14ac:dyDescent="0.25">
      <c r="A693" s="1">
        <v>45618</v>
      </c>
      <c r="B693">
        <v>77.400000000000006</v>
      </c>
      <c r="C693">
        <v>0</v>
      </c>
      <c r="D693">
        <v>0</v>
      </c>
      <c r="E693">
        <v>67</v>
      </c>
    </row>
    <row r="694" spans="1:5" x14ac:dyDescent="0.25">
      <c r="A694" s="1">
        <v>45619</v>
      </c>
      <c r="B694">
        <v>78.7</v>
      </c>
      <c r="C694">
        <v>0</v>
      </c>
      <c r="D694">
        <v>0</v>
      </c>
      <c r="E694">
        <v>65.5</v>
      </c>
    </row>
    <row r="695" spans="1:5" x14ac:dyDescent="0.25">
      <c r="A695" s="1">
        <v>45620</v>
      </c>
      <c r="B695">
        <v>84.5</v>
      </c>
      <c r="C695">
        <v>0</v>
      </c>
      <c r="D695">
        <v>0</v>
      </c>
      <c r="E695">
        <v>62.6</v>
      </c>
    </row>
    <row r="696" spans="1:5" x14ac:dyDescent="0.25">
      <c r="A696" s="1">
        <v>45621</v>
      </c>
      <c r="B696">
        <v>83.9</v>
      </c>
      <c r="C696">
        <v>0</v>
      </c>
      <c r="D696">
        <v>0</v>
      </c>
      <c r="E696">
        <v>56.8</v>
      </c>
    </row>
    <row r="697" spans="1:5" x14ac:dyDescent="0.25">
      <c r="A697" s="1">
        <v>45622</v>
      </c>
      <c r="B697">
        <v>84.8</v>
      </c>
      <c r="C697">
        <v>0.74</v>
      </c>
      <c r="D697">
        <v>1</v>
      </c>
      <c r="E697">
        <v>59</v>
      </c>
    </row>
    <row r="698" spans="1:5" x14ac:dyDescent="0.25">
      <c r="A698" s="1">
        <v>45623</v>
      </c>
      <c r="B698">
        <v>92.3</v>
      </c>
      <c r="C698">
        <v>0</v>
      </c>
      <c r="D698">
        <v>0</v>
      </c>
      <c r="E698">
        <v>61.9</v>
      </c>
    </row>
    <row r="699" spans="1:5" x14ac:dyDescent="0.25">
      <c r="A699" s="1">
        <v>45624</v>
      </c>
      <c r="B699">
        <v>77.3</v>
      </c>
      <c r="C699">
        <v>0</v>
      </c>
      <c r="D699">
        <v>0</v>
      </c>
      <c r="E699">
        <v>56.7</v>
      </c>
    </row>
    <row r="700" spans="1:5" x14ac:dyDescent="0.25">
      <c r="A700" s="1">
        <v>45625</v>
      </c>
      <c r="B700">
        <v>82.8</v>
      </c>
      <c r="C700">
        <v>0</v>
      </c>
      <c r="D700">
        <v>0</v>
      </c>
      <c r="E700">
        <v>67.900000000000006</v>
      </c>
    </row>
    <row r="701" spans="1:5" x14ac:dyDescent="0.25">
      <c r="A701" s="1">
        <v>45626</v>
      </c>
      <c r="B701">
        <v>81.400000000000006</v>
      </c>
      <c r="C701">
        <v>0</v>
      </c>
      <c r="D701">
        <v>0</v>
      </c>
      <c r="E701">
        <v>57.2</v>
      </c>
    </row>
    <row r="702" spans="1:5" x14ac:dyDescent="0.25">
      <c r="A702" s="1">
        <v>45627</v>
      </c>
      <c r="B702">
        <v>80.5</v>
      </c>
      <c r="C702">
        <v>0</v>
      </c>
      <c r="D702">
        <v>0</v>
      </c>
      <c r="E702">
        <v>57.8</v>
      </c>
    </row>
    <row r="703" spans="1:5" x14ac:dyDescent="0.25">
      <c r="A703" s="1">
        <v>45628</v>
      </c>
      <c r="B703">
        <v>83.8</v>
      </c>
      <c r="C703">
        <v>0</v>
      </c>
      <c r="D703">
        <v>0</v>
      </c>
      <c r="E703">
        <v>60.4</v>
      </c>
    </row>
    <row r="704" spans="1:5" x14ac:dyDescent="0.25">
      <c r="A704" s="1">
        <v>45629</v>
      </c>
      <c r="B704">
        <v>82.8</v>
      </c>
      <c r="C704">
        <v>0.22</v>
      </c>
      <c r="D704">
        <v>1</v>
      </c>
      <c r="E704">
        <v>68.400000000000006</v>
      </c>
    </row>
    <row r="705" spans="1:5" x14ac:dyDescent="0.25">
      <c r="A705" s="1">
        <v>45630</v>
      </c>
      <c r="B705">
        <v>83.7</v>
      </c>
      <c r="C705">
        <v>1.73</v>
      </c>
      <c r="D705">
        <v>1</v>
      </c>
      <c r="E705">
        <v>50</v>
      </c>
    </row>
    <row r="706" spans="1:5" x14ac:dyDescent="0.25">
      <c r="A706" s="1">
        <v>45631</v>
      </c>
      <c r="B706">
        <v>77.5</v>
      </c>
      <c r="C706">
        <v>0</v>
      </c>
      <c r="D706">
        <v>0</v>
      </c>
      <c r="E706">
        <v>56.5</v>
      </c>
    </row>
    <row r="707" spans="1:5" x14ac:dyDescent="0.25">
      <c r="A707" s="1">
        <v>45632</v>
      </c>
      <c r="B707">
        <v>79.900000000000006</v>
      </c>
      <c r="C707">
        <v>0.02</v>
      </c>
      <c r="D707">
        <v>1</v>
      </c>
      <c r="E707">
        <v>56.4</v>
      </c>
    </row>
    <row r="708" spans="1:5" x14ac:dyDescent="0.25">
      <c r="A708" s="1">
        <v>45633</v>
      </c>
      <c r="B708">
        <v>74.599999999999994</v>
      </c>
      <c r="C708">
        <v>0.86</v>
      </c>
      <c r="D708">
        <v>1</v>
      </c>
      <c r="E708">
        <v>52</v>
      </c>
    </row>
    <row r="709" spans="1:5" x14ac:dyDescent="0.25">
      <c r="A709" s="1">
        <v>45634</v>
      </c>
      <c r="B709">
        <v>73.2</v>
      </c>
      <c r="C709">
        <v>0</v>
      </c>
      <c r="D709">
        <v>0</v>
      </c>
      <c r="E709">
        <v>57.6</v>
      </c>
    </row>
    <row r="710" spans="1:5" x14ac:dyDescent="0.25">
      <c r="A710" s="1">
        <v>45635</v>
      </c>
      <c r="B710">
        <v>83.7</v>
      </c>
      <c r="C710">
        <v>0</v>
      </c>
      <c r="D710">
        <v>0</v>
      </c>
      <c r="E710">
        <v>56.6</v>
      </c>
    </row>
    <row r="711" spans="1:5" x14ac:dyDescent="0.25">
      <c r="A711" s="1">
        <v>45636</v>
      </c>
      <c r="B711">
        <v>74.7</v>
      </c>
      <c r="C711">
        <v>0</v>
      </c>
      <c r="D711">
        <v>0</v>
      </c>
      <c r="E711">
        <v>59.1</v>
      </c>
    </row>
    <row r="712" spans="1:5" x14ac:dyDescent="0.25">
      <c r="A712" s="1">
        <v>45637</v>
      </c>
      <c r="B712">
        <v>78.900000000000006</v>
      </c>
      <c r="C712">
        <v>0</v>
      </c>
      <c r="D712">
        <v>0</v>
      </c>
      <c r="E712">
        <v>49.3</v>
      </c>
    </row>
    <row r="713" spans="1:5" x14ac:dyDescent="0.25">
      <c r="A713" s="1">
        <v>45638</v>
      </c>
      <c r="B713">
        <v>75.7</v>
      </c>
      <c r="C713">
        <v>0</v>
      </c>
      <c r="D713">
        <v>0</v>
      </c>
      <c r="E713">
        <v>56.8</v>
      </c>
    </row>
    <row r="714" spans="1:5" x14ac:dyDescent="0.25">
      <c r="A714" s="1">
        <v>45639</v>
      </c>
      <c r="B714">
        <v>72.099999999999994</v>
      </c>
      <c r="C714">
        <v>0</v>
      </c>
      <c r="D714">
        <v>0</v>
      </c>
      <c r="E714">
        <v>54.4</v>
      </c>
    </row>
    <row r="715" spans="1:5" x14ac:dyDescent="0.25">
      <c r="A715" s="1">
        <v>45640</v>
      </c>
      <c r="B715">
        <v>79</v>
      </c>
      <c r="C715">
        <v>0</v>
      </c>
      <c r="D715">
        <v>0</v>
      </c>
      <c r="E715">
        <v>55.3</v>
      </c>
    </row>
    <row r="716" spans="1:5" x14ac:dyDescent="0.25">
      <c r="A716" s="1">
        <v>45641</v>
      </c>
      <c r="B716">
        <v>78.5</v>
      </c>
      <c r="C716">
        <v>1.52</v>
      </c>
      <c r="D716">
        <v>1</v>
      </c>
      <c r="E716">
        <v>49</v>
      </c>
    </row>
    <row r="717" spans="1:5" x14ac:dyDescent="0.25">
      <c r="A717" s="1">
        <v>45642</v>
      </c>
      <c r="B717">
        <v>78.8</v>
      </c>
      <c r="C717">
        <v>0</v>
      </c>
      <c r="D717">
        <v>0</v>
      </c>
      <c r="E717">
        <v>59.7</v>
      </c>
    </row>
    <row r="718" spans="1:5" x14ac:dyDescent="0.25">
      <c r="A718" s="1">
        <v>45643</v>
      </c>
      <c r="B718">
        <v>77</v>
      </c>
      <c r="C718">
        <v>1.75</v>
      </c>
      <c r="D718">
        <v>1</v>
      </c>
      <c r="E718">
        <v>47.3</v>
      </c>
    </row>
    <row r="719" spans="1:5" x14ac:dyDescent="0.25">
      <c r="A719" s="1">
        <v>45644</v>
      </c>
      <c r="B719">
        <v>76.400000000000006</v>
      </c>
      <c r="C719">
        <v>2.21</v>
      </c>
      <c r="D719">
        <v>1</v>
      </c>
      <c r="E719">
        <v>47</v>
      </c>
    </row>
    <row r="720" spans="1:5" x14ac:dyDescent="0.25">
      <c r="A720" s="1">
        <v>45645</v>
      </c>
      <c r="B720">
        <v>73.8</v>
      </c>
      <c r="C720">
        <v>0</v>
      </c>
      <c r="D720">
        <v>0</v>
      </c>
      <c r="E720">
        <v>49</v>
      </c>
    </row>
    <row r="721" spans="1:5" x14ac:dyDescent="0.25">
      <c r="A721" s="1">
        <v>45646</v>
      </c>
      <c r="B721">
        <v>73.5</v>
      </c>
      <c r="C721">
        <v>0</v>
      </c>
      <c r="D721">
        <v>0</v>
      </c>
      <c r="E721">
        <v>55.1</v>
      </c>
    </row>
    <row r="722" spans="1:5" x14ac:dyDescent="0.25">
      <c r="A722" s="1">
        <v>45647</v>
      </c>
      <c r="B722">
        <v>76.7</v>
      </c>
      <c r="C722">
        <v>0</v>
      </c>
      <c r="D722">
        <v>0</v>
      </c>
      <c r="E722">
        <v>50.8</v>
      </c>
    </row>
    <row r="723" spans="1:5" x14ac:dyDescent="0.25">
      <c r="A723" s="1">
        <v>45648</v>
      </c>
      <c r="B723">
        <v>77.900000000000006</v>
      </c>
      <c r="C723">
        <v>0</v>
      </c>
      <c r="D723">
        <v>0</v>
      </c>
      <c r="E723">
        <v>53.3</v>
      </c>
    </row>
    <row r="724" spans="1:5" x14ac:dyDescent="0.25">
      <c r="A724" s="1">
        <v>45649</v>
      </c>
      <c r="B724">
        <v>74.400000000000006</v>
      </c>
      <c r="C724">
        <v>0</v>
      </c>
      <c r="D724">
        <v>0</v>
      </c>
      <c r="E724">
        <v>49.2</v>
      </c>
    </row>
    <row r="725" spans="1:5" x14ac:dyDescent="0.25">
      <c r="A725" s="1">
        <v>45650</v>
      </c>
      <c r="B725">
        <v>77.7</v>
      </c>
      <c r="C725">
        <v>0</v>
      </c>
      <c r="D725">
        <v>0</v>
      </c>
      <c r="E725">
        <v>47.7</v>
      </c>
    </row>
    <row r="726" spans="1:5" x14ac:dyDescent="0.25">
      <c r="A726" s="1">
        <v>45651</v>
      </c>
      <c r="B726">
        <v>76.099999999999994</v>
      </c>
      <c r="C726">
        <v>0.67</v>
      </c>
      <c r="D726">
        <v>1</v>
      </c>
      <c r="E726">
        <v>53.5</v>
      </c>
    </row>
    <row r="727" spans="1:5" x14ac:dyDescent="0.25">
      <c r="A727" s="1">
        <v>45652</v>
      </c>
      <c r="B727">
        <v>79.099999999999994</v>
      </c>
      <c r="C727">
        <v>0</v>
      </c>
      <c r="D727">
        <v>0</v>
      </c>
      <c r="E727">
        <v>35</v>
      </c>
    </row>
    <row r="728" spans="1:5" x14ac:dyDescent="0.25">
      <c r="A728" s="1">
        <v>45653</v>
      </c>
      <c r="B728">
        <v>82.2</v>
      </c>
      <c r="C728">
        <v>0</v>
      </c>
      <c r="D728">
        <v>0</v>
      </c>
      <c r="E728">
        <v>51.6</v>
      </c>
    </row>
    <row r="729" spans="1:5" x14ac:dyDescent="0.25">
      <c r="A729" s="1">
        <v>45654</v>
      </c>
      <c r="B729">
        <v>78.5</v>
      </c>
      <c r="C729">
        <v>1.83</v>
      </c>
      <c r="D729">
        <v>1</v>
      </c>
      <c r="E729">
        <v>43.6</v>
      </c>
    </row>
    <row r="730" spans="1:5" x14ac:dyDescent="0.25">
      <c r="A730" s="1">
        <v>45655</v>
      </c>
      <c r="B730">
        <v>74</v>
      </c>
      <c r="C730">
        <v>0</v>
      </c>
      <c r="D730">
        <v>0</v>
      </c>
      <c r="E730">
        <v>52.1</v>
      </c>
    </row>
    <row r="731" spans="1:5" x14ac:dyDescent="0.25">
      <c r="A731" s="1">
        <v>45656</v>
      </c>
      <c r="B731">
        <v>75.5</v>
      </c>
      <c r="C731">
        <v>0.48</v>
      </c>
      <c r="D731">
        <v>1</v>
      </c>
      <c r="E731">
        <v>39.299999999999997</v>
      </c>
    </row>
    <row r="732" spans="1:5" x14ac:dyDescent="0.25">
      <c r="A732" s="1">
        <v>45657</v>
      </c>
      <c r="B732">
        <v>70.900000000000006</v>
      </c>
      <c r="C732">
        <v>0</v>
      </c>
      <c r="D732">
        <v>0</v>
      </c>
      <c r="E732">
        <v>47.8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D7E00-A761-4FA3-8CE4-C1CE1286CD9F}">
  <dimension ref="A1:E2925"/>
  <sheetViews>
    <sheetView workbookViewId="0">
      <selection activeCell="A10" sqref="A1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44927</v>
      </c>
      <c r="B2">
        <v>1</v>
      </c>
      <c r="C2" t="s">
        <v>5</v>
      </c>
      <c r="D2">
        <v>296</v>
      </c>
      <c r="E2">
        <v>5440.48</v>
      </c>
    </row>
    <row r="3" spans="1:5" x14ac:dyDescent="0.25">
      <c r="A3" s="1">
        <v>44928</v>
      </c>
      <c r="B3">
        <v>1</v>
      </c>
      <c r="C3" t="s">
        <v>5</v>
      </c>
      <c r="D3">
        <v>253</v>
      </c>
      <c r="E3">
        <v>4754.25</v>
      </c>
    </row>
    <row r="4" spans="1:5" x14ac:dyDescent="0.25">
      <c r="A4" s="1">
        <v>44929</v>
      </c>
      <c r="B4">
        <v>1</v>
      </c>
      <c r="C4" t="s">
        <v>5</v>
      </c>
      <c r="D4">
        <v>225</v>
      </c>
      <c r="E4">
        <v>4326.42</v>
      </c>
    </row>
    <row r="5" spans="1:5" x14ac:dyDescent="0.25">
      <c r="A5" s="1">
        <v>44930</v>
      </c>
      <c r="B5">
        <v>1</v>
      </c>
      <c r="C5" t="s">
        <v>5</v>
      </c>
      <c r="D5">
        <v>246</v>
      </c>
      <c r="E5">
        <v>4570.1099999999997</v>
      </c>
    </row>
    <row r="6" spans="1:5" x14ac:dyDescent="0.25">
      <c r="A6" s="1">
        <v>44931</v>
      </c>
      <c r="B6">
        <v>1</v>
      </c>
      <c r="C6" t="s">
        <v>5</v>
      </c>
      <c r="D6">
        <v>235</v>
      </c>
      <c r="E6">
        <v>4202.1099999999997</v>
      </c>
    </row>
    <row r="7" spans="1:5" x14ac:dyDescent="0.25">
      <c r="A7" s="1">
        <v>44932</v>
      </c>
      <c r="B7">
        <v>1</v>
      </c>
      <c r="C7" t="s">
        <v>5</v>
      </c>
      <c r="D7">
        <v>223</v>
      </c>
      <c r="E7">
        <v>4067.3</v>
      </c>
    </row>
    <row r="8" spans="1:5" x14ac:dyDescent="0.25">
      <c r="A8" s="1">
        <v>44933</v>
      </c>
      <c r="B8">
        <v>1</v>
      </c>
      <c r="C8" t="s">
        <v>5</v>
      </c>
      <c r="D8">
        <v>304</v>
      </c>
      <c r="E8">
        <v>5141.29</v>
      </c>
    </row>
    <row r="9" spans="1:5" x14ac:dyDescent="0.25">
      <c r="A9" s="1">
        <v>44934</v>
      </c>
      <c r="B9">
        <v>1</v>
      </c>
      <c r="C9" t="s">
        <v>5</v>
      </c>
      <c r="D9">
        <v>235</v>
      </c>
      <c r="E9">
        <v>4270.28</v>
      </c>
    </row>
    <row r="10" spans="1:5" x14ac:dyDescent="0.25">
      <c r="A10" s="1">
        <v>44935</v>
      </c>
      <c r="B10">
        <v>1</v>
      </c>
      <c r="C10" t="s">
        <v>5</v>
      </c>
      <c r="D10">
        <v>251</v>
      </c>
      <c r="E10">
        <v>4431.6400000000003</v>
      </c>
    </row>
    <row r="11" spans="1:5" x14ac:dyDescent="0.25">
      <c r="A11" s="1">
        <v>44936</v>
      </c>
      <c r="B11">
        <v>1</v>
      </c>
      <c r="C11" t="s">
        <v>5</v>
      </c>
      <c r="D11">
        <v>215</v>
      </c>
      <c r="E11">
        <v>3918.9</v>
      </c>
    </row>
    <row r="12" spans="1:5" x14ac:dyDescent="0.25">
      <c r="A12" s="1">
        <v>44937</v>
      </c>
      <c r="B12">
        <v>1</v>
      </c>
      <c r="C12" t="s">
        <v>5</v>
      </c>
      <c r="D12">
        <v>219</v>
      </c>
      <c r="E12">
        <v>4151.6400000000003</v>
      </c>
    </row>
    <row r="13" spans="1:5" x14ac:dyDescent="0.25">
      <c r="A13" s="1">
        <v>44938</v>
      </c>
      <c r="B13">
        <v>1</v>
      </c>
      <c r="C13" t="s">
        <v>5</v>
      </c>
      <c r="D13">
        <v>211</v>
      </c>
      <c r="E13">
        <v>3894.75</v>
      </c>
    </row>
    <row r="14" spans="1:5" x14ac:dyDescent="0.25">
      <c r="A14" s="1">
        <v>44939</v>
      </c>
      <c r="B14">
        <v>1</v>
      </c>
      <c r="C14" t="s">
        <v>5</v>
      </c>
      <c r="D14">
        <v>237</v>
      </c>
      <c r="E14">
        <v>4477.8500000000004</v>
      </c>
    </row>
    <row r="15" spans="1:5" x14ac:dyDescent="0.25">
      <c r="A15" s="1">
        <v>44940</v>
      </c>
      <c r="B15">
        <v>1</v>
      </c>
      <c r="C15" t="s">
        <v>5</v>
      </c>
      <c r="D15">
        <v>263</v>
      </c>
      <c r="E15">
        <v>5073.2299999999996</v>
      </c>
    </row>
    <row r="16" spans="1:5" x14ac:dyDescent="0.25">
      <c r="A16" s="1">
        <v>44941</v>
      </c>
      <c r="B16">
        <v>1</v>
      </c>
      <c r="C16" t="s">
        <v>5</v>
      </c>
      <c r="D16">
        <v>270</v>
      </c>
      <c r="E16">
        <v>4512.7700000000004</v>
      </c>
    </row>
    <row r="17" spans="1:5" x14ac:dyDescent="0.25">
      <c r="A17" s="1">
        <v>44942</v>
      </c>
      <c r="B17">
        <v>1</v>
      </c>
      <c r="C17" t="s">
        <v>5</v>
      </c>
      <c r="D17">
        <v>230</v>
      </c>
      <c r="E17">
        <v>4276.97</v>
      </c>
    </row>
    <row r="18" spans="1:5" x14ac:dyDescent="0.25">
      <c r="A18" s="1">
        <v>44943</v>
      </c>
      <c r="B18">
        <v>1</v>
      </c>
      <c r="C18" t="s">
        <v>5</v>
      </c>
      <c r="D18">
        <v>254</v>
      </c>
      <c r="E18">
        <v>4594.63</v>
      </c>
    </row>
    <row r="19" spans="1:5" x14ac:dyDescent="0.25">
      <c r="A19" s="1">
        <v>44944</v>
      </c>
      <c r="B19">
        <v>1</v>
      </c>
      <c r="C19" t="s">
        <v>5</v>
      </c>
      <c r="D19">
        <v>216</v>
      </c>
      <c r="E19">
        <v>3603.99</v>
      </c>
    </row>
    <row r="20" spans="1:5" x14ac:dyDescent="0.25">
      <c r="A20" s="1">
        <v>44945</v>
      </c>
      <c r="B20">
        <v>1</v>
      </c>
      <c r="C20" t="s">
        <v>5</v>
      </c>
      <c r="D20">
        <v>288</v>
      </c>
      <c r="E20">
        <v>5246.91</v>
      </c>
    </row>
    <row r="21" spans="1:5" x14ac:dyDescent="0.25">
      <c r="A21" s="1">
        <v>44946</v>
      </c>
      <c r="B21">
        <v>1</v>
      </c>
      <c r="C21" t="s">
        <v>5</v>
      </c>
      <c r="D21">
        <v>232</v>
      </c>
      <c r="E21">
        <v>4301.6400000000003</v>
      </c>
    </row>
    <row r="22" spans="1:5" x14ac:dyDescent="0.25">
      <c r="A22" s="1">
        <v>44947</v>
      </c>
      <c r="B22">
        <v>1</v>
      </c>
      <c r="C22" t="s">
        <v>5</v>
      </c>
      <c r="D22">
        <v>300</v>
      </c>
      <c r="E22">
        <v>5584.36</v>
      </c>
    </row>
    <row r="23" spans="1:5" x14ac:dyDescent="0.25">
      <c r="A23" s="1">
        <v>44948</v>
      </c>
      <c r="B23">
        <v>1</v>
      </c>
      <c r="C23" t="s">
        <v>5</v>
      </c>
      <c r="D23">
        <v>294</v>
      </c>
      <c r="E23">
        <v>5686.73</v>
      </c>
    </row>
    <row r="24" spans="1:5" x14ac:dyDescent="0.25">
      <c r="A24" s="1">
        <v>44949</v>
      </c>
      <c r="B24">
        <v>1</v>
      </c>
      <c r="C24" t="s">
        <v>5</v>
      </c>
      <c r="D24">
        <v>243</v>
      </c>
      <c r="E24">
        <v>4434.38</v>
      </c>
    </row>
    <row r="25" spans="1:5" x14ac:dyDescent="0.25">
      <c r="A25" s="1">
        <v>44950</v>
      </c>
      <c r="B25">
        <v>1</v>
      </c>
      <c r="C25" t="s">
        <v>5</v>
      </c>
      <c r="D25">
        <v>206</v>
      </c>
      <c r="E25">
        <v>3820.07</v>
      </c>
    </row>
    <row r="26" spans="1:5" x14ac:dyDescent="0.25">
      <c r="A26" s="1">
        <v>44951</v>
      </c>
      <c r="B26">
        <v>1</v>
      </c>
      <c r="C26" t="s">
        <v>5</v>
      </c>
      <c r="D26">
        <v>181</v>
      </c>
      <c r="E26">
        <v>3660.64</v>
      </c>
    </row>
    <row r="27" spans="1:5" x14ac:dyDescent="0.25">
      <c r="A27" s="1">
        <v>44952</v>
      </c>
      <c r="B27">
        <v>1</v>
      </c>
      <c r="C27" t="s">
        <v>5</v>
      </c>
      <c r="D27">
        <v>206</v>
      </c>
      <c r="E27">
        <v>3913.96</v>
      </c>
    </row>
    <row r="28" spans="1:5" x14ac:dyDescent="0.25">
      <c r="A28" s="1">
        <v>44953</v>
      </c>
      <c r="B28">
        <v>1</v>
      </c>
      <c r="C28" t="s">
        <v>5</v>
      </c>
      <c r="D28">
        <v>216</v>
      </c>
      <c r="E28">
        <v>4253.25</v>
      </c>
    </row>
    <row r="29" spans="1:5" x14ac:dyDescent="0.25">
      <c r="A29" s="1">
        <v>44954</v>
      </c>
      <c r="B29">
        <v>1</v>
      </c>
      <c r="C29" t="s">
        <v>5</v>
      </c>
      <c r="D29">
        <v>207</v>
      </c>
      <c r="E29">
        <v>3817.82</v>
      </c>
    </row>
    <row r="30" spans="1:5" x14ac:dyDescent="0.25">
      <c r="A30" s="1">
        <v>44955</v>
      </c>
      <c r="B30">
        <v>1</v>
      </c>
      <c r="C30" t="s">
        <v>5</v>
      </c>
      <c r="D30">
        <v>278</v>
      </c>
      <c r="E30">
        <v>5762.8</v>
      </c>
    </row>
    <row r="31" spans="1:5" x14ac:dyDescent="0.25">
      <c r="A31" s="1">
        <v>44956</v>
      </c>
      <c r="B31">
        <v>1</v>
      </c>
      <c r="C31" t="s">
        <v>5</v>
      </c>
      <c r="D31">
        <v>268</v>
      </c>
      <c r="E31">
        <v>4885.71</v>
      </c>
    </row>
    <row r="32" spans="1:5" x14ac:dyDescent="0.25">
      <c r="A32" s="1">
        <v>44957</v>
      </c>
      <c r="B32">
        <v>1</v>
      </c>
      <c r="C32" t="s">
        <v>5</v>
      </c>
      <c r="D32">
        <v>214</v>
      </c>
      <c r="E32">
        <v>3882.07</v>
      </c>
    </row>
    <row r="33" spans="1:5" x14ac:dyDescent="0.25">
      <c r="A33" s="1">
        <v>44958</v>
      </c>
      <c r="B33">
        <v>1</v>
      </c>
      <c r="C33" t="s">
        <v>5</v>
      </c>
      <c r="D33">
        <v>226</v>
      </c>
      <c r="E33">
        <v>4031.55</v>
      </c>
    </row>
    <row r="34" spans="1:5" x14ac:dyDescent="0.25">
      <c r="A34" s="1">
        <v>44959</v>
      </c>
      <c r="B34">
        <v>1</v>
      </c>
      <c r="C34" t="s">
        <v>5</v>
      </c>
      <c r="D34">
        <v>230</v>
      </c>
      <c r="E34">
        <v>4403.41</v>
      </c>
    </row>
    <row r="35" spans="1:5" x14ac:dyDescent="0.25">
      <c r="A35" s="1">
        <v>44960</v>
      </c>
      <c r="B35">
        <v>1</v>
      </c>
      <c r="C35" t="s">
        <v>5</v>
      </c>
      <c r="D35">
        <v>256</v>
      </c>
      <c r="E35">
        <v>4474.51</v>
      </c>
    </row>
    <row r="36" spans="1:5" x14ac:dyDescent="0.25">
      <c r="A36" s="1">
        <v>44961</v>
      </c>
      <c r="B36">
        <v>1</v>
      </c>
      <c r="C36" t="s">
        <v>5</v>
      </c>
      <c r="D36">
        <v>260</v>
      </c>
      <c r="E36">
        <v>4639.1099999999997</v>
      </c>
    </row>
    <row r="37" spans="1:5" x14ac:dyDescent="0.25">
      <c r="A37" s="1">
        <v>44962</v>
      </c>
      <c r="B37">
        <v>1</v>
      </c>
      <c r="C37" t="s">
        <v>5</v>
      </c>
      <c r="D37">
        <v>248</v>
      </c>
      <c r="E37">
        <v>4864.28</v>
      </c>
    </row>
    <row r="38" spans="1:5" x14ac:dyDescent="0.25">
      <c r="A38" s="1">
        <v>44963</v>
      </c>
      <c r="B38">
        <v>1</v>
      </c>
      <c r="C38" t="s">
        <v>5</v>
      </c>
      <c r="D38">
        <v>241</v>
      </c>
      <c r="E38">
        <v>4425.4399999999996</v>
      </c>
    </row>
    <row r="39" spans="1:5" x14ac:dyDescent="0.25">
      <c r="A39" s="1">
        <v>44964</v>
      </c>
      <c r="B39">
        <v>1</v>
      </c>
      <c r="C39" t="s">
        <v>5</v>
      </c>
      <c r="D39">
        <v>181</v>
      </c>
      <c r="E39">
        <v>3606.07</v>
      </c>
    </row>
    <row r="40" spans="1:5" x14ac:dyDescent="0.25">
      <c r="A40" s="1">
        <v>44965</v>
      </c>
      <c r="B40">
        <v>1</v>
      </c>
      <c r="C40" t="s">
        <v>5</v>
      </c>
      <c r="D40">
        <v>166</v>
      </c>
      <c r="E40">
        <v>2871.62</v>
      </c>
    </row>
    <row r="41" spans="1:5" x14ac:dyDescent="0.25">
      <c r="A41" s="1">
        <v>44966</v>
      </c>
      <c r="B41">
        <v>1</v>
      </c>
      <c r="C41" t="s">
        <v>5</v>
      </c>
      <c r="D41">
        <v>218</v>
      </c>
      <c r="E41">
        <v>3916.11</v>
      </c>
    </row>
    <row r="42" spans="1:5" x14ac:dyDescent="0.25">
      <c r="A42" s="1">
        <v>44967</v>
      </c>
      <c r="B42">
        <v>1</v>
      </c>
      <c r="C42" t="s">
        <v>5</v>
      </c>
      <c r="D42">
        <v>210</v>
      </c>
      <c r="E42">
        <v>4044.57</v>
      </c>
    </row>
    <row r="43" spans="1:5" x14ac:dyDescent="0.25">
      <c r="A43" s="1">
        <v>44968</v>
      </c>
      <c r="B43">
        <v>1</v>
      </c>
      <c r="C43" t="s">
        <v>5</v>
      </c>
      <c r="D43">
        <v>225</v>
      </c>
      <c r="E43">
        <v>3924.84</v>
      </c>
    </row>
    <row r="44" spans="1:5" x14ac:dyDescent="0.25">
      <c r="A44" s="1">
        <v>44969</v>
      </c>
      <c r="B44">
        <v>1</v>
      </c>
      <c r="C44" t="s">
        <v>5</v>
      </c>
      <c r="D44">
        <v>257</v>
      </c>
      <c r="E44">
        <v>5156.3</v>
      </c>
    </row>
    <row r="45" spans="1:5" x14ac:dyDescent="0.25">
      <c r="A45" s="1">
        <v>44970</v>
      </c>
      <c r="B45">
        <v>1</v>
      </c>
      <c r="C45" t="s">
        <v>5</v>
      </c>
      <c r="D45">
        <v>234</v>
      </c>
      <c r="E45">
        <v>4036.07</v>
      </c>
    </row>
    <row r="46" spans="1:5" x14ac:dyDescent="0.25">
      <c r="A46" s="1">
        <v>44971</v>
      </c>
      <c r="B46">
        <v>1</v>
      </c>
      <c r="C46" t="s">
        <v>5</v>
      </c>
      <c r="D46">
        <v>201</v>
      </c>
      <c r="E46">
        <v>3978.71</v>
      </c>
    </row>
    <row r="47" spans="1:5" x14ac:dyDescent="0.25">
      <c r="A47" s="1">
        <v>44972</v>
      </c>
      <c r="B47">
        <v>1</v>
      </c>
      <c r="C47" t="s">
        <v>5</v>
      </c>
      <c r="D47">
        <v>213</v>
      </c>
      <c r="E47">
        <v>4020.09</v>
      </c>
    </row>
    <row r="48" spans="1:5" x14ac:dyDescent="0.25">
      <c r="A48" s="1">
        <v>44973</v>
      </c>
      <c r="B48">
        <v>1</v>
      </c>
      <c r="C48" t="s">
        <v>5</v>
      </c>
      <c r="D48">
        <v>229</v>
      </c>
      <c r="E48">
        <v>4289.53</v>
      </c>
    </row>
    <row r="49" spans="1:5" x14ac:dyDescent="0.25">
      <c r="A49" s="1">
        <v>44974</v>
      </c>
      <c r="B49">
        <v>1</v>
      </c>
      <c r="C49" t="s">
        <v>5</v>
      </c>
      <c r="D49">
        <v>219</v>
      </c>
      <c r="E49">
        <v>4180.9399999999996</v>
      </c>
    </row>
    <row r="50" spans="1:5" x14ac:dyDescent="0.25">
      <c r="A50" s="1">
        <v>44975</v>
      </c>
      <c r="B50">
        <v>1</v>
      </c>
      <c r="C50" t="s">
        <v>5</v>
      </c>
      <c r="D50">
        <v>255</v>
      </c>
      <c r="E50">
        <v>5175.76</v>
      </c>
    </row>
    <row r="51" spans="1:5" x14ac:dyDescent="0.25">
      <c r="A51" s="1">
        <v>44976</v>
      </c>
      <c r="B51">
        <v>1</v>
      </c>
      <c r="C51" t="s">
        <v>5</v>
      </c>
      <c r="D51">
        <v>252</v>
      </c>
      <c r="E51">
        <v>4562.8599999999997</v>
      </c>
    </row>
    <row r="52" spans="1:5" x14ac:dyDescent="0.25">
      <c r="A52" s="1">
        <v>44977</v>
      </c>
      <c r="B52">
        <v>1</v>
      </c>
      <c r="C52" t="s">
        <v>5</v>
      </c>
      <c r="D52">
        <v>213</v>
      </c>
      <c r="E52">
        <v>4157.8999999999996</v>
      </c>
    </row>
    <row r="53" spans="1:5" x14ac:dyDescent="0.25">
      <c r="A53" s="1">
        <v>44978</v>
      </c>
      <c r="B53">
        <v>1</v>
      </c>
      <c r="C53" t="s">
        <v>5</v>
      </c>
      <c r="D53">
        <v>193</v>
      </c>
      <c r="E53">
        <v>3744.72</v>
      </c>
    </row>
    <row r="54" spans="1:5" x14ac:dyDescent="0.25">
      <c r="A54" s="1">
        <v>44979</v>
      </c>
      <c r="B54">
        <v>1</v>
      </c>
      <c r="C54" t="s">
        <v>5</v>
      </c>
      <c r="D54">
        <v>253</v>
      </c>
      <c r="E54">
        <v>4481.76</v>
      </c>
    </row>
    <row r="55" spans="1:5" x14ac:dyDescent="0.25">
      <c r="A55" s="1">
        <v>44980</v>
      </c>
      <c r="B55">
        <v>1</v>
      </c>
      <c r="C55" t="s">
        <v>5</v>
      </c>
      <c r="D55">
        <v>227</v>
      </c>
      <c r="E55">
        <v>4303.09</v>
      </c>
    </row>
    <row r="56" spans="1:5" x14ac:dyDescent="0.25">
      <c r="A56" s="1">
        <v>44981</v>
      </c>
      <c r="B56">
        <v>1</v>
      </c>
      <c r="C56" t="s">
        <v>5</v>
      </c>
      <c r="D56">
        <v>230</v>
      </c>
      <c r="E56">
        <v>4161.1099999999997</v>
      </c>
    </row>
    <row r="57" spans="1:5" x14ac:dyDescent="0.25">
      <c r="A57" s="1">
        <v>44982</v>
      </c>
      <c r="B57">
        <v>1</v>
      </c>
      <c r="C57" t="s">
        <v>5</v>
      </c>
      <c r="D57">
        <v>249</v>
      </c>
      <c r="E57">
        <v>4847.5600000000004</v>
      </c>
    </row>
    <row r="58" spans="1:5" x14ac:dyDescent="0.25">
      <c r="A58" s="1">
        <v>44983</v>
      </c>
      <c r="B58">
        <v>1</v>
      </c>
      <c r="C58" t="s">
        <v>5</v>
      </c>
      <c r="D58">
        <v>269</v>
      </c>
      <c r="E58">
        <v>5138.28</v>
      </c>
    </row>
    <row r="59" spans="1:5" x14ac:dyDescent="0.25">
      <c r="A59" s="1">
        <v>44984</v>
      </c>
      <c r="B59">
        <v>1</v>
      </c>
      <c r="C59" t="s">
        <v>5</v>
      </c>
      <c r="D59">
        <v>240</v>
      </c>
      <c r="E59">
        <v>4782.3599999999997</v>
      </c>
    </row>
    <row r="60" spans="1:5" x14ac:dyDescent="0.25">
      <c r="A60" s="1">
        <v>44985</v>
      </c>
      <c r="B60">
        <v>1</v>
      </c>
      <c r="C60" t="s">
        <v>5</v>
      </c>
      <c r="D60">
        <v>247</v>
      </c>
      <c r="E60">
        <v>4942.8</v>
      </c>
    </row>
    <row r="61" spans="1:5" x14ac:dyDescent="0.25">
      <c r="A61" s="1">
        <v>44986</v>
      </c>
      <c r="B61">
        <v>1</v>
      </c>
      <c r="C61" t="s">
        <v>5</v>
      </c>
      <c r="D61">
        <v>218</v>
      </c>
      <c r="E61">
        <v>3964.72</v>
      </c>
    </row>
    <row r="62" spans="1:5" x14ac:dyDescent="0.25">
      <c r="A62" s="1">
        <v>44987</v>
      </c>
      <c r="B62">
        <v>1</v>
      </c>
      <c r="C62" t="s">
        <v>5</v>
      </c>
      <c r="D62">
        <v>186</v>
      </c>
      <c r="E62">
        <v>3161.3</v>
      </c>
    </row>
    <row r="63" spans="1:5" x14ac:dyDescent="0.25">
      <c r="A63" s="1">
        <v>44988</v>
      </c>
      <c r="B63">
        <v>1</v>
      </c>
      <c r="C63" t="s">
        <v>5</v>
      </c>
      <c r="D63">
        <v>207</v>
      </c>
      <c r="E63">
        <v>3658.99</v>
      </c>
    </row>
    <row r="64" spans="1:5" x14ac:dyDescent="0.25">
      <c r="A64" s="1">
        <v>44989</v>
      </c>
      <c r="B64">
        <v>1</v>
      </c>
      <c r="C64" t="s">
        <v>5</v>
      </c>
      <c r="D64">
        <v>255</v>
      </c>
      <c r="E64">
        <v>5310.23</v>
      </c>
    </row>
    <row r="65" spans="1:5" x14ac:dyDescent="0.25">
      <c r="A65" s="1">
        <v>44990</v>
      </c>
      <c r="B65">
        <v>1</v>
      </c>
      <c r="C65" t="s">
        <v>5</v>
      </c>
      <c r="D65">
        <v>277</v>
      </c>
      <c r="E65">
        <v>4952.1899999999996</v>
      </c>
    </row>
    <row r="66" spans="1:5" x14ac:dyDescent="0.25">
      <c r="A66" s="1">
        <v>44991</v>
      </c>
      <c r="B66">
        <v>1</v>
      </c>
      <c r="C66" t="s">
        <v>5</v>
      </c>
      <c r="D66">
        <v>222</v>
      </c>
      <c r="E66">
        <v>3968.55</v>
      </c>
    </row>
    <row r="67" spans="1:5" x14ac:dyDescent="0.25">
      <c r="A67" s="1">
        <v>44992</v>
      </c>
      <c r="B67">
        <v>1</v>
      </c>
      <c r="C67" t="s">
        <v>5</v>
      </c>
      <c r="D67">
        <v>232</v>
      </c>
      <c r="E67">
        <v>4224.66</v>
      </c>
    </row>
    <row r="68" spans="1:5" x14ac:dyDescent="0.25">
      <c r="A68" s="1">
        <v>44993</v>
      </c>
      <c r="B68">
        <v>1</v>
      </c>
      <c r="C68" t="s">
        <v>5</v>
      </c>
      <c r="D68">
        <v>225</v>
      </c>
      <c r="E68">
        <v>4295.8500000000004</v>
      </c>
    </row>
    <row r="69" spans="1:5" x14ac:dyDescent="0.25">
      <c r="A69" s="1">
        <v>44994</v>
      </c>
      <c r="B69">
        <v>1</v>
      </c>
      <c r="C69" t="s">
        <v>5</v>
      </c>
      <c r="D69">
        <v>244</v>
      </c>
      <c r="E69">
        <v>5123.26</v>
      </c>
    </row>
    <row r="70" spans="1:5" x14ac:dyDescent="0.25">
      <c r="A70" s="1">
        <v>44995</v>
      </c>
      <c r="B70">
        <v>1</v>
      </c>
      <c r="C70" t="s">
        <v>5</v>
      </c>
      <c r="D70">
        <v>255</v>
      </c>
      <c r="E70">
        <v>4625.37</v>
      </c>
    </row>
    <row r="71" spans="1:5" x14ac:dyDescent="0.25">
      <c r="A71" s="1">
        <v>44996</v>
      </c>
      <c r="B71">
        <v>1</v>
      </c>
      <c r="C71" t="s">
        <v>5</v>
      </c>
      <c r="D71">
        <v>253</v>
      </c>
      <c r="E71">
        <v>4573.3500000000004</v>
      </c>
    </row>
    <row r="72" spans="1:5" x14ac:dyDescent="0.25">
      <c r="A72" s="1">
        <v>44997</v>
      </c>
      <c r="B72">
        <v>1</v>
      </c>
      <c r="C72" t="s">
        <v>5</v>
      </c>
      <c r="D72">
        <v>261</v>
      </c>
      <c r="E72">
        <v>5209.2700000000004</v>
      </c>
    </row>
    <row r="73" spans="1:5" x14ac:dyDescent="0.25">
      <c r="A73" s="1">
        <v>44998</v>
      </c>
      <c r="B73">
        <v>1</v>
      </c>
      <c r="C73" t="s">
        <v>5</v>
      </c>
      <c r="D73">
        <v>211</v>
      </c>
      <c r="E73">
        <v>4085.64</v>
      </c>
    </row>
    <row r="74" spans="1:5" x14ac:dyDescent="0.25">
      <c r="A74" s="1">
        <v>44999</v>
      </c>
      <c r="B74">
        <v>1</v>
      </c>
      <c r="C74" t="s">
        <v>5</v>
      </c>
      <c r="D74">
        <v>207</v>
      </c>
      <c r="E74">
        <v>4017.57</v>
      </c>
    </row>
    <row r="75" spans="1:5" x14ac:dyDescent="0.25">
      <c r="A75" s="1">
        <v>45000</v>
      </c>
      <c r="B75">
        <v>1</v>
      </c>
      <c r="C75" t="s">
        <v>5</v>
      </c>
      <c r="D75">
        <v>224</v>
      </c>
      <c r="E75">
        <v>4171.95</v>
      </c>
    </row>
    <row r="76" spans="1:5" x14ac:dyDescent="0.25">
      <c r="A76" s="1">
        <v>45001</v>
      </c>
      <c r="B76">
        <v>1</v>
      </c>
      <c r="C76" t="s">
        <v>5</v>
      </c>
      <c r="D76">
        <v>217</v>
      </c>
      <c r="E76">
        <v>3953.03</v>
      </c>
    </row>
    <row r="77" spans="1:5" x14ac:dyDescent="0.25">
      <c r="A77" s="1">
        <v>45002</v>
      </c>
      <c r="B77">
        <v>1</v>
      </c>
      <c r="C77" t="s">
        <v>5</v>
      </c>
      <c r="D77">
        <v>201</v>
      </c>
      <c r="E77">
        <v>3769.07</v>
      </c>
    </row>
    <row r="78" spans="1:5" x14ac:dyDescent="0.25">
      <c r="A78" s="1">
        <v>45003</v>
      </c>
      <c r="B78">
        <v>1</v>
      </c>
      <c r="C78" t="s">
        <v>5</v>
      </c>
      <c r="D78">
        <v>204</v>
      </c>
      <c r="E78">
        <v>3940.3</v>
      </c>
    </row>
    <row r="79" spans="1:5" x14ac:dyDescent="0.25">
      <c r="A79" s="1">
        <v>45004</v>
      </c>
      <c r="B79">
        <v>1</v>
      </c>
      <c r="C79" t="s">
        <v>5</v>
      </c>
      <c r="D79">
        <v>279</v>
      </c>
      <c r="E79">
        <v>5100.2700000000004</v>
      </c>
    </row>
    <row r="80" spans="1:5" x14ac:dyDescent="0.25">
      <c r="A80" s="1">
        <v>45005</v>
      </c>
      <c r="B80">
        <v>1</v>
      </c>
      <c r="C80" t="s">
        <v>5</v>
      </c>
      <c r="D80">
        <v>219</v>
      </c>
      <c r="E80">
        <v>4037.59</v>
      </c>
    </row>
    <row r="81" spans="1:5" x14ac:dyDescent="0.25">
      <c r="A81" s="1">
        <v>45006</v>
      </c>
      <c r="B81">
        <v>1</v>
      </c>
      <c r="C81" t="s">
        <v>5</v>
      </c>
      <c r="D81">
        <v>225</v>
      </c>
      <c r="E81">
        <v>4197.7299999999996</v>
      </c>
    </row>
    <row r="82" spans="1:5" x14ac:dyDescent="0.25">
      <c r="A82" s="1">
        <v>45007</v>
      </c>
      <c r="B82">
        <v>1</v>
      </c>
      <c r="C82" t="s">
        <v>5</v>
      </c>
      <c r="D82">
        <v>246</v>
      </c>
      <c r="E82">
        <v>4260.32</v>
      </c>
    </row>
    <row r="83" spans="1:5" x14ac:dyDescent="0.25">
      <c r="A83" s="1">
        <v>45008</v>
      </c>
      <c r="B83">
        <v>1</v>
      </c>
      <c r="C83" t="s">
        <v>5</v>
      </c>
      <c r="D83">
        <v>207</v>
      </c>
      <c r="E83">
        <v>3756.61</v>
      </c>
    </row>
    <row r="84" spans="1:5" x14ac:dyDescent="0.25">
      <c r="A84" s="1">
        <v>45009</v>
      </c>
      <c r="B84">
        <v>1</v>
      </c>
      <c r="C84" t="s">
        <v>5</v>
      </c>
      <c r="D84">
        <v>230</v>
      </c>
      <c r="E84">
        <v>4240.55</v>
      </c>
    </row>
    <row r="85" spans="1:5" x14ac:dyDescent="0.25">
      <c r="A85" s="1">
        <v>45010</v>
      </c>
      <c r="B85">
        <v>1</v>
      </c>
      <c r="C85" t="s">
        <v>5</v>
      </c>
      <c r="D85">
        <v>273</v>
      </c>
      <c r="E85">
        <v>5133.17</v>
      </c>
    </row>
    <row r="86" spans="1:5" x14ac:dyDescent="0.25">
      <c r="A86" s="1">
        <v>45011</v>
      </c>
      <c r="B86">
        <v>1</v>
      </c>
      <c r="C86" t="s">
        <v>5</v>
      </c>
      <c r="D86">
        <v>241</v>
      </c>
      <c r="E86">
        <v>4677.63</v>
      </c>
    </row>
    <row r="87" spans="1:5" x14ac:dyDescent="0.25">
      <c r="A87" s="1">
        <v>45012</v>
      </c>
      <c r="B87">
        <v>1</v>
      </c>
      <c r="C87" t="s">
        <v>5</v>
      </c>
      <c r="D87">
        <v>215</v>
      </c>
      <c r="E87">
        <v>3672.85</v>
      </c>
    </row>
    <row r="88" spans="1:5" x14ac:dyDescent="0.25">
      <c r="A88" s="1">
        <v>45013</v>
      </c>
      <c r="B88">
        <v>1</v>
      </c>
      <c r="C88" t="s">
        <v>5</v>
      </c>
      <c r="D88">
        <v>176</v>
      </c>
      <c r="E88">
        <v>2986.03</v>
      </c>
    </row>
    <row r="89" spans="1:5" x14ac:dyDescent="0.25">
      <c r="A89" s="1">
        <v>45014</v>
      </c>
      <c r="B89">
        <v>1</v>
      </c>
      <c r="C89" t="s">
        <v>5</v>
      </c>
      <c r="D89">
        <v>237</v>
      </c>
      <c r="E89">
        <v>4738.16</v>
      </c>
    </row>
    <row r="90" spans="1:5" x14ac:dyDescent="0.25">
      <c r="A90" s="1">
        <v>45015</v>
      </c>
      <c r="B90">
        <v>1</v>
      </c>
      <c r="C90" t="s">
        <v>5</v>
      </c>
      <c r="D90">
        <v>238</v>
      </c>
      <c r="E90">
        <v>4250.8900000000003</v>
      </c>
    </row>
    <row r="91" spans="1:5" x14ac:dyDescent="0.25">
      <c r="A91" s="1">
        <v>45016</v>
      </c>
      <c r="B91">
        <v>1</v>
      </c>
      <c r="C91" t="s">
        <v>5</v>
      </c>
      <c r="D91">
        <v>243</v>
      </c>
      <c r="E91">
        <v>4293.21</v>
      </c>
    </row>
    <row r="92" spans="1:5" x14ac:dyDescent="0.25">
      <c r="A92" s="1">
        <v>45017</v>
      </c>
      <c r="B92">
        <v>1</v>
      </c>
      <c r="C92" t="s">
        <v>5</v>
      </c>
      <c r="D92">
        <v>255</v>
      </c>
      <c r="E92">
        <v>4932.47</v>
      </c>
    </row>
    <row r="93" spans="1:5" x14ac:dyDescent="0.25">
      <c r="A93" s="1">
        <v>45018</v>
      </c>
      <c r="B93">
        <v>1</v>
      </c>
      <c r="C93" t="s">
        <v>5</v>
      </c>
      <c r="D93">
        <v>246</v>
      </c>
      <c r="E93">
        <v>4579.41</v>
      </c>
    </row>
    <row r="94" spans="1:5" x14ac:dyDescent="0.25">
      <c r="A94" s="1">
        <v>45019</v>
      </c>
      <c r="B94">
        <v>1</v>
      </c>
      <c r="C94" t="s">
        <v>5</v>
      </c>
      <c r="D94">
        <v>250</v>
      </c>
      <c r="E94">
        <v>4251.84</v>
      </c>
    </row>
    <row r="95" spans="1:5" x14ac:dyDescent="0.25">
      <c r="A95" s="1">
        <v>45020</v>
      </c>
      <c r="B95">
        <v>1</v>
      </c>
      <c r="C95" t="s">
        <v>5</v>
      </c>
      <c r="D95">
        <v>213</v>
      </c>
      <c r="E95">
        <v>3719.27</v>
      </c>
    </row>
    <row r="96" spans="1:5" x14ac:dyDescent="0.25">
      <c r="A96" s="1">
        <v>45021</v>
      </c>
      <c r="B96">
        <v>1</v>
      </c>
      <c r="C96" t="s">
        <v>5</v>
      </c>
      <c r="D96">
        <v>210</v>
      </c>
      <c r="E96">
        <v>4002.25</v>
      </c>
    </row>
    <row r="97" spans="1:5" x14ac:dyDescent="0.25">
      <c r="A97" s="1">
        <v>45022</v>
      </c>
      <c r="B97">
        <v>1</v>
      </c>
      <c r="C97" t="s">
        <v>5</v>
      </c>
      <c r="D97">
        <v>270</v>
      </c>
      <c r="E97">
        <v>4812.1899999999996</v>
      </c>
    </row>
    <row r="98" spans="1:5" x14ac:dyDescent="0.25">
      <c r="A98" s="1">
        <v>45023</v>
      </c>
      <c r="B98">
        <v>1</v>
      </c>
      <c r="C98" t="s">
        <v>5</v>
      </c>
      <c r="D98">
        <v>247</v>
      </c>
      <c r="E98">
        <v>4709.58</v>
      </c>
    </row>
    <row r="99" spans="1:5" x14ac:dyDescent="0.25">
      <c r="A99" s="1">
        <v>45024</v>
      </c>
      <c r="B99">
        <v>1</v>
      </c>
      <c r="C99" t="s">
        <v>5</v>
      </c>
      <c r="D99">
        <v>277</v>
      </c>
      <c r="E99">
        <v>5250.88</v>
      </c>
    </row>
    <row r="100" spans="1:5" x14ac:dyDescent="0.25">
      <c r="A100" s="1">
        <v>45025</v>
      </c>
      <c r="B100">
        <v>1</v>
      </c>
      <c r="C100" t="s">
        <v>5</v>
      </c>
      <c r="D100">
        <v>293</v>
      </c>
      <c r="E100">
        <v>5160.43</v>
      </c>
    </row>
    <row r="101" spans="1:5" x14ac:dyDescent="0.25">
      <c r="A101" s="1">
        <v>45026</v>
      </c>
      <c r="B101">
        <v>1</v>
      </c>
      <c r="C101" t="s">
        <v>5</v>
      </c>
      <c r="D101">
        <v>256</v>
      </c>
      <c r="E101">
        <v>5057.63</v>
      </c>
    </row>
    <row r="102" spans="1:5" x14ac:dyDescent="0.25">
      <c r="A102" s="1">
        <v>45027</v>
      </c>
      <c r="B102">
        <v>1</v>
      </c>
      <c r="C102" t="s">
        <v>5</v>
      </c>
      <c r="D102">
        <v>189</v>
      </c>
      <c r="E102">
        <v>3397.79</v>
      </c>
    </row>
    <row r="103" spans="1:5" x14ac:dyDescent="0.25">
      <c r="A103" s="1">
        <v>45028</v>
      </c>
      <c r="B103">
        <v>1</v>
      </c>
      <c r="C103" t="s">
        <v>5</v>
      </c>
      <c r="D103">
        <v>212</v>
      </c>
      <c r="E103">
        <v>4209.24</v>
      </c>
    </row>
    <row r="104" spans="1:5" x14ac:dyDescent="0.25">
      <c r="A104" s="1">
        <v>45029</v>
      </c>
      <c r="B104">
        <v>1</v>
      </c>
      <c r="C104" t="s">
        <v>5</v>
      </c>
      <c r="D104">
        <v>242</v>
      </c>
      <c r="E104">
        <v>4749.0600000000004</v>
      </c>
    </row>
    <row r="105" spans="1:5" x14ac:dyDescent="0.25">
      <c r="A105" s="1">
        <v>45030</v>
      </c>
      <c r="B105">
        <v>1</v>
      </c>
      <c r="C105" t="s">
        <v>5</v>
      </c>
      <c r="D105">
        <v>179</v>
      </c>
      <c r="E105">
        <v>3404.74</v>
      </c>
    </row>
    <row r="106" spans="1:5" x14ac:dyDescent="0.25">
      <c r="A106" s="1">
        <v>45031</v>
      </c>
      <c r="B106">
        <v>1</v>
      </c>
      <c r="C106" t="s">
        <v>5</v>
      </c>
      <c r="D106">
        <v>248</v>
      </c>
      <c r="E106">
        <v>4399.38</v>
      </c>
    </row>
    <row r="107" spans="1:5" x14ac:dyDescent="0.25">
      <c r="A107" s="1">
        <v>45032</v>
      </c>
      <c r="B107">
        <v>1</v>
      </c>
      <c r="C107" t="s">
        <v>5</v>
      </c>
      <c r="D107">
        <v>268</v>
      </c>
      <c r="E107">
        <v>4770.29</v>
      </c>
    </row>
    <row r="108" spans="1:5" x14ac:dyDescent="0.25">
      <c r="A108" s="1">
        <v>45033</v>
      </c>
      <c r="B108">
        <v>1</v>
      </c>
      <c r="C108" t="s">
        <v>5</v>
      </c>
      <c r="D108">
        <v>262</v>
      </c>
      <c r="E108">
        <v>5366.39</v>
      </c>
    </row>
    <row r="109" spans="1:5" x14ac:dyDescent="0.25">
      <c r="A109" s="1">
        <v>45034</v>
      </c>
      <c r="B109">
        <v>1</v>
      </c>
      <c r="C109" t="s">
        <v>5</v>
      </c>
      <c r="D109">
        <v>213</v>
      </c>
      <c r="E109">
        <v>3759.09</v>
      </c>
    </row>
    <row r="110" spans="1:5" x14ac:dyDescent="0.25">
      <c r="A110" s="1">
        <v>45035</v>
      </c>
      <c r="B110">
        <v>1</v>
      </c>
      <c r="C110" t="s">
        <v>5</v>
      </c>
      <c r="D110">
        <v>242</v>
      </c>
      <c r="E110">
        <v>4549.2</v>
      </c>
    </row>
    <row r="111" spans="1:5" x14ac:dyDescent="0.25">
      <c r="A111" s="1">
        <v>45036</v>
      </c>
      <c r="B111">
        <v>1</v>
      </c>
      <c r="C111" t="s">
        <v>5</v>
      </c>
      <c r="D111">
        <v>205</v>
      </c>
      <c r="E111">
        <v>3604.85</v>
      </c>
    </row>
    <row r="112" spans="1:5" x14ac:dyDescent="0.25">
      <c r="A112" s="1">
        <v>45037</v>
      </c>
      <c r="B112">
        <v>1</v>
      </c>
      <c r="C112" t="s">
        <v>5</v>
      </c>
      <c r="D112">
        <v>226</v>
      </c>
      <c r="E112">
        <v>3994.69</v>
      </c>
    </row>
    <row r="113" spans="1:5" x14ac:dyDescent="0.25">
      <c r="A113" s="1">
        <v>45038</v>
      </c>
      <c r="B113">
        <v>1</v>
      </c>
      <c r="C113" t="s">
        <v>5</v>
      </c>
      <c r="D113">
        <v>282</v>
      </c>
      <c r="E113">
        <v>5523.88</v>
      </c>
    </row>
    <row r="114" spans="1:5" x14ac:dyDescent="0.25">
      <c r="A114" s="1">
        <v>45039</v>
      </c>
      <c r="B114">
        <v>1</v>
      </c>
      <c r="C114" t="s">
        <v>5</v>
      </c>
      <c r="D114">
        <v>266</v>
      </c>
      <c r="E114">
        <v>5122.08</v>
      </c>
    </row>
    <row r="115" spans="1:5" x14ac:dyDescent="0.25">
      <c r="A115" s="1">
        <v>45040</v>
      </c>
      <c r="B115">
        <v>1</v>
      </c>
      <c r="C115" t="s">
        <v>5</v>
      </c>
      <c r="D115">
        <v>222</v>
      </c>
      <c r="E115">
        <v>4341.54</v>
      </c>
    </row>
    <row r="116" spans="1:5" x14ac:dyDescent="0.25">
      <c r="A116" s="1">
        <v>45041</v>
      </c>
      <c r="B116">
        <v>1</v>
      </c>
      <c r="C116" t="s">
        <v>5</v>
      </c>
      <c r="D116">
        <v>229</v>
      </c>
      <c r="E116">
        <v>3969.74</v>
      </c>
    </row>
    <row r="117" spans="1:5" x14ac:dyDescent="0.25">
      <c r="A117" s="1">
        <v>45042</v>
      </c>
      <c r="B117">
        <v>1</v>
      </c>
      <c r="C117" t="s">
        <v>5</v>
      </c>
      <c r="D117">
        <v>236</v>
      </c>
      <c r="E117">
        <v>4481.8500000000004</v>
      </c>
    </row>
    <row r="118" spans="1:5" x14ac:dyDescent="0.25">
      <c r="A118" s="1">
        <v>45043</v>
      </c>
      <c r="B118">
        <v>1</v>
      </c>
      <c r="C118" t="s">
        <v>5</v>
      </c>
      <c r="D118">
        <v>229</v>
      </c>
      <c r="E118">
        <v>4397.26</v>
      </c>
    </row>
    <row r="119" spans="1:5" x14ac:dyDescent="0.25">
      <c r="A119" s="1">
        <v>45044</v>
      </c>
      <c r="B119">
        <v>1</v>
      </c>
      <c r="C119" t="s">
        <v>5</v>
      </c>
      <c r="D119">
        <v>215</v>
      </c>
      <c r="E119">
        <v>3830.95</v>
      </c>
    </row>
    <row r="120" spans="1:5" x14ac:dyDescent="0.25">
      <c r="A120" s="1">
        <v>45045</v>
      </c>
      <c r="B120">
        <v>1</v>
      </c>
      <c r="C120" t="s">
        <v>5</v>
      </c>
      <c r="D120">
        <v>281</v>
      </c>
      <c r="E120">
        <v>5754.29</v>
      </c>
    </row>
    <row r="121" spans="1:5" x14ac:dyDescent="0.25">
      <c r="A121" s="1">
        <v>45046</v>
      </c>
      <c r="B121">
        <v>1</v>
      </c>
      <c r="C121" t="s">
        <v>5</v>
      </c>
      <c r="D121">
        <v>264</v>
      </c>
      <c r="E121">
        <v>5010</v>
      </c>
    </row>
    <row r="122" spans="1:5" x14ac:dyDescent="0.25">
      <c r="A122" s="1">
        <v>45047</v>
      </c>
      <c r="B122">
        <v>1</v>
      </c>
      <c r="C122" t="s">
        <v>5</v>
      </c>
      <c r="D122">
        <v>202</v>
      </c>
      <c r="E122">
        <v>3756.46</v>
      </c>
    </row>
    <row r="123" spans="1:5" x14ac:dyDescent="0.25">
      <c r="A123" s="1">
        <v>45048</v>
      </c>
      <c r="B123">
        <v>1</v>
      </c>
      <c r="C123" t="s">
        <v>5</v>
      </c>
      <c r="D123">
        <v>201</v>
      </c>
      <c r="E123">
        <v>3962.55</v>
      </c>
    </row>
    <row r="124" spans="1:5" x14ac:dyDescent="0.25">
      <c r="A124" s="1">
        <v>45049</v>
      </c>
      <c r="B124">
        <v>1</v>
      </c>
      <c r="C124" t="s">
        <v>5</v>
      </c>
      <c r="D124">
        <v>179</v>
      </c>
      <c r="E124">
        <v>3224.19</v>
      </c>
    </row>
    <row r="125" spans="1:5" x14ac:dyDescent="0.25">
      <c r="A125" s="1">
        <v>45050</v>
      </c>
      <c r="B125">
        <v>1</v>
      </c>
      <c r="C125" t="s">
        <v>5</v>
      </c>
      <c r="D125">
        <v>207</v>
      </c>
      <c r="E125">
        <v>3682.34</v>
      </c>
    </row>
    <row r="126" spans="1:5" x14ac:dyDescent="0.25">
      <c r="A126" s="1">
        <v>45051</v>
      </c>
      <c r="B126">
        <v>1</v>
      </c>
      <c r="C126" t="s">
        <v>5</v>
      </c>
      <c r="D126">
        <v>228</v>
      </c>
      <c r="E126">
        <v>4167.37</v>
      </c>
    </row>
    <row r="127" spans="1:5" x14ac:dyDescent="0.25">
      <c r="A127" s="1">
        <v>45052</v>
      </c>
      <c r="B127">
        <v>1</v>
      </c>
      <c r="C127" t="s">
        <v>5</v>
      </c>
      <c r="D127">
        <v>264</v>
      </c>
      <c r="E127">
        <v>4920</v>
      </c>
    </row>
    <row r="128" spans="1:5" x14ac:dyDescent="0.25">
      <c r="A128" s="1">
        <v>45053</v>
      </c>
      <c r="B128">
        <v>1</v>
      </c>
      <c r="C128" t="s">
        <v>5</v>
      </c>
      <c r="D128">
        <v>250</v>
      </c>
      <c r="E128">
        <v>4326.7</v>
      </c>
    </row>
    <row r="129" spans="1:5" x14ac:dyDescent="0.25">
      <c r="A129" s="1">
        <v>45054</v>
      </c>
      <c r="B129">
        <v>1</v>
      </c>
      <c r="C129" t="s">
        <v>5</v>
      </c>
      <c r="D129">
        <v>208</v>
      </c>
      <c r="E129">
        <v>3456.64</v>
      </c>
    </row>
    <row r="130" spans="1:5" x14ac:dyDescent="0.25">
      <c r="A130" s="1">
        <v>45055</v>
      </c>
      <c r="B130">
        <v>1</v>
      </c>
      <c r="C130" t="s">
        <v>5</v>
      </c>
      <c r="D130">
        <v>187</v>
      </c>
      <c r="E130">
        <v>3440.45</v>
      </c>
    </row>
    <row r="131" spans="1:5" x14ac:dyDescent="0.25">
      <c r="A131" s="1">
        <v>45056</v>
      </c>
      <c r="B131">
        <v>1</v>
      </c>
      <c r="C131" t="s">
        <v>5</v>
      </c>
      <c r="D131">
        <v>211</v>
      </c>
      <c r="E131">
        <v>3867.56</v>
      </c>
    </row>
    <row r="132" spans="1:5" x14ac:dyDescent="0.25">
      <c r="A132" s="1">
        <v>45057</v>
      </c>
      <c r="B132">
        <v>1</v>
      </c>
      <c r="C132" t="s">
        <v>5</v>
      </c>
      <c r="D132">
        <v>222</v>
      </c>
      <c r="E132">
        <v>4227.57</v>
      </c>
    </row>
    <row r="133" spans="1:5" x14ac:dyDescent="0.25">
      <c r="A133" s="1">
        <v>45058</v>
      </c>
      <c r="B133">
        <v>1</v>
      </c>
      <c r="C133" t="s">
        <v>5</v>
      </c>
      <c r="D133">
        <v>201</v>
      </c>
      <c r="E133">
        <v>3597.83</v>
      </c>
    </row>
    <row r="134" spans="1:5" x14ac:dyDescent="0.25">
      <c r="A134" s="1">
        <v>45059</v>
      </c>
      <c r="B134">
        <v>1</v>
      </c>
      <c r="C134" t="s">
        <v>5</v>
      </c>
      <c r="D134">
        <v>250</v>
      </c>
      <c r="E134">
        <v>4934.41</v>
      </c>
    </row>
    <row r="135" spans="1:5" x14ac:dyDescent="0.25">
      <c r="A135" s="1">
        <v>45060</v>
      </c>
      <c r="B135">
        <v>1</v>
      </c>
      <c r="C135" t="s">
        <v>5</v>
      </c>
      <c r="D135">
        <v>312</v>
      </c>
      <c r="E135">
        <v>5888.62</v>
      </c>
    </row>
    <row r="136" spans="1:5" x14ac:dyDescent="0.25">
      <c r="A136" s="1">
        <v>45061</v>
      </c>
      <c r="B136">
        <v>1</v>
      </c>
      <c r="C136" t="s">
        <v>5</v>
      </c>
      <c r="D136">
        <v>249</v>
      </c>
      <c r="E136">
        <v>4798.09</v>
      </c>
    </row>
    <row r="137" spans="1:5" x14ac:dyDescent="0.25">
      <c r="A137" s="1">
        <v>45062</v>
      </c>
      <c r="B137">
        <v>1</v>
      </c>
      <c r="C137" t="s">
        <v>5</v>
      </c>
      <c r="D137">
        <v>260</v>
      </c>
      <c r="E137">
        <v>4915.3100000000004</v>
      </c>
    </row>
    <row r="138" spans="1:5" x14ac:dyDescent="0.25">
      <c r="A138" s="1">
        <v>45063</v>
      </c>
      <c r="B138">
        <v>1</v>
      </c>
      <c r="C138" t="s">
        <v>5</v>
      </c>
      <c r="D138">
        <v>223</v>
      </c>
      <c r="E138">
        <v>4262.0600000000004</v>
      </c>
    </row>
    <row r="139" spans="1:5" x14ac:dyDescent="0.25">
      <c r="A139" s="1">
        <v>45064</v>
      </c>
      <c r="B139">
        <v>1</v>
      </c>
      <c r="C139" t="s">
        <v>5</v>
      </c>
      <c r="D139">
        <v>206</v>
      </c>
      <c r="E139">
        <v>3733.73</v>
      </c>
    </row>
    <row r="140" spans="1:5" x14ac:dyDescent="0.25">
      <c r="A140" s="1">
        <v>45065</v>
      </c>
      <c r="B140">
        <v>1</v>
      </c>
      <c r="C140" t="s">
        <v>5</v>
      </c>
      <c r="D140">
        <v>268</v>
      </c>
      <c r="E140">
        <v>4612.22</v>
      </c>
    </row>
    <row r="141" spans="1:5" x14ac:dyDescent="0.25">
      <c r="A141" s="1">
        <v>45066</v>
      </c>
      <c r="B141">
        <v>1</v>
      </c>
      <c r="C141" t="s">
        <v>5</v>
      </c>
      <c r="D141">
        <v>272</v>
      </c>
      <c r="E141">
        <v>5142.0200000000004</v>
      </c>
    </row>
    <row r="142" spans="1:5" x14ac:dyDescent="0.25">
      <c r="A142" s="1">
        <v>45067</v>
      </c>
      <c r="B142">
        <v>1</v>
      </c>
      <c r="C142" t="s">
        <v>5</v>
      </c>
      <c r="D142">
        <v>235</v>
      </c>
      <c r="E142">
        <v>4476.25</v>
      </c>
    </row>
    <row r="143" spans="1:5" x14ac:dyDescent="0.25">
      <c r="A143" s="1">
        <v>45068</v>
      </c>
      <c r="B143">
        <v>1</v>
      </c>
      <c r="C143" t="s">
        <v>5</v>
      </c>
      <c r="D143">
        <v>235</v>
      </c>
      <c r="E143">
        <v>4390.9399999999996</v>
      </c>
    </row>
    <row r="144" spans="1:5" x14ac:dyDescent="0.25">
      <c r="A144" s="1">
        <v>45069</v>
      </c>
      <c r="B144">
        <v>1</v>
      </c>
      <c r="C144" t="s">
        <v>5</v>
      </c>
      <c r="D144">
        <v>270</v>
      </c>
      <c r="E144">
        <v>4804.33</v>
      </c>
    </row>
    <row r="145" spans="1:5" x14ac:dyDescent="0.25">
      <c r="A145" s="1">
        <v>45070</v>
      </c>
      <c r="B145">
        <v>1</v>
      </c>
      <c r="C145" t="s">
        <v>5</v>
      </c>
      <c r="D145">
        <v>272</v>
      </c>
      <c r="E145">
        <v>4997.16</v>
      </c>
    </row>
    <row r="146" spans="1:5" x14ac:dyDescent="0.25">
      <c r="A146" s="1">
        <v>45071</v>
      </c>
      <c r="B146">
        <v>1</v>
      </c>
      <c r="C146" t="s">
        <v>5</v>
      </c>
      <c r="D146">
        <v>261</v>
      </c>
      <c r="E146">
        <v>5037.0200000000004</v>
      </c>
    </row>
    <row r="147" spans="1:5" x14ac:dyDescent="0.25">
      <c r="A147" s="1">
        <v>45072</v>
      </c>
      <c r="B147">
        <v>1</v>
      </c>
      <c r="C147" t="s">
        <v>5</v>
      </c>
      <c r="D147">
        <v>204</v>
      </c>
      <c r="E147">
        <v>3397.83</v>
      </c>
    </row>
    <row r="148" spans="1:5" x14ac:dyDescent="0.25">
      <c r="A148" s="1">
        <v>45073</v>
      </c>
      <c r="B148">
        <v>1</v>
      </c>
      <c r="C148" t="s">
        <v>5</v>
      </c>
      <c r="D148">
        <v>272</v>
      </c>
      <c r="E148">
        <v>4907.07</v>
      </c>
    </row>
    <row r="149" spans="1:5" x14ac:dyDescent="0.25">
      <c r="A149" s="1">
        <v>45074</v>
      </c>
      <c r="B149">
        <v>1</v>
      </c>
      <c r="C149" t="s">
        <v>5</v>
      </c>
      <c r="D149">
        <v>264</v>
      </c>
      <c r="E149">
        <v>4195.87</v>
      </c>
    </row>
    <row r="150" spans="1:5" x14ac:dyDescent="0.25">
      <c r="A150" s="1">
        <v>45075</v>
      </c>
      <c r="B150">
        <v>1</v>
      </c>
      <c r="C150" t="s">
        <v>5</v>
      </c>
      <c r="D150">
        <v>211</v>
      </c>
      <c r="E150">
        <v>4080.73</v>
      </c>
    </row>
    <row r="151" spans="1:5" x14ac:dyDescent="0.25">
      <c r="A151" s="1">
        <v>45076</v>
      </c>
      <c r="B151">
        <v>1</v>
      </c>
      <c r="C151" t="s">
        <v>5</v>
      </c>
      <c r="D151">
        <v>272</v>
      </c>
      <c r="E151">
        <v>5220.2299999999996</v>
      </c>
    </row>
    <row r="152" spans="1:5" x14ac:dyDescent="0.25">
      <c r="A152" s="1">
        <v>45077</v>
      </c>
      <c r="B152">
        <v>1</v>
      </c>
      <c r="C152" t="s">
        <v>5</v>
      </c>
      <c r="D152">
        <v>237</v>
      </c>
      <c r="E152">
        <v>4312.78</v>
      </c>
    </row>
    <row r="153" spans="1:5" x14ac:dyDescent="0.25">
      <c r="A153" s="1">
        <v>45078</v>
      </c>
      <c r="B153">
        <v>1</v>
      </c>
      <c r="C153" t="s">
        <v>5</v>
      </c>
      <c r="D153">
        <v>274</v>
      </c>
      <c r="E153">
        <v>4732.76</v>
      </c>
    </row>
    <row r="154" spans="1:5" x14ac:dyDescent="0.25">
      <c r="A154" s="1">
        <v>45079</v>
      </c>
      <c r="B154">
        <v>1</v>
      </c>
      <c r="C154" t="s">
        <v>5</v>
      </c>
      <c r="D154">
        <v>267</v>
      </c>
      <c r="E154">
        <v>5183.1099999999997</v>
      </c>
    </row>
    <row r="155" spans="1:5" x14ac:dyDescent="0.25">
      <c r="A155" s="1">
        <v>45080</v>
      </c>
      <c r="B155">
        <v>1</v>
      </c>
      <c r="C155" t="s">
        <v>5</v>
      </c>
      <c r="D155">
        <v>317</v>
      </c>
      <c r="E155">
        <v>5482.32</v>
      </c>
    </row>
    <row r="156" spans="1:5" x14ac:dyDescent="0.25">
      <c r="A156" s="1">
        <v>45081</v>
      </c>
      <c r="B156">
        <v>1</v>
      </c>
      <c r="C156" t="s">
        <v>5</v>
      </c>
      <c r="D156">
        <v>305</v>
      </c>
      <c r="E156">
        <v>6052.58</v>
      </c>
    </row>
    <row r="157" spans="1:5" x14ac:dyDescent="0.25">
      <c r="A157" s="1">
        <v>45082</v>
      </c>
      <c r="B157">
        <v>1</v>
      </c>
      <c r="C157" t="s">
        <v>5</v>
      </c>
      <c r="D157">
        <v>277</v>
      </c>
      <c r="E157">
        <v>5057.1000000000004</v>
      </c>
    </row>
    <row r="158" spans="1:5" x14ac:dyDescent="0.25">
      <c r="A158" s="1">
        <v>45083</v>
      </c>
      <c r="B158">
        <v>1</v>
      </c>
      <c r="C158" t="s">
        <v>5</v>
      </c>
      <c r="D158">
        <v>283</v>
      </c>
      <c r="E158">
        <v>5762.19</v>
      </c>
    </row>
    <row r="159" spans="1:5" x14ac:dyDescent="0.25">
      <c r="A159" s="1">
        <v>45084</v>
      </c>
      <c r="B159">
        <v>1</v>
      </c>
      <c r="C159" t="s">
        <v>5</v>
      </c>
      <c r="D159">
        <v>260</v>
      </c>
      <c r="E159">
        <v>4847.43</v>
      </c>
    </row>
    <row r="160" spans="1:5" x14ac:dyDescent="0.25">
      <c r="A160" s="1">
        <v>45085</v>
      </c>
      <c r="B160">
        <v>1</v>
      </c>
      <c r="C160" t="s">
        <v>5</v>
      </c>
      <c r="D160">
        <v>257</v>
      </c>
      <c r="E160">
        <v>4846.99</v>
      </c>
    </row>
    <row r="161" spans="1:5" x14ac:dyDescent="0.25">
      <c r="A161" s="1">
        <v>45086</v>
      </c>
      <c r="B161">
        <v>1</v>
      </c>
      <c r="C161" t="s">
        <v>5</v>
      </c>
      <c r="D161">
        <v>241</v>
      </c>
      <c r="E161">
        <v>4702.72</v>
      </c>
    </row>
    <row r="162" spans="1:5" x14ac:dyDescent="0.25">
      <c r="A162" s="1">
        <v>45087</v>
      </c>
      <c r="B162">
        <v>1</v>
      </c>
      <c r="C162" t="s">
        <v>5</v>
      </c>
      <c r="D162">
        <v>288</v>
      </c>
      <c r="E162">
        <v>5400.66</v>
      </c>
    </row>
    <row r="163" spans="1:5" x14ac:dyDescent="0.25">
      <c r="A163" s="1">
        <v>45088</v>
      </c>
      <c r="B163">
        <v>1</v>
      </c>
      <c r="C163" t="s">
        <v>5</v>
      </c>
      <c r="D163">
        <v>319</v>
      </c>
      <c r="E163">
        <v>5711.44</v>
      </c>
    </row>
    <row r="164" spans="1:5" x14ac:dyDescent="0.25">
      <c r="A164" s="1">
        <v>45089</v>
      </c>
      <c r="B164">
        <v>1</v>
      </c>
      <c r="C164" t="s">
        <v>5</v>
      </c>
      <c r="D164">
        <v>246</v>
      </c>
      <c r="E164">
        <v>4214.26</v>
      </c>
    </row>
    <row r="165" spans="1:5" x14ac:dyDescent="0.25">
      <c r="A165" s="1">
        <v>45090</v>
      </c>
      <c r="B165">
        <v>1</v>
      </c>
      <c r="C165" t="s">
        <v>5</v>
      </c>
      <c r="D165">
        <v>266</v>
      </c>
      <c r="E165">
        <v>4521.42</v>
      </c>
    </row>
    <row r="166" spans="1:5" x14ac:dyDescent="0.25">
      <c r="A166" s="1">
        <v>45091</v>
      </c>
      <c r="B166">
        <v>1</v>
      </c>
      <c r="C166" t="s">
        <v>5</v>
      </c>
      <c r="D166">
        <v>248</v>
      </c>
      <c r="E166">
        <v>4666.33</v>
      </c>
    </row>
    <row r="167" spans="1:5" x14ac:dyDescent="0.25">
      <c r="A167" s="1">
        <v>45092</v>
      </c>
      <c r="B167">
        <v>1</v>
      </c>
      <c r="C167" t="s">
        <v>5</v>
      </c>
      <c r="D167">
        <v>297</v>
      </c>
      <c r="E167">
        <v>5761.75</v>
      </c>
    </row>
    <row r="168" spans="1:5" x14ac:dyDescent="0.25">
      <c r="A168" s="1">
        <v>45093</v>
      </c>
      <c r="B168">
        <v>1</v>
      </c>
      <c r="C168" t="s">
        <v>5</v>
      </c>
      <c r="D168">
        <v>309</v>
      </c>
      <c r="E168">
        <v>5600.7</v>
      </c>
    </row>
    <row r="169" spans="1:5" x14ac:dyDescent="0.25">
      <c r="A169" s="1">
        <v>45094</v>
      </c>
      <c r="B169">
        <v>1</v>
      </c>
      <c r="C169" t="s">
        <v>5</v>
      </c>
      <c r="D169">
        <v>367</v>
      </c>
      <c r="E169">
        <v>6833.46</v>
      </c>
    </row>
    <row r="170" spans="1:5" x14ac:dyDescent="0.25">
      <c r="A170" s="1">
        <v>45095</v>
      </c>
      <c r="B170">
        <v>1</v>
      </c>
      <c r="C170" t="s">
        <v>5</v>
      </c>
      <c r="D170">
        <v>319</v>
      </c>
      <c r="E170">
        <v>5950.27</v>
      </c>
    </row>
    <row r="171" spans="1:5" x14ac:dyDescent="0.25">
      <c r="A171" s="1">
        <v>45096</v>
      </c>
      <c r="B171">
        <v>1</v>
      </c>
      <c r="C171" t="s">
        <v>5</v>
      </c>
      <c r="D171">
        <v>259</v>
      </c>
      <c r="E171">
        <v>5006.84</v>
      </c>
    </row>
    <row r="172" spans="1:5" x14ac:dyDescent="0.25">
      <c r="A172" s="1">
        <v>45097</v>
      </c>
      <c r="B172">
        <v>1</v>
      </c>
      <c r="C172" t="s">
        <v>5</v>
      </c>
      <c r="D172">
        <v>238</v>
      </c>
      <c r="E172">
        <v>4653.55</v>
      </c>
    </row>
    <row r="173" spans="1:5" x14ac:dyDescent="0.25">
      <c r="A173" s="1">
        <v>45098</v>
      </c>
      <c r="B173">
        <v>1</v>
      </c>
      <c r="C173" t="s">
        <v>5</v>
      </c>
      <c r="D173">
        <v>296</v>
      </c>
      <c r="E173">
        <v>5945.58</v>
      </c>
    </row>
    <row r="174" spans="1:5" x14ac:dyDescent="0.25">
      <c r="A174" s="1">
        <v>45099</v>
      </c>
      <c r="B174">
        <v>1</v>
      </c>
      <c r="C174" t="s">
        <v>5</v>
      </c>
      <c r="D174">
        <v>294</v>
      </c>
      <c r="E174">
        <v>5523.44</v>
      </c>
    </row>
    <row r="175" spans="1:5" x14ac:dyDescent="0.25">
      <c r="A175" s="1">
        <v>45100</v>
      </c>
      <c r="B175">
        <v>1</v>
      </c>
      <c r="C175" t="s">
        <v>5</v>
      </c>
      <c r="D175">
        <v>279</v>
      </c>
      <c r="E175">
        <v>5200.95</v>
      </c>
    </row>
    <row r="176" spans="1:5" x14ac:dyDescent="0.25">
      <c r="A176" s="1">
        <v>45101</v>
      </c>
      <c r="B176">
        <v>1</v>
      </c>
      <c r="C176" t="s">
        <v>5</v>
      </c>
      <c r="D176">
        <v>339</v>
      </c>
      <c r="E176">
        <v>6397.86</v>
      </c>
    </row>
    <row r="177" spans="1:5" x14ac:dyDescent="0.25">
      <c r="A177" s="1">
        <v>45102</v>
      </c>
      <c r="B177">
        <v>1</v>
      </c>
      <c r="C177" t="s">
        <v>5</v>
      </c>
      <c r="D177">
        <v>341</v>
      </c>
      <c r="E177">
        <v>6696.04</v>
      </c>
    </row>
    <row r="178" spans="1:5" x14ac:dyDescent="0.25">
      <c r="A178" s="1">
        <v>45103</v>
      </c>
      <c r="B178">
        <v>1</v>
      </c>
      <c r="C178" t="s">
        <v>5</v>
      </c>
      <c r="D178">
        <v>352</v>
      </c>
      <c r="E178">
        <v>6698.74</v>
      </c>
    </row>
    <row r="179" spans="1:5" x14ac:dyDescent="0.25">
      <c r="A179" s="1">
        <v>45104</v>
      </c>
      <c r="B179">
        <v>1</v>
      </c>
      <c r="C179" t="s">
        <v>5</v>
      </c>
      <c r="D179">
        <v>257</v>
      </c>
      <c r="E179">
        <v>5045.32</v>
      </c>
    </row>
    <row r="180" spans="1:5" x14ac:dyDescent="0.25">
      <c r="A180" s="1">
        <v>45105</v>
      </c>
      <c r="B180">
        <v>1</v>
      </c>
      <c r="C180" t="s">
        <v>5</v>
      </c>
      <c r="D180">
        <v>302</v>
      </c>
      <c r="E180">
        <v>5901.02</v>
      </c>
    </row>
    <row r="181" spans="1:5" x14ac:dyDescent="0.25">
      <c r="A181" s="1">
        <v>45106</v>
      </c>
      <c r="B181">
        <v>1</v>
      </c>
      <c r="C181" t="s">
        <v>5</v>
      </c>
      <c r="D181">
        <v>296</v>
      </c>
      <c r="E181">
        <v>5546.92</v>
      </c>
    </row>
    <row r="182" spans="1:5" x14ac:dyDescent="0.25">
      <c r="A182" s="1">
        <v>45107</v>
      </c>
      <c r="B182">
        <v>1</v>
      </c>
      <c r="C182" t="s">
        <v>5</v>
      </c>
      <c r="D182">
        <v>269</v>
      </c>
      <c r="E182">
        <v>4935.63</v>
      </c>
    </row>
    <row r="183" spans="1:5" x14ac:dyDescent="0.25">
      <c r="A183" s="1">
        <v>45108</v>
      </c>
      <c r="B183">
        <v>1</v>
      </c>
      <c r="C183" t="s">
        <v>5</v>
      </c>
      <c r="D183">
        <v>358</v>
      </c>
      <c r="E183">
        <v>6942.89</v>
      </c>
    </row>
    <row r="184" spans="1:5" x14ac:dyDescent="0.25">
      <c r="A184" s="1">
        <v>45109</v>
      </c>
      <c r="B184">
        <v>1</v>
      </c>
      <c r="C184" t="s">
        <v>5</v>
      </c>
      <c r="D184">
        <v>317</v>
      </c>
      <c r="E184">
        <v>5876.9</v>
      </c>
    </row>
    <row r="185" spans="1:5" x14ac:dyDescent="0.25">
      <c r="A185" s="1">
        <v>45110</v>
      </c>
      <c r="B185">
        <v>1</v>
      </c>
      <c r="C185" t="s">
        <v>5</v>
      </c>
      <c r="D185">
        <v>315</v>
      </c>
      <c r="E185">
        <v>6034.82</v>
      </c>
    </row>
    <row r="186" spans="1:5" x14ac:dyDescent="0.25">
      <c r="A186" s="1">
        <v>45111</v>
      </c>
      <c r="B186">
        <v>1</v>
      </c>
      <c r="C186" t="s">
        <v>5</v>
      </c>
      <c r="D186">
        <v>302</v>
      </c>
      <c r="E186">
        <v>5527.81</v>
      </c>
    </row>
    <row r="187" spans="1:5" x14ac:dyDescent="0.25">
      <c r="A187" s="1">
        <v>45112</v>
      </c>
      <c r="B187">
        <v>1</v>
      </c>
      <c r="C187" t="s">
        <v>5</v>
      </c>
      <c r="D187">
        <v>281</v>
      </c>
      <c r="E187">
        <v>5080.8599999999997</v>
      </c>
    </row>
    <row r="188" spans="1:5" x14ac:dyDescent="0.25">
      <c r="A188" s="1">
        <v>45113</v>
      </c>
      <c r="B188">
        <v>1</v>
      </c>
      <c r="C188" t="s">
        <v>5</v>
      </c>
      <c r="D188">
        <v>241</v>
      </c>
      <c r="E188">
        <v>4427.72</v>
      </c>
    </row>
    <row r="189" spans="1:5" x14ac:dyDescent="0.25">
      <c r="A189" s="1">
        <v>45114</v>
      </c>
      <c r="B189">
        <v>1</v>
      </c>
      <c r="C189" t="s">
        <v>5</v>
      </c>
      <c r="D189">
        <v>272</v>
      </c>
      <c r="E189">
        <v>5360.12</v>
      </c>
    </row>
    <row r="190" spans="1:5" x14ac:dyDescent="0.25">
      <c r="A190" s="1">
        <v>45115</v>
      </c>
      <c r="B190">
        <v>1</v>
      </c>
      <c r="C190" t="s">
        <v>5</v>
      </c>
      <c r="D190">
        <v>369</v>
      </c>
      <c r="E190">
        <v>7349.77</v>
      </c>
    </row>
    <row r="191" spans="1:5" x14ac:dyDescent="0.25">
      <c r="A191" s="1">
        <v>45116</v>
      </c>
      <c r="B191">
        <v>1</v>
      </c>
      <c r="C191" t="s">
        <v>5</v>
      </c>
      <c r="D191">
        <v>308</v>
      </c>
      <c r="E191">
        <v>4961.76</v>
      </c>
    </row>
    <row r="192" spans="1:5" x14ac:dyDescent="0.25">
      <c r="A192" s="1">
        <v>45117</v>
      </c>
      <c r="B192">
        <v>1</v>
      </c>
      <c r="C192" t="s">
        <v>5</v>
      </c>
      <c r="D192">
        <v>325</v>
      </c>
      <c r="E192">
        <v>5847.55</v>
      </c>
    </row>
    <row r="193" spans="1:5" x14ac:dyDescent="0.25">
      <c r="A193" s="1">
        <v>45118</v>
      </c>
      <c r="B193">
        <v>1</v>
      </c>
      <c r="C193" t="s">
        <v>5</v>
      </c>
      <c r="D193">
        <v>309</v>
      </c>
      <c r="E193">
        <v>6126.02</v>
      </c>
    </row>
    <row r="194" spans="1:5" x14ac:dyDescent="0.25">
      <c r="A194" s="1">
        <v>45119</v>
      </c>
      <c r="B194">
        <v>1</v>
      </c>
      <c r="C194" t="s">
        <v>5</v>
      </c>
      <c r="D194">
        <v>343</v>
      </c>
      <c r="E194">
        <v>6295.88</v>
      </c>
    </row>
    <row r="195" spans="1:5" x14ac:dyDescent="0.25">
      <c r="A195" s="1">
        <v>45120</v>
      </c>
      <c r="B195">
        <v>1</v>
      </c>
      <c r="C195" t="s">
        <v>5</v>
      </c>
      <c r="D195">
        <v>351</v>
      </c>
      <c r="E195">
        <v>6422.2</v>
      </c>
    </row>
    <row r="196" spans="1:5" x14ac:dyDescent="0.25">
      <c r="A196" s="1">
        <v>45121</v>
      </c>
      <c r="B196">
        <v>1</v>
      </c>
      <c r="C196" t="s">
        <v>5</v>
      </c>
      <c r="D196">
        <v>334</v>
      </c>
      <c r="E196">
        <v>5730.79</v>
      </c>
    </row>
    <row r="197" spans="1:5" x14ac:dyDescent="0.25">
      <c r="A197" s="1">
        <v>45122</v>
      </c>
      <c r="B197">
        <v>1</v>
      </c>
      <c r="C197" t="s">
        <v>5</v>
      </c>
      <c r="D197">
        <v>332</v>
      </c>
      <c r="E197">
        <v>6439.14</v>
      </c>
    </row>
    <row r="198" spans="1:5" x14ac:dyDescent="0.25">
      <c r="A198" s="1">
        <v>45123</v>
      </c>
      <c r="B198">
        <v>1</v>
      </c>
      <c r="C198" t="s">
        <v>5</v>
      </c>
      <c r="D198">
        <v>312</v>
      </c>
      <c r="E198">
        <v>5789.85</v>
      </c>
    </row>
    <row r="199" spans="1:5" x14ac:dyDescent="0.25">
      <c r="A199" s="1">
        <v>45124</v>
      </c>
      <c r="B199">
        <v>1</v>
      </c>
      <c r="C199" t="s">
        <v>5</v>
      </c>
      <c r="D199">
        <v>323</v>
      </c>
      <c r="E199">
        <v>6028.08</v>
      </c>
    </row>
    <row r="200" spans="1:5" x14ac:dyDescent="0.25">
      <c r="A200" s="1">
        <v>45125</v>
      </c>
      <c r="B200">
        <v>1</v>
      </c>
      <c r="C200" t="s">
        <v>5</v>
      </c>
      <c r="D200">
        <v>322</v>
      </c>
      <c r="E200">
        <v>6353.7</v>
      </c>
    </row>
    <row r="201" spans="1:5" x14ac:dyDescent="0.25">
      <c r="A201" s="1">
        <v>45126</v>
      </c>
      <c r="B201">
        <v>1</v>
      </c>
      <c r="C201" t="s">
        <v>5</v>
      </c>
      <c r="D201">
        <v>321</v>
      </c>
      <c r="E201">
        <v>5996.89</v>
      </c>
    </row>
    <row r="202" spans="1:5" x14ac:dyDescent="0.25">
      <c r="A202" s="1">
        <v>45127</v>
      </c>
      <c r="B202">
        <v>1</v>
      </c>
      <c r="C202" t="s">
        <v>5</v>
      </c>
      <c r="D202">
        <v>315</v>
      </c>
      <c r="E202">
        <v>6058.46</v>
      </c>
    </row>
    <row r="203" spans="1:5" x14ac:dyDescent="0.25">
      <c r="A203" s="1">
        <v>45128</v>
      </c>
      <c r="B203">
        <v>1</v>
      </c>
      <c r="C203" t="s">
        <v>5</v>
      </c>
      <c r="D203">
        <v>323</v>
      </c>
      <c r="E203">
        <v>5685.53</v>
      </c>
    </row>
    <row r="204" spans="1:5" x14ac:dyDescent="0.25">
      <c r="A204" s="1">
        <v>45129</v>
      </c>
      <c r="B204">
        <v>1</v>
      </c>
      <c r="C204" t="s">
        <v>5</v>
      </c>
      <c r="D204">
        <v>366</v>
      </c>
      <c r="E204">
        <v>7136.54</v>
      </c>
    </row>
    <row r="205" spans="1:5" x14ac:dyDescent="0.25">
      <c r="A205" s="1">
        <v>45130</v>
      </c>
      <c r="B205">
        <v>1</v>
      </c>
      <c r="C205" t="s">
        <v>5</v>
      </c>
      <c r="D205">
        <v>375</v>
      </c>
      <c r="E205">
        <v>6685.46</v>
      </c>
    </row>
    <row r="206" spans="1:5" x14ac:dyDescent="0.25">
      <c r="A206" s="1">
        <v>45131</v>
      </c>
      <c r="B206">
        <v>1</v>
      </c>
      <c r="C206" t="s">
        <v>5</v>
      </c>
      <c r="D206">
        <v>330</v>
      </c>
      <c r="E206">
        <v>6018.72</v>
      </c>
    </row>
    <row r="207" spans="1:5" x14ac:dyDescent="0.25">
      <c r="A207" s="1">
        <v>45132</v>
      </c>
      <c r="B207">
        <v>1</v>
      </c>
      <c r="C207" t="s">
        <v>5</v>
      </c>
      <c r="D207">
        <v>292</v>
      </c>
      <c r="E207">
        <v>5456.83</v>
      </c>
    </row>
    <row r="208" spans="1:5" x14ac:dyDescent="0.25">
      <c r="A208" s="1">
        <v>45133</v>
      </c>
      <c r="B208">
        <v>1</v>
      </c>
      <c r="C208" t="s">
        <v>5</v>
      </c>
      <c r="D208">
        <v>355</v>
      </c>
      <c r="E208">
        <v>6810.6</v>
      </c>
    </row>
    <row r="209" spans="1:5" x14ac:dyDescent="0.25">
      <c r="A209" s="1">
        <v>45134</v>
      </c>
      <c r="B209">
        <v>1</v>
      </c>
      <c r="C209" t="s">
        <v>5</v>
      </c>
      <c r="D209">
        <v>329</v>
      </c>
      <c r="E209">
        <v>5967.78</v>
      </c>
    </row>
    <row r="210" spans="1:5" x14ac:dyDescent="0.25">
      <c r="A210" s="1">
        <v>45135</v>
      </c>
      <c r="B210">
        <v>1</v>
      </c>
      <c r="C210" t="s">
        <v>5</v>
      </c>
      <c r="D210">
        <v>333</v>
      </c>
      <c r="E210">
        <v>5359.86</v>
      </c>
    </row>
    <row r="211" spans="1:5" x14ac:dyDescent="0.25">
      <c r="A211" s="1">
        <v>45136</v>
      </c>
      <c r="B211">
        <v>1</v>
      </c>
      <c r="C211" t="s">
        <v>5</v>
      </c>
      <c r="D211">
        <v>342</v>
      </c>
      <c r="E211">
        <v>6453.99</v>
      </c>
    </row>
    <row r="212" spans="1:5" x14ac:dyDescent="0.25">
      <c r="A212" s="1">
        <v>45137</v>
      </c>
      <c r="B212">
        <v>1</v>
      </c>
      <c r="C212" t="s">
        <v>5</v>
      </c>
      <c r="D212">
        <v>365</v>
      </c>
      <c r="E212">
        <v>6804.66</v>
      </c>
    </row>
    <row r="213" spans="1:5" x14ac:dyDescent="0.25">
      <c r="A213" s="1">
        <v>45138</v>
      </c>
      <c r="B213">
        <v>1</v>
      </c>
      <c r="C213" t="s">
        <v>5</v>
      </c>
      <c r="D213">
        <v>337</v>
      </c>
      <c r="E213">
        <v>5606.61</v>
      </c>
    </row>
    <row r="214" spans="1:5" x14ac:dyDescent="0.25">
      <c r="A214" s="1">
        <v>45139</v>
      </c>
      <c r="B214">
        <v>1</v>
      </c>
      <c r="C214" t="s">
        <v>5</v>
      </c>
      <c r="D214">
        <v>342</v>
      </c>
      <c r="E214">
        <v>5674.44</v>
      </c>
    </row>
    <row r="215" spans="1:5" x14ac:dyDescent="0.25">
      <c r="A215" s="1">
        <v>45140</v>
      </c>
      <c r="B215">
        <v>1</v>
      </c>
      <c r="C215" t="s">
        <v>5</v>
      </c>
      <c r="D215">
        <v>339</v>
      </c>
      <c r="E215">
        <v>5947.74</v>
      </c>
    </row>
    <row r="216" spans="1:5" x14ac:dyDescent="0.25">
      <c r="A216" s="1">
        <v>45141</v>
      </c>
      <c r="B216">
        <v>1</v>
      </c>
      <c r="C216" t="s">
        <v>5</v>
      </c>
      <c r="D216">
        <v>284</v>
      </c>
      <c r="E216">
        <v>5407.68</v>
      </c>
    </row>
    <row r="217" spans="1:5" x14ac:dyDescent="0.25">
      <c r="A217" s="1">
        <v>45142</v>
      </c>
      <c r="B217">
        <v>1</v>
      </c>
      <c r="C217" t="s">
        <v>5</v>
      </c>
      <c r="D217">
        <v>328</v>
      </c>
      <c r="E217">
        <v>6321.29</v>
      </c>
    </row>
    <row r="218" spans="1:5" x14ac:dyDescent="0.25">
      <c r="A218" s="1">
        <v>45143</v>
      </c>
      <c r="B218">
        <v>1</v>
      </c>
      <c r="C218" t="s">
        <v>5</v>
      </c>
      <c r="D218">
        <v>388</v>
      </c>
      <c r="E218">
        <v>6752.63</v>
      </c>
    </row>
    <row r="219" spans="1:5" x14ac:dyDescent="0.25">
      <c r="A219" s="1">
        <v>45144</v>
      </c>
      <c r="B219">
        <v>1</v>
      </c>
      <c r="C219" t="s">
        <v>5</v>
      </c>
      <c r="D219">
        <v>355</v>
      </c>
      <c r="E219">
        <v>7382.67</v>
      </c>
    </row>
    <row r="220" spans="1:5" x14ac:dyDescent="0.25">
      <c r="A220" s="1">
        <v>45145</v>
      </c>
      <c r="B220">
        <v>1</v>
      </c>
      <c r="C220" t="s">
        <v>5</v>
      </c>
      <c r="D220">
        <v>326</v>
      </c>
      <c r="E220">
        <v>5594.46</v>
      </c>
    </row>
    <row r="221" spans="1:5" x14ac:dyDescent="0.25">
      <c r="A221" s="1">
        <v>45146</v>
      </c>
      <c r="B221">
        <v>1</v>
      </c>
      <c r="C221" t="s">
        <v>5</v>
      </c>
      <c r="D221">
        <v>336</v>
      </c>
      <c r="E221">
        <v>6359.4</v>
      </c>
    </row>
    <row r="222" spans="1:5" x14ac:dyDescent="0.25">
      <c r="A222" s="1">
        <v>45147</v>
      </c>
      <c r="B222">
        <v>1</v>
      </c>
      <c r="C222" t="s">
        <v>5</v>
      </c>
      <c r="D222">
        <v>327</v>
      </c>
      <c r="E222">
        <v>5869.8</v>
      </c>
    </row>
    <row r="223" spans="1:5" x14ac:dyDescent="0.25">
      <c r="A223" s="1">
        <v>45148</v>
      </c>
      <c r="B223">
        <v>1</v>
      </c>
      <c r="C223" t="s">
        <v>5</v>
      </c>
      <c r="D223">
        <v>327</v>
      </c>
      <c r="E223">
        <v>6464.81</v>
      </c>
    </row>
    <row r="224" spans="1:5" x14ac:dyDescent="0.25">
      <c r="A224" s="1">
        <v>45149</v>
      </c>
      <c r="B224">
        <v>1</v>
      </c>
      <c r="C224" t="s">
        <v>5</v>
      </c>
      <c r="D224">
        <v>313</v>
      </c>
      <c r="E224">
        <v>5529.5</v>
      </c>
    </row>
    <row r="225" spans="1:5" x14ac:dyDescent="0.25">
      <c r="A225" s="1">
        <v>45150</v>
      </c>
      <c r="B225">
        <v>1</v>
      </c>
      <c r="C225" t="s">
        <v>5</v>
      </c>
      <c r="D225">
        <v>246</v>
      </c>
      <c r="E225">
        <v>4474.53</v>
      </c>
    </row>
    <row r="226" spans="1:5" x14ac:dyDescent="0.25">
      <c r="A226" s="1">
        <v>45151</v>
      </c>
      <c r="B226">
        <v>1</v>
      </c>
      <c r="C226" t="s">
        <v>5</v>
      </c>
      <c r="D226">
        <v>398</v>
      </c>
      <c r="E226">
        <v>7632.99</v>
      </c>
    </row>
    <row r="227" spans="1:5" x14ac:dyDescent="0.25">
      <c r="A227" s="1">
        <v>45152</v>
      </c>
      <c r="B227">
        <v>1</v>
      </c>
      <c r="C227" t="s">
        <v>5</v>
      </c>
      <c r="D227">
        <v>324</v>
      </c>
      <c r="E227">
        <v>6296.08</v>
      </c>
    </row>
    <row r="228" spans="1:5" x14ac:dyDescent="0.25">
      <c r="A228" s="1">
        <v>45153</v>
      </c>
      <c r="B228">
        <v>1</v>
      </c>
      <c r="C228" t="s">
        <v>5</v>
      </c>
      <c r="D228">
        <v>337</v>
      </c>
      <c r="E228">
        <v>5400.68</v>
      </c>
    </row>
    <row r="229" spans="1:5" x14ac:dyDescent="0.25">
      <c r="A229" s="1">
        <v>45154</v>
      </c>
      <c r="B229">
        <v>1</v>
      </c>
      <c r="C229" t="s">
        <v>5</v>
      </c>
      <c r="D229">
        <v>315</v>
      </c>
      <c r="E229">
        <v>5974.25</v>
      </c>
    </row>
    <row r="230" spans="1:5" x14ac:dyDescent="0.25">
      <c r="A230" s="1">
        <v>45155</v>
      </c>
      <c r="B230">
        <v>1</v>
      </c>
      <c r="C230" t="s">
        <v>5</v>
      </c>
      <c r="D230">
        <v>356</v>
      </c>
      <c r="E230">
        <v>7450.87</v>
      </c>
    </row>
    <row r="231" spans="1:5" x14ac:dyDescent="0.25">
      <c r="A231" s="1">
        <v>45156</v>
      </c>
      <c r="B231">
        <v>1</v>
      </c>
      <c r="C231" t="s">
        <v>5</v>
      </c>
      <c r="D231">
        <v>320</v>
      </c>
      <c r="E231">
        <v>5495.47</v>
      </c>
    </row>
    <row r="232" spans="1:5" x14ac:dyDescent="0.25">
      <c r="A232" s="1">
        <v>45157</v>
      </c>
      <c r="B232">
        <v>1</v>
      </c>
      <c r="C232" t="s">
        <v>5</v>
      </c>
      <c r="D232">
        <v>350</v>
      </c>
      <c r="E232">
        <v>6476.08</v>
      </c>
    </row>
    <row r="233" spans="1:5" x14ac:dyDescent="0.25">
      <c r="A233" s="1">
        <v>45158</v>
      </c>
      <c r="B233">
        <v>1</v>
      </c>
      <c r="C233" t="s">
        <v>5</v>
      </c>
      <c r="D233">
        <v>386</v>
      </c>
      <c r="E233">
        <v>6396.97</v>
      </c>
    </row>
    <row r="234" spans="1:5" x14ac:dyDescent="0.25">
      <c r="A234" s="1">
        <v>45159</v>
      </c>
      <c r="B234">
        <v>1</v>
      </c>
      <c r="C234" t="s">
        <v>5</v>
      </c>
      <c r="D234">
        <v>351</v>
      </c>
      <c r="E234">
        <v>6470.84</v>
      </c>
    </row>
    <row r="235" spans="1:5" x14ac:dyDescent="0.25">
      <c r="A235" s="1">
        <v>45160</v>
      </c>
      <c r="B235">
        <v>1</v>
      </c>
      <c r="C235" t="s">
        <v>5</v>
      </c>
      <c r="D235">
        <v>329</v>
      </c>
      <c r="E235">
        <v>6342.54</v>
      </c>
    </row>
    <row r="236" spans="1:5" x14ac:dyDescent="0.25">
      <c r="A236" s="1">
        <v>45161</v>
      </c>
      <c r="B236">
        <v>1</v>
      </c>
      <c r="C236" t="s">
        <v>5</v>
      </c>
      <c r="D236">
        <v>318</v>
      </c>
      <c r="E236">
        <v>5770.97</v>
      </c>
    </row>
    <row r="237" spans="1:5" x14ac:dyDescent="0.25">
      <c r="A237" s="1">
        <v>45162</v>
      </c>
      <c r="B237">
        <v>1</v>
      </c>
      <c r="C237" t="s">
        <v>5</v>
      </c>
      <c r="D237">
        <v>325</v>
      </c>
      <c r="E237">
        <v>5951.61</v>
      </c>
    </row>
    <row r="238" spans="1:5" x14ac:dyDescent="0.25">
      <c r="A238" s="1">
        <v>45163</v>
      </c>
      <c r="B238">
        <v>1</v>
      </c>
      <c r="C238" t="s">
        <v>5</v>
      </c>
      <c r="D238">
        <v>338</v>
      </c>
      <c r="E238">
        <v>5954.07</v>
      </c>
    </row>
    <row r="239" spans="1:5" x14ac:dyDescent="0.25">
      <c r="A239" s="1">
        <v>45164</v>
      </c>
      <c r="B239">
        <v>1</v>
      </c>
      <c r="C239" t="s">
        <v>5</v>
      </c>
      <c r="D239">
        <v>374</v>
      </c>
      <c r="E239">
        <v>6572.07</v>
      </c>
    </row>
    <row r="240" spans="1:5" x14ac:dyDescent="0.25">
      <c r="A240" s="1">
        <v>45165</v>
      </c>
      <c r="B240">
        <v>1</v>
      </c>
      <c r="C240" t="s">
        <v>5</v>
      </c>
      <c r="D240">
        <v>381</v>
      </c>
      <c r="E240">
        <v>7132.94</v>
      </c>
    </row>
    <row r="241" spans="1:5" x14ac:dyDescent="0.25">
      <c r="A241" s="1">
        <v>45166</v>
      </c>
      <c r="B241">
        <v>1</v>
      </c>
      <c r="C241" t="s">
        <v>5</v>
      </c>
      <c r="D241">
        <v>330</v>
      </c>
      <c r="E241">
        <v>6295.42</v>
      </c>
    </row>
    <row r="242" spans="1:5" x14ac:dyDescent="0.25">
      <c r="A242" s="1">
        <v>45167</v>
      </c>
      <c r="B242">
        <v>1</v>
      </c>
      <c r="C242" t="s">
        <v>5</v>
      </c>
      <c r="D242">
        <v>335</v>
      </c>
      <c r="E242">
        <v>6352.4</v>
      </c>
    </row>
    <row r="243" spans="1:5" x14ac:dyDescent="0.25">
      <c r="A243" s="1">
        <v>45168</v>
      </c>
      <c r="B243">
        <v>1</v>
      </c>
      <c r="C243" t="s">
        <v>5</v>
      </c>
      <c r="D243">
        <v>368</v>
      </c>
      <c r="E243">
        <v>7039.05</v>
      </c>
    </row>
    <row r="244" spans="1:5" x14ac:dyDescent="0.25">
      <c r="A244" s="1">
        <v>45169</v>
      </c>
      <c r="B244">
        <v>1</v>
      </c>
      <c r="C244" t="s">
        <v>5</v>
      </c>
      <c r="D244">
        <v>323</v>
      </c>
      <c r="E244">
        <v>6122.88</v>
      </c>
    </row>
    <row r="245" spans="1:5" x14ac:dyDescent="0.25">
      <c r="A245" s="1">
        <v>45170</v>
      </c>
      <c r="B245">
        <v>1</v>
      </c>
      <c r="C245" t="s">
        <v>5</v>
      </c>
      <c r="D245">
        <v>345</v>
      </c>
      <c r="E245">
        <v>6004.14</v>
      </c>
    </row>
    <row r="246" spans="1:5" x14ac:dyDescent="0.25">
      <c r="A246" s="1">
        <v>45171</v>
      </c>
      <c r="B246">
        <v>1</v>
      </c>
      <c r="C246" t="s">
        <v>5</v>
      </c>
      <c r="D246">
        <v>369</v>
      </c>
      <c r="E246">
        <v>6862.7</v>
      </c>
    </row>
    <row r="247" spans="1:5" x14ac:dyDescent="0.25">
      <c r="A247" s="1">
        <v>45172</v>
      </c>
      <c r="B247">
        <v>1</v>
      </c>
      <c r="C247" t="s">
        <v>5</v>
      </c>
      <c r="D247">
        <v>340</v>
      </c>
      <c r="E247">
        <v>6826.9</v>
      </c>
    </row>
    <row r="248" spans="1:5" x14ac:dyDescent="0.25">
      <c r="A248" s="1">
        <v>45173</v>
      </c>
      <c r="B248">
        <v>1</v>
      </c>
      <c r="C248" t="s">
        <v>5</v>
      </c>
      <c r="D248">
        <v>268</v>
      </c>
      <c r="E248">
        <v>5086.4399999999996</v>
      </c>
    </row>
    <row r="249" spans="1:5" x14ac:dyDescent="0.25">
      <c r="A249" s="1">
        <v>45174</v>
      </c>
      <c r="B249">
        <v>1</v>
      </c>
      <c r="C249" t="s">
        <v>5</v>
      </c>
      <c r="D249">
        <v>304</v>
      </c>
      <c r="E249">
        <v>5650.43</v>
      </c>
    </row>
    <row r="250" spans="1:5" x14ac:dyDescent="0.25">
      <c r="A250" s="1">
        <v>45175</v>
      </c>
      <c r="B250">
        <v>1</v>
      </c>
      <c r="C250" t="s">
        <v>5</v>
      </c>
      <c r="D250">
        <v>359</v>
      </c>
      <c r="E250">
        <v>6732.68</v>
      </c>
    </row>
    <row r="251" spans="1:5" x14ac:dyDescent="0.25">
      <c r="A251" s="1">
        <v>45176</v>
      </c>
      <c r="B251">
        <v>1</v>
      </c>
      <c r="C251" t="s">
        <v>5</v>
      </c>
      <c r="D251">
        <v>289</v>
      </c>
      <c r="E251">
        <v>5910.3</v>
      </c>
    </row>
    <row r="252" spans="1:5" x14ac:dyDescent="0.25">
      <c r="A252" s="1">
        <v>45177</v>
      </c>
      <c r="B252">
        <v>1</v>
      </c>
      <c r="C252" t="s">
        <v>5</v>
      </c>
      <c r="D252">
        <v>289</v>
      </c>
      <c r="E252">
        <v>5419.16</v>
      </c>
    </row>
    <row r="253" spans="1:5" x14ac:dyDescent="0.25">
      <c r="A253" s="1">
        <v>45178</v>
      </c>
      <c r="B253">
        <v>1</v>
      </c>
      <c r="C253" t="s">
        <v>5</v>
      </c>
      <c r="D253">
        <v>361</v>
      </c>
      <c r="E253">
        <v>6806.8</v>
      </c>
    </row>
    <row r="254" spans="1:5" x14ac:dyDescent="0.25">
      <c r="A254" s="1">
        <v>45179</v>
      </c>
      <c r="B254">
        <v>1</v>
      </c>
      <c r="C254" t="s">
        <v>5</v>
      </c>
      <c r="D254">
        <v>370</v>
      </c>
      <c r="E254">
        <v>6913.9</v>
      </c>
    </row>
    <row r="255" spans="1:5" x14ac:dyDescent="0.25">
      <c r="A255" s="1">
        <v>45180</v>
      </c>
      <c r="B255">
        <v>1</v>
      </c>
      <c r="C255" t="s">
        <v>5</v>
      </c>
      <c r="D255">
        <v>300</v>
      </c>
      <c r="E255">
        <v>6196</v>
      </c>
    </row>
    <row r="256" spans="1:5" x14ac:dyDescent="0.25">
      <c r="A256" s="1">
        <v>45181</v>
      </c>
      <c r="B256">
        <v>1</v>
      </c>
      <c r="C256" t="s">
        <v>5</v>
      </c>
      <c r="D256">
        <v>358</v>
      </c>
      <c r="E256">
        <v>6413.75</v>
      </c>
    </row>
    <row r="257" spans="1:5" x14ac:dyDescent="0.25">
      <c r="A257" s="1">
        <v>45182</v>
      </c>
      <c r="B257">
        <v>1</v>
      </c>
      <c r="C257" t="s">
        <v>5</v>
      </c>
      <c r="D257">
        <v>255</v>
      </c>
      <c r="E257">
        <v>5137.2299999999996</v>
      </c>
    </row>
    <row r="258" spans="1:5" x14ac:dyDescent="0.25">
      <c r="A258" s="1">
        <v>45183</v>
      </c>
      <c r="B258">
        <v>1</v>
      </c>
      <c r="C258" t="s">
        <v>5</v>
      </c>
      <c r="D258">
        <v>305</v>
      </c>
      <c r="E258">
        <v>5836.38</v>
      </c>
    </row>
    <row r="259" spans="1:5" x14ac:dyDescent="0.25">
      <c r="A259" s="1">
        <v>45184</v>
      </c>
      <c r="B259">
        <v>1</v>
      </c>
      <c r="C259" t="s">
        <v>5</v>
      </c>
      <c r="D259">
        <v>291</v>
      </c>
      <c r="E259">
        <v>5697.33</v>
      </c>
    </row>
    <row r="260" spans="1:5" x14ac:dyDescent="0.25">
      <c r="A260" s="1">
        <v>45185</v>
      </c>
      <c r="B260">
        <v>1</v>
      </c>
      <c r="C260" t="s">
        <v>5</v>
      </c>
      <c r="D260">
        <v>313</v>
      </c>
      <c r="E260">
        <v>5842.99</v>
      </c>
    </row>
    <row r="261" spans="1:5" x14ac:dyDescent="0.25">
      <c r="A261" s="1">
        <v>45186</v>
      </c>
      <c r="B261">
        <v>1</v>
      </c>
      <c r="C261" t="s">
        <v>5</v>
      </c>
      <c r="D261">
        <v>333</v>
      </c>
      <c r="E261">
        <v>5863.08</v>
      </c>
    </row>
    <row r="262" spans="1:5" x14ac:dyDescent="0.25">
      <c r="A262" s="1">
        <v>45187</v>
      </c>
      <c r="B262">
        <v>1</v>
      </c>
      <c r="C262" t="s">
        <v>5</v>
      </c>
      <c r="D262">
        <v>315</v>
      </c>
      <c r="E262">
        <v>5545.72</v>
      </c>
    </row>
    <row r="263" spans="1:5" x14ac:dyDescent="0.25">
      <c r="A263" s="1">
        <v>45188</v>
      </c>
      <c r="B263">
        <v>1</v>
      </c>
      <c r="C263" t="s">
        <v>5</v>
      </c>
      <c r="D263">
        <v>313</v>
      </c>
      <c r="E263">
        <v>5543.44</v>
      </c>
    </row>
    <row r="264" spans="1:5" x14ac:dyDescent="0.25">
      <c r="A264" s="1">
        <v>45189</v>
      </c>
      <c r="B264">
        <v>1</v>
      </c>
      <c r="C264" t="s">
        <v>5</v>
      </c>
      <c r="D264">
        <v>294</v>
      </c>
      <c r="E264">
        <v>5561.39</v>
      </c>
    </row>
    <row r="265" spans="1:5" x14ac:dyDescent="0.25">
      <c r="A265" s="1">
        <v>45190</v>
      </c>
      <c r="B265">
        <v>1</v>
      </c>
      <c r="C265" t="s">
        <v>5</v>
      </c>
      <c r="D265">
        <v>258</v>
      </c>
      <c r="E265">
        <v>4518.79</v>
      </c>
    </row>
    <row r="266" spans="1:5" x14ac:dyDescent="0.25">
      <c r="A266" s="1">
        <v>45191</v>
      </c>
      <c r="B266">
        <v>1</v>
      </c>
      <c r="C266" t="s">
        <v>5</v>
      </c>
      <c r="D266">
        <v>314</v>
      </c>
      <c r="E266">
        <v>6045.22</v>
      </c>
    </row>
    <row r="267" spans="1:5" x14ac:dyDescent="0.25">
      <c r="A267" s="1">
        <v>45192</v>
      </c>
      <c r="B267">
        <v>1</v>
      </c>
      <c r="C267" t="s">
        <v>5</v>
      </c>
      <c r="D267">
        <v>337</v>
      </c>
      <c r="E267">
        <v>6825.96</v>
      </c>
    </row>
    <row r="268" spans="1:5" x14ac:dyDescent="0.25">
      <c r="A268" s="1">
        <v>45193</v>
      </c>
      <c r="B268">
        <v>1</v>
      </c>
      <c r="C268" t="s">
        <v>5</v>
      </c>
      <c r="D268">
        <v>342</v>
      </c>
      <c r="E268">
        <v>5933.24</v>
      </c>
    </row>
    <row r="269" spans="1:5" x14ac:dyDescent="0.25">
      <c r="A269" s="1">
        <v>45194</v>
      </c>
      <c r="B269">
        <v>1</v>
      </c>
      <c r="C269" t="s">
        <v>5</v>
      </c>
      <c r="D269">
        <v>300</v>
      </c>
      <c r="E269">
        <v>5877.49</v>
      </c>
    </row>
    <row r="270" spans="1:5" x14ac:dyDescent="0.25">
      <c r="A270" s="1">
        <v>45195</v>
      </c>
      <c r="B270">
        <v>1</v>
      </c>
      <c r="C270" t="s">
        <v>5</v>
      </c>
      <c r="D270">
        <v>338</v>
      </c>
      <c r="E270">
        <v>6407.74</v>
      </c>
    </row>
    <row r="271" spans="1:5" x14ac:dyDescent="0.25">
      <c r="A271" s="1">
        <v>45196</v>
      </c>
      <c r="B271">
        <v>1</v>
      </c>
      <c r="C271" t="s">
        <v>5</v>
      </c>
      <c r="D271">
        <v>259</v>
      </c>
      <c r="E271">
        <v>5077.7700000000004</v>
      </c>
    </row>
    <row r="272" spans="1:5" x14ac:dyDescent="0.25">
      <c r="A272" s="1">
        <v>45197</v>
      </c>
      <c r="B272">
        <v>1</v>
      </c>
      <c r="C272" t="s">
        <v>5</v>
      </c>
      <c r="D272">
        <v>313</v>
      </c>
      <c r="E272">
        <v>5249.2</v>
      </c>
    </row>
    <row r="273" spans="1:5" x14ac:dyDescent="0.25">
      <c r="A273" s="1">
        <v>45198</v>
      </c>
      <c r="B273">
        <v>1</v>
      </c>
      <c r="C273" t="s">
        <v>5</v>
      </c>
      <c r="D273">
        <v>311</v>
      </c>
      <c r="E273">
        <v>5238.29</v>
      </c>
    </row>
    <row r="274" spans="1:5" x14ac:dyDescent="0.25">
      <c r="A274" s="1">
        <v>45199</v>
      </c>
      <c r="B274">
        <v>1</v>
      </c>
      <c r="C274" t="s">
        <v>5</v>
      </c>
      <c r="D274">
        <v>362</v>
      </c>
      <c r="E274">
        <v>6285.73</v>
      </c>
    </row>
    <row r="275" spans="1:5" x14ac:dyDescent="0.25">
      <c r="A275" s="1">
        <v>45200</v>
      </c>
      <c r="B275">
        <v>1</v>
      </c>
      <c r="C275" t="s">
        <v>5</v>
      </c>
      <c r="D275">
        <v>366</v>
      </c>
      <c r="E275">
        <v>6439.72</v>
      </c>
    </row>
    <row r="276" spans="1:5" x14ac:dyDescent="0.25">
      <c r="A276" s="1">
        <v>45201</v>
      </c>
      <c r="B276">
        <v>1</v>
      </c>
      <c r="C276" t="s">
        <v>5</v>
      </c>
      <c r="D276">
        <v>339</v>
      </c>
      <c r="E276">
        <v>6058.6</v>
      </c>
    </row>
    <row r="277" spans="1:5" x14ac:dyDescent="0.25">
      <c r="A277" s="1">
        <v>45202</v>
      </c>
      <c r="B277">
        <v>1</v>
      </c>
      <c r="C277" t="s">
        <v>5</v>
      </c>
      <c r="D277">
        <v>299</v>
      </c>
      <c r="E277">
        <v>5224.5</v>
      </c>
    </row>
    <row r="278" spans="1:5" x14ac:dyDescent="0.25">
      <c r="A278" s="1">
        <v>45203</v>
      </c>
      <c r="B278">
        <v>1</v>
      </c>
      <c r="C278" t="s">
        <v>5</v>
      </c>
      <c r="D278">
        <v>326</v>
      </c>
      <c r="E278">
        <v>5311.5</v>
      </c>
    </row>
    <row r="279" spans="1:5" x14ac:dyDescent="0.25">
      <c r="A279" s="1">
        <v>45204</v>
      </c>
      <c r="B279">
        <v>1</v>
      </c>
      <c r="C279" t="s">
        <v>5</v>
      </c>
      <c r="D279">
        <v>298</v>
      </c>
      <c r="E279">
        <v>5114.07</v>
      </c>
    </row>
    <row r="280" spans="1:5" x14ac:dyDescent="0.25">
      <c r="A280" s="1">
        <v>45205</v>
      </c>
      <c r="B280">
        <v>1</v>
      </c>
      <c r="C280" t="s">
        <v>5</v>
      </c>
      <c r="D280">
        <v>319</v>
      </c>
      <c r="E280">
        <v>6038.88</v>
      </c>
    </row>
    <row r="281" spans="1:5" x14ac:dyDescent="0.25">
      <c r="A281" s="1">
        <v>45206</v>
      </c>
      <c r="B281">
        <v>1</v>
      </c>
      <c r="C281" t="s">
        <v>5</v>
      </c>
      <c r="D281">
        <v>320</v>
      </c>
      <c r="E281">
        <v>6036.71</v>
      </c>
    </row>
    <row r="282" spans="1:5" x14ac:dyDescent="0.25">
      <c r="A282" s="1">
        <v>45207</v>
      </c>
      <c r="B282">
        <v>1</v>
      </c>
      <c r="C282" t="s">
        <v>5</v>
      </c>
      <c r="D282">
        <v>354</v>
      </c>
      <c r="E282">
        <v>6254.88</v>
      </c>
    </row>
    <row r="283" spans="1:5" x14ac:dyDescent="0.25">
      <c r="A283" s="1">
        <v>45208</v>
      </c>
      <c r="B283">
        <v>1</v>
      </c>
      <c r="C283" t="s">
        <v>5</v>
      </c>
      <c r="D283">
        <v>353</v>
      </c>
      <c r="E283">
        <v>6868.01</v>
      </c>
    </row>
    <row r="284" spans="1:5" x14ac:dyDescent="0.25">
      <c r="A284" s="1">
        <v>45209</v>
      </c>
      <c r="B284">
        <v>1</v>
      </c>
      <c r="C284" t="s">
        <v>5</v>
      </c>
      <c r="D284">
        <v>323</v>
      </c>
      <c r="E284">
        <v>5341.74</v>
      </c>
    </row>
    <row r="285" spans="1:5" x14ac:dyDescent="0.25">
      <c r="A285" s="1">
        <v>45210</v>
      </c>
      <c r="B285">
        <v>1</v>
      </c>
      <c r="C285" t="s">
        <v>5</v>
      </c>
      <c r="D285">
        <v>341</v>
      </c>
      <c r="E285">
        <v>5829.52</v>
      </c>
    </row>
    <row r="286" spans="1:5" x14ac:dyDescent="0.25">
      <c r="A286" s="1">
        <v>45211</v>
      </c>
      <c r="B286">
        <v>1</v>
      </c>
      <c r="C286" t="s">
        <v>5</v>
      </c>
      <c r="D286">
        <v>314</v>
      </c>
      <c r="E286">
        <v>6208.48</v>
      </c>
    </row>
    <row r="287" spans="1:5" x14ac:dyDescent="0.25">
      <c r="A287" s="1">
        <v>45212</v>
      </c>
      <c r="B287">
        <v>1</v>
      </c>
      <c r="C287" t="s">
        <v>5</v>
      </c>
      <c r="D287">
        <v>317</v>
      </c>
      <c r="E287">
        <v>5848.33</v>
      </c>
    </row>
    <row r="288" spans="1:5" x14ac:dyDescent="0.25">
      <c r="A288" s="1">
        <v>45213</v>
      </c>
      <c r="B288">
        <v>1</v>
      </c>
      <c r="C288" t="s">
        <v>5</v>
      </c>
      <c r="D288">
        <v>346</v>
      </c>
      <c r="E288">
        <v>6482.75</v>
      </c>
    </row>
    <row r="289" spans="1:5" x14ac:dyDescent="0.25">
      <c r="A289" s="1">
        <v>45214</v>
      </c>
      <c r="B289">
        <v>1</v>
      </c>
      <c r="C289" t="s">
        <v>5</v>
      </c>
      <c r="D289">
        <v>376</v>
      </c>
      <c r="E289">
        <v>6396.6</v>
      </c>
    </row>
    <row r="290" spans="1:5" x14ac:dyDescent="0.25">
      <c r="A290" s="1">
        <v>45215</v>
      </c>
      <c r="B290">
        <v>1</v>
      </c>
      <c r="C290" t="s">
        <v>5</v>
      </c>
      <c r="D290">
        <v>362</v>
      </c>
      <c r="E290">
        <v>6704.7</v>
      </c>
    </row>
    <row r="291" spans="1:5" x14ac:dyDescent="0.25">
      <c r="A291" s="1">
        <v>45216</v>
      </c>
      <c r="B291">
        <v>1</v>
      </c>
      <c r="C291" t="s">
        <v>5</v>
      </c>
      <c r="D291">
        <v>293</v>
      </c>
      <c r="E291">
        <v>5384.05</v>
      </c>
    </row>
    <row r="292" spans="1:5" x14ac:dyDescent="0.25">
      <c r="A292" s="1">
        <v>45217</v>
      </c>
      <c r="B292">
        <v>1</v>
      </c>
      <c r="C292" t="s">
        <v>5</v>
      </c>
      <c r="D292">
        <v>349</v>
      </c>
      <c r="E292">
        <v>6434.54</v>
      </c>
    </row>
    <row r="293" spans="1:5" x14ac:dyDescent="0.25">
      <c r="A293" s="1">
        <v>45218</v>
      </c>
      <c r="B293">
        <v>1</v>
      </c>
      <c r="C293" t="s">
        <v>5</v>
      </c>
      <c r="D293">
        <v>323</v>
      </c>
      <c r="E293">
        <v>5925.48</v>
      </c>
    </row>
    <row r="294" spans="1:5" x14ac:dyDescent="0.25">
      <c r="A294" s="1">
        <v>45219</v>
      </c>
      <c r="B294">
        <v>1</v>
      </c>
      <c r="C294" t="s">
        <v>5</v>
      </c>
      <c r="D294">
        <v>314</v>
      </c>
      <c r="E294">
        <v>6046.69</v>
      </c>
    </row>
    <row r="295" spans="1:5" x14ac:dyDescent="0.25">
      <c r="A295" s="1">
        <v>45220</v>
      </c>
      <c r="B295">
        <v>1</v>
      </c>
      <c r="C295" t="s">
        <v>5</v>
      </c>
      <c r="D295">
        <v>370</v>
      </c>
      <c r="E295">
        <v>7094.63</v>
      </c>
    </row>
    <row r="296" spans="1:5" x14ac:dyDescent="0.25">
      <c r="A296" s="1">
        <v>45221</v>
      </c>
      <c r="B296">
        <v>1</v>
      </c>
      <c r="C296" t="s">
        <v>5</v>
      </c>
      <c r="D296">
        <v>356</v>
      </c>
      <c r="E296">
        <v>6977.22</v>
      </c>
    </row>
    <row r="297" spans="1:5" x14ac:dyDescent="0.25">
      <c r="A297" s="1">
        <v>45222</v>
      </c>
      <c r="B297">
        <v>1</v>
      </c>
      <c r="C297" t="s">
        <v>5</v>
      </c>
      <c r="D297">
        <v>293</v>
      </c>
      <c r="E297">
        <v>5265.31</v>
      </c>
    </row>
    <row r="298" spans="1:5" x14ac:dyDescent="0.25">
      <c r="A298" s="1">
        <v>45223</v>
      </c>
      <c r="B298">
        <v>1</v>
      </c>
      <c r="C298" t="s">
        <v>5</v>
      </c>
      <c r="D298">
        <v>299</v>
      </c>
      <c r="E298">
        <v>5690.52</v>
      </c>
    </row>
    <row r="299" spans="1:5" x14ac:dyDescent="0.25">
      <c r="A299" s="1">
        <v>45224</v>
      </c>
      <c r="B299">
        <v>1</v>
      </c>
      <c r="C299" t="s">
        <v>5</v>
      </c>
      <c r="D299">
        <v>290</v>
      </c>
      <c r="E299">
        <v>5299.51</v>
      </c>
    </row>
    <row r="300" spans="1:5" x14ac:dyDescent="0.25">
      <c r="A300" s="1">
        <v>45225</v>
      </c>
      <c r="B300">
        <v>1</v>
      </c>
      <c r="C300" t="s">
        <v>5</v>
      </c>
      <c r="D300">
        <v>295</v>
      </c>
      <c r="E300">
        <v>5713.45</v>
      </c>
    </row>
    <row r="301" spans="1:5" x14ac:dyDescent="0.25">
      <c r="A301" s="1">
        <v>45226</v>
      </c>
      <c r="B301">
        <v>1</v>
      </c>
      <c r="C301" t="s">
        <v>5</v>
      </c>
      <c r="D301">
        <v>290</v>
      </c>
      <c r="E301">
        <v>5310.16</v>
      </c>
    </row>
    <row r="302" spans="1:5" x14ac:dyDescent="0.25">
      <c r="A302" s="1">
        <v>45227</v>
      </c>
      <c r="B302">
        <v>1</v>
      </c>
      <c r="C302" t="s">
        <v>5</v>
      </c>
      <c r="D302">
        <v>327</v>
      </c>
      <c r="E302">
        <v>6512.78</v>
      </c>
    </row>
    <row r="303" spans="1:5" x14ac:dyDescent="0.25">
      <c r="A303" s="1">
        <v>45228</v>
      </c>
      <c r="B303">
        <v>1</v>
      </c>
      <c r="C303" t="s">
        <v>5</v>
      </c>
      <c r="D303">
        <v>324</v>
      </c>
      <c r="E303">
        <v>5755.88</v>
      </c>
    </row>
    <row r="304" spans="1:5" x14ac:dyDescent="0.25">
      <c r="A304" s="1">
        <v>45229</v>
      </c>
      <c r="B304">
        <v>1</v>
      </c>
      <c r="C304" t="s">
        <v>5</v>
      </c>
      <c r="D304">
        <v>302</v>
      </c>
      <c r="E304">
        <v>5330.69</v>
      </c>
    </row>
    <row r="305" spans="1:5" x14ac:dyDescent="0.25">
      <c r="A305" s="1">
        <v>45230</v>
      </c>
      <c r="B305">
        <v>1</v>
      </c>
      <c r="C305" t="s">
        <v>5</v>
      </c>
      <c r="D305">
        <v>324</v>
      </c>
      <c r="E305">
        <v>6226.2</v>
      </c>
    </row>
    <row r="306" spans="1:5" x14ac:dyDescent="0.25">
      <c r="A306" s="1">
        <v>45231</v>
      </c>
      <c r="B306">
        <v>1</v>
      </c>
      <c r="C306" t="s">
        <v>5</v>
      </c>
      <c r="D306">
        <v>302</v>
      </c>
      <c r="E306">
        <v>5679.73</v>
      </c>
    </row>
    <row r="307" spans="1:5" x14ac:dyDescent="0.25">
      <c r="A307" s="1">
        <v>45232</v>
      </c>
      <c r="B307">
        <v>1</v>
      </c>
      <c r="C307" t="s">
        <v>5</v>
      </c>
      <c r="D307">
        <v>251</v>
      </c>
      <c r="E307">
        <v>4904.2</v>
      </c>
    </row>
    <row r="308" spans="1:5" x14ac:dyDescent="0.25">
      <c r="A308" s="1">
        <v>45233</v>
      </c>
      <c r="B308">
        <v>1</v>
      </c>
      <c r="C308" t="s">
        <v>5</v>
      </c>
      <c r="D308">
        <v>311</v>
      </c>
      <c r="E308">
        <v>5609.5</v>
      </c>
    </row>
    <row r="309" spans="1:5" x14ac:dyDescent="0.25">
      <c r="A309" s="1">
        <v>45234</v>
      </c>
      <c r="B309">
        <v>1</v>
      </c>
      <c r="C309" t="s">
        <v>5</v>
      </c>
      <c r="D309">
        <v>294</v>
      </c>
      <c r="E309">
        <v>4854.43</v>
      </c>
    </row>
    <row r="310" spans="1:5" x14ac:dyDescent="0.25">
      <c r="A310" s="1">
        <v>45235</v>
      </c>
      <c r="B310">
        <v>1</v>
      </c>
      <c r="C310" t="s">
        <v>5</v>
      </c>
      <c r="D310">
        <v>335</v>
      </c>
      <c r="E310">
        <v>6870.02</v>
      </c>
    </row>
    <row r="311" spans="1:5" x14ac:dyDescent="0.25">
      <c r="A311" s="1">
        <v>45236</v>
      </c>
      <c r="B311">
        <v>1</v>
      </c>
      <c r="C311" t="s">
        <v>5</v>
      </c>
      <c r="D311">
        <v>245</v>
      </c>
      <c r="E311">
        <v>4707.37</v>
      </c>
    </row>
    <row r="312" spans="1:5" x14ac:dyDescent="0.25">
      <c r="A312" s="1">
        <v>45237</v>
      </c>
      <c r="B312">
        <v>1</v>
      </c>
      <c r="C312" t="s">
        <v>5</v>
      </c>
      <c r="D312">
        <v>274</v>
      </c>
      <c r="E312">
        <v>4905.8999999999996</v>
      </c>
    </row>
    <row r="313" spans="1:5" x14ac:dyDescent="0.25">
      <c r="A313" s="1">
        <v>45238</v>
      </c>
      <c r="B313">
        <v>1</v>
      </c>
      <c r="C313" t="s">
        <v>5</v>
      </c>
      <c r="D313">
        <v>247</v>
      </c>
      <c r="E313">
        <v>4441.92</v>
      </c>
    </row>
    <row r="314" spans="1:5" x14ac:dyDescent="0.25">
      <c r="A314" s="1">
        <v>45239</v>
      </c>
      <c r="B314">
        <v>1</v>
      </c>
      <c r="C314" t="s">
        <v>5</v>
      </c>
      <c r="D314">
        <v>313</v>
      </c>
      <c r="E314">
        <v>5437.14</v>
      </c>
    </row>
    <row r="315" spans="1:5" x14ac:dyDescent="0.25">
      <c r="A315" s="1">
        <v>45240</v>
      </c>
      <c r="B315">
        <v>1</v>
      </c>
      <c r="C315" t="s">
        <v>5</v>
      </c>
      <c r="D315">
        <v>250</v>
      </c>
      <c r="E315">
        <v>4539.3</v>
      </c>
    </row>
    <row r="316" spans="1:5" x14ac:dyDescent="0.25">
      <c r="A316" s="1">
        <v>45241</v>
      </c>
      <c r="B316">
        <v>1</v>
      </c>
      <c r="C316" t="s">
        <v>5</v>
      </c>
      <c r="D316">
        <v>339</v>
      </c>
      <c r="E316">
        <v>5932.61</v>
      </c>
    </row>
    <row r="317" spans="1:5" x14ac:dyDescent="0.25">
      <c r="A317" s="1">
        <v>45242</v>
      </c>
      <c r="B317">
        <v>1</v>
      </c>
      <c r="C317" t="s">
        <v>5</v>
      </c>
      <c r="D317">
        <v>336</v>
      </c>
      <c r="E317">
        <v>5974.94</v>
      </c>
    </row>
    <row r="318" spans="1:5" x14ac:dyDescent="0.25">
      <c r="A318" s="1">
        <v>45243</v>
      </c>
      <c r="B318">
        <v>1</v>
      </c>
      <c r="C318" t="s">
        <v>5</v>
      </c>
      <c r="D318">
        <v>291</v>
      </c>
      <c r="E318">
        <v>5124.29</v>
      </c>
    </row>
    <row r="319" spans="1:5" x14ac:dyDescent="0.25">
      <c r="A319" s="1">
        <v>45244</v>
      </c>
      <c r="B319">
        <v>1</v>
      </c>
      <c r="C319" t="s">
        <v>5</v>
      </c>
      <c r="D319">
        <v>285</v>
      </c>
      <c r="E319">
        <v>5577.02</v>
      </c>
    </row>
    <row r="320" spans="1:5" x14ac:dyDescent="0.25">
      <c r="A320" s="1">
        <v>45245</v>
      </c>
      <c r="B320">
        <v>1</v>
      </c>
      <c r="C320" t="s">
        <v>5</v>
      </c>
      <c r="D320">
        <v>265</v>
      </c>
      <c r="E320">
        <v>5021.5600000000004</v>
      </c>
    </row>
    <row r="321" spans="1:5" x14ac:dyDescent="0.25">
      <c r="A321" s="1">
        <v>45246</v>
      </c>
      <c r="B321">
        <v>1</v>
      </c>
      <c r="C321" t="s">
        <v>5</v>
      </c>
      <c r="D321">
        <v>274</v>
      </c>
      <c r="E321">
        <v>4945.84</v>
      </c>
    </row>
    <row r="322" spans="1:5" x14ac:dyDescent="0.25">
      <c r="A322" s="1">
        <v>45247</v>
      </c>
      <c r="B322">
        <v>1</v>
      </c>
      <c r="C322" t="s">
        <v>5</v>
      </c>
      <c r="D322">
        <v>256</v>
      </c>
      <c r="E322">
        <v>4311.91</v>
      </c>
    </row>
    <row r="323" spans="1:5" x14ac:dyDescent="0.25">
      <c r="A323" s="1">
        <v>45248</v>
      </c>
      <c r="B323">
        <v>1</v>
      </c>
      <c r="C323" t="s">
        <v>5</v>
      </c>
      <c r="D323">
        <v>349</v>
      </c>
      <c r="E323">
        <v>6443</v>
      </c>
    </row>
    <row r="324" spans="1:5" x14ac:dyDescent="0.25">
      <c r="A324" s="1">
        <v>45249</v>
      </c>
      <c r="B324">
        <v>1</v>
      </c>
      <c r="C324" t="s">
        <v>5</v>
      </c>
      <c r="D324">
        <v>296</v>
      </c>
      <c r="E324">
        <v>5744.18</v>
      </c>
    </row>
    <row r="325" spans="1:5" x14ac:dyDescent="0.25">
      <c r="A325" s="1">
        <v>45250</v>
      </c>
      <c r="B325">
        <v>1</v>
      </c>
      <c r="C325" t="s">
        <v>5</v>
      </c>
      <c r="D325">
        <v>271</v>
      </c>
      <c r="E325">
        <v>4806.8999999999996</v>
      </c>
    </row>
    <row r="326" spans="1:5" x14ac:dyDescent="0.25">
      <c r="A326" s="1">
        <v>45251</v>
      </c>
      <c r="B326">
        <v>1</v>
      </c>
      <c r="C326" t="s">
        <v>5</v>
      </c>
      <c r="D326">
        <v>273</v>
      </c>
      <c r="E326">
        <v>4967.47</v>
      </c>
    </row>
    <row r="327" spans="1:5" x14ac:dyDescent="0.25">
      <c r="A327" s="1">
        <v>45252</v>
      </c>
      <c r="B327">
        <v>1</v>
      </c>
      <c r="C327" t="s">
        <v>5</v>
      </c>
      <c r="D327">
        <v>324</v>
      </c>
      <c r="E327">
        <v>5700.22</v>
      </c>
    </row>
    <row r="328" spans="1:5" x14ac:dyDescent="0.25">
      <c r="A328" s="1">
        <v>45253</v>
      </c>
      <c r="B328">
        <v>1</v>
      </c>
      <c r="C328" t="s">
        <v>5</v>
      </c>
      <c r="D328">
        <v>257</v>
      </c>
      <c r="E328">
        <v>4757.3999999999996</v>
      </c>
    </row>
    <row r="329" spans="1:5" x14ac:dyDescent="0.25">
      <c r="A329" s="1">
        <v>45254</v>
      </c>
      <c r="B329">
        <v>1</v>
      </c>
      <c r="C329" t="s">
        <v>5</v>
      </c>
      <c r="D329">
        <v>290</v>
      </c>
      <c r="E329">
        <v>5374.31</v>
      </c>
    </row>
    <row r="330" spans="1:5" x14ac:dyDescent="0.25">
      <c r="A330" s="1">
        <v>45255</v>
      </c>
      <c r="B330">
        <v>1</v>
      </c>
      <c r="C330" t="s">
        <v>5</v>
      </c>
      <c r="D330">
        <v>325</v>
      </c>
      <c r="E330">
        <v>6141.56</v>
      </c>
    </row>
    <row r="331" spans="1:5" x14ac:dyDescent="0.25">
      <c r="A331" s="1">
        <v>45256</v>
      </c>
      <c r="B331">
        <v>1</v>
      </c>
      <c r="C331" t="s">
        <v>5</v>
      </c>
      <c r="D331">
        <v>373</v>
      </c>
      <c r="E331">
        <v>7415.89</v>
      </c>
    </row>
    <row r="332" spans="1:5" x14ac:dyDescent="0.25">
      <c r="A332" s="1">
        <v>45257</v>
      </c>
      <c r="B332">
        <v>1</v>
      </c>
      <c r="C332" t="s">
        <v>5</v>
      </c>
      <c r="D332">
        <v>291</v>
      </c>
      <c r="E332">
        <v>5177.8100000000004</v>
      </c>
    </row>
    <row r="333" spans="1:5" x14ac:dyDescent="0.25">
      <c r="A333" s="1">
        <v>45258</v>
      </c>
      <c r="B333">
        <v>1</v>
      </c>
      <c r="C333" t="s">
        <v>5</v>
      </c>
      <c r="D333">
        <v>263</v>
      </c>
      <c r="E333">
        <v>4748.05</v>
      </c>
    </row>
    <row r="334" spans="1:5" x14ac:dyDescent="0.25">
      <c r="A334" s="1">
        <v>45259</v>
      </c>
      <c r="B334">
        <v>1</v>
      </c>
      <c r="C334" t="s">
        <v>5</v>
      </c>
      <c r="D334">
        <v>266</v>
      </c>
      <c r="E334">
        <v>4556.84</v>
      </c>
    </row>
    <row r="335" spans="1:5" x14ac:dyDescent="0.25">
      <c r="A335" s="1">
        <v>45260</v>
      </c>
      <c r="B335">
        <v>1</v>
      </c>
      <c r="C335" t="s">
        <v>5</v>
      </c>
      <c r="D335">
        <v>259</v>
      </c>
      <c r="E335">
        <v>4970.8100000000004</v>
      </c>
    </row>
    <row r="336" spans="1:5" x14ac:dyDescent="0.25">
      <c r="A336" s="1">
        <v>45261</v>
      </c>
      <c r="B336">
        <v>1</v>
      </c>
      <c r="C336" t="s">
        <v>5</v>
      </c>
      <c r="D336">
        <v>297</v>
      </c>
      <c r="E336">
        <v>5043.88</v>
      </c>
    </row>
    <row r="337" spans="1:5" x14ac:dyDescent="0.25">
      <c r="A337" s="1">
        <v>45262</v>
      </c>
      <c r="B337">
        <v>1</v>
      </c>
      <c r="C337" t="s">
        <v>5</v>
      </c>
      <c r="D337">
        <v>269</v>
      </c>
      <c r="E337">
        <v>5129.33</v>
      </c>
    </row>
    <row r="338" spans="1:5" x14ac:dyDescent="0.25">
      <c r="A338" s="1">
        <v>45263</v>
      </c>
      <c r="B338">
        <v>1</v>
      </c>
      <c r="C338" t="s">
        <v>5</v>
      </c>
      <c r="D338">
        <v>298</v>
      </c>
      <c r="E338">
        <v>5105.3599999999997</v>
      </c>
    </row>
    <row r="339" spans="1:5" x14ac:dyDescent="0.25">
      <c r="A339" s="1">
        <v>45264</v>
      </c>
      <c r="B339">
        <v>1</v>
      </c>
      <c r="C339" t="s">
        <v>5</v>
      </c>
      <c r="D339">
        <v>251</v>
      </c>
      <c r="E339">
        <v>4419.7299999999996</v>
      </c>
    </row>
    <row r="340" spans="1:5" x14ac:dyDescent="0.25">
      <c r="A340" s="1">
        <v>45265</v>
      </c>
      <c r="B340">
        <v>1</v>
      </c>
      <c r="C340" t="s">
        <v>5</v>
      </c>
      <c r="D340">
        <v>240</v>
      </c>
      <c r="E340">
        <v>4578.75</v>
      </c>
    </row>
    <row r="341" spans="1:5" x14ac:dyDescent="0.25">
      <c r="A341" s="1">
        <v>45266</v>
      </c>
      <c r="B341">
        <v>1</v>
      </c>
      <c r="C341" t="s">
        <v>5</v>
      </c>
      <c r="D341">
        <v>308</v>
      </c>
      <c r="E341">
        <v>5949.16</v>
      </c>
    </row>
    <row r="342" spans="1:5" x14ac:dyDescent="0.25">
      <c r="A342" s="1">
        <v>45267</v>
      </c>
      <c r="B342">
        <v>1</v>
      </c>
      <c r="C342" t="s">
        <v>5</v>
      </c>
      <c r="D342">
        <v>229</v>
      </c>
      <c r="E342">
        <v>4540.71</v>
      </c>
    </row>
    <row r="343" spans="1:5" x14ac:dyDescent="0.25">
      <c r="A343" s="1">
        <v>45268</v>
      </c>
      <c r="B343">
        <v>1</v>
      </c>
      <c r="C343" t="s">
        <v>5</v>
      </c>
      <c r="D343">
        <v>261</v>
      </c>
      <c r="E343">
        <v>4544.2700000000004</v>
      </c>
    </row>
    <row r="344" spans="1:5" x14ac:dyDescent="0.25">
      <c r="A344" s="1">
        <v>45269</v>
      </c>
      <c r="B344">
        <v>1</v>
      </c>
      <c r="C344" t="s">
        <v>5</v>
      </c>
      <c r="D344">
        <v>317</v>
      </c>
      <c r="E344">
        <v>5435.43</v>
      </c>
    </row>
    <row r="345" spans="1:5" x14ac:dyDescent="0.25">
      <c r="A345" s="1">
        <v>45270</v>
      </c>
      <c r="B345">
        <v>1</v>
      </c>
      <c r="C345" t="s">
        <v>5</v>
      </c>
      <c r="D345">
        <v>332</v>
      </c>
      <c r="E345">
        <v>6091.8</v>
      </c>
    </row>
    <row r="346" spans="1:5" x14ac:dyDescent="0.25">
      <c r="A346" s="1">
        <v>45271</v>
      </c>
      <c r="B346">
        <v>1</v>
      </c>
      <c r="C346" t="s">
        <v>5</v>
      </c>
      <c r="D346">
        <v>224</v>
      </c>
      <c r="E346">
        <v>4209.74</v>
      </c>
    </row>
    <row r="347" spans="1:5" x14ac:dyDescent="0.25">
      <c r="A347" s="1">
        <v>45272</v>
      </c>
      <c r="B347">
        <v>1</v>
      </c>
      <c r="C347" t="s">
        <v>5</v>
      </c>
      <c r="D347">
        <v>302</v>
      </c>
      <c r="E347">
        <v>5661.86</v>
      </c>
    </row>
    <row r="348" spans="1:5" x14ac:dyDescent="0.25">
      <c r="A348" s="1">
        <v>45273</v>
      </c>
      <c r="B348">
        <v>1</v>
      </c>
      <c r="C348" t="s">
        <v>5</v>
      </c>
      <c r="D348">
        <v>279</v>
      </c>
      <c r="E348">
        <v>5048.2</v>
      </c>
    </row>
    <row r="349" spans="1:5" x14ac:dyDescent="0.25">
      <c r="A349" s="1">
        <v>45274</v>
      </c>
      <c r="B349">
        <v>1</v>
      </c>
      <c r="C349" t="s">
        <v>5</v>
      </c>
      <c r="D349">
        <v>219</v>
      </c>
      <c r="E349">
        <v>4146.1099999999997</v>
      </c>
    </row>
    <row r="350" spans="1:5" x14ac:dyDescent="0.25">
      <c r="A350" s="1">
        <v>45275</v>
      </c>
      <c r="B350">
        <v>1</v>
      </c>
      <c r="C350" t="s">
        <v>5</v>
      </c>
      <c r="D350">
        <v>227</v>
      </c>
      <c r="E350">
        <v>4544.1099999999997</v>
      </c>
    </row>
    <row r="351" spans="1:5" x14ac:dyDescent="0.25">
      <c r="A351" s="1">
        <v>45276</v>
      </c>
      <c r="B351">
        <v>1</v>
      </c>
      <c r="C351" t="s">
        <v>5</v>
      </c>
      <c r="D351">
        <v>315</v>
      </c>
      <c r="E351">
        <v>5093.63</v>
      </c>
    </row>
    <row r="352" spans="1:5" x14ac:dyDescent="0.25">
      <c r="A352" s="1">
        <v>45277</v>
      </c>
      <c r="B352">
        <v>1</v>
      </c>
      <c r="C352" t="s">
        <v>5</v>
      </c>
      <c r="D352">
        <v>285</v>
      </c>
      <c r="E352">
        <v>5302.86</v>
      </c>
    </row>
    <row r="353" spans="1:5" x14ac:dyDescent="0.25">
      <c r="A353" s="1">
        <v>45278</v>
      </c>
      <c r="B353">
        <v>1</v>
      </c>
      <c r="C353" t="s">
        <v>5</v>
      </c>
      <c r="D353">
        <v>215</v>
      </c>
      <c r="E353">
        <v>4115.13</v>
      </c>
    </row>
    <row r="354" spans="1:5" x14ac:dyDescent="0.25">
      <c r="A354" s="1">
        <v>45279</v>
      </c>
      <c r="B354">
        <v>1</v>
      </c>
      <c r="C354" t="s">
        <v>5</v>
      </c>
      <c r="D354">
        <v>234</v>
      </c>
      <c r="E354">
        <v>4485.12</v>
      </c>
    </row>
    <row r="355" spans="1:5" x14ac:dyDescent="0.25">
      <c r="A355" s="1">
        <v>45280</v>
      </c>
      <c r="B355">
        <v>1</v>
      </c>
      <c r="C355" t="s">
        <v>5</v>
      </c>
      <c r="D355">
        <v>290</v>
      </c>
      <c r="E355">
        <v>5598.24</v>
      </c>
    </row>
    <row r="356" spans="1:5" x14ac:dyDescent="0.25">
      <c r="A356" s="1">
        <v>45281</v>
      </c>
      <c r="B356">
        <v>1</v>
      </c>
      <c r="C356" t="s">
        <v>5</v>
      </c>
      <c r="D356">
        <v>230</v>
      </c>
      <c r="E356">
        <v>4008.45</v>
      </c>
    </row>
    <row r="357" spans="1:5" x14ac:dyDescent="0.25">
      <c r="A357" s="1">
        <v>45282</v>
      </c>
      <c r="B357">
        <v>1</v>
      </c>
      <c r="C357" t="s">
        <v>5</v>
      </c>
      <c r="D357">
        <v>268</v>
      </c>
      <c r="E357">
        <v>4949.34</v>
      </c>
    </row>
    <row r="358" spans="1:5" x14ac:dyDescent="0.25">
      <c r="A358" s="1">
        <v>45283</v>
      </c>
      <c r="B358">
        <v>1</v>
      </c>
      <c r="C358" t="s">
        <v>5</v>
      </c>
      <c r="D358">
        <v>280</v>
      </c>
      <c r="E358">
        <v>4947.78</v>
      </c>
    </row>
    <row r="359" spans="1:5" x14ac:dyDescent="0.25">
      <c r="A359" s="1">
        <v>45284</v>
      </c>
      <c r="B359">
        <v>1</v>
      </c>
      <c r="C359" t="s">
        <v>5</v>
      </c>
      <c r="D359">
        <v>261</v>
      </c>
      <c r="E359">
        <v>4378.29</v>
      </c>
    </row>
    <row r="360" spans="1:5" x14ac:dyDescent="0.25">
      <c r="A360" s="1">
        <v>45285</v>
      </c>
      <c r="B360">
        <v>1</v>
      </c>
      <c r="C360" t="s">
        <v>5</v>
      </c>
      <c r="D360">
        <v>251</v>
      </c>
      <c r="E360">
        <v>4865.9399999999996</v>
      </c>
    </row>
    <row r="361" spans="1:5" x14ac:dyDescent="0.25">
      <c r="A361" s="1">
        <v>45286</v>
      </c>
      <c r="B361">
        <v>1</v>
      </c>
      <c r="C361" t="s">
        <v>5</v>
      </c>
      <c r="D361">
        <v>197</v>
      </c>
      <c r="E361">
        <v>3749.65</v>
      </c>
    </row>
    <row r="362" spans="1:5" x14ac:dyDescent="0.25">
      <c r="A362" s="1">
        <v>45287</v>
      </c>
      <c r="B362">
        <v>1</v>
      </c>
      <c r="C362" t="s">
        <v>5</v>
      </c>
      <c r="D362">
        <v>268</v>
      </c>
      <c r="E362">
        <v>5522.61</v>
      </c>
    </row>
    <row r="363" spans="1:5" x14ac:dyDescent="0.25">
      <c r="A363" s="1">
        <v>45288</v>
      </c>
      <c r="B363">
        <v>1</v>
      </c>
      <c r="C363" t="s">
        <v>5</v>
      </c>
      <c r="D363">
        <v>187</v>
      </c>
      <c r="E363">
        <v>3298.56</v>
      </c>
    </row>
    <row r="364" spans="1:5" x14ac:dyDescent="0.25">
      <c r="A364" s="1">
        <v>45289</v>
      </c>
      <c r="B364">
        <v>1</v>
      </c>
      <c r="C364" t="s">
        <v>5</v>
      </c>
      <c r="D364">
        <v>253</v>
      </c>
      <c r="E364">
        <v>5082.57</v>
      </c>
    </row>
    <row r="365" spans="1:5" x14ac:dyDescent="0.25">
      <c r="A365" s="1">
        <v>45290</v>
      </c>
      <c r="B365">
        <v>1</v>
      </c>
      <c r="C365" t="s">
        <v>5</v>
      </c>
      <c r="D365">
        <v>283</v>
      </c>
      <c r="E365">
        <v>5336.93</v>
      </c>
    </row>
    <row r="366" spans="1:5" x14ac:dyDescent="0.25">
      <c r="A366" s="1">
        <v>45291</v>
      </c>
      <c r="B366">
        <v>1</v>
      </c>
      <c r="C366" t="s">
        <v>5</v>
      </c>
      <c r="D366">
        <v>267</v>
      </c>
      <c r="E366">
        <v>4660.6899999999996</v>
      </c>
    </row>
    <row r="367" spans="1:5" x14ac:dyDescent="0.25">
      <c r="A367" s="1">
        <v>45292</v>
      </c>
      <c r="B367">
        <v>1</v>
      </c>
      <c r="C367" t="s">
        <v>5</v>
      </c>
      <c r="D367">
        <v>224</v>
      </c>
      <c r="E367">
        <v>3936.85</v>
      </c>
    </row>
    <row r="368" spans="1:5" x14ac:dyDescent="0.25">
      <c r="A368" s="1">
        <v>45293</v>
      </c>
      <c r="B368">
        <v>1</v>
      </c>
      <c r="C368" t="s">
        <v>5</v>
      </c>
      <c r="D368">
        <v>241</v>
      </c>
      <c r="E368">
        <v>4388.3900000000003</v>
      </c>
    </row>
    <row r="369" spans="1:5" x14ac:dyDescent="0.25">
      <c r="A369" s="1">
        <v>45294</v>
      </c>
      <c r="B369">
        <v>1</v>
      </c>
      <c r="C369" t="s">
        <v>5</v>
      </c>
      <c r="D369">
        <v>230</v>
      </c>
      <c r="E369">
        <v>4218.71</v>
      </c>
    </row>
    <row r="370" spans="1:5" x14ac:dyDescent="0.25">
      <c r="A370" s="1">
        <v>45295</v>
      </c>
      <c r="B370">
        <v>1</v>
      </c>
      <c r="C370" t="s">
        <v>5</v>
      </c>
      <c r="D370">
        <v>221</v>
      </c>
      <c r="E370">
        <v>4057.52</v>
      </c>
    </row>
    <row r="371" spans="1:5" x14ac:dyDescent="0.25">
      <c r="A371" s="1">
        <v>45296</v>
      </c>
      <c r="B371">
        <v>1</v>
      </c>
      <c r="C371" t="s">
        <v>5</v>
      </c>
      <c r="D371">
        <v>242</v>
      </c>
      <c r="E371">
        <v>4407.95</v>
      </c>
    </row>
    <row r="372" spans="1:5" x14ac:dyDescent="0.25">
      <c r="A372" s="1">
        <v>45297</v>
      </c>
      <c r="B372">
        <v>1</v>
      </c>
      <c r="C372" t="s">
        <v>5</v>
      </c>
      <c r="D372">
        <v>296</v>
      </c>
      <c r="E372">
        <v>5852.98</v>
      </c>
    </row>
    <row r="373" spans="1:5" x14ac:dyDescent="0.25">
      <c r="A373" s="1">
        <v>45298</v>
      </c>
      <c r="B373">
        <v>1</v>
      </c>
      <c r="C373" t="s">
        <v>5</v>
      </c>
      <c r="D373">
        <v>285</v>
      </c>
      <c r="E373">
        <v>5750.89</v>
      </c>
    </row>
    <row r="374" spans="1:5" x14ac:dyDescent="0.25">
      <c r="A374" s="1">
        <v>45299</v>
      </c>
      <c r="B374">
        <v>1</v>
      </c>
      <c r="C374" t="s">
        <v>5</v>
      </c>
      <c r="D374">
        <v>213</v>
      </c>
      <c r="E374">
        <v>3858.66</v>
      </c>
    </row>
    <row r="375" spans="1:5" x14ac:dyDescent="0.25">
      <c r="A375" s="1">
        <v>45300</v>
      </c>
      <c r="B375">
        <v>1</v>
      </c>
      <c r="C375" t="s">
        <v>5</v>
      </c>
      <c r="D375">
        <v>250</v>
      </c>
      <c r="E375">
        <v>4349.91</v>
      </c>
    </row>
    <row r="376" spans="1:5" x14ac:dyDescent="0.25">
      <c r="A376" s="1">
        <v>45301</v>
      </c>
      <c r="B376">
        <v>1</v>
      </c>
      <c r="C376" t="s">
        <v>5</v>
      </c>
      <c r="D376">
        <v>271</v>
      </c>
      <c r="E376">
        <v>5034.05</v>
      </c>
    </row>
    <row r="377" spans="1:5" x14ac:dyDescent="0.25">
      <c r="A377" s="1">
        <v>45302</v>
      </c>
      <c r="B377">
        <v>1</v>
      </c>
      <c r="C377" t="s">
        <v>5</v>
      </c>
      <c r="D377">
        <v>236</v>
      </c>
      <c r="E377">
        <v>4136.0200000000004</v>
      </c>
    </row>
    <row r="378" spans="1:5" x14ac:dyDescent="0.25">
      <c r="A378" s="1">
        <v>45303</v>
      </c>
      <c r="B378">
        <v>1</v>
      </c>
      <c r="C378" t="s">
        <v>5</v>
      </c>
      <c r="D378">
        <v>263</v>
      </c>
      <c r="E378">
        <v>4749.59</v>
      </c>
    </row>
    <row r="379" spans="1:5" x14ac:dyDescent="0.25">
      <c r="A379" s="1">
        <v>45304</v>
      </c>
      <c r="B379">
        <v>1</v>
      </c>
      <c r="C379" t="s">
        <v>5</v>
      </c>
      <c r="D379">
        <v>269</v>
      </c>
      <c r="E379">
        <v>4943.2</v>
      </c>
    </row>
    <row r="380" spans="1:5" x14ac:dyDescent="0.25">
      <c r="A380" s="1">
        <v>45305</v>
      </c>
      <c r="B380">
        <v>1</v>
      </c>
      <c r="C380" t="s">
        <v>5</v>
      </c>
      <c r="D380">
        <v>246</v>
      </c>
      <c r="E380">
        <v>4433.2299999999996</v>
      </c>
    </row>
    <row r="381" spans="1:5" x14ac:dyDescent="0.25">
      <c r="A381" s="1">
        <v>45306</v>
      </c>
      <c r="B381">
        <v>1</v>
      </c>
      <c r="C381" t="s">
        <v>5</v>
      </c>
      <c r="D381">
        <v>223</v>
      </c>
      <c r="E381">
        <v>4120.47</v>
      </c>
    </row>
    <row r="382" spans="1:5" x14ac:dyDescent="0.25">
      <c r="A382" s="1">
        <v>45307</v>
      </c>
      <c r="B382">
        <v>1</v>
      </c>
      <c r="C382" t="s">
        <v>5</v>
      </c>
      <c r="D382">
        <v>260</v>
      </c>
      <c r="E382">
        <v>4831.4799999999996</v>
      </c>
    </row>
    <row r="383" spans="1:5" x14ac:dyDescent="0.25">
      <c r="A383" s="1">
        <v>45308</v>
      </c>
      <c r="B383">
        <v>1</v>
      </c>
      <c r="C383" t="s">
        <v>5</v>
      </c>
      <c r="D383">
        <v>242</v>
      </c>
      <c r="E383">
        <v>4810.92</v>
      </c>
    </row>
    <row r="384" spans="1:5" x14ac:dyDescent="0.25">
      <c r="A384" s="1">
        <v>45309</v>
      </c>
      <c r="B384">
        <v>1</v>
      </c>
      <c r="C384" t="s">
        <v>5</v>
      </c>
      <c r="D384">
        <v>246</v>
      </c>
      <c r="E384">
        <v>4036.01</v>
      </c>
    </row>
    <row r="385" spans="1:5" x14ac:dyDescent="0.25">
      <c r="A385" s="1">
        <v>45310</v>
      </c>
      <c r="B385">
        <v>1</v>
      </c>
      <c r="C385" t="s">
        <v>5</v>
      </c>
      <c r="D385">
        <v>202</v>
      </c>
      <c r="E385">
        <v>3328.32</v>
      </c>
    </row>
    <row r="386" spans="1:5" x14ac:dyDescent="0.25">
      <c r="A386" s="1">
        <v>45311</v>
      </c>
      <c r="B386">
        <v>1</v>
      </c>
      <c r="C386" t="s">
        <v>5</v>
      </c>
      <c r="D386">
        <v>361</v>
      </c>
      <c r="E386">
        <v>6966.1</v>
      </c>
    </row>
    <row r="387" spans="1:5" x14ac:dyDescent="0.25">
      <c r="A387" s="1">
        <v>45312</v>
      </c>
      <c r="B387">
        <v>1</v>
      </c>
      <c r="C387" t="s">
        <v>5</v>
      </c>
      <c r="D387">
        <v>249</v>
      </c>
      <c r="E387">
        <v>5037.53</v>
      </c>
    </row>
    <row r="388" spans="1:5" x14ac:dyDescent="0.25">
      <c r="A388" s="1">
        <v>45313</v>
      </c>
      <c r="B388">
        <v>1</v>
      </c>
      <c r="C388" t="s">
        <v>5</v>
      </c>
      <c r="D388">
        <v>218</v>
      </c>
      <c r="E388">
        <v>4168.97</v>
      </c>
    </row>
    <row r="389" spans="1:5" x14ac:dyDescent="0.25">
      <c r="A389" s="1">
        <v>45314</v>
      </c>
      <c r="B389">
        <v>1</v>
      </c>
      <c r="C389" t="s">
        <v>5</v>
      </c>
      <c r="D389">
        <v>239</v>
      </c>
      <c r="E389">
        <v>4463.25</v>
      </c>
    </row>
    <row r="390" spans="1:5" x14ac:dyDescent="0.25">
      <c r="A390" s="1">
        <v>45315</v>
      </c>
      <c r="B390">
        <v>1</v>
      </c>
      <c r="C390" t="s">
        <v>5</v>
      </c>
      <c r="D390">
        <v>217</v>
      </c>
      <c r="E390">
        <v>4287.29</v>
      </c>
    </row>
    <row r="391" spans="1:5" x14ac:dyDescent="0.25">
      <c r="A391" s="1">
        <v>45316</v>
      </c>
      <c r="B391">
        <v>1</v>
      </c>
      <c r="C391" t="s">
        <v>5</v>
      </c>
      <c r="D391">
        <v>249</v>
      </c>
      <c r="E391">
        <v>4466.66</v>
      </c>
    </row>
    <row r="392" spans="1:5" x14ac:dyDescent="0.25">
      <c r="A392" s="1">
        <v>45317</v>
      </c>
      <c r="B392">
        <v>1</v>
      </c>
      <c r="C392" t="s">
        <v>5</v>
      </c>
      <c r="D392">
        <v>224</v>
      </c>
      <c r="E392">
        <v>3874.09</v>
      </c>
    </row>
    <row r="393" spans="1:5" x14ac:dyDescent="0.25">
      <c r="A393" s="1">
        <v>45318</v>
      </c>
      <c r="B393">
        <v>1</v>
      </c>
      <c r="C393" t="s">
        <v>5</v>
      </c>
      <c r="D393">
        <v>258</v>
      </c>
      <c r="E393">
        <v>4854.6000000000004</v>
      </c>
    </row>
    <row r="394" spans="1:5" x14ac:dyDescent="0.25">
      <c r="A394" s="1">
        <v>45319</v>
      </c>
      <c r="B394">
        <v>1</v>
      </c>
      <c r="C394" t="s">
        <v>5</v>
      </c>
      <c r="D394">
        <v>254</v>
      </c>
      <c r="E394">
        <v>4540.74</v>
      </c>
    </row>
    <row r="395" spans="1:5" x14ac:dyDescent="0.25">
      <c r="A395" s="1">
        <v>45320</v>
      </c>
      <c r="B395">
        <v>1</v>
      </c>
      <c r="C395" t="s">
        <v>5</v>
      </c>
      <c r="D395">
        <v>221</v>
      </c>
      <c r="E395">
        <v>4165.3500000000004</v>
      </c>
    </row>
    <row r="396" spans="1:5" x14ac:dyDescent="0.25">
      <c r="A396" s="1">
        <v>45321</v>
      </c>
      <c r="B396">
        <v>1</v>
      </c>
      <c r="C396" t="s">
        <v>5</v>
      </c>
      <c r="D396">
        <v>190</v>
      </c>
      <c r="E396">
        <v>3487.72</v>
      </c>
    </row>
    <row r="397" spans="1:5" x14ac:dyDescent="0.25">
      <c r="A397" s="1">
        <v>45322</v>
      </c>
      <c r="B397">
        <v>1</v>
      </c>
      <c r="C397" t="s">
        <v>5</v>
      </c>
      <c r="D397">
        <v>235</v>
      </c>
      <c r="E397">
        <v>4430.6499999999996</v>
      </c>
    </row>
    <row r="398" spans="1:5" x14ac:dyDescent="0.25">
      <c r="A398" s="1">
        <v>45323</v>
      </c>
      <c r="B398">
        <v>1</v>
      </c>
      <c r="C398" t="s">
        <v>5</v>
      </c>
      <c r="D398">
        <v>237</v>
      </c>
      <c r="E398">
        <v>4266.01</v>
      </c>
    </row>
    <row r="399" spans="1:5" x14ac:dyDescent="0.25">
      <c r="A399" s="1">
        <v>45324</v>
      </c>
      <c r="B399">
        <v>1</v>
      </c>
      <c r="C399" t="s">
        <v>5</v>
      </c>
      <c r="D399">
        <v>232</v>
      </c>
      <c r="E399">
        <v>4299.08</v>
      </c>
    </row>
    <row r="400" spans="1:5" x14ac:dyDescent="0.25">
      <c r="A400" s="1">
        <v>45325</v>
      </c>
      <c r="B400">
        <v>1</v>
      </c>
      <c r="C400" t="s">
        <v>5</v>
      </c>
      <c r="D400">
        <v>275</v>
      </c>
      <c r="E400">
        <v>5187.8599999999997</v>
      </c>
    </row>
    <row r="401" spans="1:5" x14ac:dyDescent="0.25">
      <c r="A401" s="1">
        <v>45326</v>
      </c>
      <c r="B401">
        <v>1</v>
      </c>
      <c r="C401" t="s">
        <v>5</v>
      </c>
      <c r="D401">
        <v>220</v>
      </c>
      <c r="E401">
        <v>3868.01</v>
      </c>
    </row>
    <row r="402" spans="1:5" x14ac:dyDescent="0.25">
      <c r="A402" s="1">
        <v>45327</v>
      </c>
      <c r="B402">
        <v>1</v>
      </c>
      <c r="C402" t="s">
        <v>5</v>
      </c>
      <c r="D402">
        <v>213</v>
      </c>
      <c r="E402">
        <v>4194.88</v>
      </c>
    </row>
    <row r="403" spans="1:5" x14ac:dyDescent="0.25">
      <c r="A403" s="1">
        <v>45328</v>
      </c>
      <c r="B403">
        <v>1</v>
      </c>
      <c r="C403" t="s">
        <v>5</v>
      </c>
      <c r="D403">
        <v>205</v>
      </c>
      <c r="E403">
        <v>3768.48</v>
      </c>
    </row>
    <row r="404" spans="1:5" x14ac:dyDescent="0.25">
      <c r="A404" s="1">
        <v>45329</v>
      </c>
      <c r="B404">
        <v>1</v>
      </c>
      <c r="C404" t="s">
        <v>5</v>
      </c>
      <c r="D404">
        <v>235</v>
      </c>
      <c r="E404">
        <v>4725.84</v>
      </c>
    </row>
    <row r="405" spans="1:5" x14ac:dyDescent="0.25">
      <c r="A405" s="1">
        <v>45330</v>
      </c>
      <c r="B405">
        <v>1</v>
      </c>
      <c r="C405" t="s">
        <v>5</v>
      </c>
      <c r="D405">
        <v>213</v>
      </c>
      <c r="E405">
        <v>4102.28</v>
      </c>
    </row>
    <row r="406" spans="1:5" x14ac:dyDescent="0.25">
      <c r="A406" s="1">
        <v>45331</v>
      </c>
      <c r="B406">
        <v>1</v>
      </c>
      <c r="C406" t="s">
        <v>5</v>
      </c>
      <c r="D406">
        <v>213</v>
      </c>
      <c r="E406">
        <v>4004.03</v>
      </c>
    </row>
    <row r="407" spans="1:5" x14ac:dyDescent="0.25">
      <c r="A407" s="1">
        <v>45332</v>
      </c>
      <c r="B407">
        <v>1</v>
      </c>
      <c r="C407" t="s">
        <v>5</v>
      </c>
      <c r="D407">
        <v>274</v>
      </c>
      <c r="E407">
        <v>5010.63</v>
      </c>
    </row>
    <row r="408" spans="1:5" x14ac:dyDescent="0.25">
      <c r="A408" s="1">
        <v>45333</v>
      </c>
      <c r="B408">
        <v>1</v>
      </c>
      <c r="C408" t="s">
        <v>5</v>
      </c>
      <c r="D408">
        <v>256</v>
      </c>
      <c r="E408">
        <v>4604.8100000000004</v>
      </c>
    </row>
    <row r="409" spans="1:5" x14ac:dyDescent="0.25">
      <c r="A409" s="1">
        <v>45334</v>
      </c>
      <c r="B409">
        <v>1</v>
      </c>
      <c r="C409" t="s">
        <v>5</v>
      </c>
      <c r="D409">
        <v>219</v>
      </c>
      <c r="E409">
        <v>4054.42</v>
      </c>
    </row>
    <row r="410" spans="1:5" x14ac:dyDescent="0.25">
      <c r="A410" s="1">
        <v>45335</v>
      </c>
      <c r="B410">
        <v>1</v>
      </c>
      <c r="C410" t="s">
        <v>5</v>
      </c>
      <c r="D410">
        <v>184</v>
      </c>
      <c r="E410">
        <v>3180.54</v>
      </c>
    </row>
    <row r="411" spans="1:5" x14ac:dyDescent="0.25">
      <c r="A411" s="1">
        <v>45336</v>
      </c>
      <c r="B411">
        <v>1</v>
      </c>
      <c r="C411" t="s">
        <v>5</v>
      </c>
      <c r="D411">
        <v>211</v>
      </c>
      <c r="E411">
        <v>3602.85</v>
      </c>
    </row>
    <row r="412" spans="1:5" x14ac:dyDescent="0.25">
      <c r="A412" s="1">
        <v>45337</v>
      </c>
      <c r="B412">
        <v>1</v>
      </c>
      <c r="C412" t="s">
        <v>5</v>
      </c>
      <c r="D412">
        <v>238</v>
      </c>
      <c r="E412">
        <v>4599.18</v>
      </c>
    </row>
    <row r="413" spans="1:5" x14ac:dyDescent="0.25">
      <c r="A413" s="1">
        <v>45338</v>
      </c>
      <c r="B413">
        <v>1</v>
      </c>
      <c r="C413" t="s">
        <v>5</v>
      </c>
      <c r="D413">
        <v>197</v>
      </c>
      <c r="E413">
        <v>3557.25</v>
      </c>
    </row>
    <row r="414" spans="1:5" x14ac:dyDescent="0.25">
      <c r="A414" s="1">
        <v>45339</v>
      </c>
      <c r="B414">
        <v>1</v>
      </c>
      <c r="C414" t="s">
        <v>5</v>
      </c>
      <c r="D414">
        <v>286</v>
      </c>
      <c r="E414">
        <v>5443.51</v>
      </c>
    </row>
    <row r="415" spans="1:5" x14ac:dyDescent="0.25">
      <c r="A415" s="1">
        <v>45340</v>
      </c>
      <c r="B415">
        <v>1</v>
      </c>
      <c r="C415" t="s">
        <v>5</v>
      </c>
      <c r="D415">
        <v>274</v>
      </c>
      <c r="E415">
        <v>4867.79</v>
      </c>
    </row>
    <row r="416" spans="1:5" x14ac:dyDescent="0.25">
      <c r="A416" s="1">
        <v>45341</v>
      </c>
      <c r="B416">
        <v>1</v>
      </c>
      <c r="C416" t="s">
        <v>5</v>
      </c>
      <c r="D416">
        <v>207</v>
      </c>
      <c r="E416">
        <v>3861.34</v>
      </c>
    </row>
    <row r="417" spans="1:5" x14ac:dyDescent="0.25">
      <c r="A417" s="1">
        <v>45342</v>
      </c>
      <c r="B417">
        <v>1</v>
      </c>
      <c r="C417" t="s">
        <v>5</v>
      </c>
      <c r="D417">
        <v>242</v>
      </c>
      <c r="E417">
        <v>4486.22</v>
      </c>
    </row>
    <row r="418" spans="1:5" x14ac:dyDescent="0.25">
      <c r="A418" s="1">
        <v>45343</v>
      </c>
      <c r="B418">
        <v>1</v>
      </c>
      <c r="C418" t="s">
        <v>5</v>
      </c>
      <c r="D418">
        <v>214</v>
      </c>
      <c r="E418">
        <v>4134.96</v>
      </c>
    </row>
    <row r="419" spans="1:5" x14ac:dyDescent="0.25">
      <c r="A419" s="1">
        <v>45344</v>
      </c>
      <c r="B419">
        <v>1</v>
      </c>
      <c r="C419" t="s">
        <v>5</v>
      </c>
      <c r="D419">
        <v>243</v>
      </c>
      <c r="E419">
        <v>4565.5200000000004</v>
      </c>
    </row>
    <row r="420" spans="1:5" x14ac:dyDescent="0.25">
      <c r="A420" s="1">
        <v>45345</v>
      </c>
      <c r="B420">
        <v>1</v>
      </c>
      <c r="C420" t="s">
        <v>5</v>
      </c>
      <c r="D420">
        <v>223</v>
      </c>
      <c r="E420">
        <v>4139.92</v>
      </c>
    </row>
    <row r="421" spans="1:5" x14ac:dyDescent="0.25">
      <c r="A421" s="1">
        <v>45346</v>
      </c>
      <c r="B421">
        <v>1</v>
      </c>
      <c r="C421" t="s">
        <v>5</v>
      </c>
      <c r="D421">
        <v>254</v>
      </c>
      <c r="E421">
        <v>4784.47</v>
      </c>
    </row>
    <row r="422" spans="1:5" x14ac:dyDescent="0.25">
      <c r="A422" s="1">
        <v>45347</v>
      </c>
      <c r="B422">
        <v>1</v>
      </c>
      <c r="C422" t="s">
        <v>5</v>
      </c>
      <c r="D422">
        <v>253</v>
      </c>
      <c r="E422">
        <v>4536.66</v>
      </c>
    </row>
    <row r="423" spans="1:5" x14ac:dyDescent="0.25">
      <c r="A423" s="1">
        <v>45348</v>
      </c>
      <c r="B423">
        <v>1</v>
      </c>
      <c r="C423" t="s">
        <v>5</v>
      </c>
      <c r="D423">
        <v>230</v>
      </c>
      <c r="E423">
        <v>4528.03</v>
      </c>
    </row>
    <row r="424" spans="1:5" x14ac:dyDescent="0.25">
      <c r="A424" s="1">
        <v>45349</v>
      </c>
      <c r="B424">
        <v>1</v>
      </c>
      <c r="C424" t="s">
        <v>5</v>
      </c>
      <c r="D424">
        <v>217</v>
      </c>
      <c r="E424">
        <v>4272.6099999999997</v>
      </c>
    </row>
    <row r="425" spans="1:5" x14ac:dyDescent="0.25">
      <c r="A425" s="1">
        <v>45350</v>
      </c>
      <c r="B425">
        <v>1</v>
      </c>
      <c r="C425" t="s">
        <v>5</v>
      </c>
      <c r="D425">
        <v>210</v>
      </c>
      <c r="E425">
        <v>3556.05</v>
      </c>
    </row>
    <row r="426" spans="1:5" x14ac:dyDescent="0.25">
      <c r="A426" s="1">
        <v>45351</v>
      </c>
      <c r="B426">
        <v>1</v>
      </c>
      <c r="C426" t="s">
        <v>5</v>
      </c>
      <c r="D426">
        <v>188</v>
      </c>
      <c r="E426">
        <v>3620.54</v>
      </c>
    </row>
    <row r="427" spans="1:5" x14ac:dyDescent="0.25">
      <c r="A427" s="1">
        <v>45352</v>
      </c>
      <c r="B427">
        <v>1</v>
      </c>
      <c r="C427" t="s">
        <v>5</v>
      </c>
      <c r="D427">
        <v>231</v>
      </c>
      <c r="E427">
        <v>4351.57</v>
      </c>
    </row>
    <row r="428" spans="1:5" x14ac:dyDescent="0.25">
      <c r="A428" s="1">
        <v>45353</v>
      </c>
      <c r="B428">
        <v>1</v>
      </c>
      <c r="C428" t="s">
        <v>5</v>
      </c>
      <c r="D428">
        <v>239</v>
      </c>
      <c r="E428">
        <v>4413.68</v>
      </c>
    </row>
    <row r="429" spans="1:5" x14ac:dyDescent="0.25">
      <c r="A429" s="1">
        <v>45354</v>
      </c>
      <c r="B429">
        <v>1</v>
      </c>
      <c r="C429" t="s">
        <v>5</v>
      </c>
      <c r="D429">
        <v>238</v>
      </c>
      <c r="E429">
        <v>4429.25</v>
      </c>
    </row>
    <row r="430" spans="1:5" x14ac:dyDescent="0.25">
      <c r="A430" s="1">
        <v>45355</v>
      </c>
      <c r="B430">
        <v>1</v>
      </c>
      <c r="C430" t="s">
        <v>5</v>
      </c>
      <c r="D430">
        <v>212</v>
      </c>
      <c r="E430">
        <v>4021.41</v>
      </c>
    </row>
    <row r="431" spans="1:5" x14ac:dyDescent="0.25">
      <c r="A431" s="1">
        <v>45356</v>
      </c>
      <c r="B431">
        <v>1</v>
      </c>
      <c r="C431" t="s">
        <v>5</v>
      </c>
      <c r="D431">
        <v>204</v>
      </c>
      <c r="E431">
        <v>3542.1</v>
      </c>
    </row>
    <row r="432" spans="1:5" x14ac:dyDescent="0.25">
      <c r="A432" s="1">
        <v>45357</v>
      </c>
      <c r="B432">
        <v>1</v>
      </c>
      <c r="C432" t="s">
        <v>5</v>
      </c>
      <c r="D432">
        <v>230</v>
      </c>
      <c r="E432">
        <v>4138.29</v>
      </c>
    </row>
    <row r="433" spans="1:5" x14ac:dyDescent="0.25">
      <c r="A433" s="1">
        <v>45358</v>
      </c>
      <c r="B433">
        <v>1</v>
      </c>
      <c r="C433" t="s">
        <v>5</v>
      </c>
      <c r="D433">
        <v>201</v>
      </c>
      <c r="E433">
        <v>3436.95</v>
      </c>
    </row>
    <row r="434" spans="1:5" x14ac:dyDescent="0.25">
      <c r="A434" s="1">
        <v>45359</v>
      </c>
      <c r="B434">
        <v>1</v>
      </c>
      <c r="C434" t="s">
        <v>5</v>
      </c>
      <c r="D434">
        <v>211</v>
      </c>
      <c r="E434">
        <v>4244.92</v>
      </c>
    </row>
    <row r="435" spans="1:5" x14ac:dyDescent="0.25">
      <c r="A435" s="1">
        <v>45360</v>
      </c>
      <c r="B435">
        <v>1</v>
      </c>
      <c r="C435" t="s">
        <v>5</v>
      </c>
      <c r="D435">
        <v>252</v>
      </c>
      <c r="E435">
        <v>4861.8500000000004</v>
      </c>
    </row>
    <row r="436" spans="1:5" x14ac:dyDescent="0.25">
      <c r="A436" s="1">
        <v>45361</v>
      </c>
      <c r="B436">
        <v>1</v>
      </c>
      <c r="C436" t="s">
        <v>5</v>
      </c>
      <c r="D436">
        <v>266</v>
      </c>
      <c r="E436">
        <v>5283.82</v>
      </c>
    </row>
    <row r="437" spans="1:5" x14ac:dyDescent="0.25">
      <c r="A437" s="1">
        <v>45362</v>
      </c>
      <c r="B437">
        <v>1</v>
      </c>
      <c r="C437" t="s">
        <v>5</v>
      </c>
      <c r="D437">
        <v>247</v>
      </c>
      <c r="E437">
        <v>4449.5600000000004</v>
      </c>
    </row>
    <row r="438" spans="1:5" x14ac:dyDescent="0.25">
      <c r="A438" s="1">
        <v>45363</v>
      </c>
      <c r="B438">
        <v>1</v>
      </c>
      <c r="C438" t="s">
        <v>5</v>
      </c>
      <c r="D438">
        <v>210</v>
      </c>
      <c r="E438">
        <v>3995.68</v>
      </c>
    </row>
    <row r="439" spans="1:5" x14ac:dyDescent="0.25">
      <c r="A439" s="1">
        <v>45364</v>
      </c>
      <c r="B439">
        <v>1</v>
      </c>
      <c r="C439" t="s">
        <v>5</v>
      </c>
      <c r="D439">
        <v>210</v>
      </c>
      <c r="E439">
        <v>3720.17</v>
      </c>
    </row>
    <row r="440" spans="1:5" x14ac:dyDescent="0.25">
      <c r="A440" s="1">
        <v>45365</v>
      </c>
      <c r="B440">
        <v>1</v>
      </c>
      <c r="C440" t="s">
        <v>5</v>
      </c>
      <c r="D440">
        <v>225</v>
      </c>
      <c r="E440">
        <v>4247.42</v>
      </c>
    </row>
    <row r="441" spans="1:5" x14ac:dyDescent="0.25">
      <c r="A441" s="1">
        <v>45366</v>
      </c>
      <c r="B441">
        <v>1</v>
      </c>
      <c r="C441" t="s">
        <v>5</v>
      </c>
      <c r="D441">
        <v>204</v>
      </c>
      <c r="E441">
        <v>3892.41</v>
      </c>
    </row>
    <row r="442" spans="1:5" x14ac:dyDescent="0.25">
      <c r="A442" s="1">
        <v>45367</v>
      </c>
      <c r="B442">
        <v>1</v>
      </c>
      <c r="C442" t="s">
        <v>5</v>
      </c>
      <c r="D442">
        <v>302</v>
      </c>
      <c r="E442">
        <v>5944.22</v>
      </c>
    </row>
    <row r="443" spans="1:5" x14ac:dyDescent="0.25">
      <c r="A443" s="1">
        <v>45368</v>
      </c>
      <c r="B443">
        <v>1</v>
      </c>
      <c r="C443" t="s">
        <v>5</v>
      </c>
      <c r="D443">
        <v>252</v>
      </c>
      <c r="E443">
        <v>4661.03</v>
      </c>
    </row>
    <row r="444" spans="1:5" x14ac:dyDescent="0.25">
      <c r="A444" s="1">
        <v>45369</v>
      </c>
      <c r="B444">
        <v>1</v>
      </c>
      <c r="C444" t="s">
        <v>5</v>
      </c>
      <c r="D444">
        <v>228</v>
      </c>
      <c r="E444">
        <v>4530.83</v>
      </c>
    </row>
    <row r="445" spans="1:5" x14ac:dyDescent="0.25">
      <c r="A445" s="1">
        <v>45370</v>
      </c>
      <c r="B445">
        <v>1</v>
      </c>
      <c r="C445" t="s">
        <v>5</v>
      </c>
      <c r="D445">
        <v>211</v>
      </c>
      <c r="E445">
        <v>3752.59</v>
      </c>
    </row>
    <row r="446" spans="1:5" x14ac:dyDescent="0.25">
      <c r="A446" s="1">
        <v>45371</v>
      </c>
      <c r="B446">
        <v>1</v>
      </c>
      <c r="C446" t="s">
        <v>5</v>
      </c>
      <c r="D446">
        <v>254</v>
      </c>
      <c r="E446">
        <v>4973.88</v>
      </c>
    </row>
    <row r="447" spans="1:5" x14ac:dyDescent="0.25">
      <c r="A447" s="1">
        <v>45372</v>
      </c>
      <c r="B447">
        <v>1</v>
      </c>
      <c r="C447" t="s">
        <v>5</v>
      </c>
      <c r="D447">
        <v>213</v>
      </c>
      <c r="E447">
        <v>3568.75</v>
      </c>
    </row>
    <row r="448" spans="1:5" x14ac:dyDescent="0.25">
      <c r="A448" s="1">
        <v>45373</v>
      </c>
      <c r="B448">
        <v>1</v>
      </c>
      <c r="C448" t="s">
        <v>5</v>
      </c>
      <c r="D448">
        <v>191</v>
      </c>
      <c r="E448">
        <v>3326.65</v>
      </c>
    </row>
    <row r="449" spans="1:5" x14ac:dyDescent="0.25">
      <c r="A449" s="1">
        <v>45374</v>
      </c>
      <c r="B449">
        <v>1</v>
      </c>
      <c r="C449" t="s">
        <v>5</v>
      </c>
      <c r="D449">
        <v>265</v>
      </c>
      <c r="E449">
        <v>5013.09</v>
      </c>
    </row>
    <row r="450" spans="1:5" x14ac:dyDescent="0.25">
      <c r="A450" s="1">
        <v>45375</v>
      </c>
      <c r="B450">
        <v>1</v>
      </c>
      <c r="C450" t="s">
        <v>5</v>
      </c>
      <c r="D450">
        <v>251</v>
      </c>
      <c r="E450">
        <v>4927.83</v>
      </c>
    </row>
    <row r="451" spans="1:5" x14ac:dyDescent="0.25">
      <c r="A451" s="1">
        <v>45376</v>
      </c>
      <c r="B451">
        <v>1</v>
      </c>
      <c r="C451" t="s">
        <v>5</v>
      </c>
      <c r="D451">
        <v>216</v>
      </c>
      <c r="E451">
        <v>3942.8</v>
      </c>
    </row>
    <row r="452" spans="1:5" x14ac:dyDescent="0.25">
      <c r="A452" s="1">
        <v>45377</v>
      </c>
      <c r="B452">
        <v>1</v>
      </c>
      <c r="C452" t="s">
        <v>5</v>
      </c>
      <c r="D452">
        <v>203</v>
      </c>
      <c r="E452">
        <v>3699.64</v>
      </c>
    </row>
    <row r="453" spans="1:5" x14ac:dyDescent="0.25">
      <c r="A453" s="1">
        <v>45378</v>
      </c>
      <c r="B453">
        <v>1</v>
      </c>
      <c r="C453" t="s">
        <v>5</v>
      </c>
      <c r="D453">
        <v>191</v>
      </c>
      <c r="E453">
        <v>3409.81</v>
      </c>
    </row>
    <row r="454" spans="1:5" x14ac:dyDescent="0.25">
      <c r="A454" s="1">
        <v>45379</v>
      </c>
      <c r="B454">
        <v>1</v>
      </c>
      <c r="C454" t="s">
        <v>5</v>
      </c>
      <c r="D454">
        <v>255</v>
      </c>
      <c r="E454">
        <v>4579.25</v>
      </c>
    </row>
    <row r="455" spans="1:5" x14ac:dyDescent="0.25">
      <c r="A455" s="1">
        <v>45380</v>
      </c>
      <c r="B455">
        <v>1</v>
      </c>
      <c r="C455" t="s">
        <v>5</v>
      </c>
      <c r="D455">
        <v>216</v>
      </c>
      <c r="E455">
        <v>3801.5</v>
      </c>
    </row>
    <row r="456" spans="1:5" x14ac:dyDescent="0.25">
      <c r="A456" s="1">
        <v>45381</v>
      </c>
      <c r="B456">
        <v>1</v>
      </c>
      <c r="C456" t="s">
        <v>5</v>
      </c>
      <c r="D456">
        <v>250</v>
      </c>
      <c r="E456">
        <v>4445.63</v>
      </c>
    </row>
    <row r="457" spans="1:5" x14ac:dyDescent="0.25">
      <c r="A457" s="1">
        <v>45382</v>
      </c>
      <c r="B457">
        <v>1</v>
      </c>
      <c r="C457" t="s">
        <v>5</v>
      </c>
      <c r="D457">
        <v>253</v>
      </c>
      <c r="E457">
        <v>4767.82</v>
      </c>
    </row>
    <row r="458" spans="1:5" x14ac:dyDescent="0.25">
      <c r="A458" s="1">
        <v>45383</v>
      </c>
      <c r="B458">
        <v>1</v>
      </c>
      <c r="C458" t="s">
        <v>5</v>
      </c>
      <c r="D458">
        <v>225</v>
      </c>
      <c r="E458">
        <v>4564.8999999999996</v>
      </c>
    </row>
    <row r="459" spans="1:5" x14ac:dyDescent="0.25">
      <c r="A459" s="1">
        <v>45384</v>
      </c>
      <c r="B459">
        <v>1</v>
      </c>
      <c r="C459" t="s">
        <v>5</v>
      </c>
      <c r="D459">
        <v>200</v>
      </c>
      <c r="E459">
        <v>3513.26</v>
      </c>
    </row>
    <row r="460" spans="1:5" x14ac:dyDescent="0.25">
      <c r="A460" s="1">
        <v>45385</v>
      </c>
      <c r="B460">
        <v>1</v>
      </c>
      <c r="C460" t="s">
        <v>5</v>
      </c>
      <c r="D460">
        <v>214</v>
      </c>
      <c r="E460">
        <v>3816.97</v>
      </c>
    </row>
    <row r="461" spans="1:5" x14ac:dyDescent="0.25">
      <c r="A461" s="1">
        <v>45386</v>
      </c>
      <c r="B461">
        <v>1</v>
      </c>
      <c r="C461" t="s">
        <v>5</v>
      </c>
      <c r="D461">
        <v>217</v>
      </c>
      <c r="E461">
        <v>4257.97</v>
      </c>
    </row>
    <row r="462" spans="1:5" x14ac:dyDescent="0.25">
      <c r="A462" s="1">
        <v>45387</v>
      </c>
      <c r="B462">
        <v>1</v>
      </c>
      <c r="C462" t="s">
        <v>5</v>
      </c>
      <c r="D462">
        <v>191</v>
      </c>
      <c r="E462">
        <v>3751.93</v>
      </c>
    </row>
    <row r="463" spans="1:5" x14ac:dyDescent="0.25">
      <c r="A463" s="1">
        <v>45388</v>
      </c>
      <c r="B463">
        <v>1</v>
      </c>
      <c r="C463" t="s">
        <v>5</v>
      </c>
      <c r="D463">
        <v>269</v>
      </c>
      <c r="E463">
        <v>5231.91</v>
      </c>
    </row>
    <row r="464" spans="1:5" x14ac:dyDescent="0.25">
      <c r="A464" s="1">
        <v>45389</v>
      </c>
      <c r="B464">
        <v>1</v>
      </c>
      <c r="C464" t="s">
        <v>5</v>
      </c>
      <c r="D464">
        <v>246</v>
      </c>
      <c r="E464">
        <v>4115.08</v>
      </c>
    </row>
    <row r="465" spans="1:5" x14ac:dyDescent="0.25">
      <c r="A465" s="1">
        <v>45390</v>
      </c>
      <c r="B465">
        <v>1</v>
      </c>
      <c r="C465" t="s">
        <v>5</v>
      </c>
      <c r="D465">
        <v>188</v>
      </c>
      <c r="E465">
        <v>3195.76</v>
      </c>
    </row>
    <row r="466" spans="1:5" x14ac:dyDescent="0.25">
      <c r="A466" s="1">
        <v>45391</v>
      </c>
      <c r="B466">
        <v>1</v>
      </c>
      <c r="C466" t="s">
        <v>5</v>
      </c>
      <c r="D466">
        <v>212</v>
      </c>
      <c r="E466">
        <v>3764.52</v>
      </c>
    </row>
    <row r="467" spans="1:5" x14ac:dyDescent="0.25">
      <c r="A467" s="1">
        <v>45392</v>
      </c>
      <c r="B467">
        <v>1</v>
      </c>
      <c r="C467" t="s">
        <v>5</v>
      </c>
      <c r="D467">
        <v>252</v>
      </c>
      <c r="E467">
        <v>4507.8500000000004</v>
      </c>
    </row>
    <row r="468" spans="1:5" x14ac:dyDescent="0.25">
      <c r="A468" s="1">
        <v>45393</v>
      </c>
      <c r="B468">
        <v>1</v>
      </c>
      <c r="C468" t="s">
        <v>5</v>
      </c>
      <c r="D468">
        <v>240</v>
      </c>
      <c r="E468">
        <v>4387.66</v>
      </c>
    </row>
    <row r="469" spans="1:5" x14ac:dyDescent="0.25">
      <c r="A469" s="1">
        <v>45394</v>
      </c>
      <c r="B469">
        <v>1</v>
      </c>
      <c r="C469" t="s">
        <v>5</v>
      </c>
      <c r="D469">
        <v>214</v>
      </c>
      <c r="E469">
        <v>3971.37</v>
      </c>
    </row>
    <row r="470" spans="1:5" x14ac:dyDescent="0.25">
      <c r="A470" s="1">
        <v>45395</v>
      </c>
      <c r="B470">
        <v>1</v>
      </c>
      <c r="C470" t="s">
        <v>5</v>
      </c>
      <c r="D470">
        <v>259</v>
      </c>
      <c r="E470">
        <v>4661.9799999999996</v>
      </c>
    </row>
    <row r="471" spans="1:5" x14ac:dyDescent="0.25">
      <c r="A471" s="1">
        <v>45396</v>
      </c>
      <c r="B471">
        <v>1</v>
      </c>
      <c r="C471" t="s">
        <v>5</v>
      </c>
      <c r="D471">
        <v>278</v>
      </c>
      <c r="E471">
        <v>5202.8599999999997</v>
      </c>
    </row>
    <row r="472" spans="1:5" x14ac:dyDescent="0.25">
      <c r="A472" s="1">
        <v>45397</v>
      </c>
      <c r="B472">
        <v>1</v>
      </c>
      <c r="C472" t="s">
        <v>5</v>
      </c>
      <c r="D472">
        <v>202</v>
      </c>
      <c r="E472">
        <v>3637.99</v>
      </c>
    </row>
    <row r="473" spans="1:5" x14ac:dyDescent="0.25">
      <c r="A473" s="1">
        <v>45398</v>
      </c>
      <c r="B473">
        <v>1</v>
      </c>
      <c r="C473" t="s">
        <v>5</v>
      </c>
      <c r="D473">
        <v>201</v>
      </c>
      <c r="E473">
        <v>3402.02</v>
      </c>
    </row>
    <row r="474" spans="1:5" x14ac:dyDescent="0.25">
      <c r="A474" s="1">
        <v>45399</v>
      </c>
      <c r="B474">
        <v>1</v>
      </c>
      <c r="C474" t="s">
        <v>5</v>
      </c>
      <c r="D474">
        <v>218</v>
      </c>
      <c r="E474">
        <v>4377.6499999999996</v>
      </c>
    </row>
    <row r="475" spans="1:5" x14ac:dyDescent="0.25">
      <c r="A475" s="1">
        <v>45400</v>
      </c>
      <c r="B475">
        <v>1</v>
      </c>
      <c r="C475" t="s">
        <v>5</v>
      </c>
      <c r="D475">
        <v>215</v>
      </c>
      <c r="E475">
        <v>3839.38</v>
      </c>
    </row>
    <row r="476" spans="1:5" x14ac:dyDescent="0.25">
      <c r="A476" s="1">
        <v>45401</v>
      </c>
      <c r="B476">
        <v>1</v>
      </c>
      <c r="C476" t="s">
        <v>5</v>
      </c>
      <c r="D476">
        <v>242</v>
      </c>
      <c r="E476">
        <v>4379.63</v>
      </c>
    </row>
    <row r="477" spans="1:5" x14ac:dyDescent="0.25">
      <c r="A477" s="1">
        <v>45402</v>
      </c>
      <c r="B477">
        <v>1</v>
      </c>
      <c r="C477" t="s">
        <v>5</v>
      </c>
      <c r="D477">
        <v>274</v>
      </c>
      <c r="E477">
        <v>4815.67</v>
      </c>
    </row>
    <row r="478" spans="1:5" x14ac:dyDescent="0.25">
      <c r="A478" s="1">
        <v>45403</v>
      </c>
      <c r="B478">
        <v>1</v>
      </c>
      <c r="C478" t="s">
        <v>5</v>
      </c>
      <c r="D478">
        <v>221</v>
      </c>
      <c r="E478">
        <v>4105.72</v>
      </c>
    </row>
    <row r="479" spans="1:5" x14ac:dyDescent="0.25">
      <c r="A479" s="1">
        <v>45404</v>
      </c>
      <c r="B479">
        <v>1</v>
      </c>
      <c r="C479" t="s">
        <v>5</v>
      </c>
      <c r="D479">
        <v>230</v>
      </c>
      <c r="E479">
        <v>4285.38</v>
      </c>
    </row>
    <row r="480" spans="1:5" x14ac:dyDescent="0.25">
      <c r="A480" s="1">
        <v>45405</v>
      </c>
      <c r="B480">
        <v>1</v>
      </c>
      <c r="C480" t="s">
        <v>5</v>
      </c>
      <c r="D480">
        <v>218</v>
      </c>
      <c r="E480">
        <v>3718.47</v>
      </c>
    </row>
    <row r="481" spans="1:5" x14ac:dyDescent="0.25">
      <c r="A481" s="1">
        <v>45406</v>
      </c>
      <c r="B481">
        <v>1</v>
      </c>
      <c r="C481" t="s">
        <v>5</v>
      </c>
      <c r="D481">
        <v>225</v>
      </c>
      <c r="E481">
        <v>4047.28</v>
      </c>
    </row>
    <row r="482" spans="1:5" x14ac:dyDescent="0.25">
      <c r="A482" s="1">
        <v>45407</v>
      </c>
      <c r="B482">
        <v>1</v>
      </c>
      <c r="C482" t="s">
        <v>5</v>
      </c>
      <c r="D482">
        <v>189</v>
      </c>
      <c r="E482">
        <v>3429.78</v>
      </c>
    </row>
    <row r="483" spans="1:5" x14ac:dyDescent="0.25">
      <c r="A483" s="1">
        <v>45408</v>
      </c>
      <c r="B483">
        <v>1</v>
      </c>
      <c r="C483" t="s">
        <v>5</v>
      </c>
      <c r="D483">
        <v>243</v>
      </c>
      <c r="E483">
        <v>4654.97</v>
      </c>
    </row>
    <row r="484" spans="1:5" x14ac:dyDescent="0.25">
      <c r="A484" s="1">
        <v>45409</v>
      </c>
      <c r="B484">
        <v>1</v>
      </c>
      <c r="C484" t="s">
        <v>5</v>
      </c>
      <c r="D484">
        <v>263</v>
      </c>
      <c r="E484">
        <v>4883.3500000000004</v>
      </c>
    </row>
    <row r="485" spans="1:5" x14ac:dyDescent="0.25">
      <c r="A485" s="1">
        <v>45410</v>
      </c>
      <c r="B485">
        <v>1</v>
      </c>
      <c r="C485" t="s">
        <v>5</v>
      </c>
      <c r="D485">
        <v>241</v>
      </c>
      <c r="E485">
        <v>4684.22</v>
      </c>
    </row>
    <row r="486" spans="1:5" x14ac:dyDescent="0.25">
      <c r="A486" s="1">
        <v>45411</v>
      </c>
      <c r="B486">
        <v>1</v>
      </c>
      <c r="C486" t="s">
        <v>5</v>
      </c>
      <c r="D486">
        <v>216</v>
      </c>
      <c r="E486">
        <v>3734.49</v>
      </c>
    </row>
    <row r="487" spans="1:5" x14ac:dyDescent="0.25">
      <c r="A487" s="1">
        <v>45412</v>
      </c>
      <c r="B487">
        <v>1</v>
      </c>
      <c r="C487" t="s">
        <v>5</v>
      </c>
      <c r="D487">
        <v>217</v>
      </c>
      <c r="E487">
        <v>4726.34</v>
      </c>
    </row>
    <row r="488" spans="1:5" x14ac:dyDescent="0.25">
      <c r="A488" s="1">
        <v>45413</v>
      </c>
      <c r="B488">
        <v>1</v>
      </c>
      <c r="C488" t="s">
        <v>5</v>
      </c>
      <c r="D488">
        <v>210</v>
      </c>
      <c r="E488">
        <v>3548.94</v>
      </c>
    </row>
    <row r="489" spans="1:5" x14ac:dyDescent="0.25">
      <c r="A489" s="1">
        <v>45414</v>
      </c>
      <c r="B489">
        <v>1</v>
      </c>
      <c r="C489" t="s">
        <v>5</v>
      </c>
      <c r="D489">
        <v>237</v>
      </c>
      <c r="E489">
        <v>4241.25</v>
      </c>
    </row>
    <row r="490" spans="1:5" x14ac:dyDescent="0.25">
      <c r="A490" s="1">
        <v>45415</v>
      </c>
      <c r="B490">
        <v>1</v>
      </c>
      <c r="C490" t="s">
        <v>5</v>
      </c>
      <c r="D490">
        <v>211</v>
      </c>
      <c r="E490">
        <v>3955.3</v>
      </c>
    </row>
    <row r="491" spans="1:5" x14ac:dyDescent="0.25">
      <c r="A491" s="1">
        <v>45416</v>
      </c>
      <c r="B491">
        <v>1</v>
      </c>
      <c r="C491" t="s">
        <v>5</v>
      </c>
      <c r="D491">
        <v>286</v>
      </c>
      <c r="E491">
        <v>5151.17</v>
      </c>
    </row>
    <row r="492" spans="1:5" x14ac:dyDescent="0.25">
      <c r="A492" s="1">
        <v>45417</v>
      </c>
      <c r="B492">
        <v>1</v>
      </c>
      <c r="C492" t="s">
        <v>5</v>
      </c>
      <c r="D492">
        <v>254</v>
      </c>
      <c r="E492">
        <v>4700.21</v>
      </c>
    </row>
    <row r="493" spans="1:5" x14ac:dyDescent="0.25">
      <c r="A493" s="1">
        <v>45418</v>
      </c>
      <c r="B493">
        <v>1</v>
      </c>
      <c r="C493" t="s">
        <v>5</v>
      </c>
      <c r="D493">
        <v>216</v>
      </c>
      <c r="E493">
        <v>3961.79</v>
      </c>
    </row>
    <row r="494" spans="1:5" x14ac:dyDescent="0.25">
      <c r="A494" s="1">
        <v>45419</v>
      </c>
      <c r="B494">
        <v>1</v>
      </c>
      <c r="C494" t="s">
        <v>5</v>
      </c>
      <c r="D494">
        <v>223</v>
      </c>
      <c r="E494">
        <v>4226.7700000000004</v>
      </c>
    </row>
    <row r="495" spans="1:5" x14ac:dyDescent="0.25">
      <c r="A495" s="1">
        <v>45420</v>
      </c>
      <c r="B495">
        <v>1</v>
      </c>
      <c r="C495" t="s">
        <v>5</v>
      </c>
      <c r="D495">
        <v>184</v>
      </c>
      <c r="E495">
        <v>3494.43</v>
      </c>
    </row>
    <row r="496" spans="1:5" x14ac:dyDescent="0.25">
      <c r="A496" s="1">
        <v>45421</v>
      </c>
      <c r="B496">
        <v>1</v>
      </c>
      <c r="C496" t="s">
        <v>5</v>
      </c>
      <c r="D496">
        <v>253</v>
      </c>
      <c r="E496">
        <v>4586.0200000000004</v>
      </c>
    </row>
    <row r="497" spans="1:5" x14ac:dyDescent="0.25">
      <c r="A497" s="1">
        <v>45422</v>
      </c>
      <c r="B497">
        <v>1</v>
      </c>
      <c r="C497" t="s">
        <v>5</v>
      </c>
      <c r="D497">
        <v>231</v>
      </c>
      <c r="E497">
        <v>4106.1899999999996</v>
      </c>
    </row>
    <row r="498" spans="1:5" x14ac:dyDescent="0.25">
      <c r="A498" s="1">
        <v>45423</v>
      </c>
      <c r="B498">
        <v>1</v>
      </c>
      <c r="C498" t="s">
        <v>5</v>
      </c>
      <c r="D498">
        <v>242</v>
      </c>
      <c r="E498">
        <v>4836.22</v>
      </c>
    </row>
    <row r="499" spans="1:5" x14ac:dyDescent="0.25">
      <c r="A499" s="1">
        <v>45424</v>
      </c>
      <c r="B499">
        <v>1</v>
      </c>
      <c r="C499" t="s">
        <v>5</v>
      </c>
      <c r="D499">
        <v>264</v>
      </c>
      <c r="E499">
        <v>5077.47</v>
      </c>
    </row>
    <row r="500" spans="1:5" x14ac:dyDescent="0.25">
      <c r="A500" s="1">
        <v>45425</v>
      </c>
      <c r="B500">
        <v>1</v>
      </c>
      <c r="C500" t="s">
        <v>5</v>
      </c>
      <c r="D500">
        <v>214</v>
      </c>
      <c r="E500">
        <v>3822.8</v>
      </c>
    </row>
    <row r="501" spans="1:5" x14ac:dyDescent="0.25">
      <c r="A501" s="1">
        <v>45426</v>
      </c>
      <c r="B501">
        <v>1</v>
      </c>
      <c r="C501" t="s">
        <v>5</v>
      </c>
      <c r="D501">
        <v>289</v>
      </c>
      <c r="E501">
        <v>5467.2</v>
      </c>
    </row>
    <row r="502" spans="1:5" x14ac:dyDescent="0.25">
      <c r="A502" s="1">
        <v>45427</v>
      </c>
      <c r="B502">
        <v>1</v>
      </c>
      <c r="C502" t="s">
        <v>5</v>
      </c>
      <c r="D502">
        <v>210</v>
      </c>
      <c r="E502">
        <v>3916.2</v>
      </c>
    </row>
    <row r="503" spans="1:5" x14ac:dyDescent="0.25">
      <c r="A503" s="1">
        <v>45428</v>
      </c>
      <c r="B503">
        <v>1</v>
      </c>
      <c r="C503" t="s">
        <v>5</v>
      </c>
      <c r="D503">
        <v>231</v>
      </c>
      <c r="E503">
        <v>4483.2700000000004</v>
      </c>
    </row>
    <row r="504" spans="1:5" x14ac:dyDescent="0.25">
      <c r="A504" s="1">
        <v>45429</v>
      </c>
      <c r="B504">
        <v>1</v>
      </c>
      <c r="C504" t="s">
        <v>5</v>
      </c>
      <c r="D504">
        <v>234</v>
      </c>
      <c r="E504">
        <v>4191.45</v>
      </c>
    </row>
    <row r="505" spans="1:5" x14ac:dyDescent="0.25">
      <c r="A505" s="1">
        <v>45430</v>
      </c>
      <c r="B505">
        <v>1</v>
      </c>
      <c r="C505" t="s">
        <v>5</v>
      </c>
      <c r="D505">
        <v>279</v>
      </c>
      <c r="E505">
        <v>4998.1099999999997</v>
      </c>
    </row>
    <row r="506" spans="1:5" x14ac:dyDescent="0.25">
      <c r="A506" s="1">
        <v>45431</v>
      </c>
      <c r="B506">
        <v>1</v>
      </c>
      <c r="C506" t="s">
        <v>5</v>
      </c>
      <c r="D506">
        <v>237</v>
      </c>
      <c r="E506">
        <v>4438.13</v>
      </c>
    </row>
    <row r="507" spans="1:5" x14ac:dyDescent="0.25">
      <c r="A507" s="1">
        <v>45432</v>
      </c>
      <c r="B507">
        <v>1</v>
      </c>
      <c r="C507" t="s">
        <v>5</v>
      </c>
      <c r="D507">
        <v>218</v>
      </c>
      <c r="E507">
        <v>4313.9399999999996</v>
      </c>
    </row>
    <row r="508" spans="1:5" x14ac:dyDescent="0.25">
      <c r="A508" s="1">
        <v>45433</v>
      </c>
      <c r="B508">
        <v>1</v>
      </c>
      <c r="C508" t="s">
        <v>5</v>
      </c>
      <c r="D508">
        <v>222</v>
      </c>
      <c r="E508">
        <v>4139.6400000000003</v>
      </c>
    </row>
    <row r="509" spans="1:5" x14ac:dyDescent="0.25">
      <c r="A509" s="1">
        <v>45434</v>
      </c>
      <c r="B509">
        <v>1</v>
      </c>
      <c r="C509" t="s">
        <v>5</v>
      </c>
      <c r="D509">
        <v>196</v>
      </c>
      <c r="E509">
        <v>3662.29</v>
      </c>
    </row>
    <row r="510" spans="1:5" x14ac:dyDescent="0.25">
      <c r="A510" s="1">
        <v>45435</v>
      </c>
      <c r="B510">
        <v>1</v>
      </c>
      <c r="C510" t="s">
        <v>5</v>
      </c>
      <c r="D510">
        <v>238</v>
      </c>
      <c r="E510">
        <v>4543.3900000000003</v>
      </c>
    </row>
    <row r="511" spans="1:5" x14ac:dyDescent="0.25">
      <c r="A511" s="1">
        <v>45436</v>
      </c>
      <c r="B511">
        <v>1</v>
      </c>
      <c r="C511" t="s">
        <v>5</v>
      </c>
      <c r="D511">
        <v>271</v>
      </c>
      <c r="E511">
        <v>5123.37</v>
      </c>
    </row>
    <row r="512" spans="1:5" x14ac:dyDescent="0.25">
      <c r="A512" s="1">
        <v>45437</v>
      </c>
      <c r="B512">
        <v>1</v>
      </c>
      <c r="C512" t="s">
        <v>5</v>
      </c>
      <c r="D512">
        <v>275</v>
      </c>
      <c r="E512">
        <v>5192.29</v>
      </c>
    </row>
    <row r="513" spans="1:5" x14ac:dyDescent="0.25">
      <c r="A513" s="1">
        <v>45438</v>
      </c>
      <c r="B513">
        <v>1</v>
      </c>
      <c r="C513" t="s">
        <v>5</v>
      </c>
      <c r="D513">
        <v>255</v>
      </c>
      <c r="E513">
        <v>4506.83</v>
      </c>
    </row>
    <row r="514" spans="1:5" x14ac:dyDescent="0.25">
      <c r="A514" s="1">
        <v>45439</v>
      </c>
      <c r="B514">
        <v>1</v>
      </c>
      <c r="C514" t="s">
        <v>5</v>
      </c>
      <c r="D514">
        <v>239</v>
      </c>
      <c r="E514">
        <v>4630.47</v>
      </c>
    </row>
    <row r="515" spans="1:5" x14ac:dyDescent="0.25">
      <c r="A515" s="1">
        <v>45440</v>
      </c>
      <c r="B515">
        <v>1</v>
      </c>
      <c r="C515" t="s">
        <v>5</v>
      </c>
      <c r="D515">
        <v>214</v>
      </c>
      <c r="E515">
        <v>4091.14</v>
      </c>
    </row>
    <row r="516" spans="1:5" x14ac:dyDescent="0.25">
      <c r="A516" s="1">
        <v>45441</v>
      </c>
      <c r="B516">
        <v>1</v>
      </c>
      <c r="C516" t="s">
        <v>5</v>
      </c>
      <c r="D516">
        <v>215</v>
      </c>
      <c r="E516">
        <v>4032</v>
      </c>
    </row>
    <row r="517" spans="1:5" x14ac:dyDescent="0.25">
      <c r="A517" s="1">
        <v>45442</v>
      </c>
      <c r="B517">
        <v>1</v>
      </c>
      <c r="C517" t="s">
        <v>5</v>
      </c>
      <c r="D517">
        <v>266</v>
      </c>
      <c r="E517">
        <v>5303.56</v>
      </c>
    </row>
    <row r="518" spans="1:5" x14ac:dyDescent="0.25">
      <c r="A518" s="1">
        <v>45443</v>
      </c>
      <c r="B518">
        <v>1</v>
      </c>
      <c r="C518" t="s">
        <v>5</v>
      </c>
      <c r="D518">
        <v>261</v>
      </c>
      <c r="E518">
        <v>4692.18</v>
      </c>
    </row>
    <row r="519" spans="1:5" x14ac:dyDescent="0.25">
      <c r="A519" s="1">
        <v>45444</v>
      </c>
      <c r="B519">
        <v>1</v>
      </c>
      <c r="C519" t="s">
        <v>5</v>
      </c>
      <c r="D519">
        <v>298</v>
      </c>
      <c r="E519">
        <v>5194.2700000000004</v>
      </c>
    </row>
    <row r="520" spans="1:5" x14ac:dyDescent="0.25">
      <c r="A520" s="1">
        <v>45445</v>
      </c>
      <c r="B520">
        <v>1</v>
      </c>
      <c r="C520" t="s">
        <v>5</v>
      </c>
      <c r="D520">
        <v>258</v>
      </c>
      <c r="E520">
        <v>4965.9399999999996</v>
      </c>
    </row>
    <row r="521" spans="1:5" x14ac:dyDescent="0.25">
      <c r="A521" s="1">
        <v>45446</v>
      </c>
      <c r="B521">
        <v>1</v>
      </c>
      <c r="C521" t="s">
        <v>5</v>
      </c>
      <c r="D521">
        <v>221</v>
      </c>
      <c r="E521">
        <v>3911.18</v>
      </c>
    </row>
    <row r="522" spans="1:5" x14ac:dyDescent="0.25">
      <c r="A522" s="1">
        <v>45447</v>
      </c>
      <c r="B522">
        <v>1</v>
      </c>
      <c r="C522" t="s">
        <v>5</v>
      </c>
      <c r="D522">
        <v>332</v>
      </c>
      <c r="E522">
        <v>6321.46</v>
      </c>
    </row>
    <row r="523" spans="1:5" x14ac:dyDescent="0.25">
      <c r="A523" s="1">
        <v>45448</v>
      </c>
      <c r="B523">
        <v>1</v>
      </c>
      <c r="C523" t="s">
        <v>5</v>
      </c>
      <c r="D523">
        <v>265</v>
      </c>
      <c r="E523">
        <v>5340.92</v>
      </c>
    </row>
    <row r="524" spans="1:5" x14ac:dyDescent="0.25">
      <c r="A524" s="1">
        <v>45449</v>
      </c>
      <c r="B524">
        <v>1</v>
      </c>
      <c r="C524" t="s">
        <v>5</v>
      </c>
      <c r="D524">
        <v>283</v>
      </c>
      <c r="E524">
        <v>5525.88</v>
      </c>
    </row>
    <row r="525" spans="1:5" x14ac:dyDescent="0.25">
      <c r="A525" s="1">
        <v>45450</v>
      </c>
      <c r="B525">
        <v>1</v>
      </c>
      <c r="C525" t="s">
        <v>5</v>
      </c>
      <c r="D525">
        <v>277</v>
      </c>
      <c r="E525">
        <v>4995.17</v>
      </c>
    </row>
    <row r="526" spans="1:5" x14ac:dyDescent="0.25">
      <c r="A526" s="1">
        <v>45451</v>
      </c>
      <c r="B526">
        <v>1</v>
      </c>
      <c r="C526" t="s">
        <v>5</v>
      </c>
      <c r="D526">
        <v>301</v>
      </c>
      <c r="E526">
        <v>5705.51</v>
      </c>
    </row>
    <row r="527" spans="1:5" x14ac:dyDescent="0.25">
      <c r="A527" s="1">
        <v>45452</v>
      </c>
      <c r="B527">
        <v>1</v>
      </c>
      <c r="C527" t="s">
        <v>5</v>
      </c>
      <c r="D527">
        <v>291</v>
      </c>
      <c r="E527">
        <v>5360.61</v>
      </c>
    </row>
    <row r="528" spans="1:5" x14ac:dyDescent="0.25">
      <c r="A528" s="1">
        <v>45453</v>
      </c>
      <c r="B528">
        <v>1</v>
      </c>
      <c r="C528" t="s">
        <v>5</v>
      </c>
      <c r="D528">
        <v>268</v>
      </c>
      <c r="E528">
        <v>5228.3599999999997</v>
      </c>
    </row>
    <row r="529" spans="1:5" x14ac:dyDescent="0.25">
      <c r="A529" s="1">
        <v>45454</v>
      </c>
      <c r="B529">
        <v>1</v>
      </c>
      <c r="C529" t="s">
        <v>5</v>
      </c>
      <c r="D529">
        <v>269</v>
      </c>
      <c r="E529">
        <v>5195.5600000000004</v>
      </c>
    </row>
    <row r="530" spans="1:5" x14ac:dyDescent="0.25">
      <c r="A530" s="1">
        <v>45455</v>
      </c>
      <c r="B530">
        <v>1</v>
      </c>
      <c r="C530" t="s">
        <v>5</v>
      </c>
      <c r="D530">
        <v>268</v>
      </c>
      <c r="E530">
        <v>5251.89</v>
      </c>
    </row>
    <row r="531" spans="1:5" x14ac:dyDescent="0.25">
      <c r="A531" s="1">
        <v>45456</v>
      </c>
      <c r="B531">
        <v>1</v>
      </c>
      <c r="C531" t="s">
        <v>5</v>
      </c>
      <c r="D531">
        <v>256</v>
      </c>
      <c r="E531">
        <v>4844.33</v>
      </c>
    </row>
    <row r="532" spans="1:5" x14ac:dyDescent="0.25">
      <c r="A532" s="1">
        <v>45457</v>
      </c>
      <c r="B532">
        <v>1</v>
      </c>
      <c r="C532" t="s">
        <v>5</v>
      </c>
      <c r="D532">
        <v>268</v>
      </c>
      <c r="E532">
        <v>4592.53</v>
      </c>
    </row>
    <row r="533" spans="1:5" x14ac:dyDescent="0.25">
      <c r="A533" s="1">
        <v>45458</v>
      </c>
      <c r="B533">
        <v>1</v>
      </c>
      <c r="C533" t="s">
        <v>5</v>
      </c>
      <c r="D533">
        <v>318</v>
      </c>
      <c r="E533">
        <v>6244.82</v>
      </c>
    </row>
    <row r="534" spans="1:5" x14ac:dyDescent="0.25">
      <c r="A534" s="1">
        <v>45459</v>
      </c>
      <c r="B534">
        <v>1</v>
      </c>
      <c r="C534" t="s">
        <v>5</v>
      </c>
      <c r="D534">
        <v>320</v>
      </c>
      <c r="E534">
        <v>5818.09</v>
      </c>
    </row>
    <row r="535" spans="1:5" x14ac:dyDescent="0.25">
      <c r="A535" s="1">
        <v>45460</v>
      </c>
      <c r="B535">
        <v>1</v>
      </c>
      <c r="C535" t="s">
        <v>5</v>
      </c>
      <c r="D535">
        <v>287</v>
      </c>
      <c r="E535">
        <v>5733.53</v>
      </c>
    </row>
    <row r="536" spans="1:5" x14ac:dyDescent="0.25">
      <c r="A536" s="1">
        <v>45461</v>
      </c>
      <c r="B536">
        <v>1</v>
      </c>
      <c r="C536" t="s">
        <v>5</v>
      </c>
      <c r="D536">
        <v>310</v>
      </c>
      <c r="E536">
        <v>5748.62</v>
      </c>
    </row>
    <row r="537" spans="1:5" x14ac:dyDescent="0.25">
      <c r="A537" s="1">
        <v>45462</v>
      </c>
      <c r="B537">
        <v>1</v>
      </c>
      <c r="C537" t="s">
        <v>5</v>
      </c>
      <c r="D537">
        <v>282</v>
      </c>
      <c r="E537">
        <v>5326.67</v>
      </c>
    </row>
    <row r="538" spans="1:5" x14ac:dyDescent="0.25">
      <c r="A538" s="1">
        <v>45463</v>
      </c>
      <c r="B538">
        <v>1</v>
      </c>
      <c r="C538" t="s">
        <v>5</v>
      </c>
      <c r="D538">
        <v>268</v>
      </c>
      <c r="E538">
        <v>5171.75</v>
      </c>
    </row>
    <row r="539" spans="1:5" x14ac:dyDescent="0.25">
      <c r="A539" s="1">
        <v>45464</v>
      </c>
      <c r="B539">
        <v>1</v>
      </c>
      <c r="C539" t="s">
        <v>5</v>
      </c>
      <c r="D539">
        <v>275</v>
      </c>
      <c r="E539">
        <v>4985.4799999999996</v>
      </c>
    </row>
    <row r="540" spans="1:5" x14ac:dyDescent="0.25">
      <c r="A540" s="1">
        <v>45465</v>
      </c>
      <c r="B540">
        <v>1</v>
      </c>
      <c r="C540" t="s">
        <v>5</v>
      </c>
      <c r="D540">
        <v>344</v>
      </c>
      <c r="E540">
        <v>6075.61</v>
      </c>
    </row>
    <row r="541" spans="1:5" x14ac:dyDescent="0.25">
      <c r="A541" s="1">
        <v>45466</v>
      </c>
      <c r="B541">
        <v>1</v>
      </c>
      <c r="C541" t="s">
        <v>5</v>
      </c>
      <c r="D541">
        <v>313</v>
      </c>
      <c r="E541">
        <v>5917.31</v>
      </c>
    </row>
    <row r="542" spans="1:5" x14ac:dyDescent="0.25">
      <c r="A542" s="1">
        <v>45467</v>
      </c>
      <c r="B542">
        <v>1</v>
      </c>
      <c r="C542" t="s">
        <v>5</v>
      </c>
      <c r="D542">
        <v>303</v>
      </c>
      <c r="E542">
        <v>5513.55</v>
      </c>
    </row>
    <row r="543" spans="1:5" x14ac:dyDescent="0.25">
      <c r="A543" s="1">
        <v>45468</v>
      </c>
      <c r="B543">
        <v>1</v>
      </c>
      <c r="C543" t="s">
        <v>5</v>
      </c>
      <c r="D543">
        <v>254</v>
      </c>
      <c r="E543">
        <v>5108.9799999999996</v>
      </c>
    </row>
    <row r="544" spans="1:5" x14ac:dyDescent="0.25">
      <c r="A544" s="1">
        <v>45469</v>
      </c>
      <c r="B544">
        <v>1</v>
      </c>
      <c r="C544" t="s">
        <v>5</v>
      </c>
      <c r="D544">
        <v>262</v>
      </c>
      <c r="E544">
        <v>4681.5200000000004</v>
      </c>
    </row>
    <row r="545" spans="1:5" x14ac:dyDescent="0.25">
      <c r="A545" s="1">
        <v>45470</v>
      </c>
      <c r="B545">
        <v>1</v>
      </c>
      <c r="C545" t="s">
        <v>5</v>
      </c>
      <c r="D545">
        <v>282</v>
      </c>
      <c r="E545">
        <v>5461.64</v>
      </c>
    </row>
    <row r="546" spans="1:5" x14ac:dyDescent="0.25">
      <c r="A546" s="1">
        <v>45471</v>
      </c>
      <c r="B546">
        <v>1</v>
      </c>
      <c r="C546" t="s">
        <v>5</v>
      </c>
      <c r="D546">
        <v>326</v>
      </c>
      <c r="E546">
        <v>6397.23</v>
      </c>
    </row>
    <row r="547" spans="1:5" x14ac:dyDescent="0.25">
      <c r="A547" s="1">
        <v>45472</v>
      </c>
      <c r="B547">
        <v>1</v>
      </c>
      <c r="C547" t="s">
        <v>5</v>
      </c>
      <c r="D547">
        <v>340</v>
      </c>
      <c r="E547">
        <v>6599.95</v>
      </c>
    </row>
    <row r="548" spans="1:5" x14ac:dyDescent="0.25">
      <c r="A548" s="1">
        <v>45473</v>
      </c>
      <c r="B548">
        <v>1</v>
      </c>
      <c r="C548" t="s">
        <v>5</v>
      </c>
      <c r="D548">
        <v>318</v>
      </c>
      <c r="E548">
        <v>6301.95</v>
      </c>
    </row>
    <row r="549" spans="1:5" x14ac:dyDescent="0.25">
      <c r="A549" s="1">
        <v>45474</v>
      </c>
      <c r="B549">
        <v>1</v>
      </c>
      <c r="C549" t="s">
        <v>5</v>
      </c>
      <c r="D549">
        <v>303</v>
      </c>
      <c r="E549">
        <v>6201.96</v>
      </c>
    </row>
    <row r="550" spans="1:5" x14ac:dyDescent="0.25">
      <c r="A550" s="1">
        <v>45475</v>
      </c>
      <c r="B550">
        <v>1</v>
      </c>
      <c r="C550" t="s">
        <v>5</v>
      </c>
      <c r="D550">
        <v>320</v>
      </c>
      <c r="E550">
        <v>6285.52</v>
      </c>
    </row>
    <row r="551" spans="1:5" x14ac:dyDescent="0.25">
      <c r="A551" s="1">
        <v>45476</v>
      </c>
      <c r="B551">
        <v>1</v>
      </c>
      <c r="C551" t="s">
        <v>5</v>
      </c>
      <c r="D551">
        <v>313</v>
      </c>
      <c r="E551">
        <v>6099.25</v>
      </c>
    </row>
    <row r="552" spans="1:5" x14ac:dyDescent="0.25">
      <c r="A552" s="1">
        <v>45477</v>
      </c>
      <c r="B552">
        <v>1</v>
      </c>
      <c r="C552" t="s">
        <v>5</v>
      </c>
      <c r="D552">
        <v>303</v>
      </c>
      <c r="E552">
        <v>5417.02</v>
      </c>
    </row>
    <row r="553" spans="1:5" x14ac:dyDescent="0.25">
      <c r="A553" s="1">
        <v>45478</v>
      </c>
      <c r="B553">
        <v>1</v>
      </c>
      <c r="C553" t="s">
        <v>5</v>
      </c>
      <c r="D553">
        <v>279</v>
      </c>
      <c r="E553">
        <v>5305.52</v>
      </c>
    </row>
    <row r="554" spans="1:5" x14ac:dyDescent="0.25">
      <c r="A554" s="1">
        <v>45479</v>
      </c>
      <c r="B554">
        <v>1</v>
      </c>
      <c r="C554" t="s">
        <v>5</v>
      </c>
      <c r="D554">
        <v>349</v>
      </c>
      <c r="E554">
        <v>6673.21</v>
      </c>
    </row>
    <row r="555" spans="1:5" x14ac:dyDescent="0.25">
      <c r="A555" s="1">
        <v>45480</v>
      </c>
      <c r="B555">
        <v>1</v>
      </c>
      <c r="C555" t="s">
        <v>5</v>
      </c>
      <c r="D555">
        <v>361</v>
      </c>
      <c r="E555">
        <v>6399.43</v>
      </c>
    </row>
    <row r="556" spans="1:5" x14ac:dyDescent="0.25">
      <c r="A556" s="1">
        <v>45481</v>
      </c>
      <c r="B556">
        <v>1</v>
      </c>
      <c r="C556" t="s">
        <v>5</v>
      </c>
      <c r="D556">
        <v>313</v>
      </c>
      <c r="E556">
        <v>5741.33</v>
      </c>
    </row>
    <row r="557" spans="1:5" x14ac:dyDescent="0.25">
      <c r="A557" s="1">
        <v>45482</v>
      </c>
      <c r="B557">
        <v>1</v>
      </c>
      <c r="C557" t="s">
        <v>5</v>
      </c>
      <c r="D557">
        <v>305</v>
      </c>
      <c r="E557">
        <v>5571.21</v>
      </c>
    </row>
    <row r="558" spans="1:5" x14ac:dyDescent="0.25">
      <c r="A558" s="1">
        <v>45483</v>
      </c>
      <c r="B558">
        <v>1</v>
      </c>
      <c r="C558" t="s">
        <v>5</v>
      </c>
      <c r="D558">
        <v>288</v>
      </c>
      <c r="E558">
        <v>5281.32</v>
      </c>
    </row>
    <row r="559" spans="1:5" x14ac:dyDescent="0.25">
      <c r="A559" s="1">
        <v>45484</v>
      </c>
      <c r="B559">
        <v>1</v>
      </c>
      <c r="C559" t="s">
        <v>5</v>
      </c>
      <c r="D559">
        <v>275</v>
      </c>
      <c r="E559">
        <v>5308.75</v>
      </c>
    </row>
    <row r="560" spans="1:5" x14ac:dyDescent="0.25">
      <c r="A560" s="1">
        <v>45485</v>
      </c>
      <c r="B560">
        <v>1</v>
      </c>
      <c r="C560" t="s">
        <v>5</v>
      </c>
      <c r="D560">
        <v>271</v>
      </c>
      <c r="E560">
        <v>5454.6</v>
      </c>
    </row>
    <row r="561" spans="1:5" x14ac:dyDescent="0.25">
      <c r="A561" s="1">
        <v>45486</v>
      </c>
      <c r="B561">
        <v>1</v>
      </c>
      <c r="C561" t="s">
        <v>5</v>
      </c>
      <c r="D561">
        <v>352</v>
      </c>
      <c r="E561">
        <v>6991.66</v>
      </c>
    </row>
    <row r="562" spans="1:5" x14ac:dyDescent="0.25">
      <c r="A562" s="1">
        <v>45487</v>
      </c>
      <c r="B562">
        <v>1</v>
      </c>
      <c r="C562" t="s">
        <v>5</v>
      </c>
      <c r="D562">
        <v>343</v>
      </c>
      <c r="E562">
        <v>6507.52</v>
      </c>
    </row>
    <row r="563" spans="1:5" x14ac:dyDescent="0.25">
      <c r="A563" s="1">
        <v>45488</v>
      </c>
      <c r="B563">
        <v>1</v>
      </c>
      <c r="C563" t="s">
        <v>5</v>
      </c>
      <c r="D563">
        <v>311</v>
      </c>
      <c r="E563">
        <v>5827.85</v>
      </c>
    </row>
    <row r="564" spans="1:5" x14ac:dyDescent="0.25">
      <c r="A564" s="1">
        <v>45489</v>
      </c>
      <c r="B564">
        <v>1</v>
      </c>
      <c r="C564" t="s">
        <v>5</v>
      </c>
      <c r="D564">
        <v>348</v>
      </c>
      <c r="E564">
        <v>6290.64</v>
      </c>
    </row>
    <row r="565" spans="1:5" x14ac:dyDescent="0.25">
      <c r="A565" s="1">
        <v>45490</v>
      </c>
      <c r="B565">
        <v>1</v>
      </c>
      <c r="C565" t="s">
        <v>5</v>
      </c>
      <c r="D565">
        <v>310</v>
      </c>
      <c r="E565">
        <v>5660.66</v>
      </c>
    </row>
    <row r="566" spans="1:5" x14ac:dyDescent="0.25">
      <c r="A566" s="1">
        <v>45491</v>
      </c>
      <c r="B566">
        <v>1</v>
      </c>
      <c r="C566" t="s">
        <v>5</v>
      </c>
      <c r="D566">
        <v>307</v>
      </c>
      <c r="E566">
        <v>5587.65</v>
      </c>
    </row>
    <row r="567" spans="1:5" x14ac:dyDescent="0.25">
      <c r="A567" s="1">
        <v>45492</v>
      </c>
      <c r="B567">
        <v>1</v>
      </c>
      <c r="C567" t="s">
        <v>5</v>
      </c>
      <c r="D567">
        <v>306</v>
      </c>
      <c r="E567">
        <v>5426.66</v>
      </c>
    </row>
    <row r="568" spans="1:5" x14ac:dyDescent="0.25">
      <c r="A568" s="1">
        <v>45493</v>
      </c>
      <c r="B568">
        <v>1</v>
      </c>
      <c r="C568" t="s">
        <v>5</v>
      </c>
      <c r="D568">
        <v>372</v>
      </c>
      <c r="E568">
        <v>7397.45</v>
      </c>
    </row>
    <row r="569" spans="1:5" x14ac:dyDescent="0.25">
      <c r="A569" s="1">
        <v>45494</v>
      </c>
      <c r="B569">
        <v>1</v>
      </c>
      <c r="C569" t="s">
        <v>5</v>
      </c>
      <c r="D569">
        <v>369</v>
      </c>
      <c r="E569">
        <v>7295.81</v>
      </c>
    </row>
    <row r="570" spans="1:5" x14ac:dyDescent="0.25">
      <c r="A570" s="1">
        <v>45495</v>
      </c>
      <c r="B570">
        <v>1</v>
      </c>
      <c r="C570" t="s">
        <v>5</v>
      </c>
      <c r="D570">
        <v>357</v>
      </c>
      <c r="E570">
        <v>7358</v>
      </c>
    </row>
    <row r="571" spans="1:5" x14ac:dyDescent="0.25">
      <c r="A571" s="1">
        <v>45496</v>
      </c>
      <c r="B571">
        <v>1</v>
      </c>
      <c r="C571" t="s">
        <v>5</v>
      </c>
      <c r="D571">
        <v>280</v>
      </c>
      <c r="E571">
        <v>5232.58</v>
      </c>
    </row>
    <row r="572" spans="1:5" x14ac:dyDescent="0.25">
      <c r="A572" s="1">
        <v>45497</v>
      </c>
      <c r="B572">
        <v>1</v>
      </c>
      <c r="C572" t="s">
        <v>5</v>
      </c>
      <c r="D572">
        <v>317</v>
      </c>
      <c r="E572">
        <v>6006.69</v>
      </c>
    </row>
    <row r="573" spans="1:5" x14ac:dyDescent="0.25">
      <c r="A573" s="1">
        <v>45498</v>
      </c>
      <c r="B573">
        <v>1</v>
      </c>
      <c r="C573" t="s">
        <v>5</v>
      </c>
      <c r="D573">
        <v>358</v>
      </c>
      <c r="E573">
        <v>6635.22</v>
      </c>
    </row>
    <row r="574" spans="1:5" x14ac:dyDescent="0.25">
      <c r="A574" s="1">
        <v>45499</v>
      </c>
      <c r="B574">
        <v>1</v>
      </c>
      <c r="C574" t="s">
        <v>5</v>
      </c>
      <c r="D574">
        <v>275</v>
      </c>
      <c r="E574">
        <v>5150.37</v>
      </c>
    </row>
    <row r="575" spans="1:5" x14ac:dyDescent="0.25">
      <c r="A575" s="1">
        <v>45500</v>
      </c>
      <c r="B575">
        <v>1</v>
      </c>
      <c r="C575" t="s">
        <v>5</v>
      </c>
      <c r="D575">
        <v>340</v>
      </c>
      <c r="E575">
        <v>6573.36</v>
      </c>
    </row>
    <row r="576" spans="1:5" x14ac:dyDescent="0.25">
      <c r="A576" s="1">
        <v>45501</v>
      </c>
      <c r="B576">
        <v>1</v>
      </c>
      <c r="C576" t="s">
        <v>5</v>
      </c>
      <c r="D576">
        <v>371</v>
      </c>
      <c r="E576">
        <v>6871.68</v>
      </c>
    </row>
    <row r="577" spans="1:5" x14ac:dyDescent="0.25">
      <c r="A577" s="1">
        <v>45502</v>
      </c>
      <c r="B577">
        <v>1</v>
      </c>
      <c r="C577" t="s">
        <v>5</v>
      </c>
      <c r="D577">
        <v>319</v>
      </c>
      <c r="E577">
        <v>5743.35</v>
      </c>
    </row>
    <row r="578" spans="1:5" x14ac:dyDescent="0.25">
      <c r="A578" s="1">
        <v>45503</v>
      </c>
      <c r="B578">
        <v>1</v>
      </c>
      <c r="C578" t="s">
        <v>5</v>
      </c>
      <c r="D578">
        <v>311</v>
      </c>
      <c r="E578">
        <v>5960.65</v>
      </c>
    </row>
    <row r="579" spans="1:5" x14ac:dyDescent="0.25">
      <c r="A579" s="1">
        <v>45504</v>
      </c>
      <c r="B579">
        <v>1</v>
      </c>
      <c r="C579" t="s">
        <v>5</v>
      </c>
      <c r="D579">
        <v>364</v>
      </c>
      <c r="E579">
        <v>6902.19</v>
      </c>
    </row>
    <row r="580" spans="1:5" x14ac:dyDescent="0.25">
      <c r="A580" s="1">
        <v>45505</v>
      </c>
      <c r="B580">
        <v>1</v>
      </c>
      <c r="C580" t="s">
        <v>5</v>
      </c>
      <c r="D580">
        <v>349</v>
      </c>
      <c r="E580">
        <v>5961.63</v>
      </c>
    </row>
    <row r="581" spans="1:5" x14ac:dyDescent="0.25">
      <c r="A581" s="1">
        <v>45506</v>
      </c>
      <c r="B581">
        <v>1</v>
      </c>
      <c r="C581" t="s">
        <v>5</v>
      </c>
      <c r="D581">
        <v>332</v>
      </c>
      <c r="E581">
        <v>6166.96</v>
      </c>
    </row>
    <row r="582" spans="1:5" x14ac:dyDescent="0.25">
      <c r="A582" s="1">
        <v>45507</v>
      </c>
      <c r="B582">
        <v>1</v>
      </c>
      <c r="C582" t="s">
        <v>5</v>
      </c>
      <c r="D582">
        <v>376</v>
      </c>
      <c r="E582">
        <v>7676.62</v>
      </c>
    </row>
    <row r="583" spans="1:5" x14ac:dyDescent="0.25">
      <c r="A583" s="1">
        <v>45508</v>
      </c>
      <c r="B583">
        <v>1</v>
      </c>
      <c r="C583" t="s">
        <v>5</v>
      </c>
      <c r="D583">
        <v>364</v>
      </c>
      <c r="E583">
        <v>6371.21</v>
      </c>
    </row>
    <row r="584" spans="1:5" x14ac:dyDescent="0.25">
      <c r="A584" s="1">
        <v>45509</v>
      </c>
      <c r="B584">
        <v>1</v>
      </c>
      <c r="C584" t="s">
        <v>5</v>
      </c>
      <c r="D584">
        <v>333</v>
      </c>
      <c r="E584">
        <v>6033.42</v>
      </c>
    </row>
    <row r="585" spans="1:5" x14ac:dyDescent="0.25">
      <c r="A585" s="1">
        <v>45510</v>
      </c>
      <c r="B585">
        <v>1</v>
      </c>
      <c r="C585" t="s">
        <v>5</v>
      </c>
      <c r="D585">
        <v>371</v>
      </c>
      <c r="E585">
        <v>6547</v>
      </c>
    </row>
    <row r="586" spans="1:5" x14ac:dyDescent="0.25">
      <c r="A586" s="1">
        <v>45511</v>
      </c>
      <c r="B586">
        <v>1</v>
      </c>
      <c r="C586" t="s">
        <v>5</v>
      </c>
      <c r="D586">
        <v>348</v>
      </c>
      <c r="E586">
        <v>6398.43</v>
      </c>
    </row>
    <row r="587" spans="1:5" x14ac:dyDescent="0.25">
      <c r="A587" s="1">
        <v>45512</v>
      </c>
      <c r="B587">
        <v>1</v>
      </c>
      <c r="C587" t="s">
        <v>5</v>
      </c>
      <c r="D587">
        <v>376</v>
      </c>
      <c r="E587">
        <v>7432.6</v>
      </c>
    </row>
    <row r="588" spans="1:5" x14ac:dyDescent="0.25">
      <c r="A588" s="1">
        <v>45513</v>
      </c>
      <c r="B588">
        <v>1</v>
      </c>
      <c r="C588" t="s">
        <v>5</v>
      </c>
      <c r="D588">
        <v>295</v>
      </c>
      <c r="E588">
        <v>5635.69</v>
      </c>
    </row>
    <row r="589" spans="1:5" x14ac:dyDescent="0.25">
      <c r="A589" s="1">
        <v>45514</v>
      </c>
      <c r="B589">
        <v>1</v>
      </c>
      <c r="C589" t="s">
        <v>5</v>
      </c>
      <c r="D589">
        <v>386</v>
      </c>
      <c r="E589">
        <v>6999.46</v>
      </c>
    </row>
    <row r="590" spans="1:5" x14ac:dyDescent="0.25">
      <c r="A590" s="1">
        <v>45515</v>
      </c>
      <c r="B590">
        <v>1</v>
      </c>
      <c r="C590" t="s">
        <v>5</v>
      </c>
      <c r="D590">
        <v>402</v>
      </c>
      <c r="E590">
        <v>7651.68</v>
      </c>
    </row>
    <row r="591" spans="1:5" x14ac:dyDescent="0.25">
      <c r="A591" s="1">
        <v>45516</v>
      </c>
      <c r="B591">
        <v>1</v>
      </c>
      <c r="C591" t="s">
        <v>5</v>
      </c>
      <c r="D591">
        <v>309</v>
      </c>
      <c r="E591">
        <v>5261.23</v>
      </c>
    </row>
    <row r="592" spans="1:5" x14ac:dyDescent="0.25">
      <c r="A592" s="1">
        <v>45517</v>
      </c>
      <c r="B592">
        <v>1</v>
      </c>
      <c r="C592" t="s">
        <v>5</v>
      </c>
      <c r="D592">
        <v>369</v>
      </c>
      <c r="E592">
        <v>6822.26</v>
      </c>
    </row>
    <row r="593" spans="1:5" x14ac:dyDescent="0.25">
      <c r="A593" s="1">
        <v>45518</v>
      </c>
      <c r="B593">
        <v>1</v>
      </c>
      <c r="C593" t="s">
        <v>5</v>
      </c>
      <c r="D593">
        <v>303</v>
      </c>
      <c r="E593">
        <v>5950.3</v>
      </c>
    </row>
    <row r="594" spans="1:5" x14ac:dyDescent="0.25">
      <c r="A594" s="1">
        <v>45519</v>
      </c>
      <c r="B594">
        <v>1</v>
      </c>
      <c r="C594" t="s">
        <v>5</v>
      </c>
      <c r="D594">
        <v>331</v>
      </c>
      <c r="E594">
        <v>6148.9</v>
      </c>
    </row>
    <row r="595" spans="1:5" x14ac:dyDescent="0.25">
      <c r="A595" s="1">
        <v>45520</v>
      </c>
      <c r="B595">
        <v>1</v>
      </c>
      <c r="C595" t="s">
        <v>5</v>
      </c>
      <c r="D595">
        <v>307</v>
      </c>
      <c r="E595">
        <v>5466.52</v>
      </c>
    </row>
    <row r="596" spans="1:5" x14ac:dyDescent="0.25">
      <c r="A596" s="1">
        <v>45521</v>
      </c>
      <c r="B596">
        <v>1</v>
      </c>
      <c r="C596" t="s">
        <v>5</v>
      </c>
      <c r="D596">
        <v>341</v>
      </c>
      <c r="E596">
        <v>6251.05</v>
      </c>
    </row>
    <row r="597" spans="1:5" x14ac:dyDescent="0.25">
      <c r="A597" s="1">
        <v>45522</v>
      </c>
      <c r="B597">
        <v>1</v>
      </c>
      <c r="C597" t="s">
        <v>5</v>
      </c>
      <c r="D597">
        <v>360</v>
      </c>
      <c r="E597">
        <v>6783.2</v>
      </c>
    </row>
    <row r="598" spans="1:5" x14ac:dyDescent="0.25">
      <c r="A598" s="1">
        <v>45523</v>
      </c>
      <c r="B598">
        <v>1</v>
      </c>
      <c r="C598" t="s">
        <v>5</v>
      </c>
      <c r="D598">
        <v>317</v>
      </c>
      <c r="E598">
        <v>5864.66</v>
      </c>
    </row>
    <row r="599" spans="1:5" x14ac:dyDescent="0.25">
      <c r="A599" s="1">
        <v>45524</v>
      </c>
      <c r="B599">
        <v>1</v>
      </c>
      <c r="C599" t="s">
        <v>5</v>
      </c>
      <c r="D599">
        <v>327</v>
      </c>
      <c r="E599">
        <v>6396.56</v>
      </c>
    </row>
    <row r="600" spans="1:5" x14ac:dyDescent="0.25">
      <c r="A600" s="1">
        <v>45525</v>
      </c>
      <c r="B600">
        <v>1</v>
      </c>
      <c r="C600" t="s">
        <v>5</v>
      </c>
      <c r="D600">
        <v>369</v>
      </c>
      <c r="E600">
        <v>6414.02</v>
      </c>
    </row>
    <row r="601" spans="1:5" x14ac:dyDescent="0.25">
      <c r="A601" s="1">
        <v>45526</v>
      </c>
      <c r="B601">
        <v>1</v>
      </c>
      <c r="C601" t="s">
        <v>5</v>
      </c>
      <c r="D601">
        <v>351</v>
      </c>
      <c r="E601">
        <v>6369.88</v>
      </c>
    </row>
    <row r="602" spans="1:5" x14ac:dyDescent="0.25">
      <c r="A602" s="1">
        <v>45527</v>
      </c>
      <c r="B602">
        <v>1</v>
      </c>
      <c r="C602" t="s">
        <v>5</v>
      </c>
      <c r="D602">
        <v>319</v>
      </c>
      <c r="E602">
        <v>5941.05</v>
      </c>
    </row>
    <row r="603" spans="1:5" x14ac:dyDescent="0.25">
      <c r="A603" s="1">
        <v>45528</v>
      </c>
      <c r="B603">
        <v>1</v>
      </c>
      <c r="C603" t="s">
        <v>5</v>
      </c>
      <c r="D603">
        <v>372</v>
      </c>
      <c r="E603">
        <v>6173.9</v>
      </c>
    </row>
    <row r="604" spans="1:5" x14ac:dyDescent="0.25">
      <c r="A604" s="1">
        <v>45529</v>
      </c>
      <c r="B604">
        <v>1</v>
      </c>
      <c r="C604" t="s">
        <v>5</v>
      </c>
      <c r="D604">
        <v>343</v>
      </c>
      <c r="E604">
        <v>6477.37</v>
      </c>
    </row>
    <row r="605" spans="1:5" x14ac:dyDescent="0.25">
      <c r="A605" s="1">
        <v>45530</v>
      </c>
      <c r="B605">
        <v>1</v>
      </c>
      <c r="C605" t="s">
        <v>5</v>
      </c>
      <c r="D605">
        <v>330</v>
      </c>
      <c r="E605">
        <v>5947.82</v>
      </c>
    </row>
    <row r="606" spans="1:5" x14ac:dyDescent="0.25">
      <c r="A606" s="1">
        <v>45531</v>
      </c>
      <c r="B606">
        <v>1</v>
      </c>
      <c r="C606" t="s">
        <v>5</v>
      </c>
      <c r="D606">
        <v>312</v>
      </c>
      <c r="E606">
        <v>5772.77</v>
      </c>
    </row>
    <row r="607" spans="1:5" x14ac:dyDescent="0.25">
      <c r="A607" s="1">
        <v>45532</v>
      </c>
      <c r="B607">
        <v>1</v>
      </c>
      <c r="C607" t="s">
        <v>5</v>
      </c>
      <c r="D607">
        <v>327</v>
      </c>
      <c r="E607">
        <v>5913.02</v>
      </c>
    </row>
    <row r="608" spans="1:5" x14ac:dyDescent="0.25">
      <c r="A608" s="1">
        <v>45533</v>
      </c>
      <c r="B608">
        <v>1</v>
      </c>
      <c r="C608" t="s">
        <v>5</v>
      </c>
      <c r="D608">
        <v>287</v>
      </c>
      <c r="E608">
        <v>5253.9</v>
      </c>
    </row>
    <row r="609" spans="1:5" x14ac:dyDescent="0.25">
      <c r="A609" s="1">
        <v>45534</v>
      </c>
      <c r="B609">
        <v>1</v>
      </c>
      <c r="C609" t="s">
        <v>5</v>
      </c>
      <c r="D609">
        <v>338</v>
      </c>
      <c r="E609">
        <v>6415.58</v>
      </c>
    </row>
    <row r="610" spans="1:5" x14ac:dyDescent="0.25">
      <c r="A610" s="1">
        <v>45535</v>
      </c>
      <c r="B610">
        <v>1</v>
      </c>
      <c r="C610" t="s">
        <v>5</v>
      </c>
      <c r="D610">
        <v>350</v>
      </c>
      <c r="E610">
        <v>6746.09</v>
      </c>
    </row>
    <row r="611" spans="1:5" x14ac:dyDescent="0.25">
      <c r="A611" s="1">
        <v>45536</v>
      </c>
      <c r="B611">
        <v>1</v>
      </c>
      <c r="C611" t="s">
        <v>5</v>
      </c>
      <c r="D611">
        <v>368</v>
      </c>
      <c r="E611">
        <v>6819.28</v>
      </c>
    </row>
    <row r="612" spans="1:5" x14ac:dyDescent="0.25">
      <c r="A612" s="1">
        <v>45537</v>
      </c>
      <c r="B612">
        <v>1</v>
      </c>
      <c r="C612" t="s">
        <v>5</v>
      </c>
      <c r="D612">
        <v>335</v>
      </c>
      <c r="E612">
        <v>6180.78</v>
      </c>
    </row>
    <row r="613" spans="1:5" x14ac:dyDescent="0.25">
      <c r="A613" s="1">
        <v>45538</v>
      </c>
      <c r="B613">
        <v>1</v>
      </c>
      <c r="C613" t="s">
        <v>5</v>
      </c>
      <c r="D613">
        <v>309</v>
      </c>
      <c r="E613">
        <v>5941.64</v>
      </c>
    </row>
    <row r="614" spans="1:5" x14ac:dyDescent="0.25">
      <c r="A614" s="1">
        <v>45539</v>
      </c>
      <c r="B614">
        <v>1</v>
      </c>
      <c r="C614" t="s">
        <v>5</v>
      </c>
      <c r="D614">
        <v>265</v>
      </c>
      <c r="E614">
        <v>4981.25</v>
      </c>
    </row>
    <row r="615" spans="1:5" x14ac:dyDescent="0.25">
      <c r="A615" s="1">
        <v>45540</v>
      </c>
      <c r="B615">
        <v>1</v>
      </c>
      <c r="C615" t="s">
        <v>5</v>
      </c>
      <c r="D615">
        <v>224</v>
      </c>
      <c r="E615">
        <v>4667.37</v>
      </c>
    </row>
    <row r="616" spans="1:5" x14ac:dyDescent="0.25">
      <c r="A616" s="1">
        <v>45541</v>
      </c>
      <c r="B616">
        <v>1</v>
      </c>
      <c r="C616" t="s">
        <v>5</v>
      </c>
      <c r="D616">
        <v>298</v>
      </c>
      <c r="E616">
        <v>5925</v>
      </c>
    </row>
    <row r="617" spans="1:5" x14ac:dyDescent="0.25">
      <c r="A617" s="1">
        <v>45542</v>
      </c>
      <c r="B617">
        <v>1</v>
      </c>
      <c r="C617" t="s">
        <v>5</v>
      </c>
      <c r="D617">
        <v>339</v>
      </c>
      <c r="E617">
        <v>5791.9</v>
      </c>
    </row>
    <row r="618" spans="1:5" x14ac:dyDescent="0.25">
      <c r="A618" s="1">
        <v>45543</v>
      </c>
      <c r="B618">
        <v>1</v>
      </c>
      <c r="C618" t="s">
        <v>5</v>
      </c>
      <c r="D618">
        <v>282</v>
      </c>
      <c r="E618">
        <v>5429.91</v>
      </c>
    </row>
    <row r="619" spans="1:5" x14ac:dyDescent="0.25">
      <c r="A619" s="1">
        <v>45544</v>
      </c>
      <c r="B619">
        <v>1</v>
      </c>
      <c r="C619" t="s">
        <v>5</v>
      </c>
      <c r="D619">
        <v>308</v>
      </c>
      <c r="E619">
        <v>5399.45</v>
      </c>
    </row>
    <row r="620" spans="1:5" x14ac:dyDescent="0.25">
      <c r="A620" s="1">
        <v>45545</v>
      </c>
      <c r="B620">
        <v>1</v>
      </c>
      <c r="C620" t="s">
        <v>5</v>
      </c>
      <c r="D620">
        <v>345</v>
      </c>
      <c r="E620">
        <v>6214.78</v>
      </c>
    </row>
    <row r="621" spans="1:5" x14ac:dyDescent="0.25">
      <c r="A621" s="1">
        <v>45546</v>
      </c>
      <c r="B621">
        <v>1</v>
      </c>
      <c r="C621" t="s">
        <v>5</v>
      </c>
      <c r="D621">
        <v>314</v>
      </c>
      <c r="E621">
        <v>6015.78</v>
      </c>
    </row>
    <row r="622" spans="1:5" x14ac:dyDescent="0.25">
      <c r="A622" s="1">
        <v>45547</v>
      </c>
      <c r="B622">
        <v>1</v>
      </c>
      <c r="C622" t="s">
        <v>5</v>
      </c>
      <c r="D622">
        <v>307</v>
      </c>
      <c r="E622">
        <v>5600.28</v>
      </c>
    </row>
    <row r="623" spans="1:5" x14ac:dyDescent="0.25">
      <c r="A623" s="1">
        <v>45548</v>
      </c>
      <c r="B623">
        <v>1</v>
      </c>
      <c r="C623" t="s">
        <v>5</v>
      </c>
      <c r="D623">
        <v>328</v>
      </c>
      <c r="E623">
        <v>5648</v>
      </c>
    </row>
    <row r="624" spans="1:5" x14ac:dyDescent="0.25">
      <c r="A624" s="1">
        <v>45549</v>
      </c>
      <c r="B624">
        <v>1</v>
      </c>
      <c r="C624" t="s">
        <v>5</v>
      </c>
      <c r="D624">
        <v>345</v>
      </c>
      <c r="E624">
        <v>6619.58</v>
      </c>
    </row>
    <row r="625" spans="1:5" x14ac:dyDescent="0.25">
      <c r="A625" s="1">
        <v>45550</v>
      </c>
      <c r="B625">
        <v>1</v>
      </c>
      <c r="C625" t="s">
        <v>5</v>
      </c>
      <c r="D625">
        <v>366</v>
      </c>
      <c r="E625">
        <v>6511.08</v>
      </c>
    </row>
    <row r="626" spans="1:5" x14ac:dyDescent="0.25">
      <c r="A626" s="1">
        <v>45551</v>
      </c>
      <c r="B626">
        <v>1</v>
      </c>
      <c r="C626" t="s">
        <v>5</v>
      </c>
      <c r="D626">
        <v>282</v>
      </c>
      <c r="E626">
        <v>5472.11</v>
      </c>
    </row>
    <row r="627" spans="1:5" x14ac:dyDescent="0.25">
      <c r="A627" s="1">
        <v>45552</v>
      </c>
      <c r="B627">
        <v>1</v>
      </c>
      <c r="C627" t="s">
        <v>5</v>
      </c>
      <c r="D627">
        <v>277</v>
      </c>
      <c r="E627">
        <v>5179.6000000000004</v>
      </c>
    </row>
    <row r="628" spans="1:5" x14ac:dyDescent="0.25">
      <c r="A628" s="1">
        <v>45553</v>
      </c>
      <c r="B628">
        <v>1</v>
      </c>
      <c r="C628" t="s">
        <v>5</v>
      </c>
      <c r="D628">
        <v>286</v>
      </c>
      <c r="E628">
        <v>4806.95</v>
      </c>
    </row>
    <row r="629" spans="1:5" x14ac:dyDescent="0.25">
      <c r="A629" s="1">
        <v>45554</v>
      </c>
      <c r="B629">
        <v>1</v>
      </c>
      <c r="C629" t="s">
        <v>5</v>
      </c>
      <c r="D629">
        <v>305</v>
      </c>
      <c r="E629">
        <v>5668.51</v>
      </c>
    </row>
    <row r="630" spans="1:5" x14ac:dyDescent="0.25">
      <c r="A630" s="1">
        <v>45555</v>
      </c>
      <c r="B630">
        <v>1</v>
      </c>
      <c r="C630" t="s">
        <v>5</v>
      </c>
      <c r="D630">
        <v>345</v>
      </c>
      <c r="E630">
        <v>5989.95</v>
      </c>
    </row>
    <row r="631" spans="1:5" x14ac:dyDescent="0.25">
      <c r="A631" s="1">
        <v>45556</v>
      </c>
      <c r="B631">
        <v>1</v>
      </c>
      <c r="C631" t="s">
        <v>5</v>
      </c>
      <c r="D631">
        <v>361</v>
      </c>
      <c r="E631">
        <v>6944.08</v>
      </c>
    </row>
    <row r="632" spans="1:5" x14ac:dyDescent="0.25">
      <c r="A632" s="1">
        <v>45557</v>
      </c>
      <c r="B632">
        <v>1</v>
      </c>
      <c r="C632" t="s">
        <v>5</v>
      </c>
      <c r="D632">
        <v>359</v>
      </c>
      <c r="E632">
        <v>6854.59</v>
      </c>
    </row>
    <row r="633" spans="1:5" x14ac:dyDescent="0.25">
      <c r="A633" s="1">
        <v>45558</v>
      </c>
      <c r="B633">
        <v>1</v>
      </c>
      <c r="C633" t="s">
        <v>5</v>
      </c>
      <c r="D633">
        <v>373</v>
      </c>
      <c r="E633">
        <v>7406.94</v>
      </c>
    </row>
    <row r="634" spans="1:5" x14ac:dyDescent="0.25">
      <c r="A634" s="1">
        <v>45559</v>
      </c>
      <c r="B634">
        <v>1</v>
      </c>
      <c r="C634" t="s">
        <v>5</v>
      </c>
      <c r="D634">
        <v>300</v>
      </c>
      <c r="E634">
        <v>5961.77</v>
      </c>
    </row>
    <row r="635" spans="1:5" x14ac:dyDescent="0.25">
      <c r="A635" s="1">
        <v>45560</v>
      </c>
      <c r="B635">
        <v>1</v>
      </c>
      <c r="C635" t="s">
        <v>5</v>
      </c>
      <c r="D635">
        <v>305</v>
      </c>
      <c r="E635">
        <v>5688.55</v>
      </c>
    </row>
    <row r="636" spans="1:5" x14ac:dyDescent="0.25">
      <c r="A636" s="1">
        <v>45561</v>
      </c>
      <c r="B636">
        <v>1</v>
      </c>
      <c r="C636" t="s">
        <v>5</v>
      </c>
      <c r="D636">
        <v>329</v>
      </c>
      <c r="E636">
        <v>6012.94</v>
      </c>
    </row>
    <row r="637" spans="1:5" x14ac:dyDescent="0.25">
      <c r="A637" s="1">
        <v>45562</v>
      </c>
      <c r="B637">
        <v>1</v>
      </c>
      <c r="C637" t="s">
        <v>5</v>
      </c>
      <c r="D637">
        <v>323</v>
      </c>
      <c r="E637">
        <v>6222.19</v>
      </c>
    </row>
    <row r="638" spans="1:5" x14ac:dyDescent="0.25">
      <c r="A638" s="1">
        <v>45563</v>
      </c>
      <c r="B638">
        <v>1</v>
      </c>
      <c r="C638" t="s">
        <v>5</v>
      </c>
      <c r="D638">
        <v>351</v>
      </c>
      <c r="E638">
        <v>6843.38</v>
      </c>
    </row>
    <row r="639" spans="1:5" x14ac:dyDescent="0.25">
      <c r="A639" s="1">
        <v>45564</v>
      </c>
      <c r="B639">
        <v>1</v>
      </c>
      <c r="C639" t="s">
        <v>5</v>
      </c>
      <c r="D639">
        <v>355</v>
      </c>
      <c r="E639">
        <v>6636.66</v>
      </c>
    </row>
    <row r="640" spans="1:5" x14ac:dyDescent="0.25">
      <c r="A640" s="1">
        <v>45565</v>
      </c>
      <c r="B640">
        <v>1</v>
      </c>
      <c r="C640" t="s">
        <v>5</v>
      </c>
      <c r="D640">
        <v>291</v>
      </c>
      <c r="E640">
        <v>5398.29</v>
      </c>
    </row>
    <row r="641" spans="1:5" x14ac:dyDescent="0.25">
      <c r="A641" s="1">
        <v>45566</v>
      </c>
      <c r="B641">
        <v>1</v>
      </c>
      <c r="C641" t="s">
        <v>5</v>
      </c>
      <c r="D641">
        <v>289</v>
      </c>
      <c r="E641">
        <v>5654.33</v>
      </c>
    </row>
    <row r="642" spans="1:5" x14ac:dyDescent="0.25">
      <c r="A642" s="1">
        <v>45567</v>
      </c>
      <c r="B642">
        <v>1</v>
      </c>
      <c r="C642" t="s">
        <v>5</v>
      </c>
      <c r="D642">
        <v>319</v>
      </c>
      <c r="E642">
        <v>6049.48</v>
      </c>
    </row>
    <row r="643" spans="1:5" x14ac:dyDescent="0.25">
      <c r="A643" s="1">
        <v>45568</v>
      </c>
      <c r="B643">
        <v>1</v>
      </c>
      <c r="C643" t="s">
        <v>5</v>
      </c>
      <c r="D643">
        <v>367</v>
      </c>
      <c r="E643">
        <v>6566.35</v>
      </c>
    </row>
    <row r="644" spans="1:5" x14ac:dyDescent="0.25">
      <c r="A644" s="1">
        <v>45569</v>
      </c>
      <c r="B644">
        <v>1</v>
      </c>
      <c r="C644" t="s">
        <v>5</v>
      </c>
      <c r="D644">
        <v>308</v>
      </c>
      <c r="E644">
        <v>5781.71</v>
      </c>
    </row>
    <row r="645" spans="1:5" x14ac:dyDescent="0.25">
      <c r="A645" s="1">
        <v>45570</v>
      </c>
      <c r="B645">
        <v>1</v>
      </c>
      <c r="C645" t="s">
        <v>5</v>
      </c>
      <c r="D645">
        <v>387</v>
      </c>
      <c r="E645">
        <v>7182.93</v>
      </c>
    </row>
    <row r="646" spans="1:5" x14ac:dyDescent="0.25">
      <c r="A646" s="1">
        <v>45571</v>
      </c>
      <c r="B646">
        <v>1</v>
      </c>
      <c r="C646" t="s">
        <v>5</v>
      </c>
      <c r="D646">
        <v>362</v>
      </c>
      <c r="E646">
        <v>6494.65</v>
      </c>
    </row>
    <row r="647" spans="1:5" x14ac:dyDescent="0.25">
      <c r="A647" s="1">
        <v>45572</v>
      </c>
      <c r="B647">
        <v>1</v>
      </c>
      <c r="C647" t="s">
        <v>5</v>
      </c>
      <c r="D647">
        <v>317</v>
      </c>
      <c r="E647">
        <v>5953.32</v>
      </c>
    </row>
    <row r="648" spans="1:5" x14ac:dyDescent="0.25">
      <c r="A648" s="1">
        <v>45573</v>
      </c>
      <c r="B648">
        <v>1</v>
      </c>
      <c r="C648" t="s">
        <v>5</v>
      </c>
      <c r="D648">
        <v>318</v>
      </c>
      <c r="E648">
        <v>6164.25</v>
      </c>
    </row>
    <row r="649" spans="1:5" x14ac:dyDescent="0.25">
      <c r="A649" s="1">
        <v>45574</v>
      </c>
      <c r="B649">
        <v>1</v>
      </c>
      <c r="C649" t="s">
        <v>5</v>
      </c>
      <c r="D649">
        <v>331</v>
      </c>
      <c r="E649">
        <v>6019.84</v>
      </c>
    </row>
    <row r="650" spans="1:5" x14ac:dyDescent="0.25">
      <c r="A650" s="1">
        <v>45575</v>
      </c>
      <c r="B650">
        <v>1</v>
      </c>
      <c r="C650" t="s">
        <v>5</v>
      </c>
      <c r="D650">
        <v>327</v>
      </c>
      <c r="E650">
        <v>6085.93</v>
      </c>
    </row>
    <row r="651" spans="1:5" x14ac:dyDescent="0.25">
      <c r="A651" s="1">
        <v>45576</v>
      </c>
      <c r="B651">
        <v>1</v>
      </c>
      <c r="C651" t="s">
        <v>5</v>
      </c>
      <c r="D651">
        <v>279</v>
      </c>
      <c r="E651">
        <v>5163.05</v>
      </c>
    </row>
    <row r="652" spans="1:5" x14ac:dyDescent="0.25">
      <c r="A652" s="1">
        <v>45577</v>
      </c>
      <c r="B652">
        <v>1</v>
      </c>
      <c r="C652" t="s">
        <v>5</v>
      </c>
      <c r="D652">
        <v>364</v>
      </c>
      <c r="E652">
        <v>6686.99</v>
      </c>
    </row>
    <row r="653" spans="1:5" x14ac:dyDescent="0.25">
      <c r="A653" s="1">
        <v>45578</v>
      </c>
      <c r="B653">
        <v>1</v>
      </c>
      <c r="C653" t="s">
        <v>5</v>
      </c>
      <c r="D653">
        <v>356</v>
      </c>
      <c r="E653">
        <v>6008.56</v>
      </c>
    </row>
    <row r="654" spans="1:5" x14ac:dyDescent="0.25">
      <c r="A654" s="1">
        <v>45579</v>
      </c>
      <c r="B654">
        <v>1</v>
      </c>
      <c r="C654" t="s">
        <v>5</v>
      </c>
      <c r="D654">
        <v>284</v>
      </c>
      <c r="E654">
        <v>4922.3</v>
      </c>
    </row>
    <row r="655" spans="1:5" x14ac:dyDescent="0.25">
      <c r="A655" s="1">
        <v>45580</v>
      </c>
      <c r="B655">
        <v>1</v>
      </c>
      <c r="C655" t="s">
        <v>5</v>
      </c>
      <c r="D655">
        <v>315</v>
      </c>
      <c r="E655">
        <v>5944.26</v>
      </c>
    </row>
    <row r="656" spans="1:5" x14ac:dyDescent="0.25">
      <c r="A656" s="1">
        <v>45581</v>
      </c>
      <c r="B656">
        <v>1</v>
      </c>
      <c r="C656" t="s">
        <v>5</v>
      </c>
      <c r="D656">
        <v>366</v>
      </c>
      <c r="E656">
        <v>6279.03</v>
      </c>
    </row>
    <row r="657" spans="1:5" x14ac:dyDescent="0.25">
      <c r="A657" s="1">
        <v>45582</v>
      </c>
      <c r="B657">
        <v>1</v>
      </c>
      <c r="C657" t="s">
        <v>5</v>
      </c>
      <c r="D657">
        <v>308</v>
      </c>
      <c r="E657">
        <v>5809.35</v>
      </c>
    </row>
    <row r="658" spans="1:5" x14ac:dyDescent="0.25">
      <c r="A658" s="1">
        <v>45583</v>
      </c>
      <c r="B658">
        <v>1</v>
      </c>
      <c r="C658" t="s">
        <v>5</v>
      </c>
      <c r="D658">
        <v>327</v>
      </c>
      <c r="E658">
        <v>6257.16</v>
      </c>
    </row>
    <row r="659" spans="1:5" x14ac:dyDescent="0.25">
      <c r="A659" s="1">
        <v>45584</v>
      </c>
      <c r="B659">
        <v>1</v>
      </c>
      <c r="C659" t="s">
        <v>5</v>
      </c>
      <c r="D659">
        <v>350</v>
      </c>
      <c r="E659">
        <v>6283.84</v>
      </c>
    </row>
    <row r="660" spans="1:5" x14ac:dyDescent="0.25">
      <c r="A660" s="1">
        <v>45585</v>
      </c>
      <c r="B660">
        <v>1</v>
      </c>
      <c r="C660" t="s">
        <v>5</v>
      </c>
      <c r="D660">
        <v>353</v>
      </c>
      <c r="E660">
        <v>6887.8</v>
      </c>
    </row>
    <row r="661" spans="1:5" x14ac:dyDescent="0.25">
      <c r="A661" s="1">
        <v>45586</v>
      </c>
      <c r="B661">
        <v>1</v>
      </c>
      <c r="C661" t="s">
        <v>5</v>
      </c>
      <c r="D661">
        <v>332</v>
      </c>
      <c r="E661">
        <v>6459.94</v>
      </c>
    </row>
    <row r="662" spans="1:5" x14ac:dyDescent="0.25">
      <c r="A662" s="1">
        <v>45587</v>
      </c>
      <c r="B662">
        <v>1</v>
      </c>
      <c r="C662" t="s">
        <v>5</v>
      </c>
      <c r="D662">
        <v>301</v>
      </c>
      <c r="E662">
        <v>6076.39</v>
      </c>
    </row>
    <row r="663" spans="1:5" x14ac:dyDescent="0.25">
      <c r="A663" s="1">
        <v>45588</v>
      </c>
      <c r="B663">
        <v>1</v>
      </c>
      <c r="C663" t="s">
        <v>5</v>
      </c>
      <c r="D663">
        <v>328</v>
      </c>
      <c r="E663">
        <v>5823.5</v>
      </c>
    </row>
    <row r="664" spans="1:5" x14ac:dyDescent="0.25">
      <c r="A664" s="1">
        <v>45589</v>
      </c>
      <c r="B664">
        <v>1</v>
      </c>
      <c r="C664" t="s">
        <v>5</v>
      </c>
      <c r="D664">
        <v>290</v>
      </c>
      <c r="E664">
        <v>5206.3900000000003</v>
      </c>
    </row>
    <row r="665" spans="1:5" x14ac:dyDescent="0.25">
      <c r="A665" s="1">
        <v>45590</v>
      </c>
      <c r="B665">
        <v>1</v>
      </c>
      <c r="C665" t="s">
        <v>5</v>
      </c>
      <c r="D665">
        <v>347</v>
      </c>
      <c r="E665">
        <v>6848.19</v>
      </c>
    </row>
    <row r="666" spans="1:5" x14ac:dyDescent="0.25">
      <c r="A666" s="1">
        <v>45591</v>
      </c>
      <c r="B666">
        <v>1</v>
      </c>
      <c r="C666" t="s">
        <v>5</v>
      </c>
      <c r="D666">
        <v>325</v>
      </c>
      <c r="E666">
        <v>6186.46</v>
      </c>
    </row>
    <row r="667" spans="1:5" x14ac:dyDescent="0.25">
      <c r="A667" s="1">
        <v>45592</v>
      </c>
      <c r="B667">
        <v>1</v>
      </c>
      <c r="C667" t="s">
        <v>5</v>
      </c>
      <c r="D667">
        <v>368</v>
      </c>
      <c r="E667">
        <v>6915.67</v>
      </c>
    </row>
    <row r="668" spans="1:5" x14ac:dyDescent="0.25">
      <c r="A668" s="1">
        <v>45593</v>
      </c>
      <c r="B668">
        <v>1</v>
      </c>
      <c r="C668" t="s">
        <v>5</v>
      </c>
      <c r="D668">
        <v>305</v>
      </c>
      <c r="E668">
        <v>5172.2299999999996</v>
      </c>
    </row>
    <row r="669" spans="1:5" x14ac:dyDescent="0.25">
      <c r="A669" s="1">
        <v>45594</v>
      </c>
      <c r="B669">
        <v>1</v>
      </c>
      <c r="C669" t="s">
        <v>5</v>
      </c>
      <c r="D669">
        <v>320</v>
      </c>
      <c r="E669">
        <v>5286.88</v>
      </c>
    </row>
    <row r="670" spans="1:5" x14ac:dyDescent="0.25">
      <c r="A670" s="1">
        <v>45595</v>
      </c>
      <c r="B670">
        <v>1</v>
      </c>
      <c r="C670" t="s">
        <v>5</v>
      </c>
      <c r="D670">
        <v>285</v>
      </c>
      <c r="E670">
        <v>5184.08</v>
      </c>
    </row>
    <row r="671" spans="1:5" x14ac:dyDescent="0.25">
      <c r="A671" s="1">
        <v>45596</v>
      </c>
      <c r="B671">
        <v>1</v>
      </c>
      <c r="C671" t="s">
        <v>5</v>
      </c>
      <c r="D671">
        <v>322</v>
      </c>
      <c r="E671">
        <v>5821.66</v>
      </c>
    </row>
    <row r="672" spans="1:5" x14ac:dyDescent="0.25">
      <c r="A672" s="1">
        <v>45597</v>
      </c>
      <c r="B672">
        <v>1</v>
      </c>
      <c r="C672" t="s">
        <v>5</v>
      </c>
      <c r="D672">
        <v>297</v>
      </c>
      <c r="E672">
        <v>5489.92</v>
      </c>
    </row>
    <row r="673" spans="1:5" x14ac:dyDescent="0.25">
      <c r="A673" s="1">
        <v>45598</v>
      </c>
      <c r="B673">
        <v>1</v>
      </c>
      <c r="C673" t="s">
        <v>5</v>
      </c>
      <c r="D673">
        <v>358</v>
      </c>
      <c r="E673">
        <v>6841.69</v>
      </c>
    </row>
    <row r="674" spans="1:5" x14ac:dyDescent="0.25">
      <c r="A674" s="1">
        <v>45599</v>
      </c>
      <c r="B674">
        <v>1</v>
      </c>
      <c r="C674" t="s">
        <v>5</v>
      </c>
      <c r="D674">
        <v>367</v>
      </c>
      <c r="E674">
        <v>7085.98</v>
      </c>
    </row>
    <row r="675" spans="1:5" x14ac:dyDescent="0.25">
      <c r="A675" s="1">
        <v>45600</v>
      </c>
      <c r="B675">
        <v>1</v>
      </c>
      <c r="C675" t="s">
        <v>5</v>
      </c>
      <c r="D675">
        <v>287</v>
      </c>
      <c r="E675">
        <v>5066.49</v>
      </c>
    </row>
    <row r="676" spans="1:5" x14ac:dyDescent="0.25">
      <c r="A676" s="1">
        <v>45601</v>
      </c>
      <c r="B676">
        <v>1</v>
      </c>
      <c r="C676" t="s">
        <v>5</v>
      </c>
      <c r="D676">
        <v>269</v>
      </c>
      <c r="E676">
        <v>4688.99</v>
      </c>
    </row>
    <row r="677" spans="1:5" x14ac:dyDescent="0.25">
      <c r="A677" s="1">
        <v>45602</v>
      </c>
      <c r="B677">
        <v>1</v>
      </c>
      <c r="C677" t="s">
        <v>5</v>
      </c>
      <c r="D677">
        <v>292</v>
      </c>
      <c r="E677">
        <v>5683.83</v>
      </c>
    </row>
    <row r="678" spans="1:5" x14ac:dyDescent="0.25">
      <c r="A678" s="1">
        <v>45603</v>
      </c>
      <c r="B678">
        <v>1</v>
      </c>
      <c r="C678" t="s">
        <v>5</v>
      </c>
      <c r="D678">
        <v>243</v>
      </c>
      <c r="E678">
        <v>4410.57</v>
      </c>
    </row>
    <row r="679" spans="1:5" x14ac:dyDescent="0.25">
      <c r="A679" s="1">
        <v>45604</v>
      </c>
      <c r="B679">
        <v>1</v>
      </c>
      <c r="C679" t="s">
        <v>5</v>
      </c>
      <c r="D679">
        <v>285</v>
      </c>
      <c r="E679">
        <v>5279.02</v>
      </c>
    </row>
    <row r="680" spans="1:5" x14ac:dyDescent="0.25">
      <c r="A680" s="1">
        <v>45605</v>
      </c>
      <c r="B680">
        <v>1</v>
      </c>
      <c r="C680" t="s">
        <v>5</v>
      </c>
      <c r="D680">
        <v>326</v>
      </c>
      <c r="E680">
        <v>6482.83</v>
      </c>
    </row>
    <row r="681" spans="1:5" x14ac:dyDescent="0.25">
      <c r="A681" s="1">
        <v>45606</v>
      </c>
      <c r="B681">
        <v>1</v>
      </c>
      <c r="C681" t="s">
        <v>5</v>
      </c>
      <c r="D681">
        <v>371</v>
      </c>
      <c r="E681">
        <v>6763.48</v>
      </c>
    </row>
    <row r="682" spans="1:5" x14ac:dyDescent="0.25">
      <c r="A682" s="1">
        <v>45607</v>
      </c>
      <c r="B682">
        <v>1</v>
      </c>
      <c r="C682" t="s">
        <v>5</v>
      </c>
      <c r="D682">
        <v>335</v>
      </c>
      <c r="E682">
        <v>5657.44</v>
      </c>
    </row>
    <row r="683" spans="1:5" x14ac:dyDescent="0.25">
      <c r="A683" s="1">
        <v>45608</v>
      </c>
      <c r="B683">
        <v>1</v>
      </c>
      <c r="C683" t="s">
        <v>5</v>
      </c>
      <c r="D683">
        <v>280</v>
      </c>
      <c r="E683">
        <v>5334.11</v>
      </c>
    </row>
    <row r="684" spans="1:5" x14ac:dyDescent="0.25">
      <c r="A684" s="1">
        <v>45609</v>
      </c>
      <c r="B684">
        <v>1</v>
      </c>
      <c r="C684" t="s">
        <v>5</v>
      </c>
      <c r="D684">
        <v>315</v>
      </c>
      <c r="E684">
        <v>5927.78</v>
      </c>
    </row>
    <row r="685" spans="1:5" x14ac:dyDescent="0.25">
      <c r="A685" s="1">
        <v>45610</v>
      </c>
      <c r="B685">
        <v>1</v>
      </c>
      <c r="C685" t="s">
        <v>5</v>
      </c>
      <c r="D685">
        <v>259</v>
      </c>
      <c r="E685">
        <v>4964.04</v>
      </c>
    </row>
    <row r="686" spans="1:5" x14ac:dyDescent="0.25">
      <c r="A686" s="1">
        <v>45611</v>
      </c>
      <c r="B686">
        <v>1</v>
      </c>
      <c r="C686" t="s">
        <v>5</v>
      </c>
      <c r="D686">
        <v>265</v>
      </c>
      <c r="E686">
        <v>4929.91</v>
      </c>
    </row>
    <row r="687" spans="1:5" x14ac:dyDescent="0.25">
      <c r="A687" s="1">
        <v>45612</v>
      </c>
      <c r="B687">
        <v>1</v>
      </c>
      <c r="C687" t="s">
        <v>5</v>
      </c>
      <c r="D687">
        <v>349</v>
      </c>
      <c r="E687">
        <v>6475.56</v>
      </c>
    </row>
    <row r="688" spans="1:5" x14ac:dyDescent="0.25">
      <c r="A688" s="1">
        <v>45613</v>
      </c>
      <c r="B688">
        <v>1</v>
      </c>
      <c r="C688" t="s">
        <v>5</v>
      </c>
      <c r="D688">
        <v>313</v>
      </c>
      <c r="E688">
        <v>6034.34</v>
      </c>
    </row>
    <row r="689" spans="1:5" x14ac:dyDescent="0.25">
      <c r="A689" s="1">
        <v>45614</v>
      </c>
      <c r="B689">
        <v>1</v>
      </c>
      <c r="C689" t="s">
        <v>5</v>
      </c>
      <c r="D689">
        <v>281</v>
      </c>
      <c r="E689">
        <v>5312.43</v>
      </c>
    </row>
    <row r="690" spans="1:5" x14ac:dyDescent="0.25">
      <c r="A690" s="1">
        <v>45615</v>
      </c>
      <c r="B690">
        <v>1</v>
      </c>
      <c r="C690" t="s">
        <v>5</v>
      </c>
      <c r="D690">
        <v>249</v>
      </c>
      <c r="E690">
        <v>4507.71</v>
      </c>
    </row>
    <row r="691" spans="1:5" x14ac:dyDescent="0.25">
      <c r="A691" s="1">
        <v>45616</v>
      </c>
      <c r="B691">
        <v>1</v>
      </c>
      <c r="C691" t="s">
        <v>5</v>
      </c>
      <c r="D691">
        <v>307</v>
      </c>
      <c r="E691">
        <v>6541.73</v>
      </c>
    </row>
    <row r="692" spans="1:5" x14ac:dyDescent="0.25">
      <c r="A692" s="1">
        <v>45617</v>
      </c>
      <c r="B692">
        <v>1</v>
      </c>
      <c r="C692" t="s">
        <v>5</v>
      </c>
      <c r="D692">
        <v>251</v>
      </c>
      <c r="E692">
        <v>4042.17</v>
      </c>
    </row>
    <row r="693" spans="1:5" x14ac:dyDescent="0.25">
      <c r="A693" s="1">
        <v>45618</v>
      </c>
      <c r="B693">
        <v>1</v>
      </c>
      <c r="C693" t="s">
        <v>5</v>
      </c>
      <c r="D693">
        <v>263</v>
      </c>
      <c r="E693">
        <v>5192.75</v>
      </c>
    </row>
    <row r="694" spans="1:5" x14ac:dyDescent="0.25">
      <c r="A694" s="1">
        <v>45619</v>
      </c>
      <c r="B694">
        <v>1</v>
      </c>
      <c r="C694" t="s">
        <v>5</v>
      </c>
      <c r="D694">
        <v>312</v>
      </c>
      <c r="E694">
        <v>5787.21</v>
      </c>
    </row>
    <row r="695" spans="1:5" x14ac:dyDescent="0.25">
      <c r="A695" s="1">
        <v>45620</v>
      </c>
      <c r="B695">
        <v>1</v>
      </c>
      <c r="C695" t="s">
        <v>5</v>
      </c>
      <c r="D695">
        <v>358</v>
      </c>
      <c r="E695">
        <v>6683.13</v>
      </c>
    </row>
    <row r="696" spans="1:5" x14ac:dyDescent="0.25">
      <c r="A696" s="1">
        <v>45621</v>
      </c>
      <c r="B696">
        <v>1</v>
      </c>
      <c r="C696" t="s">
        <v>5</v>
      </c>
      <c r="D696">
        <v>317</v>
      </c>
      <c r="E696">
        <v>5572.05</v>
      </c>
    </row>
    <row r="697" spans="1:5" x14ac:dyDescent="0.25">
      <c r="A697" s="1">
        <v>45622</v>
      </c>
      <c r="B697">
        <v>1</v>
      </c>
      <c r="C697" t="s">
        <v>5</v>
      </c>
      <c r="D697">
        <v>289</v>
      </c>
      <c r="E697">
        <v>5430.77</v>
      </c>
    </row>
    <row r="698" spans="1:5" x14ac:dyDescent="0.25">
      <c r="A698" s="1">
        <v>45623</v>
      </c>
      <c r="B698">
        <v>1</v>
      </c>
      <c r="C698" t="s">
        <v>5</v>
      </c>
      <c r="D698">
        <v>354</v>
      </c>
      <c r="E698">
        <v>6500.75</v>
      </c>
    </row>
    <row r="699" spans="1:5" x14ac:dyDescent="0.25">
      <c r="A699" s="1">
        <v>45624</v>
      </c>
      <c r="B699">
        <v>1</v>
      </c>
      <c r="C699" t="s">
        <v>5</v>
      </c>
      <c r="D699">
        <v>234</v>
      </c>
      <c r="E699">
        <v>4346.63</v>
      </c>
    </row>
    <row r="700" spans="1:5" x14ac:dyDescent="0.25">
      <c r="A700" s="1">
        <v>45625</v>
      </c>
      <c r="B700">
        <v>1</v>
      </c>
      <c r="C700" t="s">
        <v>5</v>
      </c>
      <c r="D700">
        <v>311</v>
      </c>
      <c r="E700">
        <v>5216.41</v>
      </c>
    </row>
    <row r="701" spans="1:5" x14ac:dyDescent="0.25">
      <c r="A701" s="1">
        <v>45626</v>
      </c>
      <c r="B701">
        <v>1</v>
      </c>
      <c r="C701" t="s">
        <v>5</v>
      </c>
      <c r="D701">
        <v>309</v>
      </c>
      <c r="E701">
        <v>5701.18</v>
      </c>
    </row>
    <row r="702" spans="1:5" x14ac:dyDescent="0.25">
      <c r="A702" s="1">
        <v>45627</v>
      </c>
      <c r="B702">
        <v>1</v>
      </c>
      <c r="C702" t="s">
        <v>5</v>
      </c>
      <c r="D702">
        <v>322</v>
      </c>
      <c r="E702">
        <v>5722.67</v>
      </c>
    </row>
    <row r="703" spans="1:5" x14ac:dyDescent="0.25">
      <c r="A703" s="1">
        <v>45628</v>
      </c>
      <c r="B703">
        <v>1</v>
      </c>
      <c r="C703" t="s">
        <v>5</v>
      </c>
      <c r="D703">
        <v>292</v>
      </c>
      <c r="E703">
        <v>5518.59</v>
      </c>
    </row>
    <row r="704" spans="1:5" x14ac:dyDescent="0.25">
      <c r="A704" s="1">
        <v>45629</v>
      </c>
      <c r="B704">
        <v>1</v>
      </c>
      <c r="C704" t="s">
        <v>5</v>
      </c>
      <c r="D704">
        <v>281</v>
      </c>
      <c r="E704">
        <v>5196.7700000000004</v>
      </c>
    </row>
    <row r="705" spans="1:5" x14ac:dyDescent="0.25">
      <c r="A705" s="1">
        <v>45630</v>
      </c>
      <c r="B705">
        <v>1</v>
      </c>
      <c r="C705" t="s">
        <v>5</v>
      </c>
      <c r="D705">
        <v>263</v>
      </c>
      <c r="E705">
        <v>5080.1400000000003</v>
      </c>
    </row>
    <row r="706" spans="1:5" x14ac:dyDescent="0.25">
      <c r="A706" s="1">
        <v>45631</v>
      </c>
      <c r="B706">
        <v>1</v>
      </c>
      <c r="C706" t="s">
        <v>5</v>
      </c>
      <c r="D706">
        <v>257</v>
      </c>
      <c r="E706">
        <v>5164.4399999999996</v>
      </c>
    </row>
    <row r="707" spans="1:5" x14ac:dyDescent="0.25">
      <c r="A707" s="1">
        <v>45632</v>
      </c>
      <c r="B707">
        <v>1</v>
      </c>
      <c r="C707" t="s">
        <v>5</v>
      </c>
      <c r="D707">
        <v>268</v>
      </c>
      <c r="E707">
        <v>5294.07</v>
      </c>
    </row>
    <row r="708" spans="1:5" x14ac:dyDescent="0.25">
      <c r="A708" s="1">
        <v>45633</v>
      </c>
      <c r="B708">
        <v>1</v>
      </c>
      <c r="C708" t="s">
        <v>5</v>
      </c>
      <c r="D708">
        <v>271</v>
      </c>
      <c r="E708">
        <v>4707.1000000000004</v>
      </c>
    </row>
    <row r="709" spans="1:5" x14ac:dyDescent="0.25">
      <c r="A709" s="1">
        <v>45634</v>
      </c>
      <c r="B709">
        <v>1</v>
      </c>
      <c r="C709" t="s">
        <v>5</v>
      </c>
      <c r="D709">
        <v>259</v>
      </c>
      <c r="E709">
        <v>4860.08</v>
      </c>
    </row>
    <row r="710" spans="1:5" x14ac:dyDescent="0.25">
      <c r="A710" s="1">
        <v>45635</v>
      </c>
      <c r="B710">
        <v>1</v>
      </c>
      <c r="C710" t="s">
        <v>5</v>
      </c>
      <c r="D710">
        <v>300</v>
      </c>
      <c r="E710">
        <v>5657.21</v>
      </c>
    </row>
    <row r="711" spans="1:5" x14ac:dyDescent="0.25">
      <c r="A711" s="1">
        <v>45636</v>
      </c>
      <c r="B711">
        <v>1</v>
      </c>
      <c r="C711" t="s">
        <v>5</v>
      </c>
      <c r="D711">
        <v>263</v>
      </c>
      <c r="E711">
        <v>4785.08</v>
      </c>
    </row>
    <row r="712" spans="1:5" x14ac:dyDescent="0.25">
      <c r="A712" s="1">
        <v>45637</v>
      </c>
      <c r="B712">
        <v>1</v>
      </c>
      <c r="C712" t="s">
        <v>5</v>
      </c>
      <c r="D712">
        <v>277</v>
      </c>
      <c r="E712">
        <v>5032.93</v>
      </c>
    </row>
    <row r="713" spans="1:5" x14ac:dyDescent="0.25">
      <c r="A713" s="1">
        <v>45638</v>
      </c>
      <c r="B713">
        <v>1</v>
      </c>
      <c r="C713" t="s">
        <v>5</v>
      </c>
      <c r="D713">
        <v>256</v>
      </c>
      <c r="E713">
        <v>5247.37</v>
      </c>
    </row>
    <row r="714" spans="1:5" x14ac:dyDescent="0.25">
      <c r="A714" s="1">
        <v>45639</v>
      </c>
      <c r="B714">
        <v>1</v>
      </c>
      <c r="C714" t="s">
        <v>5</v>
      </c>
      <c r="D714">
        <v>231</v>
      </c>
      <c r="E714">
        <v>4405.2299999999996</v>
      </c>
    </row>
    <row r="715" spans="1:5" x14ac:dyDescent="0.25">
      <c r="A715" s="1">
        <v>45640</v>
      </c>
      <c r="B715">
        <v>1</v>
      </c>
      <c r="C715" t="s">
        <v>5</v>
      </c>
      <c r="D715">
        <v>328</v>
      </c>
      <c r="E715">
        <v>5737.4</v>
      </c>
    </row>
    <row r="716" spans="1:5" x14ac:dyDescent="0.25">
      <c r="A716" s="1">
        <v>45641</v>
      </c>
      <c r="B716">
        <v>1</v>
      </c>
      <c r="C716" t="s">
        <v>5</v>
      </c>
      <c r="D716">
        <v>290</v>
      </c>
      <c r="E716">
        <v>5204.51</v>
      </c>
    </row>
    <row r="717" spans="1:5" x14ac:dyDescent="0.25">
      <c r="A717" s="1">
        <v>45642</v>
      </c>
      <c r="B717">
        <v>1</v>
      </c>
      <c r="C717" t="s">
        <v>5</v>
      </c>
      <c r="D717">
        <v>260</v>
      </c>
      <c r="E717">
        <v>4833.22</v>
      </c>
    </row>
    <row r="718" spans="1:5" x14ac:dyDescent="0.25">
      <c r="A718" s="1">
        <v>45643</v>
      </c>
      <c r="B718">
        <v>1</v>
      </c>
      <c r="C718" t="s">
        <v>5</v>
      </c>
      <c r="D718">
        <v>228</v>
      </c>
      <c r="E718">
        <v>3895.68</v>
      </c>
    </row>
    <row r="719" spans="1:5" x14ac:dyDescent="0.25">
      <c r="A719" s="1">
        <v>45644</v>
      </c>
      <c r="B719">
        <v>1</v>
      </c>
      <c r="C719" t="s">
        <v>5</v>
      </c>
      <c r="D719">
        <v>190</v>
      </c>
      <c r="E719">
        <v>3869.65</v>
      </c>
    </row>
    <row r="720" spans="1:5" x14ac:dyDescent="0.25">
      <c r="A720" s="1">
        <v>45645</v>
      </c>
      <c r="B720">
        <v>1</v>
      </c>
      <c r="C720" t="s">
        <v>5</v>
      </c>
      <c r="D720">
        <v>239</v>
      </c>
      <c r="E720">
        <v>4216.8100000000004</v>
      </c>
    </row>
    <row r="721" spans="1:5" x14ac:dyDescent="0.25">
      <c r="A721" s="1">
        <v>45646</v>
      </c>
      <c r="B721">
        <v>1</v>
      </c>
      <c r="C721" t="s">
        <v>5</v>
      </c>
      <c r="D721">
        <v>240</v>
      </c>
      <c r="E721">
        <v>4314.6099999999997</v>
      </c>
    </row>
    <row r="722" spans="1:5" x14ac:dyDescent="0.25">
      <c r="A722" s="1">
        <v>45647</v>
      </c>
      <c r="B722">
        <v>1</v>
      </c>
      <c r="C722" t="s">
        <v>5</v>
      </c>
      <c r="D722">
        <v>300</v>
      </c>
      <c r="E722">
        <v>5562.31</v>
      </c>
    </row>
    <row r="723" spans="1:5" x14ac:dyDescent="0.25">
      <c r="A723" s="1">
        <v>45648</v>
      </c>
      <c r="B723">
        <v>1</v>
      </c>
      <c r="C723" t="s">
        <v>5</v>
      </c>
      <c r="D723">
        <v>297</v>
      </c>
      <c r="E723">
        <v>5022.8500000000004</v>
      </c>
    </row>
    <row r="724" spans="1:5" x14ac:dyDescent="0.25">
      <c r="A724" s="1">
        <v>45649</v>
      </c>
      <c r="B724">
        <v>1</v>
      </c>
      <c r="C724" t="s">
        <v>5</v>
      </c>
      <c r="D724">
        <v>237</v>
      </c>
      <c r="E724">
        <v>4404.17</v>
      </c>
    </row>
    <row r="725" spans="1:5" x14ac:dyDescent="0.25">
      <c r="A725" s="1">
        <v>45650</v>
      </c>
      <c r="B725">
        <v>1</v>
      </c>
      <c r="C725" t="s">
        <v>5</v>
      </c>
      <c r="D725">
        <v>273</v>
      </c>
      <c r="E725">
        <v>5037.0200000000004</v>
      </c>
    </row>
    <row r="726" spans="1:5" x14ac:dyDescent="0.25">
      <c r="A726" s="1">
        <v>45651</v>
      </c>
      <c r="B726">
        <v>1</v>
      </c>
      <c r="C726" t="s">
        <v>5</v>
      </c>
      <c r="D726">
        <v>231</v>
      </c>
      <c r="E726">
        <v>4271.63</v>
      </c>
    </row>
    <row r="727" spans="1:5" x14ac:dyDescent="0.25">
      <c r="A727" s="1">
        <v>45652</v>
      </c>
      <c r="B727">
        <v>1</v>
      </c>
      <c r="C727" t="s">
        <v>5</v>
      </c>
      <c r="D727">
        <v>281</v>
      </c>
      <c r="E727">
        <v>5444.6</v>
      </c>
    </row>
    <row r="728" spans="1:5" x14ac:dyDescent="0.25">
      <c r="A728" s="1">
        <v>45653</v>
      </c>
      <c r="B728">
        <v>1</v>
      </c>
      <c r="C728" t="s">
        <v>5</v>
      </c>
      <c r="D728">
        <v>304</v>
      </c>
      <c r="E728">
        <v>5486.46</v>
      </c>
    </row>
    <row r="729" spans="1:5" x14ac:dyDescent="0.25">
      <c r="A729" s="1">
        <v>45654</v>
      </c>
      <c r="B729">
        <v>1</v>
      </c>
      <c r="C729" t="s">
        <v>5</v>
      </c>
      <c r="D729">
        <v>273</v>
      </c>
      <c r="E729">
        <v>4713.83</v>
      </c>
    </row>
    <row r="730" spans="1:5" x14ac:dyDescent="0.25">
      <c r="A730" s="1">
        <v>45655</v>
      </c>
      <c r="B730">
        <v>1</v>
      </c>
      <c r="C730" t="s">
        <v>5</v>
      </c>
      <c r="D730">
        <v>248</v>
      </c>
      <c r="E730">
        <v>4588.3900000000003</v>
      </c>
    </row>
    <row r="731" spans="1:5" x14ac:dyDescent="0.25">
      <c r="A731" s="1">
        <v>45656</v>
      </c>
      <c r="B731">
        <v>1</v>
      </c>
      <c r="C731" t="s">
        <v>5</v>
      </c>
      <c r="D731">
        <v>235</v>
      </c>
      <c r="E731">
        <v>4554.18</v>
      </c>
    </row>
    <row r="732" spans="1:5" x14ac:dyDescent="0.25">
      <c r="A732" s="1">
        <v>45657</v>
      </c>
      <c r="B732">
        <v>1</v>
      </c>
      <c r="C732" t="s">
        <v>5</v>
      </c>
      <c r="D732">
        <v>196</v>
      </c>
      <c r="E732">
        <v>3755.53</v>
      </c>
    </row>
    <row r="733" spans="1:5" x14ac:dyDescent="0.25">
      <c r="A733" s="1">
        <v>44927</v>
      </c>
      <c r="B733">
        <v>2</v>
      </c>
      <c r="C733" t="s">
        <v>6</v>
      </c>
      <c r="D733">
        <v>289</v>
      </c>
      <c r="E733">
        <v>4887.88</v>
      </c>
    </row>
    <row r="734" spans="1:5" x14ac:dyDescent="0.25">
      <c r="A734" s="1">
        <v>44928</v>
      </c>
      <c r="B734">
        <v>2</v>
      </c>
      <c r="C734" t="s">
        <v>6</v>
      </c>
      <c r="D734">
        <v>219</v>
      </c>
      <c r="E734">
        <v>3968.51</v>
      </c>
    </row>
    <row r="735" spans="1:5" x14ac:dyDescent="0.25">
      <c r="A735" s="1">
        <v>44929</v>
      </c>
      <c r="B735">
        <v>2</v>
      </c>
      <c r="C735" t="s">
        <v>6</v>
      </c>
      <c r="D735">
        <v>230</v>
      </c>
      <c r="E735">
        <v>4042.33</v>
      </c>
    </row>
    <row r="736" spans="1:5" x14ac:dyDescent="0.25">
      <c r="A736" s="1">
        <v>44930</v>
      </c>
      <c r="B736">
        <v>2</v>
      </c>
      <c r="C736" t="s">
        <v>6</v>
      </c>
      <c r="D736">
        <v>192</v>
      </c>
      <c r="E736">
        <v>3425.17</v>
      </c>
    </row>
    <row r="737" spans="1:5" x14ac:dyDescent="0.25">
      <c r="A737" s="1">
        <v>44931</v>
      </c>
      <c r="B737">
        <v>2</v>
      </c>
      <c r="C737" t="s">
        <v>6</v>
      </c>
      <c r="D737">
        <v>188</v>
      </c>
      <c r="E737">
        <v>3260.61</v>
      </c>
    </row>
    <row r="738" spans="1:5" x14ac:dyDescent="0.25">
      <c r="A738" s="1">
        <v>44932</v>
      </c>
      <c r="B738">
        <v>2</v>
      </c>
      <c r="C738" t="s">
        <v>6</v>
      </c>
      <c r="D738">
        <v>222</v>
      </c>
      <c r="E738">
        <v>3962.5</v>
      </c>
    </row>
    <row r="739" spans="1:5" x14ac:dyDescent="0.25">
      <c r="A739" s="1">
        <v>44933</v>
      </c>
      <c r="B739">
        <v>2</v>
      </c>
      <c r="C739" t="s">
        <v>6</v>
      </c>
      <c r="D739">
        <v>243</v>
      </c>
      <c r="E739">
        <v>4022.73</v>
      </c>
    </row>
    <row r="740" spans="1:5" x14ac:dyDescent="0.25">
      <c r="A740" s="1">
        <v>44934</v>
      </c>
      <c r="B740">
        <v>2</v>
      </c>
      <c r="C740" t="s">
        <v>6</v>
      </c>
      <c r="D740">
        <v>231</v>
      </c>
      <c r="E740">
        <v>4061.02</v>
      </c>
    </row>
    <row r="741" spans="1:5" x14ac:dyDescent="0.25">
      <c r="A741" s="1">
        <v>44935</v>
      </c>
      <c r="B741">
        <v>2</v>
      </c>
      <c r="C741" t="s">
        <v>6</v>
      </c>
      <c r="D741">
        <v>257</v>
      </c>
      <c r="E741">
        <v>4292.67</v>
      </c>
    </row>
    <row r="742" spans="1:5" x14ac:dyDescent="0.25">
      <c r="A742" s="1">
        <v>44936</v>
      </c>
      <c r="B742">
        <v>2</v>
      </c>
      <c r="C742" t="s">
        <v>6</v>
      </c>
      <c r="D742">
        <v>194</v>
      </c>
      <c r="E742">
        <v>3404.83</v>
      </c>
    </row>
    <row r="743" spans="1:5" x14ac:dyDescent="0.25">
      <c r="A743" s="1">
        <v>44937</v>
      </c>
      <c r="B743">
        <v>2</v>
      </c>
      <c r="C743" t="s">
        <v>6</v>
      </c>
      <c r="D743">
        <v>208</v>
      </c>
      <c r="E743">
        <v>3360.16</v>
      </c>
    </row>
    <row r="744" spans="1:5" x14ac:dyDescent="0.25">
      <c r="A744" s="1">
        <v>44938</v>
      </c>
      <c r="B744">
        <v>2</v>
      </c>
      <c r="C744" t="s">
        <v>6</v>
      </c>
      <c r="D744">
        <v>172</v>
      </c>
      <c r="E744">
        <v>2747.66</v>
      </c>
    </row>
    <row r="745" spans="1:5" x14ac:dyDescent="0.25">
      <c r="A745" s="1">
        <v>44939</v>
      </c>
      <c r="B745">
        <v>2</v>
      </c>
      <c r="C745" t="s">
        <v>6</v>
      </c>
      <c r="D745">
        <v>241</v>
      </c>
      <c r="E745">
        <v>3643.22</v>
      </c>
    </row>
    <row r="746" spans="1:5" x14ac:dyDescent="0.25">
      <c r="A746" s="1">
        <v>44940</v>
      </c>
      <c r="B746">
        <v>2</v>
      </c>
      <c r="C746" t="s">
        <v>6</v>
      </c>
      <c r="D746">
        <v>247</v>
      </c>
      <c r="E746">
        <v>4490.21</v>
      </c>
    </row>
    <row r="747" spans="1:5" x14ac:dyDescent="0.25">
      <c r="A747" s="1">
        <v>44941</v>
      </c>
      <c r="B747">
        <v>2</v>
      </c>
      <c r="C747" t="s">
        <v>6</v>
      </c>
      <c r="D747">
        <v>197</v>
      </c>
      <c r="E747">
        <v>3665.89</v>
      </c>
    </row>
    <row r="748" spans="1:5" x14ac:dyDescent="0.25">
      <c r="A748" s="1">
        <v>44942</v>
      </c>
      <c r="B748">
        <v>2</v>
      </c>
      <c r="C748" t="s">
        <v>6</v>
      </c>
      <c r="D748">
        <v>185</v>
      </c>
      <c r="E748">
        <v>3014.91</v>
      </c>
    </row>
    <row r="749" spans="1:5" x14ac:dyDescent="0.25">
      <c r="A749" s="1">
        <v>44943</v>
      </c>
      <c r="B749">
        <v>2</v>
      </c>
      <c r="C749" t="s">
        <v>6</v>
      </c>
      <c r="D749">
        <v>239</v>
      </c>
      <c r="E749">
        <v>4145.18</v>
      </c>
    </row>
    <row r="750" spans="1:5" x14ac:dyDescent="0.25">
      <c r="A750" s="1">
        <v>44944</v>
      </c>
      <c r="B750">
        <v>2</v>
      </c>
      <c r="C750" t="s">
        <v>6</v>
      </c>
      <c r="D750">
        <v>169</v>
      </c>
      <c r="E750">
        <v>2820.04</v>
      </c>
    </row>
    <row r="751" spans="1:5" x14ac:dyDescent="0.25">
      <c r="A751" s="1">
        <v>44945</v>
      </c>
      <c r="B751">
        <v>2</v>
      </c>
      <c r="C751" t="s">
        <v>6</v>
      </c>
      <c r="D751">
        <v>238</v>
      </c>
      <c r="E751">
        <v>4165.97</v>
      </c>
    </row>
    <row r="752" spans="1:5" x14ac:dyDescent="0.25">
      <c r="A752" s="1">
        <v>44946</v>
      </c>
      <c r="B752">
        <v>2</v>
      </c>
      <c r="C752" t="s">
        <v>6</v>
      </c>
      <c r="D752">
        <v>203</v>
      </c>
      <c r="E752">
        <v>3335.91</v>
      </c>
    </row>
    <row r="753" spans="1:5" x14ac:dyDescent="0.25">
      <c r="A753" s="1">
        <v>44947</v>
      </c>
      <c r="B753">
        <v>2</v>
      </c>
      <c r="C753" t="s">
        <v>6</v>
      </c>
      <c r="D753">
        <v>212</v>
      </c>
      <c r="E753">
        <v>3911.01</v>
      </c>
    </row>
    <row r="754" spans="1:5" x14ac:dyDescent="0.25">
      <c r="A754" s="1">
        <v>44948</v>
      </c>
      <c r="B754">
        <v>2</v>
      </c>
      <c r="C754" t="s">
        <v>6</v>
      </c>
      <c r="D754">
        <v>233</v>
      </c>
      <c r="E754">
        <v>4106.6400000000003</v>
      </c>
    </row>
    <row r="755" spans="1:5" x14ac:dyDescent="0.25">
      <c r="A755" s="1">
        <v>44949</v>
      </c>
      <c r="B755">
        <v>2</v>
      </c>
      <c r="C755" t="s">
        <v>6</v>
      </c>
      <c r="D755">
        <v>202</v>
      </c>
      <c r="E755">
        <v>3326.99</v>
      </c>
    </row>
    <row r="756" spans="1:5" x14ac:dyDescent="0.25">
      <c r="A756" s="1">
        <v>44950</v>
      </c>
      <c r="B756">
        <v>2</v>
      </c>
      <c r="C756" t="s">
        <v>6</v>
      </c>
      <c r="D756">
        <v>226</v>
      </c>
      <c r="E756">
        <v>3763.66</v>
      </c>
    </row>
    <row r="757" spans="1:5" x14ac:dyDescent="0.25">
      <c r="A757" s="1">
        <v>44951</v>
      </c>
      <c r="B757">
        <v>2</v>
      </c>
      <c r="C757" t="s">
        <v>6</v>
      </c>
      <c r="D757">
        <v>151</v>
      </c>
      <c r="E757">
        <v>2498.2600000000002</v>
      </c>
    </row>
    <row r="758" spans="1:5" x14ac:dyDescent="0.25">
      <c r="A758" s="1">
        <v>44952</v>
      </c>
      <c r="B758">
        <v>2</v>
      </c>
      <c r="C758" t="s">
        <v>6</v>
      </c>
      <c r="D758">
        <v>195</v>
      </c>
      <c r="E758">
        <v>3115.02</v>
      </c>
    </row>
    <row r="759" spans="1:5" x14ac:dyDescent="0.25">
      <c r="A759" s="1">
        <v>44953</v>
      </c>
      <c r="B759">
        <v>2</v>
      </c>
      <c r="C759" t="s">
        <v>6</v>
      </c>
      <c r="D759">
        <v>183</v>
      </c>
      <c r="E759">
        <v>3391.73</v>
      </c>
    </row>
    <row r="760" spans="1:5" x14ac:dyDescent="0.25">
      <c r="A760" s="1">
        <v>44954</v>
      </c>
      <c r="B760">
        <v>2</v>
      </c>
      <c r="C760" t="s">
        <v>6</v>
      </c>
      <c r="D760">
        <v>208</v>
      </c>
      <c r="E760">
        <v>3591.58</v>
      </c>
    </row>
    <row r="761" spans="1:5" x14ac:dyDescent="0.25">
      <c r="A761" s="1">
        <v>44955</v>
      </c>
      <c r="B761">
        <v>2</v>
      </c>
      <c r="C761" t="s">
        <v>6</v>
      </c>
      <c r="D761">
        <v>246</v>
      </c>
      <c r="E761">
        <v>4433.99</v>
      </c>
    </row>
    <row r="762" spans="1:5" x14ac:dyDescent="0.25">
      <c r="A762" s="1">
        <v>44956</v>
      </c>
      <c r="B762">
        <v>2</v>
      </c>
      <c r="C762" t="s">
        <v>6</v>
      </c>
      <c r="D762">
        <v>198</v>
      </c>
      <c r="E762">
        <v>3392.05</v>
      </c>
    </row>
    <row r="763" spans="1:5" x14ac:dyDescent="0.25">
      <c r="A763" s="1">
        <v>44957</v>
      </c>
      <c r="B763">
        <v>2</v>
      </c>
      <c r="C763" t="s">
        <v>6</v>
      </c>
      <c r="D763">
        <v>173</v>
      </c>
      <c r="E763">
        <v>2881.82</v>
      </c>
    </row>
    <row r="764" spans="1:5" x14ac:dyDescent="0.25">
      <c r="A764" s="1">
        <v>44958</v>
      </c>
      <c r="B764">
        <v>2</v>
      </c>
      <c r="C764" t="s">
        <v>6</v>
      </c>
      <c r="D764">
        <v>202</v>
      </c>
      <c r="E764">
        <v>3383.55</v>
      </c>
    </row>
    <row r="765" spans="1:5" x14ac:dyDescent="0.25">
      <c r="A765" s="1">
        <v>44959</v>
      </c>
      <c r="B765">
        <v>2</v>
      </c>
      <c r="C765" t="s">
        <v>6</v>
      </c>
      <c r="D765">
        <v>239</v>
      </c>
      <c r="E765">
        <v>4106.88</v>
      </c>
    </row>
    <row r="766" spans="1:5" x14ac:dyDescent="0.25">
      <c r="A766" s="1">
        <v>44960</v>
      </c>
      <c r="B766">
        <v>2</v>
      </c>
      <c r="C766" t="s">
        <v>6</v>
      </c>
      <c r="D766">
        <v>257</v>
      </c>
      <c r="E766">
        <v>4326.75</v>
      </c>
    </row>
    <row r="767" spans="1:5" x14ac:dyDescent="0.25">
      <c r="A767" s="1">
        <v>44961</v>
      </c>
      <c r="B767">
        <v>2</v>
      </c>
      <c r="C767" t="s">
        <v>6</v>
      </c>
      <c r="D767">
        <v>238</v>
      </c>
      <c r="E767">
        <v>4190.5600000000004</v>
      </c>
    </row>
    <row r="768" spans="1:5" x14ac:dyDescent="0.25">
      <c r="A768" s="1">
        <v>44962</v>
      </c>
      <c r="B768">
        <v>2</v>
      </c>
      <c r="C768" t="s">
        <v>6</v>
      </c>
      <c r="D768">
        <v>210</v>
      </c>
      <c r="E768">
        <v>3582.17</v>
      </c>
    </row>
    <row r="769" spans="1:5" x14ac:dyDescent="0.25">
      <c r="A769" s="1">
        <v>44963</v>
      </c>
      <c r="B769">
        <v>2</v>
      </c>
      <c r="C769" t="s">
        <v>6</v>
      </c>
      <c r="D769">
        <v>205</v>
      </c>
      <c r="E769">
        <v>3389.81</v>
      </c>
    </row>
    <row r="770" spans="1:5" x14ac:dyDescent="0.25">
      <c r="A770" s="1">
        <v>44964</v>
      </c>
      <c r="B770">
        <v>2</v>
      </c>
      <c r="C770" t="s">
        <v>6</v>
      </c>
      <c r="D770">
        <v>191</v>
      </c>
      <c r="E770">
        <v>3164.78</v>
      </c>
    </row>
    <row r="771" spans="1:5" x14ac:dyDescent="0.25">
      <c r="A771" s="1">
        <v>44965</v>
      </c>
      <c r="B771">
        <v>2</v>
      </c>
      <c r="C771" t="s">
        <v>6</v>
      </c>
      <c r="D771">
        <v>156</v>
      </c>
      <c r="E771">
        <v>2609.38</v>
      </c>
    </row>
    <row r="772" spans="1:5" x14ac:dyDescent="0.25">
      <c r="A772" s="1">
        <v>44966</v>
      </c>
      <c r="B772">
        <v>2</v>
      </c>
      <c r="C772" t="s">
        <v>6</v>
      </c>
      <c r="D772">
        <v>197</v>
      </c>
      <c r="E772">
        <v>3130.41</v>
      </c>
    </row>
    <row r="773" spans="1:5" x14ac:dyDescent="0.25">
      <c r="A773" s="1">
        <v>44967</v>
      </c>
      <c r="B773">
        <v>2</v>
      </c>
      <c r="C773" t="s">
        <v>6</v>
      </c>
      <c r="D773">
        <v>229</v>
      </c>
      <c r="E773">
        <v>3706.65</v>
      </c>
    </row>
    <row r="774" spans="1:5" x14ac:dyDescent="0.25">
      <c r="A774" s="1">
        <v>44968</v>
      </c>
      <c r="B774">
        <v>2</v>
      </c>
      <c r="C774" t="s">
        <v>6</v>
      </c>
      <c r="D774">
        <v>200</v>
      </c>
      <c r="E774">
        <v>3454.86</v>
      </c>
    </row>
    <row r="775" spans="1:5" x14ac:dyDescent="0.25">
      <c r="A775" s="1">
        <v>44969</v>
      </c>
      <c r="B775">
        <v>2</v>
      </c>
      <c r="C775" t="s">
        <v>6</v>
      </c>
      <c r="D775">
        <v>233</v>
      </c>
      <c r="E775">
        <v>3998.21</v>
      </c>
    </row>
    <row r="776" spans="1:5" x14ac:dyDescent="0.25">
      <c r="A776" s="1">
        <v>44970</v>
      </c>
      <c r="B776">
        <v>2</v>
      </c>
      <c r="C776" t="s">
        <v>6</v>
      </c>
      <c r="D776">
        <v>193</v>
      </c>
      <c r="E776">
        <v>3706.63</v>
      </c>
    </row>
    <row r="777" spans="1:5" x14ac:dyDescent="0.25">
      <c r="A777" s="1">
        <v>44971</v>
      </c>
      <c r="B777">
        <v>2</v>
      </c>
      <c r="C777" t="s">
        <v>6</v>
      </c>
      <c r="D777">
        <v>214</v>
      </c>
      <c r="E777">
        <v>3550.75</v>
      </c>
    </row>
    <row r="778" spans="1:5" x14ac:dyDescent="0.25">
      <c r="A778" s="1">
        <v>44972</v>
      </c>
      <c r="B778">
        <v>2</v>
      </c>
      <c r="C778" t="s">
        <v>6</v>
      </c>
      <c r="D778">
        <v>219</v>
      </c>
      <c r="E778">
        <v>3662.56</v>
      </c>
    </row>
    <row r="779" spans="1:5" x14ac:dyDescent="0.25">
      <c r="A779" s="1">
        <v>44973</v>
      </c>
      <c r="B779">
        <v>2</v>
      </c>
      <c r="C779" t="s">
        <v>6</v>
      </c>
      <c r="D779">
        <v>191</v>
      </c>
      <c r="E779">
        <v>3287.9</v>
      </c>
    </row>
    <row r="780" spans="1:5" x14ac:dyDescent="0.25">
      <c r="A780" s="1">
        <v>44974</v>
      </c>
      <c r="B780">
        <v>2</v>
      </c>
      <c r="C780" t="s">
        <v>6</v>
      </c>
      <c r="D780">
        <v>182</v>
      </c>
      <c r="E780">
        <v>3174.36</v>
      </c>
    </row>
    <row r="781" spans="1:5" x14ac:dyDescent="0.25">
      <c r="A781" s="1">
        <v>44975</v>
      </c>
      <c r="B781">
        <v>2</v>
      </c>
      <c r="C781" t="s">
        <v>6</v>
      </c>
      <c r="D781">
        <v>222</v>
      </c>
      <c r="E781">
        <v>3986.83</v>
      </c>
    </row>
    <row r="782" spans="1:5" x14ac:dyDescent="0.25">
      <c r="A782" s="1">
        <v>44976</v>
      </c>
      <c r="B782">
        <v>2</v>
      </c>
      <c r="C782" t="s">
        <v>6</v>
      </c>
      <c r="D782">
        <v>249</v>
      </c>
      <c r="E782">
        <v>4204.91</v>
      </c>
    </row>
    <row r="783" spans="1:5" x14ac:dyDescent="0.25">
      <c r="A783" s="1">
        <v>44977</v>
      </c>
      <c r="B783">
        <v>2</v>
      </c>
      <c r="C783" t="s">
        <v>6</v>
      </c>
      <c r="D783">
        <v>206</v>
      </c>
      <c r="E783">
        <v>3587.59</v>
      </c>
    </row>
    <row r="784" spans="1:5" x14ac:dyDescent="0.25">
      <c r="A784" s="1">
        <v>44978</v>
      </c>
      <c r="B784">
        <v>2</v>
      </c>
      <c r="C784" t="s">
        <v>6</v>
      </c>
      <c r="D784">
        <v>193</v>
      </c>
      <c r="E784">
        <v>3398.96</v>
      </c>
    </row>
    <row r="785" spans="1:5" x14ac:dyDescent="0.25">
      <c r="A785" s="1">
        <v>44979</v>
      </c>
      <c r="B785">
        <v>2</v>
      </c>
      <c r="C785" t="s">
        <v>6</v>
      </c>
      <c r="D785">
        <v>192</v>
      </c>
      <c r="E785">
        <v>3237.33</v>
      </c>
    </row>
    <row r="786" spans="1:5" x14ac:dyDescent="0.25">
      <c r="A786" s="1">
        <v>44980</v>
      </c>
      <c r="B786">
        <v>2</v>
      </c>
      <c r="C786" t="s">
        <v>6</v>
      </c>
      <c r="D786">
        <v>212</v>
      </c>
      <c r="E786">
        <v>3550.4</v>
      </c>
    </row>
    <row r="787" spans="1:5" x14ac:dyDescent="0.25">
      <c r="A787" s="1">
        <v>44981</v>
      </c>
      <c r="B787">
        <v>2</v>
      </c>
      <c r="C787" t="s">
        <v>6</v>
      </c>
      <c r="D787">
        <v>183</v>
      </c>
      <c r="E787">
        <v>3093.58</v>
      </c>
    </row>
    <row r="788" spans="1:5" x14ac:dyDescent="0.25">
      <c r="A788" s="1">
        <v>44982</v>
      </c>
      <c r="B788">
        <v>2</v>
      </c>
      <c r="C788" t="s">
        <v>6</v>
      </c>
      <c r="D788">
        <v>239</v>
      </c>
      <c r="E788">
        <v>3833.5</v>
      </c>
    </row>
    <row r="789" spans="1:5" x14ac:dyDescent="0.25">
      <c r="A789" s="1">
        <v>44983</v>
      </c>
      <c r="B789">
        <v>2</v>
      </c>
      <c r="C789" t="s">
        <v>6</v>
      </c>
      <c r="D789">
        <v>272</v>
      </c>
      <c r="E789">
        <v>4808</v>
      </c>
    </row>
    <row r="790" spans="1:5" x14ac:dyDescent="0.25">
      <c r="A790" s="1">
        <v>44984</v>
      </c>
      <c r="B790">
        <v>2</v>
      </c>
      <c r="C790" t="s">
        <v>6</v>
      </c>
      <c r="D790">
        <v>187</v>
      </c>
      <c r="E790">
        <v>3181.69</v>
      </c>
    </row>
    <row r="791" spans="1:5" x14ac:dyDescent="0.25">
      <c r="A791" s="1">
        <v>44985</v>
      </c>
      <c r="B791">
        <v>2</v>
      </c>
      <c r="C791" t="s">
        <v>6</v>
      </c>
      <c r="D791">
        <v>193</v>
      </c>
      <c r="E791">
        <v>3204.21</v>
      </c>
    </row>
    <row r="792" spans="1:5" x14ac:dyDescent="0.25">
      <c r="A792" s="1">
        <v>44986</v>
      </c>
      <c r="B792">
        <v>2</v>
      </c>
      <c r="C792" t="s">
        <v>6</v>
      </c>
      <c r="D792">
        <v>199</v>
      </c>
      <c r="E792">
        <v>3290.99</v>
      </c>
    </row>
    <row r="793" spans="1:5" x14ac:dyDescent="0.25">
      <c r="A793" s="1">
        <v>44987</v>
      </c>
      <c r="B793">
        <v>2</v>
      </c>
      <c r="C793" t="s">
        <v>6</v>
      </c>
      <c r="D793">
        <v>183</v>
      </c>
      <c r="E793">
        <v>2975.69</v>
      </c>
    </row>
    <row r="794" spans="1:5" x14ac:dyDescent="0.25">
      <c r="A794" s="1">
        <v>44988</v>
      </c>
      <c r="B794">
        <v>2</v>
      </c>
      <c r="C794" t="s">
        <v>6</v>
      </c>
      <c r="D794">
        <v>215</v>
      </c>
      <c r="E794">
        <v>3815.32</v>
      </c>
    </row>
    <row r="795" spans="1:5" x14ac:dyDescent="0.25">
      <c r="A795" s="1">
        <v>44989</v>
      </c>
      <c r="B795">
        <v>2</v>
      </c>
      <c r="C795" t="s">
        <v>6</v>
      </c>
      <c r="D795">
        <v>244</v>
      </c>
      <c r="E795">
        <v>4078.52</v>
      </c>
    </row>
    <row r="796" spans="1:5" x14ac:dyDescent="0.25">
      <c r="A796" s="1">
        <v>44990</v>
      </c>
      <c r="B796">
        <v>2</v>
      </c>
      <c r="C796" t="s">
        <v>6</v>
      </c>
      <c r="D796">
        <v>248</v>
      </c>
      <c r="E796">
        <v>4161.84</v>
      </c>
    </row>
    <row r="797" spans="1:5" x14ac:dyDescent="0.25">
      <c r="A797" s="1">
        <v>44991</v>
      </c>
      <c r="B797">
        <v>2</v>
      </c>
      <c r="C797" t="s">
        <v>6</v>
      </c>
      <c r="D797">
        <v>194</v>
      </c>
      <c r="E797">
        <v>3442.21</v>
      </c>
    </row>
    <row r="798" spans="1:5" x14ac:dyDescent="0.25">
      <c r="A798" s="1">
        <v>44992</v>
      </c>
      <c r="B798">
        <v>2</v>
      </c>
      <c r="C798" t="s">
        <v>6</v>
      </c>
      <c r="D798">
        <v>214</v>
      </c>
      <c r="E798">
        <v>3831.16</v>
      </c>
    </row>
    <row r="799" spans="1:5" x14ac:dyDescent="0.25">
      <c r="A799" s="1">
        <v>44993</v>
      </c>
      <c r="B799">
        <v>2</v>
      </c>
      <c r="C799" t="s">
        <v>6</v>
      </c>
      <c r="D799">
        <v>177</v>
      </c>
      <c r="E799">
        <v>3031.03</v>
      </c>
    </row>
    <row r="800" spans="1:5" x14ac:dyDescent="0.25">
      <c r="A800" s="1">
        <v>44994</v>
      </c>
      <c r="B800">
        <v>2</v>
      </c>
      <c r="C800" t="s">
        <v>6</v>
      </c>
      <c r="D800">
        <v>204</v>
      </c>
      <c r="E800">
        <v>3492.73</v>
      </c>
    </row>
    <row r="801" spans="1:5" x14ac:dyDescent="0.25">
      <c r="A801" s="1">
        <v>44995</v>
      </c>
      <c r="B801">
        <v>2</v>
      </c>
      <c r="C801" t="s">
        <v>6</v>
      </c>
      <c r="D801">
        <v>197</v>
      </c>
      <c r="E801">
        <v>3274.53</v>
      </c>
    </row>
    <row r="802" spans="1:5" x14ac:dyDescent="0.25">
      <c r="A802" s="1">
        <v>44996</v>
      </c>
      <c r="B802">
        <v>2</v>
      </c>
      <c r="C802" t="s">
        <v>6</v>
      </c>
      <c r="D802">
        <v>198</v>
      </c>
      <c r="E802">
        <v>3289.09</v>
      </c>
    </row>
    <row r="803" spans="1:5" x14ac:dyDescent="0.25">
      <c r="A803" s="1">
        <v>44997</v>
      </c>
      <c r="B803">
        <v>2</v>
      </c>
      <c r="C803" t="s">
        <v>6</v>
      </c>
      <c r="D803">
        <v>191</v>
      </c>
      <c r="E803">
        <v>3082.82</v>
      </c>
    </row>
    <row r="804" spans="1:5" x14ac:dyDescent="0.25">
      <c r="A804" s="1">
        <v>44998</v>
      </c>
      <c r="B804">
        <v>2</v>
      </c>
      <c r="C804" t="s">
        <v>6</v>
      </c>
      <c r="D804">
        <v>198</v>
      </c>
      <c r="E804">
        <v>3488.19</v>
      </c>
    </row>
    <row r="805" spans="1:5" x14ac:dyDescent="0.25">
      <c r="A805" s="1">
        <v>44999</v>
      </c>
      <c r="B805">
        <v>2</v>
      </c>
      <c r="C805" t="s">
        <v>6</v>
      </c>
      <c r="D805">
        <v>181</v>
      </c>
      <c r="E805">
        <v>2936.61</v>
      </c>
    </row>
    <row r="806" spans="1:5" x14ac:dyDescent="0.25">
      <c r="A806" s="1">
        <v>45000</v>
      </c>
      <c r="B806">
        <v>2</v>
      </c>
      <c r="C806" t="s">
        <v>6</v>
      </c>
      <c r="D806">
        <v>178</v>
      </c>
      <c r="E806">
        <v>3017.37</v>
      </c>
    </row>
    <row r="807" spans="1:5" x14ac:dyDescent="0.25">
      <c r="A807" s="1">
        <v>45001</v>
      </c>
      <c r="B807">
        <v>2</v>
      </c>
      <c r="C807" t="s">
        <v>6</v>
      </c>
      <c r="D807">
        <v>195</v>
      </c>
      <c r="E807">
        <v>3197.06</v>
      </c>
    </row>
    <row r="808" spans="1:5" x14ac:dyDescent="0.25">
      <c r="A808" s="1">
        <v>45002</v>
      </c>
      <c r="B808">
        <v>2</v>
      </c>
      <c r="C808" t="s">
        <v>6</v>
      </c>
      <c r="D808">
        <v>211</v>
      </c>
      <c r="E808">
        <v>3907.56</v>
      </c>
    </row>
    <row r="809" spans="1:5" x14ac:dyDescent="0.25">
      <c r="A809" s="1">
        <v>45003</v>
      </c>
      <c r="B809">
        <v>2</v>
      </c>
      <c r="C809" t="s">
        <v>6</v>
      </c>
      <c r="D809">
        <v>182</v>
      </c>
      <c r="E809">
        <v>3111.84</v>
      </c>
    </row>
    <row r="810" spans="1:5" x14ac:dyDescent="0.25">
      <c r="A810" s="1">
        <v>45004</v>
      </c>
      <c r="B810">
        <v>2</v>
      </c>
      <c r="C810" t="s">
        <v>6</v>
      </c>
      <c r="D810">
        <v>205</v>
      </c>
      <c r="E810">
        <v>3549</v>
      </c>
    </row>
    <row r="811" spans="1:5" x14ac:dyDescent="0.25">
      <c r="A811" s="1">
        <v>45005</v>
      </c>
      <c r="B811">
        <v>2</v>
      </c>
      <c r="C811" t="s">
        <v>6</v>
      </c>
      <c r="D811">
        <v>183</v>
      </c>
      <c r="E811">
        <v>3213.68</v>
      </c>
    </row>
    <row r="812" spans="1:5" x14ac:dyDescent="0.25">
      <c r="A812" s="1">
        <v>45006</v>
      </c>
      <c r="B812">
        <v>2</v>
      </c>
      <c r="C812" t="s">
        <v>6</v>
      </c>
      <c r="D812">
        <v>172</v>
      </c>
      <c r="E812">
        <v>2895.38</v>
      </c>
    </row>
    <row r="813" spans="1:5" x14ac:dyDescent="0.25">
      <c r="A813" s="1">
        <v>45007</v>
      </c>
      <c r="B813">
        <v>2</v>
      </c>
      <c r="C813" t="s">
        <v>6</v>
      </c>
      <c r="D813">
        <v>215</v>
      </c>
      <c r="E813">
        <v>3832.82</v>
      </c>
    </row>
    <row r="814" spans="1:5" x14ac:dyDescent="0.25">
      <c r="A814" s="1">
        <v>45008</v>
      </c>
      <c r="B814">
        <v>2</v>
      </c>
      <c r="C814" t="s">
        <v>6</v>
      </c>
      <c r="D814">
        <v>217</v>
      </c>
      <c r="E814">
        <v>3678.53</v>
      </c>
    </row>
    <row r="815" spans="1:5" x14ac:dyDescent="0.25">
      <c r="A815" s="1">
        <v>45009</v>
      </c>
      <c r="B815">
        <v>2</v>
      </c>
      <c r="C815" t="s">
        <v>6</v>
      </c>
      <c r="D815">
        <v>211</v>
      </c>
      <c r="E815">
        <v>3539.08</v>
      </c>
    </row>
    <row r="816" spans="1:5" x14ac:dyDescent="0.25">
      <c r="A816" s="1">
        <v>45010</v>
      </c>
      <c r="B816">
        <v>2</v>
      </c>
      <c r="C816" t="s">
        <v>6</v>
      </c>
      <c r="D816">
        <v>234</v>
      </c>
      <c r="E816">
        <v>3514.03</v>
      </c>
    </row>
    <row r="817" spans="1:5" x14ac:dyDescent="0.25">
      <c r="A817" s="1">
        <v>45011</v>
      </c>
      <c r="B817">
        <v>2</v>
      </c>
      <c r="C817" t="s">
        <v>6</v>
      </c>
      <c r="D817">
        <v>219</v>
      </c>
      <c r="E817">
        <v>3555.29</v>
      </c>
    </row>
    <row r="818" spans="1:5" x14ac:dyDescent="0.25">
      <c r="A818" s="1">
        <v>45012</v>
      </c>
      <c r="B818">
        <v>2</v>
      </c>
      <c r="C818" t="s">
        <v>6</v>
      </c>
      <c r="D818">
        <v>196</v>
      </c>
      <c r="E818">
        <v>3399.26</v>
      </c>
    </row>
    <row r="819" spans="1:5" x14ac:dyDescent="0.25">
      <c r="A819" s="1">
        <v>45013</v>
      </c>
      <c r="B819">
        <v>2</v>
      </c>
      <c r="C819" t="s">
        <v>6</v>
      </c>
      <c r="D819">
        <v>198</v>
      </c>
      <c r="E819">
        <v>3445.28</v>
      </c>
    </row>
    <row r="820" spans="1:5" x14ac:dyDescent="0.25">
      <c r="A820" s="1">
        <v>45014</v>
      </c>
      <c r="B820">
        <v>2</v>
      </c>
      <c r="C820" t="s">
        <v>6</v>
      </c>
      <c r="D820">
        <v>177</v>
      </c>
      <c r="E820">
        <v>3183.23</v>
      </c>
    </row>
    <row r="821" spans="1:5" x14ac:dyDescent="0.25">
      <c r="A821" s="1">
        <v>45015</v>
      </c>
      <c r="B821">
        <v>2</v>
      </c>
      <c r="C821" t="s">
        <v>6</v>
      </c>
      <c r="D821">
        <v>223</v>
      </c>
      <c r="E821">
        <v>4019.88</v>
      </c>
    </row>
    <row r="822" spans="1:5" x14ac:dyDescent="0.25">
      <c r="A822" s="1">
        <v>45016</v>
      </c>
      <c r="B822">
        <v>2</v>
      </c>
      <c r="C822" t="s">
        <v>6</v>
      </c>
      <c r="D822">
        <v>199</v>
      </c>
      <c r="E822">
        <v>3266.66</v>
      </c>
    </row>
    <row r="823" spans="1:5" x14ac:dyDescent="0.25">
      <c r="A823" s="1">
        <v>45017</v>
      </c>
      <c r="B823">
        <v>2</v>
      </c>
      <c r="C823" t="s">
        <v>6</v>
      </c>
      <c r="D823">
        <v>267</v>
      </c>
      <c r="E823">
        <v>4540.43</v>
      </c>
    </row>
    <row r="824" spans="1:5" x14ac:dyDescent="0.25">
      <c r="A824" s="1">
        <v>45018</v>
      </c>
      <c r="B824">
        <v>2</v>
      </c>
      <c r="C824" t="s">
        <v>6</v>
      </c>
      <c r="D824">
        <v>274</v>
      </c>
      <c r="E824">
        <v>4751.9399999999996</v>
      </c>
    </row>
    <row r="825" spans="1:5" x14ac:dyDescent="0.25">
      <c r="A825" s="1">
        <v>45019</v>
      </c>
      <c r="B825">
        <v>2</v>
      </c>
      <c r="C825" t="s">
        <v>6</v>
      </c>
      <c r="D825">
        <v>198</v>
      </c>
      <c r="E825">
        <v>3463.05</v>
      </c>
    </row>
    <row r="826" spans="1:5" x14ac:dyDescent="0.25">
      <c r="A826" s="1">
        <v>45020</v>
      </c>
      <c r="B826">
        <v>2</v>
      </c>
      <c r="C826" t="s">
        <v>6</v>
      </c>
      <c r="D826">
        <v>208</v>
      </c>
      <c r="E826">
        <v>3805.38</v>
      </c>
    </row>
    <row r="827" spans="1:5" x14ac:dyDescent="0.25">
      <c r="A827" s="1">
        <v>45021</v>
      </c>
      <c r="B827">
        <v>2</v>
      </c>
      <c r="C827" t="s">
        <v>6</v>
      </c>
      <c r="D827">
        <v>221</v>
      </c>
      <c r="E827">
        <v>3572.72</v>
      </c>
    </row>
    <row r="828" spans="1:5" x14ac:dyDescent="0.25">
      <c r="A828" s="1">
        <v>45022</v>
      </c>
      <c r="B828">
        <v>2</v>
      </c>
      <c r="C828" t="s">
        <v>6</v>
      </c>
      <c r="D828">
        <v>191</v>
      </c>
      <c r="E828">
        <v>3367.21</v>
      </c>
    </row>
    <row r="829" spans="1:5" x14ac:dyDescent="0.25">
      <c r="A829" s="1">
        <v>45023</v>
      </c>
      <c r="B829">
        <v>2</v>
      </c>
      <c r="C829" t="s">
        <v>6</v>
      </c>
      <c r="D829">
        <v>217</v>
      </c>
      <c r="E829">
        <v>3476.89</v>
      </c>
    </row>
    <row r="830" spans="1:5" x14ac:dyDescent="0.25">
      <c r="A830" s="1">
        <v>45024</v>
      </c>
      <c r="B830">
        <v>2</v>
      </c>
      <c r="C830" t="s">
        <v>6</v>
      </c>
      <c r="D830">
        <v>242</v>
      </c>
      <c r="E830">
        <v>4044.95</v>
      </c>
    </row>
    <row r="831" spans="1:5" x14ac:dyDescent="0.25">
      <c r="A831" s="1">
        <v>45025</v>
      </c>
      <c r="B831">
        <v>2</v>
      </c>
      <c r="C831" t="s">
        <v>6</v>
      </c>
      <c r="D831">
        <v>224</v>
      </c>
      <c r="E831">
        <v>3948.92</v>
      </c>
    </row>
    <row r="832" spans="1:5" x14ac:dyDescent="0.25">
      <c r="A832" s="1">
        <v>45026</v>
      </c>
      <c r="B832">
        <v>2</v>
      </c>
      <c r="C832" t="s">
        <v>6</v>
      </c>
      <c r="D832">
        <v>199</v>
      </c>
      <c r="E832">
        <v>3352.44</v>
      </c>
    </row>
    <row r="833" spans="1:5" x14ac:dyDescent="0.25">
      <c r="A833" s="1">
        <v>45027</v>
      </c>
      <c r="B833">
        <v>2</v>
      </c>
      <c r="C833" t="s">
        <v>6</v>
      </c>
      <c r="D833">
        <v>187</v>
      </c>
      <c r="E833">
        <v>3204.84</v>
      </c>
    </row>
    <row r="834" spans="1:5" x14ac:dyDescent="0.25">
      <c r="A834" s="1">
        <v>45028</v>
      </c>
      <c r="B834">
        <v>2</v>
      </c>
      <c r="C834" t="s">
        <v>6</v>
      </c>
      <c r="D834">
        <v>197</v>
      </c>
      <c r="E834">
        <v>3417.13</v>
      </c>
    </row>
    <row r="835" spans="1:5" x14ac:dyDescent="0.25">
      <c r="A835" s="1">
        <v>45029</v>
      </c>
      <c r="B835">
        <v>2</v>
      </c>
      <c r="C835" t="s">
        <v>6</v>
      </c>
      <c r="D835">
        <v>188</v>
      </c>
      <c r="E835">
        <v>3221.73</v>
      </c>
    </row>
    <row r="836" spans="1:5" x14ac:dyDescent="0.25">
      <c r="A836" s="1">
        <v>45030</v>
      </c>
      <c r="B836">
        <v>2</v>
      </c>
      <c r="C836" t="s">
        <v>6</v>
      </c>
      <c r="D836">
        <v>131</v>
      </c>
      <c r="E836">
        <v>2205.1999999999998</v>
      </c>
    </row>
    <row r="837" spans="1:5" x14ac:dyDescent="0.25">
      <c r="A837" s="1">
        <v>45031</v>
      </c>
      <c r="B837">
        <v>2</v>
      </c>
      <c r="C837" t="s">
        <v>6</v>
      </c>
      <c r="D837">
        <v>214</v>
      </c>
      <c r="E837">
        <v>3657.83</v>
      </c>
    </row>
    <row r="838" spans="1:5" x14ac:dyDescent="0.25">
      <c r="A838" s="1">
        <v>45032</v>
      </c>
      <c r="B838">
        <v>2</v>
      </c>
      <c r="C838" t="s">
        <v>6</v>
      </c>
      <c r="D838">
        <v>232</v>
      </c>
      <c r="E838">
        <v>4099.46</v>
      </c>
    </row>
    <row r="839" spans="1:5" x14ac:dyDescent="0.25">
      <c r="A839" s="1">
        <v>45033</v>
      </c>
      <c r="B839">
        <v>2</v>
      </c>
      <c r="C839" t="s">
        <v>6</v>
      </c>
      <c r="D839">
        <v>207</v>
      </c>
      <c r="E839">
        <v>3676.18</v>
      </c>
    </row>
    <row r="840" spans="1:5" x14ac:dyDescent="0.25">
      <c r="A840" s="1">
        <v>45034</v>
      </c>
      <c r="B840">
        <v>2</v>
      </c>
      <c r="C840" t="s">
        <v>6</v>
      </c>
      <c r="D840">
        <v>195</v>
      </c>
      <c r="E840">
        <v>3233.41</v>
      </c>
    </row>
    <row r="841" spans="1:5" x14ac:dyDescent="0.25">
      <c r="A841" s="1">
        <v>45035</v>
      </c>
      <c r="B841">
        <v>2</v>
      </c>
      <c r="C841" t="s">
        <v>6</v>
      </c>
      <c r="D841">
        <v>195</v>
      </c>
      <c r="E841">
        <v>3189.98</v>
      </c>
    </row>
    <row r="842" spans="1:5" x14ac:dyDescent="0.25">
      <c r="A842" s="1">
        <v>45036</v>
      </c>
      <c r="B842">
        <v>2</v>
      </c>
      <c r="C842" t="s">
        <v>6</v>
      </c>
      <c r="D842">
        <v>195</v>
      </c>
      <c r="E842">
        <v>3239.74</v>
      </c>
    </row>
    <row r="843" spans="1:5" x14ac:dyDescent="0.25">
      <c r="A843" s="1">
        <v>45037</v>
      </c>
      <c r="B843">
        <v>2</v>
      </c>
      <c r="C843" t="s">
        <v>6</v>
      </c>
      <c r="D843">
        <v>220</v>
      </c>
      <c r="E843">
        <v>3816.58</v>
      </c>
    </row>
    <row r="844" spans="1:5" x14ac:dyDescent="0.25">
      <c r="A844" s="1">
        <v>45038</v>
      </c>
      <c r="B844">
        <v>2</v>
      </c>
      <c r="C844" t="s">
        <v>6</v>
      </c>
      <c r="D844">
        <v>257</v>
      </c>
      <c r="E844">
        <v>4708.8500000000004</v>
      </c>
    </row>
    <row r="845" spans="1:5" x14ac:dyDescent="0.25">
      <c r="A845" s="1">
        <v>45039</v>
      </c>
      <c r="B845">
        <v>2</v>
      </c>
      <c r="C845" t="s">
        <v>6</v>
      </c>
      <c r="D845">
        <v>231</v>
      </c>
      <c r="E845">
        <v>3522.98</v>
      </c>
    </row>
    <row r="846" spans="1:5" x14ac:dyDescent="0.25">
      <c r="A846" s="1">
        <v>45040</v>
      </c>
      <c r="B846">
        <v>2</v>
      </c>
      <c r="C846" t="s">
        <v>6</v>
      </c>
      <c r="D846">
        <v>192</v>
      </c>
      <c r="E846">
        <v>3220.86</v>
      </c>
    </row>
    <row r="847" spans="1:5" x14ac:dyDescent="0.25">
      <c r="A847" s="1">
        <v>45041</v>
      </c>
      <c r="B847">
        <v>2</v>
      </c>
      <c r="C847" t="s">
        <v>6</v>
      </c>
      <c r="D847">
        <v>163</v>
      </c>
      <c r="E847">
        <v>2917.36</v>
      </c>
    </row>
    <row r="848" spans="1:5" x14ac:dyDescent="0.25">
      <c r="A848" s="1">
        <v>45042</v>
      </c>
      <c r="B848">
        <v>2</v>
      </c>
      <c r="C848" t="s">
        <v>6</v>
      </c>
      <c r="D848">
        <v>192</v>
      </c>
      <c r="E848">
        <v>3647.06</v>
      </c>
    </row>
    <row r="849" spans="1:5" x14ac:dyDescent="0.25">
      <c r="A849" s="1">
        <v>45043</v>
      </c>
      <c r="B849">
        <v>2</v>
      </c>
      <c r="C849" t="s">
        <v>6</v>
      </c>
      <c r="D849">
        <v>237</v>
      </c>
      <c r="E849">
        <v>3953.75</v>
      </c>
    </row>
    <row r="850" spans="1:5" x14ac:dyDescent="0.25">
      <c r="A850" s="1">
        <v>45044</v>
      </c>
      <c r="B850">
        <v>2</v>
      </c>
      <c r="C850" t="s">
        <v>6</v>
      </c>
      <c r="D850">
        <v>195</v>
      </c>
      <c r="E850">
        <v>3398.63</v>
      </c>
    </row>
    <row r="851" spans="1:5" x14ac:dyDescent="0.25">
      <c r="A851" s="1">
        <v>45045</v>
      </c>
      <c r="B851">
        <v>2</v>
      </c>
      <c r="C851" t="s">
        <v>6</v>
      </c>
      <c r="D851">
        <v>237</v>
      </c>
      <c r="E851">
        <v>4021.68</v>
      </c>
    </row>
    <row r="852" spans="1:5" x14ac:dyDescent="0.25">
      <c r="A852" s="1">
        <v>45046</v>
      </c>
      <c r="B852">
        <v>2</v>
      </c>
      <c r="C852" t="s">
        <v>6</v>
      </c>
      <c r="D852">
        <v>229</v>
      </c>
      <c r="E852">
        <v>3626.56</v>
      </c>
    </row>
    <row r="853" spans="1:5" x14ac:dyDescent="0.25">
      <c r="A853" s="1">
        <v>45047</v>
      </c>
      <c r="B853">
        <v>2</v>
      </c>
      <c r="C853" t="s">
        <v>6</v>
      </c>
      <c r="D853">
        <v>178</v>
      </c>
      <c r="E853">
        <v>2861.3</v>
      </c>
    </row>
    <row r="854" spans="1:5" x14ac:dyDescent="0.25">
      <c r="A854" s="1">
        <v>45048</v>
      </c>
      <c r="B854">
        <v>2</v>
      </c>
      <c r="C854" t="s">
        <v>6</v>
      </c>
      <c r="D854">
        <v>221</v>
      </c>
      <c r="E854">
        <v>3409.68</v>
      </c>
    </row>
    <row r="855" spans="1:5" x14ac:dyDescent="0.25">
      <c r="A855" s="1">
        <v>45049</v>
      </c>
      <c r="B855">
        <v>2</v>
      </c>
      <c r="C855" t="s">
        <v>6</v>
      </c>
      <c r="D855">
        <v>166</v>
      </c>
      <c r="E855">
        <v>3000.68</v>
      </c>
    </row>
    <row r="856" spans="1:5" x14ac:dyDescent="0.25">
      <c r="A856" s="1">
        <v>45050</v>
      </c>
      <c r="B856">
        <v>2</v>
      </c>
      <c r="C856" t="s">
        <v>6</v>
      </c>
      <c r="D856">
        <v>215</v>
      </c>
      <c r="E856">
        <v>3471.6</v>
      </c>
    </row>
    <row r="857" spans="1:5" x14ac:dyDescent="0.25">
      <c r="A857" s="1">
        <v>45051</v>
      </c>
      <c r="B857">
        <v>2</v>
      </c>
      <c r="C857" t="s">
        <v>6</v>
      </c>
      <c r="D857">
        <v>202</v>
      </c>
      <c r="E857">
        <v>3376.89</v>
      </c>
    </row>
    <row r="858" spans="1:5" x14ac:dyDescent="0.25">
      <c r="A858" s="1">
        <v>45052</v>
      </c>
      <c r="B858">
        <v>2</v>
      </c>
      <c r="C858" t="s">
        <v>6</v>
      </c>
      <c r="D858">
        <v>245</v>
      </c>
      <c r="E858">
        <v>3496.46</v>
      </c>
    </row>
    <row r="859" spans="1:5" x14ac:dyDescent="0.25">
      <c r="A859" s="1">
        <v>45053</v>
      </c>
      <c r="B859">
        <v>2</v>
      </c>
      <c r="C859" t="s">
        <v>6</v>
      </c>
      <c r="D859">
        <v>256</v>
      </c>
      <c r="E859">
        <v>4360.62</v>
      </c>
    </row>
    <row r="860" spans="1:5" x14ac:dyDescent="0.25">
      <c r="A860" s="1">
        <v>45054</v>
      </c>
      <c r="B860">
        <v>2</v>
      </c>
      <c r="C860" t="s">
        <v>6</v>
      </c>
      <c r="D860">
        <v>216</v>
      </c>
      <c r="E860">
        <v>3429.57</v>
      </c>
    </row>
    <row r="861" spans="1:5" x14ac:dyDescent="0.25">
      <c r="A861" s="1">
        <v>45055</v>
      </c>
      <c r="B861">
        <v>2</v>
      </c>
      <c r="C861" t="s">
        <v>6</v>
      </c>
      <c r="D861">
        <v>200</v>
      </c>
      <c r="E861">
        <v>3541.42</v>
      </c>
    </row>
    <row r="862" spans="1:5" x14ac:dyDescent="0.25">
      <c r="A862" s="1">
        <v>45056</v>
      </c>
      <c r="B862">
        <v>2</v>
      </c>
      <c r="C862" t="s">
        <v>6</v>
      </c>
      <c r="D862">
        <v>215</v>
      </c>
      <c r="E862">
        <v>3503.98</v>
      </c>
    </row>
    <row r="863" spans="1:5" x14ac:dyDescent="0.25">
      <c r="A863" s="1">
        <v>45057</v>
      </c>
      <c r="B863">
        <v>2</v>
      </c>
      <c r="C863" t="s">
        <v>6</v>
      </c>
      <c r="D863">
        <v>228</v>
      </c>
      <c r="E863">
        <v>4112.21</v>
      </c>
    </row>
    <row r="864" spans="1:5" x14ac:dyDescent="0.25">
      <c r="A864" s="1">
        <v>45058</v>
      </c>
      <c r="B864">
        <v>2</v>
      </c>
      <c r="C864" t="s">
        <v>6</v>
      </c>
      <c r="D864">
        <v>208</v>
      </c>
      <c r="E864">
        <v>3436.57</v>
      </c>
    </row>
    <row r="865" spans="1:5" x14ac:dyDescent="0.25">
      <c r="A865" s="1">
        <v>45059</v>
      </c>
      <c r="B865">
        <v>2</v>
      </c>
      <c r="C865" t="s">
        <v>6</v>
      </c>
      <c r="D865">
        <v>218</v>
      </c>
      <c r="E865">
        <v>3727.04</v>
      </c>
    </row>
    <row r="866" spans="1:5" x14ac:dyDescent="0.25">
      <c r="A866" s="1">
        <v>45060</v>
      </c>
      <c r="B866">
        <v>2</v>
      </c>
      <c r="C866" t="s">
        <v>6</v>
      </c>
      <c r="D866">
        <v>201</v>
      </c>
      <c r="E866">
        <v>3365.47</v>
      </c>
    </row>
    <row r="867" spans="1:5" x14ac:dyDescent="0.25">
      <c r="A867" s="1">
        <v>45061</v>
      </c>
      <c r="B867">
        <v>2</v>
      </c>
      <c r="C867" t="s">
        <v>6</v>
      </c>
      <c r="D867">
        <v>223</v>
      </c>
      <c r="E867">
        <v>3563.15</v>
      </c>
    </row>
    <row r="868" spans="1:5" x14ac:dyDescent="0.25">
      <c r="A868" s="1">
        <v>45062</v>
      </c>
      <c r="B868">
        <v>2</v>
      </c>
      <c r="C868" t="s">
        <v>6</v>
      </c>
      <c r="D868">
        <v>229</v>
      </c>
      <c r="E868">
        <v>3886.24</v>
      </c>
    </row>
    <row r="869" spans="1:5" x14ac:dyDescent="0.25">
      <c r="A869" s="1">
        <v>45063</v>
      </c>
      <c r="B869">
        <v>2</v>
      </c>
      <c r="C869" t="s">
        <v>6</v>
      </c>
      <c r="D869">
        <v>169</v>
      </c>
      <c r="E869">
        <v>2768.99</v>
      </c>
    </row>
    <row r="870" spans="1:5" x14ac:dyDescent="0.25">
      <c r="A870" s="1">
        <v>45064</v>
      </c>
      <c r="B870">
        <v>2</v>
      </c>
      <c r="C870" t="s">
        <v>6</v>
      </c>
      <c r="D870">
        <v>206</v>
      </c>
      <c r="E870">
        <v>3349.23</v>
      </c>
    </row>
    <row r="871" spans="1:5" x14ac:dyDescent="0.25">
      <c r="A871" s="1">
        <v>45065</v>
      </c>
      <c r="B871">
        <v>2</v>
      </c>
      <c r="C871" t="s">
        <v>6</v>
      </c>
      <c r="D871">
        <v>205</v>
      </c>
      <c r="E871">
        <v>3451.49</v>
      </c>
    </row>
    <row r="872" spans="1:5" x14ac:dyDescent="0.25">
      <c r="A872" s="1">
        <v>45066</v>
      </c>
      <c r="B872">
        <v>2</v>
      </c>
      <c r="C872" t="s">
        <v>6</v>
      </c>
      <c r="D872">
        <v>237</v>
      </c>
      <c r="E872">
        <v>4156.47</v>
      </c>
    </row>
    <row r="873" spans="1:5" x14ac:dyDescent="0.25">
      <c r="A873" s="1">
        <v>45067</v>
      </c>
      <c r="B873">
        <v>2</v>
      </c>
      <c r="C873" t="s">
        <v>6</v>
      </c>
      <c r="D873">
        <v>225</v>
      </c>
      <c r="E873">
        <v>3768.31</v>
      </c>
    </row>
    <row r="874" spans="1:5" x14ac:dyDescent="0.25">
      <c r="A874" s="1">
        <v>45068</v>
      </c>
      <c r="B874">
        <v>2</v>
      </c>
      <c r="C874" t="s">
        <v>6</v>
      </c>
      <c r="D874">
        <v>187</v>
      </c>
      <c r="E874">
        <v>2990.44</v>
      </c>
    </row>
    <row r="875" spans="1:5" x14ac:dyDescent="0.25">
      <c r="A875" s="1">
        <v>45069</v>
      </c>
      <c r="B875">
        <v>2</v>
      </c>
      <c r="C875" t="s">
        <v>6</v>
      </c>
      <c r="D875">
        <v>233</v>
      </c>
      <c r="E875">
        <v>3887.21</v>
      </c>
    </row>
    <row r="876" spans="1:5" x14ac:dyDescent="0.25">
      <c r="A876" s="1">
        <v>45070</v>
      </c>
      <c r="B876">
        <v>2</v>
      </c>
      <c r="C876" t="s">
        <v>6</v>
      </c>
      <c r="D876">
        <v>256</v>
      </c>
      <c r="E876">
        <v>3964.24</v>
      </c>
    </row>
    <row r="877" spans="1:5" x14ac:dyDescent="0.25">
      <c r="A877" s="1">
        <v>45071</v>
      </c>
      <c r="B877">
        <v>2</v>
      </c>
      <c r="C877" t="s">
        <v>6</v>
      </c>
      <c r="D877">
        <v>223</v>
      </c>
      <c r="E877">
        <v>3663.75</v>
      </c>
    </row>
    <row r="878" spans="1:5" x14ac:dyDescent="0.25">
      <c r="A878" s="1">
        <v>45072</v>
      </c>
      <c r="B878">
        <v>2</v>
      </c>
      <c r="C878" t="s">
        <v>6</v>
      </c>
      <c r="D878">
        <v>206</v>
      </c>
      <c r="E878">
        <v>3689.33</v>
      </c>
    </row>
    <row r="879" spans="1:5" x14ac:dyDescent="0.25">
      <c r="A879" s="1">
        <v>45073</v>
      </c>
      <c r="B879">
        <v>2</v>
      </c>
      <c r="C879" t="s">
        <v>6</v>
      </c>
      <c r="D879">
        <v>236</v>
      </c>
      <c r="E879">
        <v>4338.62</v>
      </c>
    </row>
    <row r="880" spans="1:5" x14ac:dyDescent="0.25">
      <c r="A880" s="1">
        <v>45074</v>
      </c>
      <c r="B880">
        <v>2</v>
      </c>
      <c r="C880" t="s">
        <v>6</v>
      </c>
      <c r="D880">
        <v>219</v>
      </c>
      <c r="E880">
        <v>3689.44</v>
      </c>
    </row>
    <row r="881" spans="1:5" x14ac:dyDescent="0.25">
      <c r="A881" s="1">
        <v>45075</v>
      </c>
      <c r="B881">
        <v>2</v>
      </c>
      <c r="C881" t="s">
        <v>6</v>
      </c>
      <c r="D881">
        <v>194</v>
      </c>
      <c r="E881">
        <v>3661.34</v>
      </c>
    </row>
    <row r="882" spans="1:5" x14ac:dyDescent="0.25">
      <c r="A882" s="1">
        <v>45076</v>
      </c>
      <c r="B882">
        <v>2</v>
      </c>
      <c r="C882" t="s">
        <v>6</v>
      </c>
      <c r="D882">
        <v>248</v>
      </c>
      <c r="E882">
        <v>4391.79</v>
      </c>
    </row>
    <row r="883" spans="1:5" x14ac:dyDescent="0.25">
      <c r="A883" s="1">
        <v>45077</v>
      </c>
      <c r="B883">
        <v>2</v>
      </c>
      <c r="C883" t="s">
        <v>6</v>
      </c>
      <c r="D883">
        <v>227</v>
      </c>
      <c r="E883">
        <v>3957.86</v>
      </c>
    </row>
    <row r="884" spans="1:5" x14ac:dyDescent="0.25">
      <c r="A884" s="1">
        <v>45078</v>
      </c>
      <c r="B884">
        <v>2</v>
      </c>
      <c r="C884" t="s">
        <v>6</v>
      </c>
      <c r="D884">
        <v>227</v>
      </c>
      <c r="E884">
        <v>4079.34</v>
      </c>
    </row>
    <row r="885" spans="1:5" x14ac:dyDescent="0.25">
      <c r="A885" s="1">
        <v>45079</v>
      </c>
      <c r="B885">
        <v>2</v>
      </c>
      <c r="C885" t="s">
        <v>6</v>
      </c>
      <c r="D885">
        <v>187</v>
      </c>
      <c r="E885">
        <v>3511.3</v>
      </c>
    </row>
    <row r="886" spans="1:5" x14ac:dyDescent="0.25">
      <c r="A886" s="1">
        <v>45080</v>
      </c>
      <c r="B886">
        <v>2</v>
      </c>
      <c r="C886" t="s">
        <v>6</v>
      </c>
      <c r="D886">
        <v>247</v>
      </c>
      <c r="E886">
        <v>4458.26</v>
      </c>
    </row>
    <row r="887" spans="1:5" x14ac:dyDescent="0.25">
      <c r="A887" s="1">
        <v>45081</v>
      </c>
      <c r="B887">
        <v>2</v>
      </c>
      <c r="C887" t="s">
        <v>6</v>
      </c>
      <c r="D887">
        <v>278</v>
      </c>
      <c r="E887">
        <v>4949.16</v>
      </c>
    </row>
    <row r="888" spans="1:5" x14ac:dyDescent="0.25">
      <c r="A888" s="1">
        <v>45082</v>
      </c>
      <c r="B888">
        <v>2</v>
      </c>
      <c r="C888" t="s">
        <v>6</v>
      </c>
      <c r="D888">
        <v>263</v>
      </c>
      <c r="E888">
        <v>4537.96</v>
      </c>
    </row>
    <row r="889" spans="1:5" x14ac:dyDescent="0.25">
      <c r="A889" s="1">
        <v>45083</v>
      </c>
      <c r="B889">
        <v>2</v>
      </c>
      <c r="C889" t="s">
        <v>6</v>
      </c>
      <c r="D889">
        <v>243</v>
      </c>
      <c r="E889">
        <v>4068.1</v>
      </c>
    </row>
    <row r="890" spans="1:5" x14ac:dyDescent="0.25">
      <c r="A890" s="1">
        <v>45084</v>
      </c>
      <c r="B890">
        <v>2</v>
      </c>
      <c r="C890" t="s">
        <v>6</v>
      </c>
      <c r="D890">
        <v>217</v>
      </c>
      <c r="E890">
        <v>3692.44</v>
      </c>
    </row>
    <row r="891" spans="1:5" x14ac:dyDescent="0.25">
      <c r="A891" s="1">
        <v>45085</v>
      </c>
      <c r="B891">
        <v>2</v>
      </c>
      <c r="C891" t="s">
        <v>6</v>
      </c>
      <c r="D891">
        <v>244</v>
      </c>
      <c r="E891">
        <v>4326.43</v>
      </c>
    </row>
    <row r="892" spans="1:5" x14ac:dyDescent="0.25">
      <c r="A892" s="1">
        <v>45086</v>
      </c>
      <c r="B892">
        <v>2</v>
      </c>
      <c r="C892" t="s">
        <v>6</v>
      </c>
      <c r="D892">
        <v>235</v>
      </c>
      <c r="E892">
        <v>3987.83</v>
      </c>
    </row>
    <row r="893" spans="1:5" x14ac:dyDescent="0.25">
      <c r="A893" s="1">
        <v>45087</v>
      </c>
      <c r="B893">
        <v>2</v>
      </c>
      <c r="C893" t="s">
        <v>6</v>
      </c>
      <c r="D893">
        <v>256</v>
      </c>
      <c r="E893">
        <v>4390.92</v>
      </c>
    </row>
    <row r="894" spans="1:5" x14ac:dyDescent="0.25">
      <c r="A894" s="1">
        <v>45088</v>
      </c>
      <c r="B894">
        <v>2</v>
      </c>
      <c r="C894" t="s">
        <v>6</v>
      </c>
      <c r="D894">
        <v>276</v>
      </c>
      <c r="E894">
        <v>4705.92</v>
      </c>
    </row>
    <row r="895" spans="1:5" x14ac:dyDescent="0.25">
      <c r="A895" s="1">
        <v>45089</v>
      </c>
      <c r="B895">
        <v>2</v>
      </c>
      <c r="C895" t="s">
        <v>6</v>
      </c>
      <c r="D895">
        <v>245</v>
      </c>
      <c r="E895">
        <v>4403.21</v>
      </c>
    </row>
    <row r="896" spans="1:5" x14ac:dyDescent="0.25">
      <c r="A896" s="1">
        <v>45090</v>
      </c>
      <c r="B896">
        <v>2</v>
      </c>
      <c r="C896" t="s">
        <v>6</v>
      </c>
      <c r="D896">
        <v>267</v>
      </c>
      <c r="E896">
        <v>4214.41</v>
      </c>
    </row>
    <row r="897" spans="1:5" x14ac:dyDescent="0.25">
      <c r="A897" s="1">
        <v>45091</v>
      </c>
      <c r="B897">
        <v>2</v>
      </c>
      <c r="C897" t="s">
        <v>6</v>
      </c>
      <c r="D897">
        <v>254</v>
      </c>
      <c r="E897">
        <v>4405.3</v>
      </c>
    </row>
    <row r="898" spans="1:5" x14ac:dyDescent="0.25">
      <c r="A898" s="1">
        <v>45092</v>
      </c>
      <c r="B898">
        <v>2</v>
      </c>
      <c r="C898" t="s">
        <v>6</v>
      </c>
      <c r="D898">
        <v>239</v>
      </c>
      <c r="E898">
        <v>3868.56</v>
      </c>
    </row>
    <row r="899" spans="1:5" x14ac:dyDescent="0.25">
      <c r="A899" s="1">
        <v>45093</v>
      </c>
      <c r="B899">
        <v>2</v>
      </c>
      <c r="C899" t="s">
        <v>6</v>
      </c>
      <c r="D899">
        <v>263</v>
      </c>
      <c r="E899">
        <v>4527.07</v>
      </c>
    </row>
    <row r="900" spans="1:5" x14ac:dyDescent="0.25">
      <c r="A900" s="1">
        <v>45094</v>
      </c>
      <c r="B900">
        <v>2</v>
      </c>
      <c r="C900" t="s">
        <v>6</v>
      </c>
      <c r="D900">
        <v>314</v>
      </c>
      <c r="E900">
        <v>5565.79</v>
      </c>
    </row>
    <row r="901" spans="1:5" x14ac:dyDescent="0.25">
      <c r="A901" s="1">
        <v>45095</v>
      </c>
      <c r="B901">
        <v>2</v>
      </c>
      <c r="C901" t="s">
        <v>6</v>
      </c>
      <c r="D901">
        <v>250</v>
      </c>
      <c r="E901">
        <v>4247.3100000000004</v>
      </c>
    </row>
    <row r="902" spans="1:5" x14ac:dyDescent="0.25">
      <c r="A902" s="1">
        <v>45096</v>
      </c>
      <c r="B902">
        <v>2</v>
      </c>
      <c r="C902" t="s">
        <v>6</v>
      </c>
      <c r="D902">
        <v>227</v>
      </c>
      <c r="E902">
        <v>3548.07</v>
      </c>
    </row>
    <row r="903" spans="1:5" x14ac:dyDescent="0.25">
      <c r="A903" s="1">
        <v>45097</v>
      </c>
      <c r="B903">
        <v>2</v>
      </c>
      <c r="C903" t="s">
        <v>6</v>
      </c>
      <c r="D903">
        <v>258</v>
      </c>
      <c r="E903">
        <v>4345.3</v>
      </c>
    </row>
    <row r="904" spans="1:5" x14ac:dyDescent="0.25">
      <c r="A904" s="1">
        <v>45098</v>
      </c>
      <c r="B904">
        <v>2</v>
      </c>
      <c r="C904" t="s">
        <v>6</v>
      </c>
      <c r="D904">
        <v>226</v>
      </c>
      <c r="E904">
        <v>4416.57</v>
      </c>
    </row>
    <row r="905" spans="1:5" x14ac:dyDescent="0.25">
      <c r="A905" s="1">
        <v>45099</v>
      </c>
      <c r="B905">
        <v>2</v>
      </c>
      <c r="C905" t="s">
        <v>6</v>
      </c>
      <c r="D905">
        <v>234</v>
      </c>
      <c r="E905">
        <v>3978.13</v>
      </c>
    </row>
    <row r="906" spans="1:5" x14ac:dyDescent="0.25">
      <c r="A906" s="1">
        <v>45100</v>
      </c>
      <c r="B906">
        <v>2</v>
      </c>
      <c r="C906" t="s">
        <v>6</v>
      </c>
      <c r="D906">
        <v>248</v>
      </c>
      <c r="E906">
        <v>4159.3599999999997</v>
      </c>
    </row>
    <row r="907" spans="1:5" x14ac:dyDescent="0.25">
      <c r="A907" s="1">
        <v>45101</v>
      </c>
      <c r="B907">
        <v>2</v>
      </c>
      <c r="C907" t="s">
        <v>6</v>
      </c>
      <c r="D907">
        <v>314</v>
      </c>
      <c r="E907">
        <v>5447.7</v>
      </c>
    </row>
    <row r="908" spans="1:5" x14ac:dyDescent="0.25">
      <c r="A908" s="1">
        <v>45102</v>
      </c>
      <c r="B908">
        <v>2</v>
      </c>
      <c r="C908" t="s">
        <v>6</v>
      </c>
      <c r="D908">
        <v>254</v>
      </c>
      <c r="E908">
        <v>4594.53</v>
      </c>
    </row>
    <row r="909" spans="1:5" x14ac:dyDescent="0.25">
      <c r="A909" s="1">
        <v>45103</v>
      </c>
      <c r="B909">
        <v>2</v>
      </c>
      <c r="C909" t="s">
        <v>6</v>
      </c>
      <c r="D909">
        <v>243</v>
      </c>
      <c r="E909">
        <v>4477.21</v>
      </c>
    </row>
    <row r="910" spans="1:5" x14ac:dyDescent="0.25">
      <c r="A910" s="1">
        <v>45104</v>
      </c>
      <c r="B910">
        <v>2</v>
      </c>
      <c r="C910" t="s">
        <v>6</v>
      </c>
      <c r="D910">
        <v>207</v>
      </c>
      <c r="E910">
        <v>3498.21</v>
      </c>
    </row>
    <row r="911" spans="1:5" x14ac:dyDescent="0.25">
      <c r="A911" s="1">
        <v>45105</v>
      </c>
      <c r="B911">
        <v>2</v>
      </c>
      <c r="C911" t="s">
        <v>6</v>
      </c>
      <c r="D911">
        <v>211</v>
      </c>
      <c r="E911">
        <v>3399.86</v>
      </c>
    </row>
    <row r="912" spans="1:5" x14ac:dyDescent="0.25">
      <c r="A912" s="1">
        <v>45106</v>
      </c>
      <c r="B912">
        <v>2</v>
      </c>
      <c r="C912" t="s">
        <v>6</v>
      </c>
      <c r="D912">
        <v>266</v>
      </c>
      <c r="E912">
        <v>4193.0600000000004</v>
      </c>
    </row>
    <row r="913" spans="1:5" x14ac:dyDescent="0.25">
      <c r="A913" s="1">
        <v>45107</v>
      </c>
      <c r="B913">
        <v>2</v>
      </c>
      <c r="C913" t="s">
        <v>6</v>
      </c>
      <c r="D913">
        <v>231</v>
      </c>
      <c r="E913">
        <v>4420.7700000000004</v>
      </c>
    </row>
    <row r="914" spans="1:5" x14ac:dyDescent="0.25">
      <c r="A914" s="1">
        <v>45108</v>
      </c>
      <c r="B914">
        <v>2</v>
      </c>
      <c r="C914" t="s">
        <v>6</v>
      </c>
      <c r="D914">
        <v>287</v>
      </c>
      <c r="E914">
        <v>4756.55</v>
      </c>
    </row>
    <row r="915" spans="1:5" x14ac:dyDescent="0.25">
      <c r="A915" s="1">
        <v>45109</v>
      </c>
      <c r="B915">
        <v>2</v>
      </c>
      <c r="C915" t="s">
        <v>6</v>
      </c>
      <c r="D915">
        <v>229</v>
      </c>
      <c r="E915">
        <v>3851.43</v>
      </c>
    </row>
    <row r="916" spans="1:5" x14ac:dyDescent="0.25">
      <c r="A916" s="1">
        <v>45110</v>
      </c>
      <c r="B916">
        <v>2</v>
      </c>
      <c r="C916" t="s">
        <v>6</v>
      </c>
      <c r="D916">
        <v>252</v>
      </c>
      <c r="E916">
        <v>4328.8900000000003</v>
      </c>
    </row>
    <row r="917" spans="1:5" x14ac:dyDescent="0.25">
      <c r="A917" s="1">
        <v>45111</v>
      </c>
      <c r="B917">
        <v>2</v>
      </c>
      <c r="C917" t="s">
        <v>6</v>
      </c>
      <c r="D917">
        <v>285</v>
      </c>
      <c r="E917">
        <v>4463.41</v>
      </c>
    </row>
    <row r="918" spans="1:5" x14ac:dyDescent="0.25">
      <c r="A918" s="1">
        <v>45112</v>
      </c>
      <c r="B918">
        <v>2</v>
      </c>
      <c r="C918" t="s">
        <v>6</v>
      </c>
      <c r="D918">
        <v>265</v>
      </c>
      <c r="E918">
        <v>4515.2700000000004</v>
      </c>
    </row>
    <row r="919" spans="1:5" x14ac:dyDescent="0.25">
      <c r="A919" s="1">
        <v>45113</v>
      </c>
      <c r="B919">
        <v>2</v>
      </c>
      <c r="C919" t="s">
        <v>6</v>
      </c>
      <c r="D919">
        <v>254</v>
      </c>
      <c r="E919">
        <v>4572.84</v>
      </c>
    </row>
    <row r="920" spans="1:5" x14ac:dyDescent="0.25">
      <c r="A920" s="1">
        <v>45114</v>
      </c>
      <c r="B920">
        <v>2</v>
      </c>
      <c r="C920" t="s">
        <v>6</v>
      </c>
      <c r="D920">
        <v>241</v>
      </c>
      <c r="E920">
        <v>3912.66</v>
      </c>
    </row>
    <row r="921" spans="1:5" x14ac:dyDescent="0.25">
      <c r="A921" s="1">
        <v>45115</v>
      </c>
      <c r="B921">
        <v>2</v>
      </c>
      <c r="C921" t="s">
        <v>6</v>
      </c>
      <c r="D921">
        <v>287</v>
      </c>
      <c r="E921">
        <v>4849.16</v>
      </c>
    </row>
    <row r="922" spans="1:5" x14ac:dyDescent="0.25">
      <c r="A922" s="1">
        <v>45116</v>
      </c>
      <c r="B922">
        <v>2</v>
      </c>
      <c r="C922" t="s">
        <v>6</v>
      </c>
      <c r="D922">
        <v>292</v>
      </c>
      <c r="E922">
        <v>4833.54</v>
      </c>
    </row>
    <row r="923" spans="1:5" x14ac:dyDescent="0.25">
      <c r="A923" s="1">
        <v>45117</v>
      </c>
      <c r="B923">
        <v>2</v>
      </c>
      <c r="C923" t="s">
        <v>6</v>
      </c>
      <c r="D923">
        <v>271</v>
      </c>
      <c r="E923">
        <v>4529.6899999999996</v>
      </c>
    </row>
    <row r="924" spans="1:5" x14ac:dyDescent="0.25">
      <c r="A924" s="1">
        <v>45118</v>
      </c>
      <c r="B924">
        <v>2</v>
      </c>
      <c r="C924" t="s">
        <v>6</v>
      </c>
      <c r="D924">
        <v>261</v>
      </c>
      <c r="E924">
        <v>4528.92</v>
      </c>
    </row>
    <row r="925" spans="1:5" x14ac:dyDescent="0.25">
      <c r="A925" s="1">
        <v>45119</v>
      </c>
      <c r="B925">
        <v>2</v>
      </c>
      <c r="C925" t="s">
        <v>6</v>
      </c>
      <c r="D925">
        <v>259</v>
      </c>
      <c r="E925">
        <v>4774.54</v>
      </c>
    </row>
    <row r="926" spans="1:5" x14ac:dyDescent="0.25">
      <c r="A926" s="1">
        <v>45120</v>
      </c>
      <c r="B926">
        <v>2</v>
      </c>
      <c r="C926" t="s">
        <v>6</v>
      </c>
      <c r="D926">
        <v>263</v>
      </c>
      <c r="E926">
        <v>4929.32</v>
      </c>
    </row>
    <row r="927" spans="1:5" x14ac:dyDescent="0.25">
      <c r="A927" s="1">
        <v>45121</v>
      </c>
      <c r="B927">
        <v>2</v>
      </c>
      <c r="C927" t="s">
        <v>6</v>
      </c>
      <c r="D927">
        <v>266</v>
      </c>
      <c r="E927">
        <v>4868.26</v>
      </c>
    </row>
    <row r="928" spans="1:5" x14ac:dyDescent="0.25">
      <c r="A928" s="1">
        <v>45122</v>
      </c>
      <c r="B928">
        <v>2</v>
      </c>
      <c r="C928" t="s">
        <v>6</v>
      </c>
      <c r="D928">
        <v>309</v>
      </c>
      <c r="E928">
        <v>5014.71</v>
      </c>
    </row>
    <row r="929" spans="1:5" x14ac:dyDescent="0.25">
      <c r="A929" s="1">
        <v>45123</v>
      </c>
      <c r="B929">
        <v>2</v>
      </c>
      <c r="C929" t="s">
        <v>6</v>
      </c>
      <c r="D929">
        <v>277</v>
      </c>
      <c r="E929">
        <v>5117.28</v>
      </c>
    </row>
    <row r="930" spans="1:5" x14ac:dyDescent="0.25">
      <c r="A930" s="1">
        <v>45124</v>
      </c>
      <c r="B930">
        <v>2</v>
      </c>
      <c r="C930" t="s">
        <v>6</v>
      </c>
      <c r="D930">
        <v>287</v>
      </c>
      <c r="E930">
        <v>5044.2</v>
      </c>
    </row>
    <row r="931" spans="1:5" x14ac:dyDescent="0.25">
      <c r="A931" s="1">
        <v>45125</v>
      </c>
      <c r="B931">
        <v>2</v>
      </c>
      <c r="C931" t="s">
        <v>6</v>
      </c>
      <c r="D931">
        <v>277</v>
      </c>
      <c r="E931">
        <v>5133.03</v>
      </c>
    </row>
    <row r="932" spans="1:5" x14ac:dyDescent="0.25">
      <c r="A932" s="1">
        <v>45126</v>
      </c>
      <c r="B932">
        <v>2</v>
      </c>
      <c r="C932" t="s">
        <v>6</v>
      </c>
      <c r="D932">
        <v>286</v>
      </c>
      <c r="E932">
        <v>5330.06</v>
      </c>
    </row>
    <row r="933" spans="1:5" x14ac:dyDescent="0.25">
      <c r="A933" s="1">
        <v>45127</v>
      </c>
      <c r="B933">
        <v>2</v>
      </c>
      <c r="C933" t="s">
        <v>6</v>
      </c>
      <c r="D933">
        <v>311</v>
      </c>
      <c r="E933">
        <v>5473.83</v>
      </c>
    </row>
    <row r="934" spans="1:5" x14ac:dyDescent="0.25">
      <c r="A934" s="1">
        <v>45128</v>
      </c>
      <c r="B934">
        <v>2</v>
      </c>
      <c r="C934" t="s">
        <v>6</v>
      </c>
      <c r="D934">
        <v>274</v>
      </c>
      <c r="E934">
        <v>4585.18</v>
      </c>
    </row>
    <row r="935" spans="1:5" x14ac:dyDescent="0.25">
      <c r="A935" s="1">
        <v>45129</v>
      </c>
      <c r="B935">
        <v>2</v>
      </c>
      <c r="C935" t="s">
        <v>6</v>
      </c>
      <c r="D935">
        <v>297</v>
      </c>
      <c r="E935">
        <v>5394.44</v>
      </c>
    </row>
    <row r="936" spans="1:5" x14ac:dyDescent="0.25">
      <c r="A936" s="1">
        <v>45130</v>
      </c>
      <c r="B936">
        <v>2</v>
      </c>
      <c r="C936" t="s">
        <v>6</v>
      </c>
      <c r="D936">
        <v>309</v>
      </c>
      <c r="E936">
        <v>5404.08</v>
      </c>
    </row>
    <row r="937" spans="1:5" x14ac:dyDescent="0.25">
      <c r="A937" s="1">
        <v>45131</v>
      </c>
      <c r="B937">
        <v>2</v>
      </c>
      <c r="C937" t="s">
        <v>6</v>
      </c>
      <c r="D937">
        <v>298</v>
      </c>
      <c r="E937">
        <v>4990.46</v>
      </c>
    </row>
    <row r="938" spans="1:5" x14ac:dyDescent="0.25">
      <c r="A938" s="1">
        <v>45132</v>
      </c>
      <c r="B938">
        <v>2</v>
      </c>
      <c r="C938" t="s">
        <v>6</v>
      </c>
      <c r="D938">
        <v>258</v>
      </c>
      <c r="E938">
        <v>4546.78</v>
      </c>
    </row>
    <row r="939" spans="1:5" x14ac:dyDescent="0.25">
      <c r="A939" s="1">
        <v>45133</v>
      </c>
      <c r="B939">
        <v>2</v>
      </c>
      <c r="C939" t="s">
        <v>6</v>
      </c>
      <c r="D939">
        <v>256</v>
      </c>
      <c r="E939">
        <v>4298.2700000000004</v>
      </c>
    </row>
    <row r="940" spans="1:5" x14ac:dyDescent="0.25">
      <c r="A940" s="1">
        <v>45134</v>
      </c>
      <c r="B940">
        <v>2</v>
      </c>
      <c r="C940" t="s">
        <v>6</v>
      </c>
      <c r="D940">
        <v>277</v>
      </c>
      <c r="E940">
        <v>4535.18</v>
      </c>
    </row>
    <row r="941" spans="1:5" x14ac:dyDescent="0.25">
      <c r="A941" s="1">
        <v>45135</v>
      </c>
      <c r="B941">
        <v>2</v>
      </c>
      <c r="C941" t="s">
        <v>6</v>
      </c>
      <c r="D941">
        <v>284</v>
      </c>
      <c r="E941">
        <v>4849.1000000000004</v>
      </c>
    </row>
    <row r="942" spans="1:5" x14ac:dyDescent="0.25">
      <c r="A942" s="1">
        <v>45136</v>
      </c>
      <c r="B942">
        <v>2</v>
      </c>
      <c r="C942" t="s">
        <v>6</v>
      </c>
      <c r="D942">
        <v>343</v>
      </c>
      <c r="E942">
        <v>5712.54</v>
      </c>
    </row>
    <row r="943" spans="1:5" x14ac:dyDescent="0.25">
      <c r="A943" s="1">
        <v>45137</v>
      </c>
      <c r="B943">
        <v>2</v>
      </c>
      <c r="C943" t="s">
        <v>6</v>
      </c>
      <c r="D943">
        <v>328</v>
      </c>
      <c r="E943">
        <v>6183.35</v>
      </c>
    </row>
    <row r="944" spans="1:5" x14ac:dyDescent="0.25">
      <c r="A944" s="1">
        <v>45138</v>
      </c>
      <c r="B944">
        <v>2</v>
      </c>
      <c r="C944" t="s">
        <v>6</v>
      </c>
      <c r="D944">
        <v>261</v>
      </c>
      <c r="E944">
        <v>4389.49</v>
      </c>
    </row>
    <row r="945" spans="1:5" x14ac:dyDescent="0.25">
      <c r="A945" s="1">
        <v>45139</v>
      </c>
      <c r="B945">
        <v>2</v>
      </c>
      <c r="C945" t="s">
        <v>6</v>
      </c>
      <c r="D945">
        <v>285</v>
      </c>
      <c r="E945">
        <v>4712.9799999999996</v>
      </c>
    </row>
    <row r="946" spans="1:5" x14ac:dyDescent="0.25">
      <c r="A946" s="1">
        <v>45140</v>
      </c>
      <c r="B946">
        <v>2</v>
      </c>
      <c r="C946" t="s">
        <v>6</v>
      </c>
      <c r="D946">
        <v>281</v>
      </c>
      <c r="E946">
        <v>4782.96</v>
      </c>
    </row>
    <row r="947" spans="1:5" x14ac:dyDescent="0.25">
      <c r="A947" s="1">
        <v>45141</v>
      </c>
      <c r="B947">
        <v>2</v>
      </c>
      <c r="C947" t="s">
        <v>6</v>
      </c>
      <c r="D947">
        <v>271</v>
      </c>
      <c r="E947">
        <v>4353.05</v>
      </c>
    </row>
    <row r="948" spans="1:5" x14ac:dyDescent="0.25">
      <c r="A948" s="1">
        <v>45142</v>
      </c>
      <c r="B948">
        <v>2</v>
      </c>
      <c r="C948" t="s">
        <v>6</v>
      </c>
      <c r="D948">
        <v>297</v>
      </c>
      <c r="E948">
        <v>5014.12</v>
      </c>
    </row>
    <row r="949" spans="1:5" x14ac:dyDescent="0.25">
      <c r="A949" s="1">
        <v>45143</v>
      </c>
      <c r="B949">
        <v>2</v>
      </c>
      <c r="C949" t="s">
        <v>6</v>
      </c>
      <c r="D949">
        <v>321</v>
      </c>
      <c r="E949">
        <v>5684.39</v>
      </c>
    </row>
    <row r="950" spans="1:5" x14ac:dyDescent="0.25">
      <c r="A950" s="1">
        <v>45144</v>
      </c>
      <c r="B950">
        <v>2</v>
      </c>
      <c r="C950" t="s">
        <v>6</v>
      </c>
      <c r="D950">
        <v>314</v>
      </c>
      <c r="E950">
        <v>5207.4399999999996</v>
      </c>
    </row>
    <row r="951" spans="1:5" x14ac:dyDescent="0.25">
      <c r="A951" s="1">
        <v>45145</v>
      </c>
      <c r="B951">
        <v>2</v>
      </c>
      <c r="C951" t="s">
        <v>6</v>
      </c>
      <c r="D951">
        <v>273</v>
      </c>
      <c r="E951">
        <v>5116.6099999999997</v>
      </c>
    </row>
    <row r="952" spans="1:5" x14ac:dyDescent="0.25">
      <c r="A952" s="1">
        <v>45146</v>
      </c>
      <c r="B952">
        <v>2</v>
      </c>
      <c r="C952" t="s">
        <v>6</v>
      </c>
      <c r="D952">
        <v>268</v>
      </c>
      <c r="E952">
        <v>4421.08</v>
      </c>
    </row>
    <row r="953" spans="1:5" x14ac:dyDescent="0.25">
      <c r="A953" s="1">
        <v>45147</v>
      </c>
      <c r="B953">
        <v>2</v>
      </c>
      <c r="C953" t="s">
        <v>6</v>
      </c>
      <c r="D953">
        <v>291</v>
      </c>
      <c r="E953">
        <v>4918.29</v>
      </c>
    </row>
    <row r="954" spans="1:5" x14ac:dyDescent="0.25">
      <c r="A954" s="1">
        <v>45148</v>
      </c>
      <c r="B954">
        <v>2</v>
      </c>
      <c r="C954" t="s">
        <v>6</v>
      </c>
      <c r="D954">
        <v>251</v>
      </c>
      <c r="E954">
        <v>4470.55</v>
      </c>
    </row>
    <row r="955" spans="1:5" x14ac:dyDescent="0.25">
      <c r="A955" s="1">
        <v>45149</v>
      </c>
      <c r="B955">
        <v>2</v>
      </c>
      <c r="C955" t="s">
        <v>6</v>
      </c>
      <c r="D955">
        <v>296</v>
      </c>
      <c r="E955">
        <v>4537.96</v>
      </c>
    </row>
    <row r="956" spans="1:5" x14ac:dyDescent="0.25">
      <c r="A956" s="1">
        <v>45150</v>
      </c>
      <c r="B956">
        <v>2</v>
      </c>
      <c r="C956" t="s">
        <v>6</v>
      </c>
      <c r="D956">
        <v>252</v>
      </c>
      <c r="E956">
        <v>4400.71</v>
      </c>
    </row>
    <row r="957" spans="1:5" x14ac:dyDescent="0.25">
      <c r="A957" s="1">
        <v>45151</v>
      </c>
      <c r="B957">
        <v>2</v>
      </c>
      <c r="C957" t="s">
        <v>6</v>
      </c>
      <c r="D957">
        <v>307</v>
      </c>
      <c r="E957">
        <v>5118.24</v>
      </c>
    </row>
    <row r="958" spans="1:5" x14ac:dyDescent="0.25">
      <c r="A958" s="1">
        <v>45152</v>
      </c>
      <c r="B958">
        <v>2</v>
      </c>
      <c r="C958" t="s">
        <v>6</v>
      </c>
      <c r="D958">
        <v>284</v>
      </c>
      <c r="E958">
        <v>4693.41</v>
      </c>
    </row>
    <row r="959" spans="1:5" x14ac:dyDescent="0.25">
      <c r="A959" s="1">
        <v>45153</v>
      </c>
      <c r="B959">
        <v>2</v>
      </c>
      <c r="C959" t="s">
        <v>6</v>
      </c>
      <c r="D959">
        <v>257</v>
      </c>
      <c r="E959">
        <v>4236.28</v>
      </c>
    </row>
    <row r="960" spans="1:5" x14ac:dyDescent="0.25">
      <c r="A960" s="1">
        <v>45154</v>
      </c>
      <c r="B960">
        <v>2</v>
      </c>
      <c r="C960" t="s">
        <v>6</v>
      </c>
      <c r="D960">
        <v>269</v>
      </c>
      <c r="E960">
        <v>4360.37</v>
      </c>
    </row>
    <row r="961" spans="1:5" x14ac:dyDescent="0.25">
      <c r="A961" s="1">
        <v>45155</v>
      </c>
      <c r="B961">
        <v>2</v>
      </c>
      <c r="C961" t="s">
        <v>6</v>
      </c>
      <c r="D961">
        <v>319</v>
      </c>
      <c r="E961">
        <v>5586.43</v>
      </c>
    </row>
    <row r="962" spans="1:5" x14ac:dyDescent="0.25">
      <c r="A962" s="1">
        <v>45156</v>
      </c>
      <c r="B962">
        <v>2</v>
      </c>
      <c r="C962" t="s">
        <v>6</v>
      </c>
      <c r="D962">
        <v>297</v>
      </c>
      <c r="E962">
        <v>5194.1499999999996</v>
      </c>
    </row>
    <row r="963" spans="1:5" x14ac:dyDescent="0.25">
      <c r="A963" s="1">
        <v>45157</v>
      </c>
      <c r="B963">
        <v>2</v>
      </c>
      <c r="C963" t="s">
        <v>6</v>
      </c>
      <c r="D963">
        <v>313</v>
      </c>
      <c r="E963">
        <v>5399.21</v>
      </c>
    </row>
    <row r="964" spans="1:5" x14ac:dyDescent="0.25">
      <c r="A964" s="1">
        <v>45158</v>
      </c>
      <c r="B964">
        <v>2</v>
      </c>
      <c r="C964" t="s">
        <v>6</v>
      </c>
      <c r="D964">
        <v>307</v>
      </c>
      <c r="E964">
        <v>4904.72</v>
      </c>
    </row>
    <row r="965" spans="1:5" x14ac:dyDescent="0.25">
      <c r="A965" s="1">
        <v>45159</v>
      </c>
      <c r="B965">
        <v>2</v>
      </c>
      <c r="C965" t="s">
        <v>6</v>
      </c>
      <c r="D965">
        <v>310</v>
      </c>
      <c r="E965">
        <v>5746.1</v>
      </c>
    </row>
    <row r="966" spans="1:5" x14ac:dyDescent="0.25">
      <c r="A966" s="1">
        <v>45160</v>
      </c>
      <c r="B966">
        <v>2</v>
      </c>
      <c r="C966" t="s">
        <v>6</v>
      </c>
      <c r="D966">
        <v>283</v>
      </c>
      <c r="E966">
        <v>4966.1099999999997</v>
      </c>
    </row>
    <row r="967" spans="1:5" x14ac:dyDescent="0.25">
      <c r="A967" s="1">
        <v>45161</v>
      </c>
      <c r="B967">
        <v>2</v>
      </c>
      <c r="C967" t="s">
        <v>6</v>
      </c>
      <c r="D967">
        <v>279</v>
      </c>
      <c r="E967">
        <v>4777.3</v>
      </c>
    </row>
    <row r="968" spans="1:5" x14ac:dyDescent="0.25">
      <c r="A968" s="1">
        <v>45162</v>
      </c>
      <c r="B968">
        <v>2</v>
      </c>
      <c r="C968" t="s">
        <v>6</v>
      </c>
      <c r="D968">
        <v>298</v>
      </c>
      <c r="E968">
        <v>5012.1499999999996</v>
      </c>
    </row>
    <row r="969" spans="1:5" x14ac:dyDescent="0.25">
      <c r="A969" s="1">
        <v>45163</v>
      </c>
      <c r="B969">
        <v>2</v>
      </c>
      <c r="C969" t="s">
        <v>6</v>
      </c>
      <c r="D969">
        <v>290</v>
      </c>
      <c r="E969">
        <v>4722.1899999999996</v>
      </c>
    </row>
    <row r="970" spans="1:5" x14ac:dyDescent="0.25">
      <c r="A970" s="1">
        <v>45164</v>
      </c>
      <c r="B970">
        <v>2</v>
      </c>
      <c r="C970" t="s">
        <v>6</v>
      </c>
      <c r="D970">
        <v>309</v>
      </c>
      <c r="E970">
        <v>5230.8900000000003</v>
      </c>
    </row>
    <row r="971" spans="1:5" x14ac:dyDescent="0.25">
      <c r="A971" s="1">
        <v>45165</v>
      </c>
      <c r="B971">
        <v>2</v>
      </c>
      <c r="C971" t="s">
        <v>6</v>
      </c>
      <c r="D971">
        <v>330</v>
      </c>
      <c r="E971">
        <v>5794</v>
      </c>
    </row>
    <row r="972" spans="1:5" x14ac:dyDescent="0.25">
      <c r="A972" s="1">
        <v>45166</v>
      </c>
      <c r="B972">
        <v>2</v>
      </c>
      <c r="C972" t="s">
        <v>6</v>
      </c>
      <c r="D972">
        <v>285</v>
      </c>
      <c r="E972">
        <v>4897.78</v>
      </c>
    </row>
    <row r="973" spans="1:5" x14ac:dyDescent="0.25">
      <c r="A973" s="1">
        <v>45167</v>
      </c>
      <c r="B973">
        <v>2</v>
      </c>
      <c r="C973" t="s">
        <v>6</v>
      </c>
      <c r="D973">
        <v>275</v>
      </c>
      <c r="E973">
        <v>4696.53</v>
      </c>
    </row>
    <row r="974" spans="1:5" x14ac:dyDescent="0.25">
      <c r="A974" s="1">
        <v>45168</v>
      </c>
      <c r="B974">
        <v>2</v>
      </c>
      <c r="C974" t="s">
        <v>6</v>
      </c>
      <c r="D974">
        <v>277</v>
      </c>
      <c r="E974">
        <v>4675.8599999999997</v>
      </c>
    </row>
    <row r="975" spans="1:5" x14ac:dyDescent="0.25">
      <c r="A975" s="1">
        <v>45169</v>
      </c>
      <c r="B975">
        <v>2</v>
      </c>
      <c r="C975" t="s">
        <v>6</v>
      </c>
      <c r="D975">
        <v>311</v>
      </c>
      <c r="E975">
        <v>5397.46</v>
      </c>
    </row>
    <row r="976" spans="1:5" x14ac:dyDescent="0.25">
      <c r="A976" s="1">
        <v>45170</v>
      </c>
      <c r="B976">
        <v>2</v>
      </c>
      <c r="C976" t="s">
        <v>6</v>
      </c>
      <c r="D976">
        <v>261</v>
      </c>
      <c r="E976">
        <v>4739.17</v>
      </c>
    </row>
    <row r="977" spans="1:5" x14ac:dyDescent="0.25">
      <c r="A977" s="1">
        <v>45171</v>
      </c>
      <c r="B977">
        <v>2</v>
      </c>
      <c r="C977" t="s">
        <v>6</v>
      </c>
      <c r="D977">
        <v>275</v>
      </c>
      <c r="E977">
        <v>4846.3599999999997</v>
      </c>
    </row>
    <row r="978" spans="1:5" x14ac:dyDescent="0.25">
      <c r="A978" s="1">
        <v>45172</v>
      </c>
      <c r="B978">
        <v>2</v>
      </c>
      <c r="C978" t="s">
        <v>6</v>
      </c>
      <c r="D978">
        <v>299</v>
      </c>
      <c r="E978">
        <v>4885.43</v>
      </c>
    </row>
    <row r="979" spans="1:5" x14ac:dyDescent="0.25">
      <c r="A979" s="1">
        <v>45173</v>
      </c>
      <c r="B979">
        <v>2</v>
      </c>
      <c r="C979" t="s">
        <v>6</v>
      </c>
      <c r="D979">
        <v>279</v>
      </c>
      <c r="E979">
        <v>4982.42</v>
      </c>
    </row>
    <row r="980" spans="1:5" x14ac:dyDescent="0.25">
      <c r="A980" s="1">
        <v>45174</v>
      </c>
      <c r="B980">
        <v>2</v>
      </c>
      <c r="C980" t="s">
        <v>6</v>
      </c>
      <c r="D980">
        <v>249</v>
      </c>
      <c r="E980">
        <v>4301.92</v>
      </c>
    </row>
    <row r="981" spans="1:5" x14ac:dyDescent="0.25">
      <c r="A981" s="1">
        <v>45175</v>
      </c>
      <c r="B981">
        <v>2</v>
      </c>
      <c r="C981" t="s">
        <v>6</v>
      </c>
      <c r="D981">
        <v>300</v>
      </c>
      <c r="E981">
        <v>5201.93</v>
      </c>
    </row>
    <row r="982" spans="1:5" x14ac:dyDescent="0.25">
      <c r="A982" s="1">
        <v>45176</v>
      </c>
      <c r="B982">
        <v>2</v>
      </c>
      <c r="C982" t="s">
        <v>6</v>
      </c>
      <c r="D982">
        <v>295</v>
      </c>
      <c r="E982">
        <v>4978.7299999999996</v>
      </c>
    </row>
    <row r="983" spans="1:5" x14ac:dyDescent="0.25">
      <c r="A983" s="1">
        <v>45177</v>
      </c>
      <c r="B983">
        <v>2</v>
      </c>
      <c r="C983" t="s">
        <v>6</v>
      </c>
      <c r="D983">
        <v>243</v>
      </c>
      <c r="E983">
        <v>4211.47</v>
      </c>
    </row>
    <row r="984" spans="1:5" x14ac:dyDescent="0.25">
      <c r="A984" s="1">
        <v>45178</v>
      </c>
      <c r="B984">
        <v>2</v>
      </c>
      <c r="C984" t="s">
        <v>6</v>
      </c>
      <c r="D984">
        <v>318</v>
      </c>
      <c r="E984">
        <v>5104.93</v>
      </c>
    </row>
    <row r="985" spans="1:5" x14ac:dyDescent="0.25">
      <c r="A985" s="1">
        <v>45179</v>
      </c>
      <c r="B985">
        <v>2</v>
      </c>
      <c r="C985" t="s">
        <v>6</v>
      </c>
      <c r="D985">
        <v>304</v>
      </c>
      <c r="E985">
        <v>5251.82</v>
      </c>
    </row>
    <row r="986" spans="1:5" x14ac:dyDescent="0.25">
      <c r="A986" s="1">
        <v>45180</v>
      </c>
      <c r="B986">
        <v>2</v>
      </c>
      <c r="C986" t="s">
        <v>6</v>
      </c>
      <c r="D986">
        <v>281</v>
      </c>
      <c r="E986">
        <v>5067.37</v>
      </c>
    </row>
    <row r="987" spans="1:5" x14ac:dyDescent="0.25">
      <c r="A987" s="1">
        <v>45181</v>
      </c>
      <c r="B987">
        <v>2</v>
      </c>
      <c r="C987" t="s">
        <v>6</v>
      </c>
      <c r="D987">
        <v>303</v>
      </c>
      <c r="E987">
        <v>5454.19</v>
      </c>
    </row>
    <row r="988" spans="1:5" x14ac:dyDescent="0.25">
      <c r="A988" s="1">
        <v>45182</v>
      </c>
      <c r="B988">
        <v>2</v>
      </c>
      <c r="C988" t="s">
        <v>6</v>
      </c>
      <c r="D988">
        <v>249</v>
      </c>
      <c r="E988">
        <v>4199.8599999999997</v>
      </c>
    </row>
    <row r="989" spans="1:5" x14ac:dyDescent="0.25">
      <c r="A989" s="1">
        <v>45183</v>
      </c>
      <c r="B989">
        <v>2</v>
      </c>
      <c r="C989" t="s">
        <v>6</v>
      </c>
      <c r="D989">
        <v>285</v>
      </c>
      <c r="E989">
        <v>4523.3</v>
      </c>
    </row>
    <row r="990" spans="1:5" x14ac:dyDescent="0.25">
      <c r="A990" s="1">
        <v>45184</v>
      </c>
      <c r="B990">
        <v>2</v>
      </c>
      <c r="C990" t="s">
        <v>6</v>
      </c>
      <c r="D990">
        <v>278</v>
      </c>
      <c r="E990">
        <v>4608.74</v>
      </c>
    </row>
    <row r="991" spans="1:5" x14ac:dyDescent="0.25">
      <c r="A991" s="1">
        <v>45185</v>
      </c>
      <c r="B991">
        <v>2</v>
      </c>
      <c r="C991" t="s">
        <v>6</v>
      </c>
      <c r="D991">
        <v>332</v>
      </c>
      <c r="E991">
        <v>5288.64</v>
      </c>
    </row>
    <row r="992" spans="1:5" x14ac:dyDescent="0.25">
      <c r="A992" s="1">
        <v>45186</v>
      </c>
      <c r="B992">
        <v>2</v>
      </c>
      <c r="C992" t="s">
        <v>6</v>
      </c>
      <c r="D992">
        <v>303</v>
      </c>
      <c r="E992">
        <v>5095.42</v>
      </c>
    </row>
    <row r="993" spans="1:5" x14ac:dyDescent="0.25">
      <c r="A993" s="1">
        <v>45187</v>
      </c>
      <c r="B993">
        <v>2</v>
      </c>
      <c r="C993" t="s">
        <v>6</v>
      </c>
      <c r="D993">
        <v>283</v>
      </c>
      <c r="E993">
        <v>4954.18</v>
      </c>
    </row>
    <row r="994" spans="1:5" x14ac:dyDescent="0.25">
      <c r="A994" s="1">
        <v>45188</v>
      </c>
      <c r="B994">
        <v>2</v>
      </c>
      <c r="C994" t="s">
        <v>6</v>
      </c>
      <c r="D994">
        <v>300</v>
      </c>
      <c r="E994">
        <v>4908.17</v>
      </c>
    </row>
    <row r="995" spans="1:5" x14ac:dyDescent="0.25">
      <c r="A995" s="1">
        <v>45189</v>
      </c>
      <c r="B995">
        <v>2</v>
      </c>
      <c r="C995" t="s">
        <v>6</v>
      </c>
      <c r="D995">
        <v>244</v>
      </c>
      <c r="E995">
        <v>4288.09</v>
      </c>
    </row>
    <row r="996" spans="1:5" x14ac:dyDescent="0.25">
      <c r="A996" s="1">
        <v>45190</v>
      </c>
      <c r="B996">
        <v>2</v>
      </c>
      <c r="C996" t="s">
        <v>6</v>
      </c>
      <c r="D996">
        <v>264</v>
      </c>
      <c r="E996">
        <v>4555.2299999999996</v>
      </c>
    </row>
    <row r="997" spans="1:5" x14ac:dyDescent="0.25">
      <c r="A997" s="1">
        <v>45191</v>
      </c>
      <c r="B997">
        <v>2</v>
      </c>
      <c r="C997" t="s">
        <v>6</v>
      </c>
      <c r="D997">
        <v>285</v>
      </c>
      <c r="E997">
        <v>4956.2</v>
      </c>
    </row>
    <row r="998" spans="1:5" x14ac:dyDescent="0.25">
      <c r="A998" s="1">
        <v>45192</v>
      </c>
      <c r="B998">
        <v>2</v>
      </c>
      <c r="C998" t="s">
        <v>6</v>
      </c>
      <c r="D998">
        <v>272</v>
      </c>
      <c r="E998">
        <v>4728.29</v>
      </c>
    </row>
    <row r="999" spans="1:5" x14ac:dyDescent="0.25">
      <c r="A999" s="1">
        <v>45193</v>
      </c>
      <c r="B999">
        <v>2</v>
      </c>
      <c r="C999" t="s">
        <v>6</v>
      </c>
      <c r="D999">
        <v>282</v>
      </c>
      <c r="E999">
        <v>4615.51</v>
      </c>
    </row>
    <row r="1000" spans="1:5" x14ac:dyDescent="0.25">
      <c r="A1000" s="1">
        <v>45194</v>
      </c>
      <c r="B1000">
        <v>2</v>
      </c>
      <c r="C1000" t="s">
        <v>6</v>
      </c>
      <c r="D1000">
        <v>290</v>
      </c>
      <c r="E1000">
        <v>4549.74</v>
      </c>
    </row>
    <row r="1001" spans="1:5" x14ac:dyDescent="0.25">
      <c r="A1001" s="1">
        <v>45195</v>
      </c>
      <c r="B1001">
        <v>2</v>
      </c>
      <c r="C1001" t="s">
        <v>6</v>
      </c>
      <c r="D1001">
        <v>296</v>
      </c>
      <c r="E1001">
        <v>4651.42</v>
      </c>
    </row>
    <row r="1002" spans="1:5" x14ac:dyDescent="0.25">
      <c r="A1002" s="1">
        <v>45196</v>
      </c>
      <c r="B1002">
        <v>2</v>
      </c>
      <c r="C1002" t="s">
        <v>6</v>
      </c>
      <c r="D1002">
        <v>261</v>
      </c>
      <c r="E1002">
        <v>4506.26</v>
      </c>
    </row>
    <row r="1003" spans="1:5" x14ac:dyDescent="0.25">
      <c r="A1003" s="1">
        <v>45197</v>
      </c>
      <c r="B1003">
        <v>2</v>
      </c>
      <c r="C1003" t="s">
        <v>6</v>
      </c>
      <c r="D1003">
        <v>241</v>
      </c>
      <c r="E1003">
        <v>3921.12</v>
      </c>
    </row>
    <row r="1004" spans="1:5" x14ac:dyDescent="0.25">
      <c r="A1004" s="1">
        <v>45198</v>
      </c>
      <c r="B1004">
        <v>2</v>
      </c>
      <c r="C1004" t="s">
        <v>6</v>
      </c>
      <c r="D1004">
        <v>259</v>
      </c>
      <c r="E1004">
        <v>4388.34</v>
      </c>
    </row>
    <row r="1005" spans="1:5" x14ac:dyDescent="0.25">
      <c r="A1005" s="1">
        <v>45199</v>
      </c>
      <c r="B1005">
        <v>2</v>
      </c>
      <c r="C1005" t="s">
        <v>6</v>
      </c>
      <c r="D1005">
        <v>310</v>
      </c>
      <c r="E1005">
        <v>5011.3599999999997</v>
      </c>
    </row>
    <row r="1006" spans="1:5" x14ac:dyDescent="0.25">
      <c r="A1006" s="1">
        <v>45200</v>
      </c>
      <c r="B1006">
        <v>2</v>
      </c>
      <c r="C1006" t="s">
        <v>6</v>
      </c>
      <c r="D1006">
        <v>309</v>
      </c>
      <c r="E1006">
        <v>5467.29</v>
      </c>
    </row>
    <row r="1007" spans="1:5" x14ac:dyDescent="0.25">
      <c r="A1007" s="1">
        <v>45201</v>
      </c>
      <c r="B1007">
        <v>2</v>
      </c>
      <c r="C1007" t="s">
        <v>6</v>
      </c>
      <c r="D1007">
        <v>283</v>
      </c>
      <c r="E1007">
        <v>4789.55</v>
      </c>
    </row>
    <row r="1008" spans="1:5" x14ac:dyDescent="0.25">
      <c r="A1008" s="1">
        <v>45202</v>
      </c>
      <c r="B1008">
        <v>2</v>
      </c>
      <c r="C1008" t="s">
        <v>6</v>
      </c>
      <c r="D1008">
        <v>305</v>
      </c>
      <c r="E1008">
        <v>5315.98</v>
      </c>
    </row>
    <row r="1009" spans="1:5" x14ac:dyDescent="0.25">
      <c r="A1009" s="1">
        <v>45203</v>
      </c>
      <c r="B1009">
        <v>2</v>
      </c>
      <c r="C1009" t="s">
        <v>6</v>
      </c>
      <c r="D1009">
        <v>286</v>
      </c>
      <c r="E1009">
        <v>4852.1400000000003</v>
      </c>
    </row>
    <row r="1010" spans="1:5" x14ac:dyDescent="0.25">
      <c r="A1010" s="1">
        <v>45204</v>
      </c>
      <c r="B1010">
        <v>2</v>
      </c>
      <c r="C1010" t="s">
        <v>6</v>
      </c>
      <c r="D1010">
        <v>278</v>
      </c>
      <c r="E1010">
        <v>4698.6400000000003</v>
      </c>
    </row>
    <row r="1011" spans="1:5" x14ac:dyDescent="0.25">
      <c r="A1011" s="1">
        <v>45205</v>
      </c>
      <c r="B1011">
        <v>2</v>
      </c>
      <c r="C1011" t="s">
        <v>6</v>
      </c>
      <c r="D1011">
        <v>284</v>
      </c>
      <c r="E1011">
        <v>4612.33</v>
      </c>
    </row>
    <row r="1012" spans="1:5" x14ac:dyDescent="0.25">
      <c r="A1012" s="1">
        <v>45206</v>
      </c>
      <c r="B1012">
        <v>2</v>
      </c>
      <c r="C1012" t="s">
        <v>6</v>
      </c>
      <c r="D1012">
        <v>284</v>
      </c>
      <c r="E1012">
        <v>4766.25</v>
      </c>
    </row>
    <row r="1013" spans="1:5" x14ac:dyDescent="0.25">
      <c r="A1013" s="1">
        <v>45207</v>
      </c>
      <c r="B1013">
        <v>2</v>
      </c>
      <c r="C1013" t="s">
        <v>6</v>
      </c>
      <c r="D1013">
        <v>303</v>
      </c>
      <c r="E1013">
        <v>5176.49</v>
      </c>
    </row>
    <row r="1014" spans="1:5" x14ac:dyDescent="0.25">
      <c r="A1014" s="1">
        <v>45208</v>
      </c>
      <c r="B1014">
        <v>2</v>
      </c>
      <c r="C1014" t="s">
        <v>6</v>
      </c>
      <c r="D1014">
        <v>271</v>
      </c>
      <c r="E1014">
        <v>4654.5600000000004</v>
      </c>
    </row>
    <row r="1015" spans="1:5" x14ac:dyDescent="0.25">
      <c r="A1015" s="1">
        <v>45209</v>
      </c>
      <c r="B1015">
        <v>2</v>
      </c>
      <c r="C1015" t="s">
        <v>6</v>
      </c>
      <c r="D1015">
        <v>286</v>
      </c>
      <c r="E1015">
        <v>4820.53</v>
      </c>
    </row>
    <row r="1016" spans="1:5" x14ac:dyDescent="0.25">
      <c r="A1016" s="1">
        <v>45210</v>
      </c>
      <c r="B1016">
        <v>2</v>
      </c>
      <c r="C1016" t="s">
        <v>6</v>
      </c>
      <c r="D1016">
        <v>256</v>
      </c>
      <c r="E1016">
        <v>4113.71</v>
      </c>
    </row>
    <row r="1017" spans="1:5" x14ac:dyDescent="0.25">
      <c r="A1017" s="1">
        <v>45211</v>
      </c>
      <c r="B1017">
        <v>2</v>
      </c>
      <c r="C1017" t="s">
        <v>6</v>
      </c>
      <c r="D1017">
        <v>277</v>
      </c>
      <c r="E1017">
        <v>4819.3599999999997</v>
      </c>
    </row>
    <row r="1018" spans="1:5" x14ac:dyDescent="0.25">
      <c r="A1018" s="1">
        <v>45212</v>
      </c>
      <c r="B1018">
        <v>2</v>
      </c>
      <c r="C1018" t="s">
        <v>6</v>
      </c>
      <c r="D1018">
        <v>280</v>
      </c>
      <c r="E1018">
        <v>5173.04</v>
      </c>
    </row>
    <row r="1019" spans="1:5" x14ac:dyDescent="0.25">
      <c r="A1019" s="1">
        <v>45213</v>
      </c>
      <c r="B1019">
        <v>2</v>
      </c>
      <c r="C1019" t="s">
        <v>6</v>
      </c>
      <c r="D1019">
        <v>314</v>
      </c>
      <c r="E1019">
        <v>5415.24</v>
      </c>
    </row>
    <row r="1020" spans="1:5" x14ac:dyDescent="0.25">
      <c r="A1020" s="1">
        <v>45214</v>
      </c>
      <c r="B1020">
        <v>2</v>
      </c>
      <c r="C1020" t="s">
        <v>6</v>
      </c>
      <c r="D1020">
        <v>317</v>
      </c>
      <c r="E1020">
        <v>4645.62</v>
      </c>
    </row>
    <row r="1021" spans="1:5" x14ac:dyDescent="0.25">
      <c r="A1021" s="1">
        <v>45215</v>
      </c>
      <c r="B1021">
        <v>2</v>
      </c>
      <c r="C1021" t="s">
        <v>6</v>
      </c>
      <c r="D1021">
        <v>258</v>
      </c>
      <c r="E1021">
        <v>4158.03</v>
      </c>
    </row>
    <row r="1022" spans="1:5" x14ac:dyDescent="0.25">
      <c r="A1022" s="1">
        <v>45216</v>
      </c>
      <c r="B1022">
        <v>2</v>
      </c>
      <c r="C1022" t="s">
        <v>6</v>
      </c>
      <c r="D1022">
        <v>273</v>
      </c>
      <c r="E1022">
        <v>4649.46</v>
      </c>
    </row>
    <row r="1023" spans="1:5" x14ac:dyDescent="0.25">
      <c r="A1023" s="1">
        <v>45217</v>
      </c>
      <c r="B1023">
        <v>2</v>
      </c>
      <c r="C1023" t="s">
        <v>6</v>
      </c>
      <c r="D1023">
        <v>290</v>
      </c>
      <c r="E1023">
        <v>4919.95</v>
      </c>
    </row>
    <row r="1024" spans="1:5" x14ac:dyDescent="0.25">
      <c r="A1024" s="1">
        <v>45218</v>
      </c>
      <c r="B1024">
        <v>2</v>
      </c>
      <c r="C1024" t="s">
        <v>6</v>
      </c>
      <c r="D1024">
        <v>274</v>
      </c>
      <c r="E1024">
        <v>4838.72</v>
      </c>
    </row>
    <row r="1025" spans="1:5" x14ac:dyDescent="0.25">
      <c r="A1025" s="1">
        <v>45219</v>
      </c>
      <c r="B1025">
        <v>2</v>
      </c>
      <c r="C1025" t="s">
        <v>6</v>
      </c>
      <c r="D1025">
        <v>293</v>
      </c>
      <c r="E1025">
        <v>4679.67</v>
      </c>
    </row>
    <row r="1026" spans="1:5" x14ac:dyDescent="0.25">
      <c r="A1026" s="1">
        <v>45220</v>
      </c>
      <c r="B1026">
        <v>2</v>
      </c>
      <c r="C1026" t="s">
        <v>6</v>
      </c>
      <c r="D1026">
        <v>257</v>
      </c>
      <c r="E1026">
        <v>4444.84</v>
      </c>
    </row>
    <row r="1027" spans="1:5" x14ac:dyDescent="0.25">
      <c r="A1027" s="1">
        <v>45221</v>
      </c>
      <c r="B1027">
        <v>2</v>
      </c>
      <c r="C1027" t="s">
        <v>6</v>
      </c>
      <c r="D1027">
        <v>298</v>
      </c>
      <c r="E1027">
        <v>5086.08</v>
      </c>
    </row>
    <row r="1028" spans="1:5" x14ac:dyDescent="0.25">
      <c r="A1028" s="1">
        <v>45222</v>
      </c>
      <c r="B1028">
        <v>2</v>
      </c>
      <c r="C1028" t="s">
        <v>6</v>
      </c>
      <c r="D1028">
        <v>260</v>
      </c>
      <c r="E1028">
        <v>4920.71</v>
      </c>
    </row>
    <row r="1029" spans="1:5" x14ac:dyDescent="0.25">
      <c r="A1029" s="1">
        <v>45223</v>
      </c>
      <c r="B1029">
        <v>2</v>
      </c>
      <c r="C1029" t="s">
        <v>6</v>
      </c>
      <c r="D1029">
        <v>252</v>
      </c>
      <c r="E1029">
        <v>4422.8</v>
      </c>
    </row>
    <row r="1030" spans="1:5" x14ac:dyDescent="0.25">
      <c r="A1030" s="1">
        <v>45224</v>
      </c>
      <c r="B1030">
        <v>2</v>
      </c>
      <c r="C1030" t="s">
        <v>6</v>
      </c>
      <c r="D1030">
        <v>276</v>
      </c>
      <c r="E1030">
        <v>4701.6899999999996</v>
      </c>
    </row>
    <row r="1031" spans="1:5" x14ac:dyDescent="0.25">
      <c r="A1031" s="1">
        <v>45225</v>
      </c>
      <c r="B1031">
        <v>2</v>
      </c>
      <c r="C1031" t="s">
        <v>6</v>
      </c>
      <c r="D1031">
        <v>257</v>
      </c>
      <c r="E1031">
        <v>4132.47</v>
      </c>
    </row>
    <row r="1032" spans="1:5" x14ac:dyDescent="0.25">
      <c r="A1032" s="1">
        <v>45226</v>
      </c>
      <c r="B1032">
        <v>2</v>
      </c>
      <c r="C1032" t="s">
        <v>6</v>
      </c>
      <c r="D1032">
        <v>273</v>
      </c>
      <c r="E1032">
        <v>4917.51</v>
      </c>
    </row>
    <row r="1033" spans="1:5" x14ac:dyDescent="0.25">
      <c r="A1033" s="1">
        <v>45227</v>
      </c>
      <c r="B1033">
        <v>2</v>
      </c>
      <c r="C1033" t="s">
        <v>6</v>
      </c>
      <c r="D1033">
        <v>293</v>
      </c>
      <c r="E1033">
        <v>5047.8100000000004</v>
      </c>
    </row>
    <row r="1034" spans="1:5" x14ac:dyDescent="0.25">
      <c r="A1034" s="1">
        <v>45228</v>
      </c>
      <c r="B1034">
        <v>2</v>
      </c>
      <c r="C1034" t="s">
        <v>6</v>
      </c>
      <c r="D1034">
        <v>237</v>
      </c>
      <c r="E1034">
        <v>3587.06</v>
      </c>
    </row>
    <row r="1035" spans="1:5" x14ac:dyDescent="0.25">
      <c r="A1035" s="1">
        <v>45229</v>
      </c>
      <c r="B1035">
        <v>2</v>
      </c>
      <c r="C1035" t="s">
        <v>6</v>
      </c>
      <c r="D1035">
        <v>280</v>
      </c>
      <c r="E1035">
        <v>4899.96</v>
      </c>
    </row>
    <row r="1036" spans="1:5" x14ac:dyDescent="0.25">
      <c r="A1036" s="1">
        <v>45230</v>
      </c>
      <c r="B1036">
        <v>2</v>
      </c>
      <c r="C1036" t="s">
        <v>6</v>
      </c>
      <c r="D1036">
        <v>284</v>
      </c>
      <c r="E1036">
        <v>4719.91</v>
      </c>
    </row>
    <row r="1037" spans="1:5" x14ac:dyDescent="0.25">
      <c r="A1037" s="1">
        <v>45231</v>
      </c>
      <c r="B1037">
        <v>2</v>
      </c>
      <c r="C1037" t="s">
        <v>6</v>
      </c>
      <c r="D1037">
        <v>280</v>
      </c>
      <c r="E1037">
        <v>4757.58</v>
      </c>
    </row>
    <row r="1038" spans="1:5" x14ac:dyDescent="0.25">
      <c r="A1038" s="1">
        <v>45232</v>
      </c>
      <c r="B1038">
        <v>2</v>
      </c>
      <c r="C1038" t="s">
        <v>6</v>
      </c>
      <c r="D1038">
        <v>216</v>
      </c>
      <c r="E1038">
        <v>3320.65</v>
      </c>
    </row>
    <row r="1039" spans="1:5" x14ac:dyDescent="0.25">
      <c r="A1039" s="1">
        <v>45233</v>
      </c>
      <c r="B1039">
        <v>2</v>
      </c>
      <c r="C1039" t="s">
        <v>6</v>
      </c>
      <c r="D1039">
        <v>262</v>
      </c>
      <c r="E1039">
        <v>4269.7299999999996</v>
      </c>
    </row>
    <row r="1040" spans="1:5" x14ac:dyDescent="0.25">
      <c r="A1040" s="1">
        <v>45234</v>
      </c>
      <c r="B1040">
        <v>2</v>
      </c>
      <c r="C1040" t="s">
        <v>6</v>
      </c>
      <c r="D1040">
        <v>286</v>
      </c>
      <c r="E1040">
        <v>4958.49</v>
      </c>
    </row>
    <row r="1041" spans="1:5" x14ac:dyDescent="0.25">
      <c r="A1041" s="1">
        <v>45235</v>
      </c>
      <c r="B1041">
        <v>2</v>
      </c>
      <c r="C1041" t="s">
        <v>6</v>
      </c>
      <c r="D1041">
        <v>277</v>
      </c>
      <c r="E1041">
        <v>4751.9399999999996</v>
      </c>
    </row>
    <row r="1042" spans="1:5" x14ac:dyDescent="0.25">
      <c r="A1042" s="1">
        <v>45236</v>
      </c>
      <c r="B1042">
        <v>2</v>
      </c>
      <c r="C1042" t="s">
        <v>6</v>
      </c>
      <c r="D1042">
        <v>215</v>
      </c>
      <c r="E1042">
        <v>3514.61</v>
      </c>
    </row>
    <row r="1043" spans="1:5" x14ac:dyDescent="0.25">
      <c r="A1043" s="1">
        <v>45237</v>
      </c>
      <c r="B1043">
        <v>2</v>
      </c>
      <c r="C1043" t="s">
        <v>6</v>
      </c>
      <c r="D1043">
        <v>249</v>
      </c>
      <c r="E1043">
        <v>3679.95</v>
      </c>
    </row>
    <row r="1044" spans="1:5" x14ac:dyDescent="0.25">
      <c r="A1044" s="1">
        <v>45238</v>
      </c>
      <c r="B1044">
        <v>2</v>
      </c>
      <c r="C1044" t="s">
        <v>6</v>
      </c>
      <c r="D1044">
        <v>237</v>
      </c>
      <c r="E1044">
        <v>3915.05</v>
      </c>
    </row>
    <row r="1045" spans="1:5" x14ac:dyDescent="0.25">
      <c r="A1045" s="1">
        <v>45239</v>
      </c>
      <c r="B1045">
        <v>2</v>
      </c>
      <c r="C1045" t="s">
        <v>6</v>
      </c>
      <c r="D1045">
        <v>257</v>
      </c>
      <c r="E1045">
        <v>4511.1000000000004</v>
      </c>
    </row>
    <row r="1046" spans="1:5" x14ac:dyDescent="0.25">
      <c r="A1046" s="1">
        <v>45240</v>
      </c>
      <c r="B1046">
        <v>2</v>
      </c>
      <c r="C1046" t="s">
        <v>6</v>
      </c>
      <c r="D1046">
        <v>254</v>
      </c>
      <c r="E1046">
        <v>4302.66</v>
      </c>
    </row>
    <row r="1047" spans="1:5" x14ac:dyDescent="0.25">
      <c r="A1047" s="1">
        <v>45241</v>
      </c>
      <c r="B1047">
        <v>2</v>
      </c>
      <c r="C1047" t="s">
        <v>6</v>
      </c>
      <c r="D1047">
        <v>296</v>
      </c>
      <c r="E1047">
        <v>5058.84</v>
      </c>
    </row>
    <row r="1048" spans="1:5" x14ac:dyDescent="0.25">
      <c r="A1048" s="1">
        <v>45242</v>
      </c>
      <c r="B1048">
        <v>2</v>
      </c>
      <c r="C1048" t="s">
        <v>6</v>
      </c>
      <c r="D1048">
        <v>266</v>
      </c>
      <c r="E1048">
        <v>4449.6499999999996</v>
      </c>
    </row>
    <row r="1049" spans="1:5" x14ac:dyDescent="0.25">
      <c r="A1049" s="1">
        <v>45243</v>
      </c>
      <c r="B1049">
        <v>2</v>
      </c>
      <c r="C1049" t="s">
        <v>6</v>
      </c>
      <c r="D1049">
        <v>223</v>
      </c>
      <c r="E1049">
        <v>3386.03</v>
      </c>
    </row>
    <row r="1050" spans="1:5" x14ac:dyDescent="0.25">
      <c r="A1050" s="1">
        <v>45244</v>
      </c>
      <c r="B1050">
        <v>2</v>
      </c>
      <c r="C1050" t="s">
        <v>6</v>
      </c>
      <c r="D1050">
        <v>248</v>
      </c>
      <c r="E1050">
        <v>4252.45</v>
      </c>
    </row>
    <row r="1051" spans="1:5" x14ac:dyDescent="0.25">
      <c r="A1051" s="1">
        <v>45245</v>
      </c>
      <c r="B1051">
        <v>2</v>
      </c>
      <c r="C1051" t="s">
        <v>6</v>
      </c>
      <c r="D1051">
        <v>209</v>
      </c>
      <c r="E1051">
        <v>3456.44</v>
      </c>
    </row>
    <row r="1052" spans="1:5" x14ac:dyDescent="0.25">
      <c r="A1052" s="1">
        <v>45246</v>
      </c>
      <c r="B1052">
        <v>2</v>
      </c>
      <c r="C1052" t="s">
        <v>6</v>
      </c>
      <c r="D1052">
        <v>245</v>
      </c>
      <c r="E1052">
        <v>4219.3599999999997</v>
      </c>
    </row>
    <row r="1053" spans="1:5" x14ac:dyDescent="0.25">
      <c r="A1053" s="1">
        <v>45247</v>
      </c>
      <c r="B1053">
        <v>2</v>
      </c>
      <c r="C1053" t="s">
        <v>6</v>
      </c>
      <c r="D1053">
        <v>215</v>
      </c>
      <c r="E1053">
        <v>3819.74</v>
      </c>
    </row>
    <row r="1054" spans="1:5" x14ac:dyDescent="0.25">
      <c r="A1054" s="1">
        <v>45248</v>
      </c>
      <c r="B1054">
        <v>2</v>
      </c>
      <c r="C1054" t="s">
        <v>6</v>
      </c>
      <c r="D1054">
        <v>282</v>
      </c>
      <c r="E1054">
        <v>4841.2</v>
      </c>
    </row>
    <row r="1055" spans="1:5" x14ac:dyDescent="0.25">
      <c r="A1055" s="1">
        <v>45249</v>
      </c>
      <c r="B1055">
        <v>2</v>
      </c>
      <c r="C1055" t="s">
        <v>6</v>
      </c>
      <c r="D1055">
        <v>269</v>
      </c>
      <c r="E1055">
        <v>4722.29</v>
      </c>
    </row>
    <row r="1056" spans="1:5" x14ac:dyDescent="0.25">
      <c r="A1056" s="1">
        <v>45250</v>
      </c>
      <c r="B1056">
        <v>2</v>
      </c>
      <c r="C1056" t="s">
        <v>6</v>
      </c>
      <c r="D1056">
        <v>242</v>
      </c>
      <c r="E1056">
        <v>3967.89</v>
      </c>
    </row>
    <row r="1057" spans="1:5" x14ac:dyDescent="0.25">
      <c r="A1057" s="1">
        <v>45251</v>
      </c>
      <c r="B1057">
        <v>2</v>
      </c>
      <c r="C1057" t="s">
        <v>6</v>
      </c>
      <c r="D1057">
        <v>244</v>
      </c>
      <c r="E1057">
        <v>3814.58</v>
      </c>
    </row>
    <row r="1058" spans="1:5" x14ac:dyDescent="0.25">
      <c r="A1058" s="1">
        <v>45252</v>
      </c>
      <c r="B1058">
        <v>2</v>
      </c>
      <c r="C1058" t="s">
        <v>6</v>
      </c>
      <c r="D1058">
        <v>280</v>
      </c>
      <c r="E1058">
        <v>4851.1400000000003</v>
      </c>
    </row>
    <row r="1059" spans="1:5" x14ac:dyDescent="0.25">
      <c r="A1059" s="1">
        <v>45253</v>
      </c>
      <c r="B1059">
        <v>2</v>
      </c>
      <c r="C1059" t="s">
        <v>6</v>
      </c>
      <c r="D1059">
        <v>268</v>
      </c>
      <c r="E1059">
        <v>4614.91</v>
      </c>
    </row>
    <row r="1060" spans="1:5" x14ac:dyDescent="0.25">
      <c r="A1060" s="1">
        <v>45254</v>
      </c>
      <c r="B1060">
        <v>2</v>
      </c>
      <c r="C1060" t="s">
        <v>6</v>
      </c>
      <c r="D1060">
        <v>272</v>
      </c>
      <c r="E1060">
        <v>4688.04</v>
      </c>
    </row>
    <row r="1061" spans="1:5" x14ac:dyDescent="0.25">
      <c r="A1061" s="1">
        <v>45255</v>
      </c>
      <c r="B1061">
        <v>2</v>
      </c>
      <c r="C1061" t="s">
        <v>6</v>
      </c>
      <c r="D1061">
        <v>278</v>
      </c>
      <c r="E1061">
        <v>4489.79</v>
      </c>
    </row>
    <row r="1062" spans="1:5" x14ac:dyDescent="0.25">
      <c r="A1062" s="1">
        <v>45256</v>
      </c>
      <c r="B1062">
        <v>2</v>
      </c>
      <c r="C1062" t="s">
        <v>6</v>
      </c>
      <c r="D1062">
        <v>287</v>
      </c>
      <c r="E1062">
        <v>4499.0600000000004</v>
      </c>
    </row>
    <row r="1063" spans="1:5" x14ac:dyDescent="0.25">
      <c r="A1063" s="1">
        <v>45257</v>
      </c>
      <c r="B1063">
        <v>2</v>
      </c>
      <c r="C1063" t="s">
        <v>6</v>
      </c>
      <c r="D1063">
        <v>261</v>
      </c>
      <c r="E1063">
        <v>4276.24</v>
      </c>
    </row>
    <row r="1064" spans="1:5" x14ac:dyDescent="0.25">
      <c r="A1064" s="1">
        <v>45258</v>
      </c>
      <c r="B1064">
        <v>2</v>
      </c>
      <c r="C1064" t="s">
        <v>6</v>
      </c>
      <c r="D1064">
        <v>265</v>
      </c>
      <c r="E1064">
        <v>4686.9399999999996</v>
      </c>
    </row>
    <row r="1065" spans="1:5" x14ac:dyDescent="0.25">
      <c r="A1065" s="1">
        <v>45259</v>
      </c>
      <c r="B1065">
        <v>2</v>
      </c>
      <c r="C1065" t="s">
        <v>6</v>
      </c>
      <c r="D1065">
        <v>227</v>
      </c>
      <c r="E1065">
        <v>3988.11</v>
      </c>
    </row>
    <row r="1066" spans="1:5" x14ac:dyDescent="0.25">
      <c r="A1066" s="1">
        <v>45260</v>
      </c>
      <c r="B1066">
        <v>2</v>
      </c>
      <c r="C1066" t="s">
        <v>6</v>
      </c>
      <c r="D1066">
        <v>255</v>
      </c>
      <c r="E1066">
        <v>4289.05</v>
      </c>
    </row>
    <row r="1067" spans="1:5" x14ac:dyDescent="0.25">
      <c r="A1067" s="1">
        <v>45261</v>
      </c>
      <c r="B1067">
        <v>2</v>
      </c>
      <c r="C1067" t="s">
        <v>6</v>
      </c>
      <c r="D1067">
        <v>248</v>
      </c>
      <c r="E1067">
        <v>3813.27</v>
      </c>
    </row>
    <row r="1068" spans="1:5" x14ac:dyDescent="0.25">
      <c r="A1068" s="1">
        <v>45262</v>
      </c>
      <c r="B1068">
        <v>2</v>
      </c>
      <c r="C1068" t="s">
        <v>6</v>
      </c>
      <c r="D1068">
        <v>239</v>
      </c>
      <c r="E1068">
        <v>4200.99</v>
      </c>
    </row>
    <row r="1069" spans="1:5" x14ac:dyDescent="0.25">
      <c r="A1069" s="1">
        <v>45263</v>
      </c>
      <c r="B1069">
        <v>2</v>
      </c>
      <c r="C1069" t="s">
        <v>6</v>
      </c>
      <c r="D1069">
        <v>264</v>
      </c>
      <c r="E1069">
        <v>4828.3599999999997</v>
      </c>
    </row>
    <row r="1070" spans="1:5" x14ac:dyDescent="0.25">
      <c r="A1070" s="1">
        <v>45264</v>
      </c>
      <c r="B1070">
        <v>2</v>
      </c>
      <c r="C1070" t="s">
        <v>6</v>
      </c>
      <c r="D1070">
        <v>220</v>
      </c>
      <c r="E1070">
        <v>3699.36</v>
      </c>
    </row>
    <row r="1071" spans="1:5" x14ac:dyDescent="0.25">
      <c r="A1071" s="1">
        <v>45265</v>
      </c>
      <c r="B1071">
        <v>2</v>
      </c>
      <c r="C1071" t="s">
        <v>6</v>
      </c>
      <c r="D1071">
        <v>233</v>
      </c>
      <c r="E1071">
        <v>3844.15</v>
      </c>
    </row>
    <row r="1072" spans="1:5" x14ac:dyDescent="0.25">
      <c r="A1072" s="1">
        <v>45266</v>
      </c>
      <c r="B1072">
        <v>2</v>
      </c>
      <c r="C1072" t="s">
        <v>6</v>
      </c>
      <c r="D1072">
        <v>237</v>
      </c>
      <c r="E1072">
        <v>4114.1899999999996</v>
      </c>
    </row>
    <row r="1073" spans="1:5" x14ac:dyDescent="0.25">
      <c r="A1073" s="1">
        <v>45267</v>
      </c>
      <c r="B1073">
        <v>2</v>
      </c>
      <c r="C1073" t="s">
        <v>6</v>
      </c>
      <c r="D1073">
        <v>235</v>
      </c>
      <c r="E1073">
        <v>3950.1</v>
      </c>
    </row>
    <row r="1074" spans="1:5" x14ac:dyDescent="0.25">
      <c r="A1074" s="1">
        <v>45268</v>
      </c>
      <c r="B1074">
        <v>2</v>
      </c>
      <c r="C1074" t="s">
        <v>6</v>
      </c>
      <c r="D1074">
        <v>259</v>
      </c>
      <c r="E1074">
        <v>4417.04</v>
      </c>
    </row>
    <row r="1075" spans="1:5" x14ac:dyDescent="0.25">
      <c r="A1075" s="1">
        <v>45269</v>
      </c>
      <c r="B1075">
        <v>2</v>
      </c>
      <c r="C1075" t="s">
        <v>6</v>
      </c>
      <c r="D1075">
        <v>253</v>
      </c>
      <c r="E1075">
        <v>4290.05</v>
      </c>
    </row>
    <row r="1076" spans="1:5" x14ac:dyDescent="0.25">
      <c r="A1076" s="1">
        <v>45270</v>
      </c>
      <c r="B1076">
        <v>2</v>
      </c>
      <c r="C1076" t="s">
        <v>6</v>
      </c>
      <c r="D1076">
        <v>308</v>
      </c>
      <c r="E1076">
        <v>4824.08</v>
      </c>
    </row>
    <row r="1077" spans="1:5" x14ac:dyDescent="0.25">
      <c r="A1077" s="1">
        <v>45271</v>
      </c>
      <c r="B1077">
        <v>2</v>
      </c>
      <c r="C1077" t="s">
        <v>6</v>
      </c>
      <c r="D1077">
        <v>227</v>
      </c>
      <c r="E1077">
        <v>3415.1</v>
      </c>
    </row>
    <row r="1078" spans="1:5" x14ac:dyDescent="0.25">
      <c r="A1078" s="1">
        <v>45272</v>
      </c>
      <c r="B1078">
        <v>2</v>
      </c>
      <c r="C1078" t="s">
        <v>6</v>
      </c>
      <c r="D1078">
        <v>271</v>
      </c>
      <c r="E1078">
        <v>4609.1000000000004</v>
      </c>
    </row>
    <row r="1079" spans="1:5" x14ac:dyDescent="0.25">
      <c r="A1079" s="1">
        <v>45273</v>
      </c>
      <c r="B1079">
        <v>2</v>
      </c>
      <c r="C1079" t="s">
        <v>6</v>
      </c>
      <c r="D1079">
        <v>209</v>
      </c>
      <c r="E1079">
        <v>3413.24</v>
      </c>
    </row>
    <row r="1080" spans="1:5" x14ac:dyDescent="0.25">
      <c r="A1080" s="1">
        <v>45274</v>
      </c>
      <c r="B1080">
        <v>2</v>
      </c>
      <c r="C1080" t="s">
        <v>6</v>
      </c>
      <c r="D1080">
        <v>223</v>
      </c>
      <c r="E1080">
        <v>3501.21</v>
      </c>
    </row>
    <row r="1081" spans="1:5" x14ac:dyDescent="0.25">
      <c r="A1081" s="1">
        <v>45275</v>
      </c>
      <c r="B1081">
        <v>2</v>
      </c>
      <c r="C1081" t="s">
        <v>6</v>
      </c>
      <c r="D1081">
        <v>231</v>
      </c>
      <c r="E1081">
        <v>3919.86</v>
      </c>
    </row>
    <row r="1082" spans="1:5" x14ac:dyDescent="0.25">
      <c r="A1082" s="1">
        <v>45276</v>
      </c>
      <c r="B1082">
        <v>2</v>
      </c>
      <c r="C1082" t="s">
        <v>6</v>
      </c>
      <c r="D1082">
        <v>243</v>
      </c>
      <c r="E1082">
        <v>4164.9399999999996</v>
      </c>
    </row>
    <row r="1083" spans="1:5" x14ac:dyDescent="0.25">
      <c r="A1083" s="1">
        <v>45277</v>
      </c>
      <c r="B1083">
        <v>2</v>
      </c>
      <c r="C1083" t="s">
        <v>6</v>
      </c>
      <c r="D1083">
        <v>249</v>
      </c>
      <c r="E1083">
        <v>4564.0600000000004</v>
      </c>
    </row>
    <row r="1084" spans="1:5" x14ac:dyDescent="0.25">
      <c r="A1084" s="1">
        <v>45278</v>
      </c>
      <c r="B1084">
        <v>2</v>
      </c>
      <c r="C1084" t="s">
        <v>6</v>
      </c>
      <c r="D1084">
        <v>211</v>
      </c>
      <c r="E1084">
        <v>3734.07</v>
      </c>
    </row>
    <row r="1085" spans="1:5" x14ac:dyDescent="0.25">
      <c r="A1085" s="1">
        <v>45279</v>
      </c>
      <c r="B1085">
        <v>2</v>
      </c>
      <c r="C1085" t="s">
        <v>6</v>
      </c>
      <c r="D1085">
        <v>224</v>
      </c>
      <c r="E1085">
        <v>3611.01</v>
      </c>
    </row>
    <row r="1086" spans="1:5" x14ac:dyDescent="0.25">
      <c r="A1086" s="1">
        <v>45280</v>
      </c>
      <c r="B1086">
        <v>2</v>
      </c>
      <c r="C1086" t="s">
        <v>6</v>
      </c>
      <c r="D1086">
        <v>225</v>
      </c>
      <c r="E1086">
        <v>3478.55</v>
      </c>
    </row>
    <row r="1087" spans="1:5" x14ac:dyDescent="0.25">
      <c r="A1087" s="1">
        <v>45281</v>
      </c>
      <c r="B1087">
        <v>2</v>
      </c>
      <c r="C1087" t="s">
        <v>6</v>
      </c>
      <c r="D1087">
        <v>212</v>
      </c>
      <c r="E1087">
        <v>3530.09</v>
      </c>
    </row>
    <row r="1088" spans="1:5" x14ac:dyDescent="0.25">
      <c r="A1088" s="1">
        <v>45282</v>
      </c>
      <c r="B1088">
        <v>2</v>
      </c>
      <c r="C1088" t="s">
        <v>6</v>
      </c>
      <c r="D1088">
        <v>212</v>
      </c>
      <c r="E1088">
        <v>3319.13</v>
      </c>
    </row>
    <row r="1089" spans="1:5" x14ac:dyDescent="0.25">
      <c r="A1089" s="1">
        <v>45283</v>
      </c>
      <c r="B1089">
        <v>2</v>
      </c>
      <c r="C1089" t="s">
        <v>6</v>
      </c>
      <c r="D1089">
        <v>283</v>
      </c>
      <c r="E1089">
        <v>5012.7700000000004</v>
      </c>
    </row>
    <row r="1090" spans="1:5" x14ac:dyDescent="0.25">
      <c r="A1090" s="1">
        <v>45284</v>
      </c>
      <c r="B1090">
        <v>2</v>
      </c>
      <c r="C1090" t="s">
        <v>6</v>
      </c>
      <c r="D1090">
        <v>244</v>
      </c>
      <c r="E1090">
        <v>4170.33</v>
      </c>
    </row>
    <row r="1091" spans="1:5" x14ac:dyDescent="0.25">
      <c r="A1091" s="1">
        <v>45285</v>
      </c>
      <c r="B1091">
        <v>2</v>
      </c>
      <c r="C1091" t="s">
        <v>6</v>
      </c>
      <c r="D1091">
        <v>182</v>
      </c>
      <c r="E1091">
        <v>2918.89</v>
      </c>
    </row>
    <row r="1092" spans="1:5" x14ac:dyDescent="0.25">
      <c r="A1092" s="1">
        <v>45286</v>
      </c>
      <c r="B1092">
        <v>2</v>
      </c>
      <c r="C1092" t="s">
        <v>6</v>
      </c>
      <c r="D1092">
        <v>207</v>
      </c>
      <c r="E1092">
        <v>3260.04</v>
      </c>
    </row>
    <row r="1093" spans="1:5" x14ac:dyDescent="0.25">
      <c r="A1093" s="1">
        <v>45287</v>
      </c>
      <c r="B1093">
        <v>2</v>
      </c>
      <c r="C1093" t="s">
        <v>6</v>
      </c>
      <c r="D1093">
        <v>231</v>
      </c>
      <c r="E1093">
        <v>4187.6400000000003</v>
      </c>
    </row>
    <row r="1094" spans="1:5" x14ac:dyDescent="0.25">
      <c r="A1094" s="1">
        <v>45288</v>
      </c>
      <c r="B1094">
        <v>2</v>
      </c>
      <c r="C1094" t="s">
        <v>6</v>
      </c>
      <c r="D1094">
        <v>180</v>
      </c>
      <c r="E1094">
        <v>3044.02</v>
      </c>
    </row>
    <row r="1095" spans="1:5" x14ac:dyDescent="0.25">
      <c r="A1095" s="1">
        <v>45289</v>
      </c>
      <c r="B1095">
        <v>2</v>
      </c>
      <c r="C1095" t="s">
        <v>6</v>
      </c>
      <c r="D1095">
        <v>235</v>
      </c>
      <c r="E1095">
        <v>3853.49</v>
      </c>
    </row>
    <row r="1096" spans="1:5" x14ac:dyDescent="0.25">
      <c r="A1096" s="1">
        <v>45290</v>
      </c>
      <c r="B1096">
        <v>2</v>
      </c>
      <c r="C1096" t="s">
        <v>6</v>
      </c>
      <c r="D1096">
        <v>238</v>
      </c>
      <c r="E1096">
        <v>4128.96</v>
      </c>
    </row>
    <row r="1097" spans="1:5" x14ac:dyDescent="0.25">
      <c r="A1097" s="1">
        <v>45291</v>
      </c>
      <c r="B1097">
        <v>2</v>
      </c>
      <c r="C1097" t="s">
        <v>6</v>
      </c>
      <c r="D1097">
        <v>252</v>
      </c>
      <c r="E1097">
        <v>4171.46</v>
      </c>
    </row>
    <row r="1098" spans="1:5" x14ac:dyDescent="0.25">
      <c r="A1098" s="1">
        <v>45292</v>
      </c>
      <c r="B1098">
        <v>2</v>
      </c>
      <c r="C1098" t="s">
        <v>6</v>
      </c>
      <c r="D1098">
        <v>221</v>
      </c>
      <c r="E1098">
        <v>3921.87</v>
      </c>
    </row>
    <row r="1099" spans="1:5" x14ac:dyDescent="0.25">
      <c r="A1099" s="1">
        <v>45293</v>
      </c>
      <c r="B1099">
        <v>2</v>
      </c>
      <c r="C1099" t="s">
        <v>6</v>
      </c>
      <c r="D1099">
        <v>208</v>
      </c>
      <c r="E1099">
        <v>3358.18</v>
      </c>
    </row>
    <row r="1100" spans="1:5" x14ac:dyDescent="0.25">
      <c r="A1100" s="1">
        <v>45294</v>
      </c>
      <c r="B1100">
        <v>2</v>
      </c>
      <c r="C1100" t="s">
        <v>6</v>
      </c>
      <c r="D1100">
        <v>195</v>
      </c>
      <c r="E1100">
        <v>3567.62</v>
      </c>
    </row>
    <row r="1101" spans="1:5" x14ac:dyDescent="0.25">
      <c r="A1101" s="1">
        <v>45295</v>
      </c>
      <c r="B1101">
        <v>2</v>
      </c>
      <c r="C1101" t="s">
        <v>6</v>
      </c>
      <c r="D1101">
        <v>212</v>
      </c>
      <c r="E1101">
        <v>3497.65</v>
      </c>
    </row>
    <row r="1102" spans="1:5" x14ac:dyDescent="0.25">
      <c r="A1102" s="1">
        <v>45296</v>
      </c>
      <c r="B1102">
        <v>2</v>
      </c>
      <c r="C1102" t="s">
        <v>6</v>
      </c>
      <c r="D1102">
        <v>178</v>
      </c>
      <c r="E1102">
        <v>2835.14</v>
      </c>
    </row>
    <row r="1103" spans="1:5" x14ac:dyDescent="0.25">
      <c r="A1103" s="1">
        <v>45297</v>
      </c>
      <c r="B1103">
        <v>2</v>
      </c>
      <c r="C1103" t="s">
        <v>6</v>
      </c>
      <c r="D1103">
        <v>257</v>
      </c>
      <c r="E1103">
        <v>4129.08</v>
      </c>
    </row>
    <row r="1104" spans="1:5" x14ac:dyDescent="0.25">
      <c r="A1104" s="1">
        <v>45298</v>
      </c>
      <c r="B1104">
        <v>2</v>
      </c>
      <c r="C1104" t="s">
        <v>6</v>
      </c>
      <c r="D1104">
        <v>253</v>
      </c>
      <c r="E1104">
        <v>3981.89</v>
      </c>
    </row>
    <row r="1105" spans="1:5" x14ac:dyDescent="0.25">
      <c r="A1105" s="1">
        <v>45299</v>
      </c>
      <c r="B1105">
        <v>2</v>
      </c>
      <c r="C1105" t="s">
        <v>6</v>
      </c>
      <c r="D1105">
        <v>221</v>
      </c>
      <c r="E1105">
        <v>3803.28</v>
      </c>
    </row>
    <row r="1106" spans="1:5" x14ac:dyDescent="0.25">
      <c r="A1106" s="1">
        <v>45300</v>
      </c>
      <c r="B1106">
        <v>2</v>
      </c>
      <c r="C1106" t="s">
        <v>6</v>
      </c>
      <c r="D1106">
        <v>254</v>
      </c>
      <c r="E1106">
        <v>4224.5600000000004</v>
      </c>
    </row>
    <row r="1107" spans="1:5" x14ac:dyDescent="0.25">
      <c r="A1107" s="1">
        <v>45301</v>
      </c>
      <c r="B1107">
        <v>2</v>
      </c>
      <c r="C1107" t="s">
        <v>6</v>
      </c>
      <c r="D1107">
        <v>219</v>
      </c>
      <c r="E1107">
        <v>4056.27</v>
      </c>
    </row>
    <row r="1108" spans="1:5" x14ac:dyDescent="0.25">
      <c r="A1108" s="1">
        <v>45302</v>
      </c>
      <c r="B1108">
        <v>2</v>
      </c>
      <c r="C1108" t="s">
        <v>6</v>
      </c>
      <c r="D1108">
        <v>204</v>
      </c>
      <c r="E1108">
        <v>3432.14</v>
      </c>
    </row>
    <row r="1109" spans="1:5" x14ac:dyDescent="0.25">
      <c r="A1109" s="1">
        <v>45303</v>
      </c>
      <c r="B1109">
        <v>2</v>
      </c>
      <c r="C1109" t="s">
        <v>6</v>
      </c>
      <c r="D1109">
        <v>260</v>
      </c>
      <c r="E1109">
        <v>4631.87</v>
      </c>
    </row>
    <row r="1110" spans="1:5" x14ac:dyDescent="0.25">
      <c r="A1110" s="1">
        <v>45304</v>
      </c>
      <c r="B1110">
        <v>2</v>
      </c>
      <c r="C1110" t="s">
        <v>6</v>
      </c>
      <c r="D1110">
        <v>234</v>
      </c>
      <c r="E1110">
        <v>3791.61</v>
      </c>
    </row>
    <row r="1111" spans="1:5" x14ac:dyDescent="0.25">
      <c r="A1111" s="1">
        <v>45305</v>
      </c>
      <c r="B1111">
        <v>2</v>
      </c>
      <c r="C1111" t="s">
        <v>6</v>
      </c>
      <c r="D1111">
        <v>245</v>
      </c>
      <c r="E1111">
        <v>4507.37</v>
      </c>
    </row>
    <row r="1112" spans="1:5" x14ac:dyDescent="0.25">
      <c r="A1112" s="1">
        <v>45306</v>
      </c>
      <c r="B1112">
        <v>2</v>
      </c>
      <c r="C1112" t="s">
        <v>6</v>
      </c>
      <c r="D1112">
        <v>185</v>
      </c>
      <c r="E1112">
        <v>3128.09</v>
      </c>
    </row>
    <row r="1113" spans="1:5" x14ac:dyDescent="0.25">
      <c r="A1113" s="1">
        <v>45307</v>
      </c>
      <c r="B1113">
        <v>2</v>
      </c>
      <c r="C1113" t="s">
        <v>6</v>
      </c>
      <c r="D1113">
        <v>242</v>
      </c>
      <c r="E1113">
        <v>3889.21</v>
      </c>
    </row>
    <row r="1114" spans="1:5" x14ac:dyDescent="0.25">
      <c r="A1114" s="1">
        <v>45308</v>
      </c>
      <c r="B1114">
        <v>2</v>
      </c>
      <c r="C1114" t="s">
        <v>6</v>
      </c>
      <c r="D1114">
        <v>191</v>
      </c>
      <c r="E1114">
        <v>3264.61</v>
      </c>
    </row>
    <row r="1115" spans="1:5" x14ac:dyDescent="0.25">
      <c r="A1115" s="1">
        <v>45309</v>
      </c>
      <c r="B1115">
        <v>2</v>
      </c>
      <c r="C1115" t="s">
        <v>6</v>
      </c>
      <c r="D1115">
        <v>198</v>
      </c>
      <c r="E1115">
        <v>3219.14</v>
      </c>
    </row>
    <row r="1116" spans="1:5" x14ac:dyDescent="0.25">
      <c r="A1116" s="1">
        <v>45310</v>
      </c>
      <c r="B1116">
        <v>2</v>
      </c>
      <c r="C1116" t="s">
        <v>6</v>
      </c>
      <c r="D1116">
        <v>204</v>
      </c>
      <c r="E1116">
        <v>3627.84</v>
      </c>
    </row>
    <row r="1117" spans="1:5" x14ac:dyDescent="0.25">
      <c r="A1117" s="1">
        <v>45311</v>
      </c>
      <c r="B1117">
        <v>2</v>
      </c>
      <c r="C1117" t="s">
        <v>6</v>
      </c>
      <c r="D1117">
        <v>297</v>
      </c>
      <c r="E1117">
        <v>4879.7</v>
      </c>
    </row>
    <row r="1118" spans="1:5" x14ac:dyDescent="0.25">
      <c r="A1118" s="1">
        <v>45312</v>
      </c>
      <c r="B1118">
        <v>2</v>
      </c>
      <c r="C1118" t="s">
        <v>6</v>
      </c>
      <c r="D1118">
        <v>250</v>
      </c>
      <c r="E1118">
        <v>4538.3</v>
      </c>
    </row>
    <row r="1119" spans="1:5" x14ac:dyDescent="0.25">
      <c r="A1119" s="1">
        <v>45313</v>
      </c>
      <c r="B1119">
        <v>2</v>
      </c>
      <c r="C1119" t="s">
        <v>6</v>
      </c>
      <c r="D1119">
        <v>194</v>
      </c>
      <c r="E1119">
        <v>3382.13</v>
      </c>
    </row>
    <row r="1120" spans="1:5" x14ac:dyDescent="0.25">
      <c r="A1120" s="1">
        <v>45314</v>
      </c>
      <c r="B1120">
        <v>2</v>
      </c>
      <c r="C1120" t="s">
        <v>6</v>
      </c>
      <c r="D1120">
        <v>184</v>
      </c>
      <c r="E1120">
        <v>3023.76</v>
      </c>
    </row>
    <row r="1121" spans="1:5" x14ac:dyDescent="0.25">
      <c r="A1121" s="1">
        <v>45315</v>
      </c>
      <c r="B1121">
        <v>2</v>
      </c>
      <c r="C1121" t="s">
        <v>6</v>
      </c>
      <c r="D1121">
        <v>212</v>
      </c>
      <c r="E1121">
        <v>3517.66</v>
      </c>
    </row>
    <row r="1122" spans="1:5" x14ac:dyDescent="0.25">
      <c r="A1122" s="1">
        <v>45316</v>
      </c>
      <c r="B1122">
        <v>2</v>
      </c>
      <c r="C1122" t="s">
        <v>6</v>
      </c>
      <c r="D1122">
        <v>225</v>
      </c>
      <c r="E1122">
        <v>3974.59</v>
      </c>
    </row>
    <row r="1123" spans="1:5" x14ac:dyDescent="0.25">
      <c r="A1123" s="1">
        <v>45317</v>
      </c>
      <c r="B1123">
        <v>2</v>
      </c>
      <c r="C1123" t="s">
        <v>6</v>
      </c>
      <c r="D1123">
        <v>214</v>
      </c>
      <c r="E1123">
        <v>3603.58</v>
      </c>
    </row>
    <row r="1124" spans="1:5" x14ac:dyDescent="0.25">
      <c r="A1124" s="1">
        <v>45318</v>
      </c>
      <c r="B1124">
        <v>2</v>
      </c>
      <c r="C1124" t="s">
        <v>6</v>
      </c>
      <c r="D1124">
        <v>234</v>
      </c>
      <c r="E1124">
        <v>4256.21</v>
      </c>
    </row>
    <row r="1125" spans="1:5" x14ac:dyDescent="0.25">
      <c r="A1125" s="1">
        <v>45319</v>
      </c>
      <c r="B1125">
        <v>2</v>
      </c>
      <c r="C1125" t="s">
        <v>6</v>
      </c>
      <c r="D1125">
        <v>238</v>
      </c>
      <c r="E1125">
        <v>4282.01</v>
      </c>
    </row>
    <row r="1126" spans="1:5" x14ac:dyDescent="0.25">
      <c r="A1126" s="1">
        <v>45320</v>
      </c>
      <c r="B1126">
        <v>2</v>
      </c>
      <c r="C1126" t="s">
        <v>6</v>
      </c>
      <c r="D1126">
        <v>208</v>
      </c>
      <c r="E1126">
        <v>3211.22</v>
      </c>
    </row>
    <row r="1127" spans="1:5" x14ac:dyDescent="0.25">
      <c r="A1127" s="1">
        <v>45321</v>
      </c>
      <c r="B1127">
        <v>2</v>
      </c>
      <c r="C1127" t="s">
        <v>6</v>
      </c>
      <c r="D1127">
        <v>182</v>
      </c>
      <c r="E1127">
        <v>3122.1</v>
      </c>
    </row>
    <row r="1128" spans="1:5" x14ac:dyDescent="0.25">
      <c r="A1128" s="1">
        <v>45322</v>
      </c>
      <c r="B1128">
        <v>2</v>
      </c>
      <c r="C1128" t="s">
        <v>6</v>
      </c>
      <c r="D1128">
        <v>195</v>
      </c>
      <c r="E1128">
        <v>3026.52</v>
      </c>
    </row>
    <row r="1129" spans="1:5" x14ac:dyDescent="0.25">
      <c r="A1129" s="1">
        <v>45323</v>
      </c>
      <c r="B1129">
        <v>2</v>
      </c>
      <c r="C1129" t="s">
        <v>6</v>
      </c>
      <c r="D1129">
        <v>206</v>
      </c>
      <c r="E1129">
        <v>3723.37</v>
      </c>
    </row>
    <row r="1130" spans="1:5" x14ac:dyDescent="0.25">
      <c r="A1130" s="1">
        <v>45324</v>
      </c>
      <c r="B1130">
        <v>2</v>
      </c>
      <c r="C1130" t="s">
        <v>6</v>
      </c>
      <c r="D1130">
        <v>194</v>
      </c>
      <c r="E1130">
        <v>3241.66</v>
      </c>
    </row>
    <row r="1131" spans="1:5" x14ac:dyDescent="0.25">
      <c r="A1131" s="1">
        <v>45325</v>
      </c>
      <c r="B1131">
        <v>2</v>
      </c>
      <c r="C1131" t="s">
        <v>6</v>
      </c>
      <c r="D1131">
        <v>241</v>
      </c>
      <c r="E1131">
        <v>4130.21</v>
      </c>
    </row>
    <row r="1132" spans="1:5" x14ac:dyDescent="0.25">
      <c r="A1132" s="1">
        <v>45326</v>
      </c>
      <c r="B1132">
        <v>2</v>
      </c>
      <c r="C1132" t="s">
        <v>6</v>
      </c>
      <c r="D1132">
        <v>202</v>
      </c>
      <c r="E1132">
        <v>3683.33</v>
      </c>
    </row>
    <row r="1133" spans="1:5" x14ac:dyDescent="0.25">
      <c r="A1133" s="1">
        <v>45327</v>
      </c>
      <c r="B1133">
        <v>2</v>
      </c>
      <c r="C1133" t="s">
        <v>6</v>
      </c>
      <c r="D1133">
        <v>184</v>
      </c>
      <c r="E1133">
        <v>3211.8</v>
      </c>
    </row>
    <row r="1134" spans="1:5" x14ac:dyDescent="0.25">
      <c r="A1134" s="1">
        <v>45328</v>
      </c>
      <c r="B1134">
        <v>2</v>
      </c>
      <c r="C1134" t="s">
        <v>6</v>
      </c>
      <c r="D1134">
        <v>210</v>
      </c>
      <c r="E1134">
        <v>3714.25</v>
      </c>
    </row>
    <row r="1135" spans="1:5" x14ac:dyDescent="0.25">
      <c r="A1135" s="1">
        <v>45329</v>
      </c>
      <c r="B1135">
        <v>2</v>
      </c>
      <c r="C1135" t="s">
        <v>6</v>
      </c>
      <c r="D1135">
        <v>221</v>
      </c>
      <c r="E1135">
        <v>3918.21</v>
      </c>
    </row>
    <row r="1136" spans="1:5" x14ac:dyDescent="0.25">
      <c r="A1136" s="1">
        <v>45330</v>
      </c>
      <c r="B1136">
        <v>2</v>
      </c>
      <c r="C1136" t="s">
        <v>6</v>
      </c>
      <c r="D1136">
        <v>228</v>
      </c>
      <c r="E1136">
        <v>3807.93</v>
      </c>
    </row>
    <row r="1137" spans="1:5" x14ac:dyDescent="0.25">
      <c r="A1137" s="1">
        <v>45331</v>
      </c>
      <c r="B1137">
        <v>2</v>
      </c>
      <c r="C1137" t="s">
        <v>6</v>
      </c>
      <c r="D1137">
        <v>204</v>
      </c>
      <c r="E1137">
        <v>3502.06</v>
      </c>
    </row>
    <row r="1138" spans="1:5" x14ac:dyDescent="0.25">
      <c r="A1138" s="1">
        <v>45332</v>
      </c>
      <c r="B1138">
        <v>2</v>
      </c>
      <c r="C1138" t="s">
        <v>6</v>
      </c>
      <c r="D1138">
        <v>227</v>
      </c>
      <c r="E1138">
        <v>3678.08</v>
      </c>
    </row>
    <row r="1139" spans="1:5" x14ac:dyDescent="0.25">
      <c r="A1139" s="1">
        <v>45333</v>
      </c>
      <c r="B1139">
        <v>2</v>
      </c>
      <c r="C1139" t="s">
        <v>6</v>
      </c>
      <c r="D1139">
        <v>226</v>
      </c>
      <c r="E1139">
        <v>3540.74</v>
      </c>
    </row>
    <row r="1140" spans="1:5" x14ac:dyDescent="0.25">
      <c r="A1140" s="1">
        <v>45334</v>
      </c>
      <c r="B1140">
        <v>2</v>
      </c>
      <c r="C1140" t="s">
        <v>6</v>
      </c>
      <c r="D1140">
        <v>206</v>
      </c>
      <c r="E1140">
        <v>3492.41</v>
      </c>
    </row>
    <row r="1141" spans="1:5" x14ac:dyDescent="0.25">
      <c r="A1141" s="1">
        <v>45335</v>
      </c>
      <c r="B1141">
        <v>2</v>
      </c>
      <c r="C1141" t="s">
        <v>6</v>
      </c>
      <c r="D1141">
        <v>222</v>
      </c>
      <c r="E1141">
        <v>3969.99</v>
      </c>
    </row>
    <row r="1142" spans="1:5" x14ac:dyDescent="0.25">
      <c r="A1142" s="1">
        <v>45336</v>
      </c>
      <c r="B1142">
        <v>2</v>
      </c>
      <c r="C1142" t="s">
        <v>6</v>
      </c>
      <c r="D1142">
        <v>197</v>
      </c>
      <c r="E1142">
        <v>3147.01</v>
      </c>
    </row>
    <row r="1143" spans="1:5" x14ac:dyDescent="0.25">
      <c r="A1143" s="1">
        <v>45337</v>
      </c>
      <c r="B1143">
        <v>2</v>
      </c>
      <c r="C1143" t="s">
        <v>6</v>
      </c>
      <c r="D1143">
        <v>206</v>
      </c>
      <c r="E1143">
        <v>3612.83</v>
      </c>
    </row>
    <row r="1144" spans="1:5" x14ac:dyDescent="0.25">
      <c r="A1144" s="1">
        <v>45338</v>
      </c>
      <c r="B1144">
        <v>2</v>
      </c>
      <c r="C1144" t="s">
        <v>6</v>
      </c>
      <c r="D1144">
        <v>215</v>
      </c>
      <c r="E1144">
        <v>3559.9</v>
      </c>
    </row>
    <row r="1145" spans="1:5" x14ac:dyDescent="0.25">
      <c r="A1145" s="1">
        <v>45339</v>
      </c>
      <c r="B1145">
        <v>2</v>
      </c>
      <c r="C1145" t="s">
        <v>6</v>
      </c>
      <c r="D1145">
        <v>203</v>
      </c>
      <c r="E1145">
        <v>3169.33</v>
      </c>
    </row>
    <row r="1146" spans="1:5" x14ac:dyDescent="0.25">
      <c r="A1146" s="1">
        <v>45340</v>
      </c>
      <c r="B1146">
        <v>2</v>
      </c>
      <c r="C1146" t="s">
        <v>6</v>
      </c>
      <c r="D1146">
        <v>202</v>
      </c>
      <c r="E1146">
        <v>3149.61</v>
      </c>
    </row>
    <row r="1147" spans="1:5" x14ac:dyDescent="0.25">
      <c r="A1147" s="1">
        <v>45341</v>
      </c>
      <c r="B1147">
        <v>2</v>
      </c>
      <c r="C1147" t="s">
        <v>6</v>
      </c>
      <c r="D1147">
        <v>228</v>
      </c>
      <c r="E1147">
        <v>3672.51</v>
      </c>
    </row>
    <row r="1148" spans="1:5" x14ac:dyDescent="0.25">
      <c r="A1148" s="1">
        <v>45342</v>
      </c>
      <c r="B1148">
        <v>2</v>
      </c>
      <c r="C1148" t="s">
        <v>6</v>
      </c>
      <c r="D1148">
        <v>186</v>
      </c>
      <c r="E1148">
        <v>3584.93</v>
      </c>
    </row>
    <row r="1149" spans="1:5" x14ac:dyDescent="0.25">
      <c r="A1149" s="1">
        <v>45343</v>
      </c>
      <c r="B1149">
        <v>2</v>
      </c>
      <c r="C1149" t="s">
        <v>6</v>
      </c>
      <c r="D1149">
        <v>185</v>
      </c>
      <c r="E1149">
        <v>3131.23</v>
      </c>
    </row>
    <row r="1150" spans="1:5" x14ac:dyDescent="0.25">
      <c r="A1150" s="1">
        <v>45344</v>
      </c>
      <c r="B1150">
        <v>2</v>
      </c>
      <c r="C1150" t="s">
        <v>6</v>
      </c>
      <c r="D1150">
        <v>189</v>
      </c>
      <c r="E1150">
        <v>3278.23</v>
      </c>
    </row>
    <row r="1151" spans="1:5" x14ac:dyDescent="0.25">
      <c r="A1151" s="1">
        <v>45345</v>
      </c>
      <c r="B1151">
        <v>2</v>
      </c>
      <c r="C1151" t="s">
        <v>6</v>
      </c>
      <c r="D1151">
        <v>175</v>
      </c>
      <c r="E1151">
        <v>2986.46</v>
      </c>
    </row>
    <row r="1152" spans="1:5" x14ac:dyDescent="0.25">
      <c r="A1152" s="1">
        <v>45346</v>
      </c>
      <c r="B1152">
        <v>2</v>
      </c>
      <c r="C1152" t="s">
        <v>6</v>
      </c>
      <c r="D1152">
        <v>213</v>
      </c>
      <c r="E1152">
        <v>3583.9</v>
      </c>
    </row>
    <row r="1153" spans="1:5" x14ac:dyDescent="0.25">
      <c r="A1153" s="1">
        <v>45347</v>
      </c>
      <c r="B1153">
        <v>2</v>
      </c>
      <c r="C1153" t="s">
        <v>6</v>
      </c>
      <c r="D1153">
        <v>238</v>
      </c>
      <c r="E1153">
        <v>4112.9799999999996</v>
      </c>
    </row>
    <row r="1154" spans="1:5" x14ac:dyDescent="0.25">
      <c r="A1154" s="1">
        <v>45348</v>
      </c>
      <c r="B1154">
        <v>2</v>
      </c>
      <c r="C1154" t="s">
        <v>6</v>
      </c>
      <c r="D1154">
        <v>217</v>
      </c>
      <c r="E1154">
        <v>3814.85</v>
      </c>
    </row>
    <row r="1155" spans="1:5" x14ac:dyDescent="0.25">
      <c r="A1155" s="1">
        <v>45349</v>
      </c>
      <c r="B1155">
        <v>2</v>
      </c>
      <c r="C1155" t="s">
        <v>6</v>
      </c>
      <c r="D1155">
        <v>196</v>
      </c>
      <c r="E1155">
        <v>3659.95</v>
      </c>
    </row>
    <row r="1156" spans="1:5" x14ac:dyDescent="0.25">
      <c r="A1156" s="1">
        <v>45350</v>
      </c>
      <c r="B1156">
        <v>2</v>
      </c>
      <c r="C1156" t="s">
        <v>6</v>
      </c>
      <c r="D1156">
        <v>204</v>
      </c>
      <c r="E1156">
        <v>3690.8</v>
      </c>
    </row>
    <row r="1157" spans="1:5" x14ac:dyDescent="0.25">
      <c r="A1157" s="1">
        <v>45351</v>
      </c>
      <c r="B1157">
        <v>2</v>
      </c>
      <c r="C1157" t="s">
        <v>6</v>
      </c>
      <c r="D1157">
        <v>167</v>
      </c>
      <c r="E1157">
        <v>2847.84</v>
      </c>
    </row>
    <row r="1158" spans="1:5" x14ac:dyDescent="0.25">
      <c r="A1158" s="1">
        <v>45352</v>
      </c>
      <c r="B1158">
        <v>2</v>
      </c>
      <c r="C1158" t="s">
        <v>6</v>
      </c>
      <c r="D1158">
        <v>198</v>
      </c>
      <c r="E1158">
        <v>3513.15</v>
      </c>
    </row>
    <row r="1159" spans="1:5" x14ac:dyDescent="0.25">
      <c r="A1159" s="1">
        <v>45353</v>
      </c>
      <c r="B1159">
        <v>2</v>
      </c>
      <c r="C1159" t="s">
        <v>6</v>
      </c>
      <c r="D1159">
        <v>212</v>
      </c>
      <c r="E1159">
        <v>3539.09</v>
      </c>
    </row>
    <row r="1160" spans="1:5" x14ac:dyDescent="0.25">
      <c r="A1160" s="1">
        <v>45354</v>
      </c>
      <c r="B1160">
        <v>2</v>
      </c>
      <c r="C1160" t="s">
        <v>6</v>
      </c>
      <c r="D1160">
        <v>219</v>
      </c>
      <c r="E1160">
        <v>3796.29</v>
      </c>
    </row>
    <row r="1161" spans="1:5" x14ac:dyDescent="0.25">
      <c r="A1161" s="1">
        <v>45355</v>
      </c>
      <c r="B1161">
        <v>2</v>
      </c>
      <c r="C1161" t="s">
        <v>6</v>
      </c>
      <c r="D1161">
        <v>222</v>
      </c>
      <c r="E1161">
        <v>3622.86</v>
      </c>
    </row>
    <row r="1162" spans="1:5" x14ac:dyDescent="0.25">
      <c r="A1162" s="1">
        <v>45356</v>
      </c>
      <c r="B1162">
        <v>2</v>
      </c>
      <c r="C1162" t="s">
        <v>6</v>
      </c>
      <c r="D1162">
        <v>208</v>
      </c>
      <c r="E1162">
        <v>3736.12</v>
      </c>
    </row>
    <row r="1163" spans="1:5" x14ac:dyDescent="0.25">
      <c r="A1163" s="1">
        <v>45357</v>
      </c>
      <c r="B1163">
        <v>2</v>
      </c>
      <c r="C1163" t="s">
        <v>6</v>
      </c>
      <c r="D1163">
        <v>188</v>
      </c>
      <c r="E1163">
        <v>3050.9</v>
      </c>
    </row>
    <row r="1164" spans="1:5" x14ac:dyDescent="0.25">
      <c r="A1164" s="1">
        <v>45358</v>
      </c>
      <c r="B1164">
        <v>2</v>
      </c>
      <c r="C1164" t="s">
        <v>6</v>
      </c>
      <c r="D1164">
        <v>168</v>
      </c>
      <c r="E1164">
        <v>2531.09</v>
      </c>
    </row>
    <row r="1165" spans="1:5" x14ac:dyDescent="0.25">
      <c r="A1165" s="1">
        <v>45359</v>
      </c>
      <c r="B1165">
        <v>2</v>
      </c>
      <c r="C1165" t="s">
        <v>6</v>
      </c>
      <c r="D1165">
        <v>206</v>
      </c>
      <c r="E1165">
        <v>3252.2</v>
      </c>
    </row>
    <row r="1166" spans="1:5" x14ac:dyDescent="0.25">
      <c r="A1166" s="1">
        <v>45360</v>
      </c>
      <c r="B1166">
        <v>2</v>
      </c>
      <c r="C1166" t="s">
        <v>6</v>
      </c>
      <c r="D1166">
        <v>217</v>
      </c>
      <c r="E1166">
        <v>3859.53</v>
      </c>
    </row>
    <row r="1167" spans="1:5" x14ac:dyDescent="0.25">
      <c r="A1167" s="1">
        <v>45361</v>
      </c>
      <c r="B1167">
        <v>2</v>
      </c>
      <c r="C1167" t="s">
        <v>6</v>
      </c>
      <c r="D1167">
        <v>243</v>
      </c>
      <c r="E1167">
        <v>3970.1</v>
      </c>
    </row>
    <row r="1168" spans="1:5" x14ac:dyDescent="0.25">
      <c r="A1168" s="1">
        <v>45362</v>
      </c>
      <c r="B1168">
        <v>2</v>
      </c>
      <c r="C1168" t="s">
        <v>6</v>
      </c>
      <c r="D1168">
        <v>208</v>
      </c>
      <c r="E1168">
        <v>3859.25</v>
      </c>
    </row>
    <row r="1169" spans="1:5" x14ac:dyDescent="0.25">
      <c r="A1169" s="1">
        <v>45363</v>
      </c>
      <c r="B1169">
        <v>2</v>
      </c>
      <c r="C1169" t="s">
        <v>6</v>
      </c>
      <c r="D1169">
        <v>183</v>
      </c>
      <c r="E1169">
        <v>3209.19</v>
      </c>
    </row>
    <row r="1170" spans="1:5" x14ac:dyDescent="0.25">
      <c r="A1170" s="1">
        <v>45364</v>
      </c>
      <c r="B1170">
        <v>2</v>
      </c>
      <c r="C1170" t="s">
        <v>6</v>
      </c>
      <c r="D1170">
        <v>211</v>
      </c>
      <c r="E1170">
        <v>3644.43</v>
      </c>
    </row>
    <row r="1171" spans="1:5" x14ac:dyDescent="0.25">
      <c r="A1171" s="1">
        <v>45365</v>
      </c>
      <c r="B1171">
        <v>2</v>
      </c>
      <c r="C1171" t="s">
        <v>6</v>
      </c>
      <c r="D1171">
        <v>233</v>
      </c>
      <c r="E1171">
        <v>4155.66</v>
      </c>
    </row>
    <row r="1172" spans="1:5" x14ac:dyDescent="0.25">
      <c r="A1172" s="1">
        <v>45366</v>
      </c>
      <c r="B1172">
        <v>2</v>
      </c>
      <c r="C1172" t="s">
        <v>6</v>
      </c>
      <c r="D1172">
        <v>244</v>
      </c>
      <c r="E1172">
        <v>4002.6</v>
      </c>
    </row>
    <row r="1173" spans="1:5" x14ac:dyDescent="0.25">
      <c r="A1173" s="1">
        <v>45367</v>
      </c>
      <c r="B1173">
        <v>2</v>
      </c>
      <c r="C1173" t="s">
        <v>6</v>
      </c>
      <c r="D1173">
        <v>221</v>
      </c>
      <c r="E1173">
        <v>3606.17</v>
      </c>
    </row>
    <row r="1174" spans="1:5" x14ac:dyDescent="0.25">
      <c r="A1174" s="1">
        <v>45368</v>
      </c>
      <c r="B1174">
        <v>2</v>
      </c>
      <c r="C1174" t="s">
        <v>6</v>
      </c>
      <c r="D1174">
        <v>246</v>
      </c>
      <c r="E1174">
        <v>4556.05</v>
      </c>
    </row>
    <row r="1175" spans="1:5" x14ac:dyDescent="0.25">
      <c r="A1175" s="1">
        <v>45369</v>
      </c>
      <c r="B1175">
        <v>2</v>
      </c>
      <c r="C1175" t="s">
        <v>6</v>
      </c>
      <c r="D1175">
        <v>188</v>
      </c>
      <c r="E1175">
        <v>3007.94</v>
      </c>
    </row>
    <row r="1176" spans="1:5" x14ac:dyDescent="0.25">
      <c r="A1176" s="1">
        <v>45370</v>
      </c>
      <c r="B1176">
        <v>2</v>
      </c>
      <c r="C1176" t="s">
        <v>6</v>
      </c>
      <c r="D1176">
        <v>202</v>
      </c>
      <c r="E1176">
        <v>3467.67</v>
      </c>
    </row>
    <row r="1177" spans="1:5" x14ac:dyDescent="0.25">
      <c r="A1177" s="1">
        <v>45371</v>
      </c>
      <c r="B1177">
        <v>2</v>
      </c>
      <c r="C1177" t="s">
        <v>6</v>
      </c>
      <c r="D1177">
        <v>204</v>
      </c>
      <c r="E1177">
        <v>3750.25</v>
      </c>
    </row>
    <row r="1178" spans="1:5" x14ac:dyDescent="0.25">
      <c r="A1178" s="1">
        <v>45372</v>
      </c>
      <c r="B1178">
        <v>2</v>
      </c>
      <c r="C1178" t="s">
        <v>6</v>
      </c>
      <c r="D1178">
        <v>195</v>
      </c>
      <c r="E1178">
        <v>3410.96</v>
      </c>
    </row>
    <row r="1179" spans="1:5" x14ac:dyDescent="0.25">
      <c r="A1179" s="1">
        <v>45373</v>
      </c>
      <c r="B1179">
        <v>2</v>
      </c>
      <c r="C1179" t="s">
        <v>6</v>
      </c>
      <c r="D1179">
        <v>210</v>
      </c>
      <c r="E1179">
        <v>3260.12</v>
      </c>
    </row>
    <row r="1180" spans="1:5" x14ac:dyDescent="0.25">
      <c r="A1180" s="1">
        <v>45374</v>
      </c>
      <c r="B1180">
        <v>2</v>
      </c>
      <c r="C1180" t="s">
        <v>6</v>
      </c>
      <c r="D1180">
        <v>246</v>
      </c>
      <c r="E1180">
        <v>3934.77</v>
      </c>
    </row>
    <row r="1181" spans="1:5" x14ac:dyDescent="0.25">
      <c r="A1181" s="1">
        <v>45375</v>
      </c>
      <c r="B1181">
        <v>2</v>
      </c>
      <c r="C1181" t="s">
        <v>6</v>
      </c>
      <c r="D1181">
        <v>212</v>
      </c>
      <c r="E1181">
        <v>3489.24</v>
      </c>
    </row>
    <row r="1182" spans="1:5" x14ac:dyDescent="0.25">
      <c r="A1182" s="1">
        <v>45376</v>
      </c>
      <c r="B1182">
        <v>2</v>
      </c>
      <c r="C1182" t="s">
        <v>6</v>
      </c>
      <c r="D1182">
        <v>240</v>
      </c>
      <c r="E1182">
        <v>4054.5</v>
      </c>
    </row>
    <row r="1183" spans="1:5" x14ac:dyDescent="0.25">
      <c r="A1183" s="1">
        <v>45377</v>
      </c>
      <c r="B1183">
        <v>2</v>
      </c>
      <c r="C1183" t="s">
        <v>6</v>
      </c>
      <c r="D1183">
        <v>195</v>
      </c>
      <c r="E1183">
        <v>3233.03</v>
      </c>
    </row>
    <row r="1184" spans="1:5" x14ac:dyDescent="0.25">
      <c r="A1184" s="1">
        <v>45378</v>
      </c>
      <c r="B1184">
        <v>2</v>
      </c>
      <c r="C1184" t="s">
        <v>6</v>
      </c>
      <c r="D1184">
        <v>206</v>
      </c>
      <c r="E1184">
        <v>3606.75</v>
      </c>
    </row>
    <row r="1185" spans="1:5" x14ac:dyDescent="0.25">
      <c r="A1185" s="1">
        <v>45379</v>
      </c>
      <c r="B1185">
        <v>2</v>
      </c>
      <c r="C1185" t="s">
        <v>6</v>
      </c>
      <c r="D1185">
        <v>185</v>
      </c>
      <c r="E1185">
        <v>3056.45</v>
      </c>
    </row>
    <row r="1186" spans="1:5" x14ac:dyDescent="0.25">
      <c r="A1186" s="1">
        <v>45380</v>
      </c>
      <c r="B1186">
        <v>2</v>
      </c>
      <c r="C1186" t="s">
        <v>6</v>
      </c>
      <c r="D1186">
        <v>188</v>
      </c>
      <c r="E1186">
        <v>3170.04</v>
      </c>
    </row>
    <row r="1187" spans="1:5" x14ac:dyDescent="0.25">
      <c r="A1187" s="1">
        <v>45381</v>
      </c>
      <c r="B1187">
        <v>2</v>
      </c>
      <c r="C1187" t="s">
        <v>6</v>
      </c>
      <c r="D1187">
        <v>215</v>
      </c>
      <c r="E1187">
        <v>3730.53</v>
      </c>
    </row>
    <row r="1188" spans="1:5" x14ac:dyDescent="0.25">
      <c r="A1188" s="1">
        <v>45382</v>
      </c>
      <c r="B1188">
        <v>2</v>
      </c>
      <c r="C1188" t="s">
        <v>6</v>
      </c>
      <c r="D1188">
        <v>221</v>
      </c>
      <c r="E1188">
        <v>3781.7</v>
      </c>
    </row>
    <row r="1189" spans="1:5" x14ac:dyDescent="0.25">
      <c r="A1189" s="1">
        <v>45383</v>
      </c>
      <c r="B1189">
        <v>2</v>
      </c>
      <c r="C1189" t="s">
        <v>6</v>
      </c>
      <c r="D1189">
        <v>201</v>
      </c>
      <c r="E1189">
        <v>3181.92</v>
      </c>
    </row>
    <row r="1190" spans="1:5" x14ac:dyDescent="0.25">
      <c r="A1190" s="1">
        <v>45384</v>
      </c>
      <c r="B1190">
        <v>2</v>
      </c>
      <c r="C1190" t="s">
        <v>6</v>
      </c>
      <c r="D1190">
        <v>226</v>
      </c>
      <c r="E1190">
        <v>3918.39</v>
      </c>
    </row>
    <row r="1191" spans="1:5" x14ac:dyDescent="0.25">
      <c r="A1191" s="1">
        <v>45385</v>
      </c>
      <c r="B1191">
        <v>2</v>
      </c>
      <c r="C1191" t="s">
        <v>6</v>
      </c>
      <c r="D1191">
        <v>203</v>
      </c>
      <c r="E1191">
        <v>3527.7</v>
      </c>
    </row>
    <row r="1192" spans="1:5" x14ac:dyDescent="0.25">
      <c r="A1192" s="1">
        <v>45386</v>
      </c>
      <c r="B1192">
        <v>2</v>
      </c>
      <c r="C1192" t="s">
        <v>6</v>
      </c>
      <c r="D1192">
        <v>215</v>
      </c>
      <c r="E1192">
        <v>3710.49</v>
      </c>
    </row>
    <row r="1193" spans="1:5" x14ac:dyDescent="0.25">
      <c r="A1193" s="1">
        <v>45387</v>
      </c>
      <c r="B1193">
        <v>2</v>
      </c>
      <c r="C1193" t="s">
        <v>6</v>
      </c>
      <c r="D1193">
        <v>193</v>
      </c>
      <c r="E1193">
        <v>3195.9</v>
      </c>
    </row>
    <row r="1194" spans="1:5" x14ac:dyDescent="0.25">
      <c r="A1194" s="1">
        <v>45388</v>
      </c>
      <c r="B1194">
        <v>2</v>
      </c>
      <c r="C1194" t="s">
        <v>6</v>
      </c>
      <c r="D1194">
        <v>244</v>
      </c>
      <c r="E1194">
        <v>4224.8599999999997</v>
      </c>
    </row>
    <row r="1195" spans="1:5" x14ac:dyDescent="0.25">
      <c r="A1195" s="1">
        <v>45389</v>
      </c>
      <c r="B1195">
        <v>2</v>
      </c>
      <c r="C1195" t="s">
        <v>6</v>
      </c>
      <c r="D1195">
        <v>248</v>
      </c>
      <c r="E1195">
        <v>4553.21</v>
      </c>
    </row>
    <row r="1196" spans="1:5" x14ac:dyDescent="0.25">
      <c r="A1196" s="1">
        <v>45390</v>
      </c>
      <c r="B1196">
        <v>2</v>
      </c>
      <c r="C1196" t="s">
        <v>6</v>
      </c>
      <c r="D1196">
        <v>206</v>
      </c>
      <c r="E1196">
        <v>3328.9</v>
      </c>
    </row>
    <row r="1197" spans="1:5" x14ac:dyDescent="0.25">
      <c r="A1197" s="1">
        <v>45391</v>
      </c>
      <c r="B1197">
        <v>2</v>
      </c>
      <c r="C1197" t="s">
        <v>6</v>
      </c>
      <c r="D1197">
        <v>188</v>
      </c>
      <c r="E1197">
        <v>2876.12</v>
      </c>
    </row>
    <row r="1198" spans="1:5" x14ac:dyDescent="0.25">
      <c r="A1198" s="1">
        <v>45392</v>
      </c>
      <c r="B1198">
        <v>2</v>
      </c>
      <c r="C1198" t="s">
        <v>6</v>
      </c>
      <c r="D1198">
        <v>223</v>
      </c>
      <c r="E1198">
        <v>3731.38</v>
      </c>
    </row>
    <row r="1199" spans="1:5" x14ac:dyDescent="0.25">
      <c r="A1199" s="1">
        <v>45393</v>
      </c>
      <c r="B1199">
        <v>2</v>
      </c>
      <c r="C1199" t="s">
        <v>6</v>
      </c>
      <c r="D1199">
        <v>181</v>
      </c>
      <c r="E1199">
        <v>2948.37</v>
      </c>
    </row>
    <row r="1200" spans="1:5" x14ac:dyDescent="0.25">
      <c r="A1200" s="1">
        <v>45394</v>
      </c>
      <c r="B1200">
        <v>2</v>
      </c>
      <c r="C1200" t="s">
        <v>6</v>
      </c>
      <c r="D1200">
        <v>227</v>
      </c>
      <c r="E1200">
        <v>4187.79</v>
      </c>
    </row>
    <row r="1201" spans="1:5" x14ac:dyDescent="0.25">
      <c r="A1201" s="1">
        <v>45395</v>
      </c>
      <c r="B1201">
        <v>2</v>
      </c>
      <c r="C1201" t="s">
        <v>6</v>
      </c>
      <c r="D1201">
        <v>262</v>
      </c>
      <c r="E1201">
        <v>4286.47</v>
      </c>
    </row>
    <row r="1202" spans="1:5" x14ac:dyDescent="0.25">
      <c r="A1202" s="1">
        <v>45396</v>
      </c>
      <c r="B1202">
        <v>2</v>
      </c>
      <c r="C1202" t="s">
        <v>6</v>
      </c>
      <c r="D1202">
        <v>250</v>
      </c>
      <c r="E1202">
        <v>4084.19</v>
      </c>
    </row>
    <row r="1203" spans="1:5" x14ac:dyDescent="0.25">
      <c r="A1203" s="1">
        <v>45397</v>
      </c>
      <c r="B1203">
        <v>2</v>
      </c>
      <c r="C1203" t="s">
        <v>6</v>
      </c>
      <c r="D1203">
        <v>196</v>
      </c>
      <c r="E1203">
        <v>3282.49</v>
      </c>
    </row>
    <row r="1204" spans="1:5" x14ac:dyDescent="0.25">
      <c r="A1204" s="1">
        <v>45398</v>
      </c>
      <c r="B1204">
        <v>2</v>
      </c>
      <c r="C1204" t="s">
        <v>6</v>
      </c>
      <c r="D1204">
        <v>203</v>
      </c>
      <c r="E1204">
        <v>3389.97</v>
      </c>
    </row>
    <row r="1205" spans="1:5" x14ac:dyDescent="0.25">
      <c r="A1205" s="1">
        <v>45399</v>
      </c>
      <c r="B1205">
        <v>2</v>
      </c>
      <c r="C1205" t="s">
        <v>6</v>
      </c>
      <c r="D1205">
        <v>200</v>
      </c>
      <c r="E1205">
        <v>3593.99</v>
      </c>
    </row>
    <row r="1206" spans="1:5" x14ac:dyDescent="0.25">
      <c r="A1206" s="1">
        <v>45400</v>
      </c>
      <c r="B1206">
        <v>2</v>
      </c>
      <c r="C1206" t="s">
        <v>6</v>
      </c>
      <c r="D1206">
        <v>185</v>
      </c>
      <c r="E1206">
        <v>3108.96</v>
      </c>
    </row>
    <row r="1207" spans="1:5" x14ac:dyDescent="0.25">
      <c r="A1207" s="1">
        <v>45401</v>
      </c>
      <c r="B1207">
        <v>2</v>
      </c>
      <c r="C1207" t="s">
        <v>6</v>
      </c>
      <c r="D1207">
        <v>211</v>
      </c>
      <c r="E1207">
        <v>3573.7</v>
      </c>
    </row>
    <row r="1208" spans="1:5" x14ac:dyDescent="0.25">
      <c r="A1208" s="1">
        <v>45402</v>
      </c>
      <c r="B1208">
        <v>2</v>
      </c>
      <c r="C1208" t="s">
        <v>6</v>
      </c>
      <c r="D1208">
        <v>218</v>
      </c>
      <c r="E1208">
        <v>3828.72</v>
      </c>
    </row>
    <row r="1209" spans="1:5" x14ac:dyDescent="0.25">
      <c r="A1209" s="1">
        <v>45403</v>
      </c>
      <c r="B1209">
        <v>2</v>
      </c>
      <c r="C1209" t="s">
        <v>6</v>
      </c>
      <c r="D1209">
        <v>210</v>
      </c>
      <c r="E1209">
        <v>3534.8</v>
      </c>
    </row>
    <row r="1210" spans="1:5" x14ac:dyDescent="0.25">
      <c r="A1210" s="1">
        <v>45404</v>
      </c>
      <c r="B1210">
        <v>2</v>
      </c>
      <c r="C1210" t="s">
        <v>6</v>
      </c>
      <c r="D1210">
        <v>213</v>
      </c>
      <c r="E1210">
        <v>3575.26</v>
      </c>
    </row>
    <row r="1211" spans="1:5" x14ac:dyDescent="0.25">
      <c r="A1211" s="1">
        <v>45405</v>
      </c>
      <c r="B1211">
        <v>2</v>
      </c>
      <c r="C1211" t="s">
        <v>6</v>
      </c>
      <c r="D1211">
        <v>204</v>
      </c>
      <c r="E1211">
        <v>3494.81</v>
      </c>
    </row>
    <row r="1212" spans="1:5" x14ac:dyDescent="0.25">
      <c r="A1212" s="1">
        <v>45406</v>
      </c>
      <c r="B1212">
        <v>2</v>
      </c>
      <c r="C1212" t="s">
        <v>6</v>
      </c>
      <c r="D1212">
        <v>158</v>
      </c>
      <c r="E1212">
        <v>2789.48</v>
      </c>
    </row>
    <row r="1213" spans="1:5" x14ac:dyDescent="0.25">
      <c r="A1213" s="1">
        <v>45407</v>
      </c>
      <c r="B1213">
        <v>2</v>
      </c>
      <c r="C1213" t="s">
        <v>6</v>
      </c>
      <c r="D1213">
        <v>174</v>
      </c>
      <c r="E1213">
        <v>3210.1</v>
      </c>
    </row>
    <row r="1214" spans="1:5" x14ac:dyDescent="0.25">
      <c r="A1214" s="1">
        <v>45408</v>
      </c>
      <c r="B1214">
        <v>2</v>
      </c>
      <c r="C1214" t="s">
        <v>6</v>
      </c>
      <c r="D1214">
        <v>218</v>
      </c>
      <c r="E1214">
        <v>3480.4</v>
      </c>
    </row>
    <row r="1215" spans="1:5" x14ac:dyDescent="0.25">
      <c r="A1215" s="1">
        <v>45409</v>
      </c>
      <c r="B1215">
        <v>2</v>
      </c>
      <c r="C1215" t="s">
        <v>6</v>
      </c>
      <c r="D1215">
        <v>205</v>
      </c>
      <c r="E1215">
        <v>3344.5</v>
      </c>
    </row>
    <row r="1216" spans="1:5" x14ac:dyDescent="0.25">
      <c r="A1216" s="1">
        <v>45410</v>
      </c>
      <c r="B1216">
        <v>2</v>
      </c>
      <c r="C1216" t="s">
        <v>6</v>
      </c>
      <c r="D1216">
        <v>242</v>
      </c>
      <c r="E1216">
        <v>4073.39</v>
      </c>
    </row>
    <row r="1217" spans="1:5" x14ac:dyDescent="0.25">
      <c r="A1217" s="1">
        <v>45411</v>
      </c>
      <c r="B1217">
        <v>2</v>
      </c>
      <c r="C1217" t="s">
        <v>6</v>
      </c>
      <c r="D1217">
        <v>226</v>
      </c>
      <c r="E1217">
        <v>3822.28</v>
      </c>
    </row>
    <row r="1218" spans="1:5" x14ac:dyDescent="0.25">
      <c r="A1218" s="1">
        <v>45412</v>
      </c>
      <c r="B1218">
        <v>2</v>
      </c>
      <c r="C1218" t="s">
        <v>6</v>
      </c>
      <c r="D1218">
        <v>233</v>
      </c>
      <c r="E1218">
        <v>4035.85</v>
      </c>
    </row>
    <row r="1219" spans="1:5" x14ac:dyDescent="0.25">
      <c r="A1219" s="1">
        <v>45413</v>
      </c>
      <c r="B1219">
        <v>2</v>
      </c>
      <c r="C1219" t="s">
        <v>6</v>
      </c>
      <c r="D1219">
        <v>207</v>
      </c>
      <c r="E1219">
        <v>3599.67</v>
      </c>
    </row>
    <row r="1220" spans="1:5" x14ac:dyDescent="0.25">
      <c r="A1220" s="1">
        <v>45414</v>
      </c>
      <c r="B1220">
        <v>2</v>
      </c>
      <c r="C1220" t="s">
        <v>6</v>
      </c>
      <c r="D1220">
        <v>218</v>
      </c>
      <c r="E1220">
        <v>3980.08</v>
      </c>
    </row>
    <row r="1221" spans="1:5" x14ac:dyDescent="0.25">
      <c r="A1221" s="1">
        <v>45415</v>
      </c>
      <c r="B1221">
        <v>2</v>
      </c>
      <c r="C1221" t="s">
        <v>6</v>
      </c>
      <c r="D1221">
        <v>181</v>
      </c>
      <c r="E1221">
        <v>3118.53</v>
      </c>
    </row>
    <row r="1222" spans="1:5" x14ac:dyDescent="0.25">
      <c r="A1222" s="1">
        <v>45416</v>
      </c>
      <c r="B1222">
        <v>2</v>
      </c>
      <c r="C1222" t="s">
        <v>6</v>
      </c>
      <c r="D1222">
        <v>235</v>
      </c>
      <c r="E1222">
        <v>3779.76</v>
      </c>
    </row>
    <row r="1223" spans="1:5" x14ac:dyDescent="0.25">
      <c r="A1223" s="1">
        <v>45417</v>
      </c>
      <c r="B1223">
        <v>2</v>
      </c>
      <c r="C1223" t="s">
        <v>6</v>
      </c>
      <c r="D1223">
        <v>209</v>
      </c>
      <c r="E1223">
        <v>3579.61</v>
      </c>
    </row>
    <row r="1224" spans="1:5" x14ac:dyDescent="0.25">
      <c r="A1224" s="1">
        <v>45418</v>
      </c>
      <c r="B1224">
        <v>2</v>
      </c>
      <c r="C1224" t="s">
        <v>6</v>
      </c>
      <c r="D1224">
        <v>195</v>
      </c>
      <c r="E1224">
        <v>3205.66</v>
      </c>
    </row>
    <row r="1225" spans="1:5" x14ac:dyDescent="0.25">
      <c r="A1225" s="1">
        <v>45419</v>
      </c>
      <c r="B1225">
        <v>2</v>
      </c>
      <c r="C1225" t="s">
        <v>6</v>
      </c>
      <c r="D1225">
        <v>212</v>
      </c>
      <c r="E1225">
        <v>3680.26</v>
      </c>
    </row>
    <row r="1226" spans="1:5" x14ac:dyDescent="0.25">
      <c r="A1226" s="1">
        <v>45420</v>
      </c>
      <c r="B1226">
        <v>2</v>
      </c>
      <c r="C1226" t="s">
        <v>6</v>
      </c>
      <c r="D1226">
        <v>170</v>
      </c>
      <c r="E1226">
        <v>2865.26</v>
      </c>
    </row>
    <row r="1227" spans="1:5" x14ac:dyDescent="0.25">
      <c r="A1227" s="1">
        <v>45421</v>
      </c>
      <c r="B1227">
        <v>2</v>
      </c>
      <c r="C1227" t="s">
        <v>6</v>
      </c>
      <c r="D1227">
        <v>221</v>
      </c>
      <c r="E1227">
        <v>3820.86</v>
      </c>
    </row>
    <row r="1228" spans="1:5" x14ac:dyDescent="0.25">
      <c r="A1228" s="1">
        <v>45422</v>
      </c>
      <c r="B1228">
        <v>2</v>
      </c>
      <c r="C1228" t="s">
        <v>6</v>
      </c>
      <c r="D1228">
        <v>200</v>
      </c>
      <c r="E1228">
        <v>3533.74</v>
      </c>
    </row>
    <row r="1229" spans="1:5" x14ac:dyDescent="0.25">
      <c r="A1229" s="1">
        <v>45423</v>
      </c>
      <c r="B1229">
        <v>2</v>
      </c>
      <c r="C1229" t="s">
        <v>6</v>
      </c>
      <c r="D1229">
        <v>248</v>
      </c>
      <c r="E1229">
        <v>4175.2299999999996</v>
      </c>
    </row>
    <row r="1230" spans="1:5" x14ac:dyDescent="0.25">
      <c r="A1230" s="1">
        <v>45424</v>
      </c>
      <c r="B1230">
        <v>2</v>
      </c>
      <c r="C1230" t="s">
        <v>6</v>
      </c>
      <c r="D1230">
        <v>250</v>
      </c>
      <c r="E1230">
        <v>4086.26</v>
      </c>
    </row>
    <row r="1231" spans="1:5" x14ac:dyDescent="0.25">
      <c r="A1231" s="1">
        <v>45425</v>
      </c>
      <c r="B1231">
        <v>2</v>
      </c>
      <c r="C1231" t="s">
        <v>6</v>
      </c>
      <c r="D1231">
        <v>181</v>
      </c>
      <c r="E1231">
        <v>2885.53</v>
      </c>
    </row>
    <row r="1232" spans="1:5" x14ac:dyDescent="0.25">
      <c r="A1232" s="1">
        <v>45426</v>
      </c>
      <c r="B1232">
        <v>2</v>
      </c>
      <c r="C1232" t="s">
        <v>6</v>
      </c>
      <c r="D1232">
        <v>226</v>
      </c>
      <c r="E1232">
        <v>3762.66</v>
      </c>
    </row>
    <row r="1233" spans="1:5" x14ac:dyDescent="0.25">
      <c r="A1233" s="1">
        <v>45427</v>
      </c>
      <c r="B1233">
        <v>2</v>
      </c>
      <c r="C1233" t="s">
        <v>6</v>
      </c>
      <c r="D1233">
        <v>243</v>
      </c>
      <c r="E1233">
        <v>4156.68</v>
      </c>
    </row>
    <row r="1234" spans="1:5" x14ac:dyDescent="0.25">
      <c r="A1234" s="1">
        <v>45428</v>
      </c>
      <c r="B1234">
        <v>2</v>
      </c>
      <c r="C1234" t="s">
        <v>6</v>
      </c>
      <c r="D1234">
        <v>235</v>
      </c>
      <c r="E1234">
        <v>4254.9399999999996</v>
      </c>
    </row>
    <row r="1235" spans="1:5" x14ac:dyDescent="0.25">
      <c r="A1235" s="1">
        <v>45429</v>
      </c>
      <c r="B1235">
        <v>2</v>
      </c>
      <c r="C1235" t="s">
        <v>6</v>
      </c>
      <c r="D1235">
        <v>223</v>
      </c>
      <c r="E1235">
        <v>3790.1</v>
      </c>
    </row>
    <row r="1236" spans="1:5" x14ac:dyDescent="0.25">
      <c r="A1236" s="1">
        <v>45430</v>
      </c>
      <c r="B1236">
        <v>2</v>
      </c>
      <c r="C1236" t="s">
        <v>6</v>
      </c>
      <c r="D1236">
        <v>256</v>
      </c>
      <c r="E1236">
        <v>4585.9399999999996</v>
      </c>
    </row>
    <row r="1237" spans="1:5" x14ac:dyDescent="0.25">
      <c r="A1237" s="1">
        <v>45431</v>
      </c>
      <c r="B1237">
        <v>2</v>
      </c>
      <c r="C1237" t="s">
        <v>6</v>
      </c>
      <c r="D1237">
        <v>226</v>
      </c>
      <c r="E1237">
        <v>3959.68</v>
      </c>
    </row>
    <row r="1238" spans="1:5" x14ac:dyDescent="0.25">
      <c r="A1238" s="1">
        <v>45432</v>
      </c>
      <c r="B1238">
        <v>2</v>
      </c>
      <c r="C1238" t="s">
        <v>6</v>
      </c>
      <c r="D1238">
        <v>207</v>
      </c>
      <c r="E1238">
        <v>3257.31</v>
      </c>
    </row>
    <row r="1239" spans="1:5" x14ac:dyDescent="0.25">
      <c r="A1239" s="1">
        <v>45433</v>
      </c>
      <c r="B1239">
        <v>2</v>
      </c>
      <c r="C1239" t="s">
        <v>6</v>
      </c>
      <c r="D1239">
        <v>232</v>
      </c>
      <c r="E1239">
        <v>3935.26</v>
      </c>
    </row>
    <row r="1240" spans="1:5" x14ac:dyDescent="0.25">
      <c r="A1240" s="1">
        <v>45434</v>
      </c>
      <c r="B1240">
        <v>2</v>
      </c>
      <c r="C1240" t="s">
        <v>6</v>
      </c>
      <c r="D1240">
        <v>220</v>
      </c>
      <c r="E1240">
        <v>3765.19</v>
      </c>
    </row>
    <row r="1241" spans="1:5" x14ac:dyDescent="0.25">
      <c r="A1241" s="1">
        <v>45435</v>
      </c>
      <c r="B1241">
        <v>2</v>
      </c>
      <c r="C1241" t="s">
        <v>6</v>
      </c>
      <c r="D1241">
        <v>199</v>
      </c>
      <c r="E1241">
        <v>3032.57</v>
      </c>
    </row>
    <row r="1242" spans="1:5" x14ac:dyDescent="0.25">
      <c r="A1242" s="1">
        <v>45436</v>
      </c>
      <c r="B1242">
        <v>2</v>
      </c>
      <c r="C1242" t="s">
        <v>6</v>
      </c>
      <c r="D1242">
        <v>217</v>
      </c>
      <c r="E1242">
        <v>3368.17</v>
      </c>
    </row>
    <row r="1243" spans="1:5" x14ac:dyDescent="0.25">
      <c r="A1243" s="1">
        <v>45437</v>
      </c>
      <c r="B1243">
        <v>2</v>
      </c>
      <c r="C1243" t="s">
        <v>6</v>
      </c>
      <c r="D1243">
        <v>242</v>
      </c>
      <c r="E1243">
        <v>4237.8900000000003</v>
      </c>
    </row>
    <row r="1244" spans="1:5" x14ac:dyDescent="0.25">
      <c r="A1244" s="1">
        <v>45438</v>
      </c>
      <c r="B1244">
        <v>2</v>
      </c>
      <c r="C1244" t="s">
        <v>6</v>
      </c>
      <c r="D1244">
        <v>238</v>
      </c>
      <c r="E1244">
        <v>4369.4399999999996</v>
      </c>
    </row>
    <row r="1245" spans="1:5" x14ac:dyDescent="0.25">
      <c r="A1245" s="1">
        <v>45439</v>
      </c>
      <c r="B1245">
        <v>2</v>
      </c>
      <c r="C1245" t="s">
        <v>6</v>
      </c>
      <c r="D1245">
        <v>190</v>
      </c>
      <c r="E1245">
        <v>3238.38</v>
      </c>
    </row>
    <row r="1246" spans="1:5" x14ac:dyDescent="0.25">
      <c r="A1246" s="1">
        <v>45440</v>
      </c>
      <c r="B1246">
        <v>2</v>
      </c>
      <c r="C1246" t="s">
        <v>6</v>
      </c>
      <c r="D1246">
        <v>230</v>
      </c>
      <c r="E1246">
        <v>3769.15</v>
      </c>
    </row>
    <row r="1247" spans="1:5" x14ac:dyDescent="0.25">
      <c r="A1247" s="1">
        <v>45441</v>
      </c>
      <c r="B1247">
        <v>2</v>
      </c>
      <c r="C1247" t="s">
        <v>6</v>
      </c>
      <c r="D1247">
        <v>195</v>
      </c>
      <c r="E1247">
        <v>3636.1</v>
      </c>
    </row>
    <row r="1248" spans="1:5" x14ac:dyDescent="0.25">
      <c r="A1248" s="1">
        <v>45442</v>
      </c>
      <c r="B1248">
        <v>2</v>
      </c>
      <c r="C1248" t="s">
        <v>6</v>
      </c>
      <c r="D1248">
        <v>240</v>
      </c>
      <c r="E1248">
        <v>4086.52</v>
      </c>
    </row>
    <row r="1249" spans="1:5" x14ac:dyDescent="0.25">
      <c r="A1249" s="1">
        <v>45443</v>
      </c>
      <c r="B1249">
        <v>2</v>
      </c>
      <c r="C1249" t="s">
        <v>6</v>
      </c>
      <c r="D1249">
        <v>220</v>
      </c>
      <c r="E1249">
        <v>3800.7</v>
      </c>
    </row>
    <row r="1250" spans="1:5" x14ac:dyDescent="0.25">
      <c r="A1250" s="1">
        <v>45444</v>
      </c>
      <c r="B1250">
        <v>2</v>
      </c>
      <c r="C1250" t="s">
        <v>6</v>
      </c>
      <c r="D1250">
        <v>238</v>
      </c>
      <c r="E1250">
        <v>4108.79</v>
      </c>
    </row>
    <row r="1251" spans="1:5" x14ac:dyDescent="0.25">
      <c r="A1251" s="1">
        <v>45445</v>
      </c>
      <c r="B1251">
        <v>2</v>
      </c>
      <c r="C1251" t="s">
        <v>6</v>
      </c>
      <c r="D1251">
        <v>259</v>
      </c>
      <c r="E1251">
        <v>4243.88</v>
      </c>
    </row>
    <row r="1252" spans="1:5" x14ac:dyDescent="0.25">
      <c r="A1252" s="1">
        <v>45446</v>
      </c>
      <c r="B1252">
        <v>2</v>
      </c>
      <c r="C1252" t="s">
        <v>6</v>
      </c>
      <c r="D1252">
        <v>246</v>
      </c>
      <c r="E1252">
        <v>3909.94</v>
      </c>
    </row>
    <row r="1253" spans="1:5" x14ac:dyDescent="0.25">
      <c r="A1253" s="1">
        <v>45447</v>
      </c>
      <c r="B1253">
        <v>2</v>
      </c>
      <c r="C1253" t="s">
        <v>6</v>
      </c>
      <c r="D1253">
        <v>224</v>
      </c>
      <c r="E1253">
        <v>3718.33</v>
      </c>
    </row>
    <row r="1254" spans="1:5" x14ac:dyDescent="0.25">
      <c r="A1254" s="1">
        <v>45448</v>
      </c>
      <c r="B1254">
        <v>2</v>
      </c>
      <c r="C1254" t="s">
        <v>6</v>
      </c>
      <c r="D1254">
        <v>234</v>
      </c>
      <c r="E1254">
        <v>4015.6</v>
      </c>
    </row>
    <row r="1255" spans="1:5" x14ac:dyDescent="0.25">
      <c r="A1255" s="1">
        <v>45449</v>
      </c>
      <c r="B1255">
        <v>2</v>
      </c>
      <c r="C1255" t="s">
        <v>6</v>
      </c>
      <c r="D1255">
        <v>256</v>
      </c>
      <c r="E1255">
        <v>4315.68</v>
      </c>
    </row>
    <row r="1256" spans="1:5" x14ac:dyDescent="0.25">
      <c r="A1256" s="1">
        <v>45450</v>
      </c>
      <c r="B1256">
        <v>2</v>
      </c>
      <c r="C1256" t="s">
        <v>6</v>
      </c>
      <c r="D1256">
        <v>223</v>
      </c>
      <c r="E1256">
        <v>3566.58</v>
      </c>
    </row>
    <row r="1257" spans="1:5" x14ac:dyDescent="0.25">
      <c r="A1257" s="1">
        <v>45451</v>
      </c>
      <c r="B1257">
        <v>2</v>
      </c>
      <c r="C1257" t="s">
        <v>6</v>
      </c>
      <c r="D1257">
        <v>251</v>
      </c>
      <c r="E1257">
        <v>4201.55</v>
      </c>
    </row>
    <row r="1258" spans="1:5" x14ac:dyDescent="0.25">
      <c r="A1258" s="1">
        <v>45452</v>
      </c>
      <c r="B1258">
        <v>2</v>
      </c>
      <c r="C1258" t="s">
        <v>6</v>
      </c>
      <c r="D1258">
        <v>267</v>
      </c>
      <c r="E1258">
        <v>4152.7299999999996</v>
      </c>
    </row>
    <row r="1259" spans="1:5" x14ac:dyDescent="0.25">
      <c r="A1259" s="1">
        <v>45453</v>
      </c>
      <c r="B1259">
        <v>2</v>
      </c>
      <c r="C1259" t="s">
        <v>6</v>
      </c>
      <c r="D1259">
        <v>229</v>
      </c>
      <c r="E1259">
        <v>3924.6</v>
      </c>
    </row>
    <row r="1260" spans="1:5" x14ac:dyDescent="0.25">
      <c r="A1260" s="1">
        <v>45454</v>
      </c>
      <c r="B1260">
        <v>2</v>
      </c>
      <c r="C1260" t="s">
        <v>6</v>
      </c>
      <c r="D1260">
        <v>197</v>
      </c>
      <c r="E1260">
        <v>3077.24</v>
      </c>
    </row>
    <row r="1261" spans="1:5" x14ac:dyDescent="0.25">
      <c r="A1261" s="1">
        <v>45455</v>
      </c>
      <c r="B1261">
        <v>2</v>
      </c>
      <c r="C1261" t="s">
        <v>6</v>
      </c>
      <c r="D1261">
        <v>239</v>
      </c>
      <c r="E1261">
        <v>4325.13</v>
      </c>
    </row>
    <row r="1262" spans="1:5" x14ac:dyDescent="0.25">
      <c r="A1262" s="1">
        <v>45456</v>
      </c>
      <c r="B1262">
        <v>2</v>
      </c>
      <c r="C1262" t="s">
        <v>6</v>
      </c>
      <c r="D1262">
        <v>232</v>
      </c>
      <c r="E1262">
        <v>3963.8</v>
      </c>
    </row>
    <row r="1263" spans="1:5" x14ac:dyDescent="0.25">
      <c r="A1263" s="1">
        <v>45457</v>
      </c>
      <c r="B1263">
        <v>2</v>
      </c>
      <c r="C1263" t="s">
        <v>6</v>
      </c>
      <c r="D1263">
        <v>224</v>
      </c>
      <c r="E1263">
        <v>3951.65</v>
      </c>
    </row>
    <row r="1264" spans="1:5" x14ac:dyDescent="0.25">
      <c r="A1264" s="1">
        <v>45458</v>
      </c>
      <c r="B1264">
        <v>2</v>
      </c>
      <c r="C1264" t="s">
        <v>6</v>
      </c>
      <c r="D1264">
        <v>283</v>
      </c>
      <c r="E1264">
        <v>4707.1099999999997</v>
      </c>
    </row>
    <row r="1265" spans="1:5" x14ac:dyDescent="0.25">
      <c r="A1265" s="1">
        <v>45459</v>
      </c>
      <c r="B1265">
        <v>2</v>
      </c>
      <c r="C1265" t="s">
        <v>6</v>
      </c>
      <c r="D1265">
        <v>261</v>
      </c>
      <c r="E1265">
        <v>4533.3</v>
      </c>
    </row>
    <row r="1266" spans="1:5" x14ac:dyDescent="0.25">
      <c r="A1266" s="1">
        <v>45460</v>
      </c>
      <c r="B1266">
        <v>2</v>
      </c>
      <c r="C1266" t="s">
        <v>6</v>
      </c>
      <c r="D1266">
        <v>276</v>
      </c>
      <c r="E1266">
        <v>4358.5600000000004</v>
      </c>
    </row>
    <row r="1267" spans="1:5" x14ac:dyDescent="0.25">
      <c r="A1267" s="1">
        <v>45461</v>
      </c>
      <c r="B1267">
        <v>2</v>
      </c>
      <c r="C1267" t="s">
        <v>6</v>
      </c>
      <c r="D1267">
        <v>235</v>
      </c>
      <c r="E1267">
        <v>3848.4</v>
      </c>
    </row>
    <row r="1268" spans="1:5" x14ac:dyDescent="0.25">
      <c r="A1268" s="1">
        <v>45462</v>
      </c>
      <c r="B1268">
        <v>2</v>
      </c>
      <c r="C1268" t="s">
        <v>6</v>
      </c>
      <c r="D1268">
        <v>242</v>
      </c>
      <c r="E1268">
        <v>4414.8999999999996</v>
      </c>
    </row>
    <row r="1269" spans="1:5" x14ac:dyDescent="0.25">
      <c r="A1269" s="1">
        <v>45463</v>
      </c>
      <c r="B1269">
        <v>2</v>
      </c>
      <c r="C1269" t="s">
        <v>6</v>
      </c>
      <c r="D1269">
        <v>219</v>
      </c>
      <c r="E1269">
        <v>3922.01</v>
      </c>
    </row>
    <row r="1270" spans="1:5" x14ac:dyDescent="0.25">
      <c r="A1270" s="1">
        <v>45464</v>
      </c>
      <c r="B1270">
        <v>2</v>
      </c>
      <c r="C1270" t="s">
        <v>6</v>
      </c>
      <c r="D1270">
        <v>253</v>
      </c>
      <c r="E1270">
        <v>4205.1000000000004</v>
      </c>
    </row>
    <row r="1271" spans="1:5" x14ac:dyDescent="0.25">
      <c r="A1271" s="1">
        <v>45465</v>
      </c>
      <c r="B1271">
        <v>2</v>
      </c>
      <c r="C1271" t="s">
        <v>6</v>
      </c>
      <c r="D1271">
        <v>296</v>
      </c>
      <c r="E1271">
        <v>4382.34</v>
      </c>
    </row>
    <row r="1272" spans="1:5" x14ac:dyDescent="0.25">
      <c r="A1272" s="1">
        <v>45466</v>
      </c>
      <c r="B1272">
        <v>2</v>
      </c>
      <c r="C1272" t="s">
        <v>6</v>
      </c>
      <c r="D1272">
        <v>279</v>
      </c>
      <c r="E1272">
        <v>4852.5200000000004</v>
      </c>
    </row>
    <row r="1273" spans="1:5" x14ac:dyDescent="0.25">
      <c r="A1273" s="1">
        <v>45467</v>
      </c>
      <c r="B1273">
        <v>2</v>
      </c>
      <c r="C1273" t="s">
        <v>6</v>
      </c>
      <c r="D1273">
        <v>237</v>
      </c>
      <c r="E1273">
        <v>3893.19</v>
      </c>
    </row>
    <row r="1274" spans="1:5" x14ac:dyDescent="0.25">
      <c r="A1274" s="1">
        <v>45468</v>
      </c>
      <c r="B1274">
        <v>2</v>
      </c>
      <c r="C1274" t="s">
        <v>6</v>
      </c>
      <c r="D1274">
        <v>228</v>
      </c>
      <c r="E1274">
        <v>4044.98</v>
      </c>
    </row>
    <row r="1275" spans="1:5" x14ac:dyDescent="0.25">
      <c r="A1275" s="1">
        <v>45469</v>
      </c>
      <c r="B1275">
        <v>2</v>
      </c>
      <c r="C1275" t="s">
        <v>6</v>
      </c>
      <c r="D1275">
        <v>207</v>
      </c>
      <c r="E1275">
        <v>3486.5</v>
      </c>
    </row>
    <row r="1276" spans="1:5" x14ac:dyDescent="0.25">
      <c r="A1276" s="1">
        <v>45470</v>
      </c>
      <c r="B1276">
        <v>2</v>
      </c>
      <c r="C1276" t="s">
        <v>6</v>
      </c>
      <c r="D1276">
        <v>228</v>
      </c>
      <c r="E1276">
        <v>4473.25</v>
      </c>
    </row>
    <row r="1277" spans="1:5" x14ac:dyDescent="0.25">
      <c r="A1277" s="1">
        <v>45471</v>
      </c>
      <c r="B1277">
        <v>2</v>
      </c>
      <c r="C1277" t="s">
        <v>6</v>
      </c>
      <c r="D1277">
        <v>314</v>
      </c>
      <c r="E1277">
        <v>5416.33</v>
      </c>
    </row>
    <row r="1278" spans="1:5" x14ac:dyDescent="0.25">
      <c r="A1278" s="1">
        <v>45472</v>
      </c>
      <c r="B1278">
        <v>2</v>
      </c>
      <c r="C1278" t="s">
        <v>6</v>
      </c>
      <c r="D1278">
        <v>285</v>
      </c>
      <c r="E1278">
        <v>5473</v>
      </c>
    </row>
    <row r="1279" spans="1:5" x14ac:dyDescent="0.25">
      <c r="A1279" s="1">
        <v>45473</v>
      </c>
      <c r="B1279">
        <v>2</v>
      </c>
      <c r="C1279" t="s">
        <v>6</v>
      </c>
      <c r="D1279">
        <v>313</v>
      </c>
      <c r="E1279">
        <v>5047.47</v>
      </c>
    </row>
    <row r="1280" spans="1:5" x14ac:dyDescent="0.25">
      <c r="A1280" s="1">
        <v>45474</v>
      </c>
      <c r="B1280">
        <v>2</v>
      </c>
      <c r="C1280" t="s">
        <v>6</v>
      </c>
      <c r="D1280">
        <v>252</v>
      </c>
      <c r="E1280">
        <v>4328.9399999999996</v>
      </c>
    </row>
    <row r="1281" spans="1:5" x14ac:dyDescent="0.25">
      <c r="A1281" s="1">
        <v>45475</v>
      </c>
      <c r="B1281">
        <v>2</v>
      </c>
      <c r="C1281" t="s">
        <v>6</v>
      </c>
      <c r="D1281">
        <v>296</v>
      </c>
      <c r="E1281">
        <v>5345.74</v>
      </c>
    </row>
    <row r="1282" spans="1:5" x14ac:dyDescent="0.25">
      <c r="A1282" s="1">
        <v>45476</v>
      </c>
      <c r="B1282">
        <v>2</v>
      </c>
      <c r="C1282" t="s">
        <v>6</v>
      </c>
      <c r="D1282">
        <v>263</v>
      </c>
      <c r="E1282">
        <v>4632.7299999999996</v>
      </c>
    </row>
    <row r="1283" spans="1:5" x14ac:dyDescent="0.25">
      <c r="A1283" s="1">
        <v>45477</v>
      </c>
      <c r="B1283">
        <v>2</v>
      </c>
      <c r="C1283" t="s">
        <v>6</v>
      </c>
      <c r="D1283">
        <v>272</v>
      </c>
      <c r="E1283">
        <v>4724.2299999999996</v>
      </c>
    </row>
    <row r="1284" spans="1:5" x14ac:dyDescent="0.25">
      <c r="A1284" s="1">
        <v>45478</v>
      </c>
      <c r="B1284">
        <v>2</v>
      </c>
      <c r="C1284" t="s">
        <v>6</v>
      </c>
      <c r="D1284">
        <v>229</v>
      </c>
      <c r="E1284">
        <v>3994.52</v>
      </c>
    </row>
    <row r="1285" spans="1:5" x14ac:dyDescent="0.25">
      <c r="A1285" s="1">
        <v>45479</v>
      </c>
      <c r="B1285">
        <v>2</v>
      </c>
      <c r="C1285" t="s">
        <v>6</v>
      </c>
      <c r="D1285">
        <v>312</v>
      </c>
      <c r="E1285">
        <v>5219.72</v>
      </c>
    </row>
    <row r="1286" spans="1:5" x14ac:dyDescent="0.25">
      <c r="A1286" s="1">
        <v>45480</v>
      </c>
      <c r="B1286">
        <v>2</v>
      </c>
      <c r="C1286" t="s">
        <v>6</v>
      </c>
      <c r="D1286">
        <v>258</v>
      </c>
      <c r="E1286">
        <v>4536.87</v>
      </c>
    </row>
    <row r="1287" spans="1:5" x14ac:dyDescent="0.25">
      <c r="A1287" s="1">
        <v>45481</v>
      </c>
      <c r="B1287">
        <v>2</v>
      </c>
      <c r="C1287" t="s">
        <v>6</v>
      </c>
      <c r="D1287">
        <v>280</v>
      </c>
      <c r="E1287">
        <v>5187.57</v>
      </c>
    </row>
    <row r="1288" spans="1:5" x14ac:dyDescent="0.25">
      <c r="A1288" s="1">
        <v>45482</v>
      </c>
      <c r="B1288">
        <v>2</v>
      </c>
      <c r="C1288" t="s">
        <v>6</v>
      </c>
      <c r="D1288">
        <v>263</v>
      </c>
      <c r="E1288">
        <v>4985.93</v>
      </c>
    </row>
    <row r="1289" spans="1:5" x14ac:dyDescent="0.25">
      <c r="A1289" s="1">
        <v>45483</v>
      </c>
      <c r="B1289">
        <v>2</v>
      </c>
      <c r="C1289" t="s">
        <v>6</v>
      </c>
      <c r="D1289">
        <v>257</v>
      </c>
      <c r="E1289">
        <v>4253.84</v>
      </c>
    </row>
    <row r="1290" spans="1:5" x14ac:dyDescent="0.25">
      <c r="A1290" s="1">
        <v>45484</v>
      </c>
      <c r="B1290">
        <v>2</v>
      </c>
      <c r="C1290" t="s">
        <v>6</v>
      </c>
      <c r="D1290">
        <v>266</v>
      </c>
      <c r="E1290">
        <v>4183.53</v>
      </c>
    </row>
    <row r="1291" spans="1:5" x14ac:dyDescent="0.25">
      <c r="A1291" s="1">
        <v>45485</v>
      </c>
      <c r="B1291">
        <v>2</v>
      </c>
      <c r="C1291" t="s">
        <v>6</v>
      </c>
      <c r="D1291">
        <v>270</v>
      </c>
      <c r="E1291">
        <v>4648.13</v>
      </c>
    </row>
    <row r="1292" spans="1:5" x14ac:dyDescent="0.25">
      <c r="A1292" s="1">
        <v>45486</v>
      </c>
      <c r="B1292">
        <v>2</v>
      </c>
      <c r="C1292" t="s">
        <v>6</v>
      </c>
      <c r="D1292">
        <v>292</v>
      </c>
      <c r="E1292">
        <v>4349.6400000000003</v>
      </c>
    </row>
    <row r="1293" spans="1:5" x14ac:dyDescent="0.25">
      <c r="A1293" s="1">
        <v>45487</v>
      </c>
      <c r="B1293">
        <v>2</v>
      </c>
      <c r="C1293" t="s">
        <v>6</v>
      </c>
      <c r="D1293">
        <v>268</v>
      </c>
      <c r="E1293">
        <v>4854.09</v>
      </c>
    </row>
    <row r="1294" spans="1:5" x14ac:dyDescent="0.25">
      <c r="A1294" s="1">
        <v>45488</v>
      </c>
      <c r="B1294">
        <v>2</v>
      </c>
      <c r="C1294" t="s">
        <v>6</v>
      </c>
      <c r="D1294">
        <v>276</v>
      </c>
      <c r="E1294">
        <v>4687.84</v>
      </c>
    </row>
    <row r="1295" spans="1:5" x14ac:dyDescent="0.25">
      <c r="A1295" s="1">
        <v>45489</v>
      </c>
      <c r="B1295">
        <v>2</v>
      </c>
      <c r="C1295" t="s">
        <v>6</v>
      </c>
      <c r="D1295">
        <v>291</v>
      </c>
      <c r="E1295">
        <v>4813.6400000000003</v>
      </c>
    </row>
    <row r="1296" spans="1:5" x14ac:dyDescent="0.25">
      <c r="A1296" s="1">
        <v>45490</v>
      </c>
      <c r="B1296">
        <v>2</v>
      </c>
      <c r="C1296" t="s">
        <v>6</v>
      </c>
      <c r="D1296">
        <v>257</v>
      </c>
      <c r="E1296">
        <v>4417.38</v>
      </c>
    </row>
    <row r="1297" spans="1:5" x14ac:dyDescent="0.25">
      <c r="A1297" s="1">
        <v>45491</v>
      </c>
      <c r="B1297">
        <v>2</v>
      </c>
      <c r="C1297" t="s">
        <v>6</v>
      </c>
      <c r="D1297">
        <v>231</v>
      </c>
      <c r="E1297">
        <v>3750.52</v>
      </c>
    </row>
    <row r="1298" spans="1:5" x14ac:dyDescent="0.25">
      <c r="A1298" s="1">
        <v>45492</v>
      </c>
      <c r="B1298">
        <v>2</v>
      </c>
      <c r="C1298" t="s">
        <v>6</v>
      </c>
      <c r="D1298">
        <v>240</v>
      </c>
      <c r="E1298">
        <v>3805.89</v>
      </c>
    </row>
    <row r="1299" spans="1:5" x14ac:dyDescent="0.25">
      <c r="A1299" s="1">
        <v>45493</v>
      </c>
      <c r="B1299">
        <v>2</v>
      </c>
      <c r="C1299" t="s">
        <v>6</v>
      </c>
      <c r="D1299">
        <v>294</v>
      </c>
      <c r="E1299">
        <v>4852.17</v>
      </c>
    </row>
    <row r="1300" spans="1:5" x14ac:dyDescent="0.25">
      <c r="A1300" s="1">
        <v>45494</v>
      </c>
      <c r="B1300">
        <v>2</v>
      </c>
      <c r="C1300" t="s">
        <v>6</v>
      </c>
      <c r="D1300">
        <v>295</v>
      </c>
      <c r="E1300">
        <v>5349</v>
      </c>
    </row>
    <row r="1301" spans="1:5" x14ac:dyDescent="0.25">
      <c r="A1301" s="1">
        <v>45495</v>
      </c>
      <c r="B1301">
        <v>2</v>
      </c>
      <c r="C1301" t="s">
        <v>6</v>
      </c>
      <c r="D1301">
        <v>301</v>
      </c>
      <c r="E1301">
        <v>4960.53</v>
      </c>
    </row>
    <row r="1302" spans="1:5" x14ac:dyDescent="0.25">
      <c r="A1302" s="1">
        <v>45496</v>
      </c>
      <c r="B1302">
        <v>2</v>
      </c>
      <c r="C1302" t="s">
        <v>6</v>
      </c>
      <c r="D1302">
        <v>306</v>
      </c>
      <c r="E1302">
        <v>4926.4399999999996</v>
      </c>
    </row>
    <row r="1303" spans="1:5" x14ac:dyDescent="0.25">
      <c r="A1303" s="1">
        <v>45497</v>
      </c>
      <c r="B1303">
        <v>2</v>
      </c>
      <c r="C1303" t="s">
        <v>6</v>
      </c>
      <c r="D1303">
        <v>270</v>
      </c>
      <c r="E1303">
        <v>4372.79</v>
      </c>
    </row>
    <row r="1304" spans="1:5" x14ac:dyDescent="0.25">
      <c r="A1304" s="1">
        <v>45498</v>
      </c>
      <c r="B1304">
        <v>2</v>
      </c>
      <c r="C1304" t="s">
        <v>6</v>
      </c>
      <c r="D1304">
        <v>287</v>
      </c>
      <c r="E1304">
        <v>4927.41</v>
      </c>
    </row>
    <row r="1305" spans="1:5" x14ac:dyDescent="0.25">
      <c r="A1305" s="1">
        <v>45499</v>
      </c>
      <c r="B1305">
        <v>2</v>
      </c>
      <c r="C1305" t="s">
        <v>6</v>
      </c>
      <c r="D1305">
        <v>276</v>
      </c>
      <c r="E1305">
        <v>4255.4399999999996</v>
      </c>
    </row>
    <row r="1306" spans="1:5" x14ac:dyDescent="0.25">
      <c r="A1306" s="1">
        <v>45500</v>
      </c>
      <c r="B1306">
        <v>2</v>
      </c>
      <c r="C1306" t="s">
        <v>6</v>
      </c>
      <c r="D1306">
        <v>319</v>
      </c>
      <c r="E1306">
        <v>5412.59</v>
      </c>
    </row>
    <row r="1307" spans="1:5" x14ac:dyDescent="0.25">
      <c r="A1307" s="1">
        <v>45501</v>
      </c>
      <c r="B1307">
        <v>2</v>
      </c>
      <c r="C1307" t="s">
        <v>6</v>
      </c>
      <c r="D1307">
        <v>334</v>
      </c>
      <c r="E1307">
        <v>5886.89</v>
      </c>
    </row>
    <row r="1308" spans="1:5" x14ac:dyDescent="0.25">
      <c r="A1308" s="1">
        <v>45502</v>
      </c>
      <c r="B1308">
        <v>2</v>
      </c>
      <c r="C1308" t="s">
        <v>6</v>
      </c>
      <c r="D1308">
        <v>262</v>
      </c>
      <c r="E1308">
        <v>4276.42</v>
      </c>
    </row>
    <row r="1309" spans="1:5" x14ac:dyDescent="0.25">
      <c r="A1309" s="1">
        <v>45503</v>
      </c>
      <c r="B1309">
        <v>2</v>
      </c>
      <c r="C1309" t="s">
        <v>6</v>
      </c>
      <c r="D1309">
        <v>279</v>
      </c>
      <c r="E1309">
        <v>5346.4</v>
      </c>
    </row>
    <row r="1310" spans="1:5" x14ac:dyDescent="0.25">
      <c r="A1310" s="1">
        <v>45504</v>
      </c>
      <c r="B1310">
        <v>2</v>
      </c>
      <c r="C1310" t="s">
        <v>6</v>
      </c>
      <c r="D1310">
        <v>305</v>
      </c>
      <c r="E1310">
        <v>5031.26</v>
      </c>
    </row>
    <row r="1311" spans="1:5" x14ac:dyDescent="0.25">
      <c r="A1311" s="1">
        <v>45505</v>
      </c>
      <c r="B1311">
        <v>2</v>
      </c>
      <c r="C1311" t="s">
        <v>6</v>
      </c>
      <c r="D1311">
        <v>296</v>
      </c>
      <c r="E1311">
        <v>5327.7</v>
      </c>
    </row>
    <row r="1312" spans="1:5" x14ac:dyDescent="0.25">
      <c r="A1312" s="1">
        <v>45506</v>
      </c>
      <c r="B1312">
        <v>2</v>
      </c>
      <c r="C1312" t="s">
        <v>6</v>
      </c>
      <c r="D1312">
        <v>273</v>
      </c>
      <c r="E1312">
        <v>4632.75</v>
      </c>
    </row>
    <row r="1313" spans="1:5" x14ac:dyDescent="0.25">
      <c r="A1313" s="1">
        <v>45507</v>
      </c>
      <c r="B1313">
        <v>2</v>
      </c>
      <c r="C1313" t="s">
        <v>6</v>
      </c>
      <c r="D1313">
        <v>306</v>
      </c>
      <c r="E1313">
        <v>4992.18</v>
      </c>
    </row>
    <row r="1314" spans="1:5" x14ac:dyDescent="0.25">
      <c r="A1314" s="1">
        <v>45508</v>
      </c>
      <c r="B1314">
        <v>2</v>
      </c>
      <c r="C1314" t="s">
        <v>6</v>
      </c>
      <c r="D1314">
        <v>306</v>
      </c>
      <c r="E1314">
        <v>5387.93</v>
      </c>
    </row>
    <row r="1315" spans="1:5" x14ac:dyDescent="0.25">
      <c r="A1315" s="1">
        <v>45509</v>
      </c>
      <c r="B1315">
        <v>2</v>
      </c>
      <c r="C1315" t="s">
        <v>6</v>
      </c>
      <c r="D1315">
        <v>297</v>
      </c>
      <c r="E1315">
        <v>5164.58</v>
      </c>
    </row>
    <row r="1316" spans="1:5" x14ac:dyDescent="0.25">
      <c r="A1316" s="1">
        <v>45510</v>
      </c>
      <c r="B1316">
        <v>2</v>
      </c>
      <c r="C1316" t="s">
        <v>6</v>
      </c>
      <c r="D1316">
        <v>295</v>
      </c>
      <c r="E1316">
        <v>4908.87</v>
      </c>
    </row>
    <row r="1317" spans="1:5" x14ac:dyDescent="0.25">
      <c r="A1317" s="1">
        <v>45511</v>
      </c>
      <c r="B1317">
        <v>2</v>
      </c>
      <c r="C1317" t="s">
        <v>6</v>
      </c>
      <c r="D1317">
        <v>276</v>
      </c>
      <c r="E1317">
        <v>4417.1400000000003</v>
      </c>
    </row>
    <row r="1318" spans="1:5" x14ac:dyDescent="0.25">
      <c r="A1318" s="1">
        <v>45512</v>
      </c>
      <c r="B1318">
        <v>2</v>
      </c>
      <c r="C1318" t="s">
        <v>6</v>
      </c>
      <c r="D1318">
        <v>287</v>
      </c>
      <c r="E1318">
        <v>5104.82</v>
      </c>
    </row>
    <row r="1319" spans="1:5" x14ac:dyDescent="0.25">
      <c r="A1319" s="1">
        <v>45513</v>
      </c>
      <c r="B1319">
        <v>2</v>
      </c>
      <c r="C1319" t="s">
        <v>6</v>
      </c>
      <c r="D1319">
        <v>270</v>
      </c>
      <c r="E1319">
        <v>4116.59</v>
      </c>
    </row>
    <row r="1320" spans="1:5" x14ac:dyDescent="0.25">
      <c r="A1320" s="1">
        <v>45514</v>
      </c>
      <c r="B1320">
        <v>2</v>
      </c>
      <c r="C1320" t="s">
        <v>6</v>
      </c>
      <c r="D1320">
        <v>308</v>
      </c>
      <c r="E1320">
        <v>4862.22</v>
      </c>
    </row>
    <row r="1321" spans="1:5" x14ac:dyDescent="0.25">
      <c r="A1321" s="1">
        <v>45515</v>
      </c>
      <c r="B1321">
        <v>2</v>
      </c>
      <c r="C1321" t="s">
        <v>6</v>
      </c>
      <c r="D1321">
        <v>330</v>
      </c>
      <c r="E1321">
        <v>5421.64</v>
      </c>
    </row>
    <row r="1322" spans="1:5" x14ac:dyDescent="0.25">
      <c r="A1322" s="1">
        <v>45516</v>
      </c>
      <c r="B1322">
        <v>2</v>
      </c>
      <c r="C1322" t="s">
        <v>6</v>
      </c>
      <c r="D1322">
        <v>270</v>
      </c>
      <c r="E1322">
        <v>4267.12</v>
      </c>
    </row>
    <row r="1323" spans="1:5" x14ac:dyDescent="0.25">
      <c r="A1323" s="1">
        <v>45517</v>
      </c>
      <c r="B1323">
        <v>2</v>
      </c>
      <c r="C1323" t="s">
        <v>6</v>
      </c>
      <c r="D1323">
        <v>285</v>
      </c>
      <c r="E1323">
        <v>4792.53</v>
      </c>
    </row>
    <row r="1324" spans="1:5" x14ac:dyDescent="0.25">
      <c r="A1324" s="1">
        <v>45518</v>
      </c>
      <c r="B1324">
        <v>2</v>
      </c>
      <c r="C1324" t="s">
        <v>6</v>
      </c>
      <c r="D1324">
        <v>319</v>
      </c>
      <c r="E1324">
        <v>5383.75</v>
      </c>
    </row>
    <row r="1325" spans="1:5" x14ac:dyDescent="0.25">
      <c r="A1325" s="1">
        <v>45519</v>
      </c>
      <c r="B1325">
        <v>2</v>
      </c>
      <c r="C1325" t="s">
        <v>6</v>
      </c>
      <c r="D1325">
        <v>282</v>
      </c>
      <c r="E1325">
        <v>4638.08</v>
      </c>
    </row>
    <row r="1326" spans="1:5" x14ac:dyDescent="0.25">
      <c r="A1326" s="1">
        <v>45520</v>
      </c>
      <c r="B1326">
        <v>2</v>
      </c>
      <c r="C1326" t="s">
        <v>6</v>
      </c>
      <c r="D1326">
        <v>268</v>
      </c>
      <c r="E1326">
        <v>4719.1899999999996</v>
      </c>
    </row>
    <row r="1327" spans="1:5" x14ac:dyDescent="0.25">
      <c r="A1327" s="1">
        <v>45521</v>
      </c>
      <c r="B1327">
        <v>2</v>
      </c>
      <c r="C1327" t="s">
        <v>6</v>
      </c>
      <c r="D1327">
        <v>312</v>
      </c>
      <c r="E1327">
        <v>4840.37</v>
      </c>
    </row>
    <row r="1328" spans="1:5" x14ac:dyDescent="0.25">
      <c r="A1328" s="1">
        <v>45522</v>
      </c>
      <c r="B1328">
        <v>2</v>
      </c>
      <c r="C1328" t="s">
        <v>6</v>
      </c>
      <c r="D1328">
        <v>295</v>
      </c>
      <c r="E1328">
        <v>4781.91</v>
      </c>
    </row>
    <row r="1329" spans="1:5" x14ac:dyDescent="0.25">
      <c r="A1329" s="1">
        <v>45523</v>
      </c>
      <c r="B1329">
        <v>2</v>
      </c>
      <c r="C1329" t="s">
        <v>6</v>
      </c>
      <c r="D1329">
        <v>256</v>
      </c>
      <c r="E1329">
        <v>4441.13</v>
      </c>
    </row>
    <row r="1330" spans="1:5" x14ac:dyDescent="0.25">
      <c r="A1330" s="1">
        <v>45524</v>
      </c>
      <c r="B1330">
        <v>2</v>
      </c>
      <c r="C1330" t="s">
        <v>6</v>
      </c>
      <c r="D1330">
        <v>295</v>
      </c>
      <c r="E1330">
        <v>5183.43</v>
      </c>
    </row>
    <row r="1331" spans="1:5" x14ac:dyDescent="0.25">
      <c r="A1331" s="1">
        <v>45525</v>
      </c>
      <c r="B1331">
        <v>2</v>
      </c>
      <c r="C1331" t="s">
        <v>6</v>
      </c>
      <c r="D1331">
        <v>305</v>
      </c>
      <c r="E1331">
        <v>4905.38</v>
      </c>
    </row>
    <row r="1332" spans="1:5" x14ac:dyDescent="0.25">
      <c r="A1332" s="1">
        <v>45526</v>
      </c>
      <c r="B1332">
        <v>2</v>
      </c>
      <c r="C1332" t="s">
        <v>6</v>
      </c>
      <c r="D1332">
        <v>310</v>
      </c>
      <c r="E1332">
        <v>5594.18</v>
      </c>
    </row>
    <row r="1333" spans="1:5" x14ac:dyDescent="0.25">
      <c r="A1333" s="1">
        <v>45527</v>
      </c>
      <c r="B1333">
        <v>2</v>
      </c>
      <c r="C1333" t="s">
        <v>6</v>
      </c>
      <c r="D1333">
        <v>290</v>
      </c>
      <c r="E1333">
        <v>4626.07</v>
      </c>
    </row>
    <row r="1334" spans="1:5" x14ac:dyDescent="0.25">
      <c r="A1334" s="1">
        <v>45528</v>
      </c>
      <c r="B1334">
        <v>2</v>
      </c>
      <c r="C1334" t="s">
        <v>6</v>
      </c>
      <c r="D1334">
        <v>289</v>
      </c>
      <c r="E1334">
        <v>5508.9</v>
      </c>
    </row>
    <row r="1335" spans="1:5" x14ac:dyDescent="0.25">
      <c r="A1335" s="1">
        <v>45529</v>
      </c>
      <c r="B1335">
        <v>2</v>
      </c>
      <c r="C1335" t="s">
        <v>6</v>
      </c>
      <c r="D1335">
        <v>325</v>
      </c>
      <c r="E1335">
        <v>6050.79</v>
      </c>
    </row>
    <row r="1336" spans="1:5" x14ac:dyDescent="0.25">
      <c r="A1336" s="1">
        <v>45530</v>
      </c>
      <c r="B1336">
        <v>2</v>
      </c>
      <c r="C1336" t="s">
        <v>6</v>
      </c>
      <c r="D1336">
        <v>271</v>
      </c>
      <c r="E1336">
        <v>4394.43</v>
      </c>
    </row>
    <row r="1337" spans="1:5" x14ac:dyDescent="0.25">
      <c r="A1337" s="1">
        <v>45531</v>
      </c>
      <c r="B1337">
        <v>2</v>
      </c>
      <c r="C1337" t="s">
        <v>6</v>
      </c>
      <c r="D1337">
        <v>314</v>
      </c>
      <c r="E1337">
        <v>5524.9</v>
      </c>
    </row>
    <row r="1338" spans="1:5" x14ac:dyDescent="0.25">
      <c r="A1338" s="1">
        <v>45532</v>
      </c>
      <c r="B1338">
        <v>2</v>
      </c>
      <c r="C1338" t="s">
        <v>6</v>
      </c>
      <c r="D1338">
        <v>278</v>
      </c>
      <c r="E1338">
        <v>4668.21</v>
      </c>
    </row>
    <row r="1339" spans="1:5" x14ac:dyDescent="0.25">
      <c r="A1339" s="1">
        <v>45533</v>
      </c>
      <c r="B1339">
        <v>2</v>
      </c>
      <c r="C1339" t="s">
        <v>6</v>
      </c>
      <c r="D1339">
        <v>296</v>
      </c>
      <c r="E1339">
        <v>5093.5200000000004</v>
      </c>
    </row>
    <row r="1340" spans="1:5" x14ac:dyDescent="0.25">
      <c r="A1340" s="1">
        <v>45534</v>
      </c>
      <c r="B1340">
        <v>2</v>
      </c>
      <c r="C1340" t="s">
        <v>6</v>
      </c>
      <c r="D1340">
        <v>286</v>
      </c>
      <c r="E1340">
        <v>4861.93</v>
      </c>
    </row>
    <row r="1341" spans="1:5" x14ac:dyDescent="0.25">
      <c r="A1341" s="1">
        <v>45535</v>
      </c>
      <c r="B1341">
        <v>2</v>
      </c>
      <c r="C1341" t="s">
        <v>6</v>
      </c>
      <c r="D1341">
        <v>344</v>
      </c>
      <c r="E1341">
        <v>5864.51</v>
      </c>
    </row>
    <row r="1342" spans="1:5" x14ac:dyDescent="0.25">
      <c r="A1342" s="1">
        <v>45536</v>
      </c>
      <c r="B1342">
        <v>2</v>
      </c>
      <c r="C1342" t="s">
        <v>6</v>
      </c>
      <c r="D1342">
        <v>337</v>
      </c>
      <c r="E1342">
        <v>5855.35</v>
      </c>
    </row>
    <row r="1343" spans="1:5" x14ac:dyDescent="0.25">
      <c r="A1343" s="1">
        <v>45537</v>
      </c>
      <c r="B1343">
        <v>2</v>
      </c>
      <c r="C1343" t="s">
        <v>6</v>
      </c>
      <c r="D1343">
        <v>294</v>
      </c>
      <c r="E1343">
        <v>4865.8</v>
      </c>
    </row>
    <row r="1344" spans="1:5" x14ac:dyDescent="0.25">
      <c r="A1344" s="1">
        <v>45538</v>
      </c>
      <c r="B1344">
        <v>2</v>
      </c>
      <c r="C1344" t="s">
        <v>6</v>
      </c>
      <c r="D1344">
        <v>289</v>
      </c>
      <c r="E1344">
        <v>4727.1499999999996</v>
      </c>
    </row>
    <row r="1345" spans="1:5" x14ac:dyDescent="0.25">
      <c r="A1345" s="1">
        <v>45539</v>
      </c>
      <c r="B1345">
        <v>2</v>
      </c>
      <c r="C1345" t="s">
        <v>6</v>
      </c>
      <c r="D1345">
        <v>250</v>
      </c>
      <c r="E1345">
        <v>4420.9399999999996</v>
      </c>
    </row>
    <row r="1346" spans="1:5" x14ac:dyDescent="0.25">
      <c r="A1346" s="1">
        <v>45540</v>
      </c>
      <c r="B1346">
        <v>2</v>
      </c>
      <c r="C1346" t="s">
        <v>6</v>
      </c>
      <c r="D1346">
        <v>241</v>
      </c>
      <c r="E1346">
        <v>4643.8100000000004</v>
      </c>
    </row>
    <row r="1347" spans="1:5" x14ac:dyDescent="0.25">
      <c r="A1347" s="1">
        <v>45541</v>
      </c>
      <c r="B1347">
        <v>2</v>
      </c>
      <c r="C1347" t="s">
        <v>6</v>
      </c>
      <c r="D1347">
        <v>270</v>
      </c>
      <c r="E1347">
        <v>4656.1499999999996</v>
      </c>
    </row>
    <row r="1348" spans="1:5" x14ac:dyDescent="0.25">
      <c r="A1348" s="1">
        <v>45542</v>
      </c>
      <c r="B1348">
        <v>2</v>
      </c>
      <c r="C1348" t="s">
        <v>6</v>
      </c>
      <c r="D1348">
        <v>308</v>
      </c>
      <c r="E1348">
        <v>4873.1400000000003</v>
      </c>
    </row>
    <row r="1349" spans="1:5" x14ac:dyDescent="0.25">
      <c r="A1349" s="1">
        <v>45543</v>
      </c>
      <c r="B1349">
        <v>2</v>
      </c>
      <c r="C1349" t="s">
        <v>6</v>
      </c>
      <c r="D1349">
        <v>265</v>
      </c>
      <c r="E1349">
        <v>4651.42</v>
      </c>
    </row>
    <row r="1350" spans="1:5" x14ac:dyDescent="0.25">
      <c r="A1350" s="1">
        <v>45544</v>
      </c>
      <c r="B1350">
        <v>2</v>
      </c>
      <c r="C1350" t="s">
        <v>6</v>
      </c>
      <c r="D1350">
        <v>263</v>
      </c>
      <c r="E1350">
        <v>4286.1000000000004</v>
      </c>
    </row>
    <row r="1351" spans="1:5" x14ac:dyDescent="0.25">
      <c r="A1351" s="1">
        <v>45545</v>
      </c>
      <c r="B1351">
        <v>2</v>
      </c>
      <c r="C1351" t="s">
        <v>6</v>
      </c>
      <c r="D1351">
        <v>280</v>
      </c>
      <c r="E1351">
        <v>4316.83</v>
      </c>
    </row>
    <row r="1352" spans="1:5" x14ac:dyDescent="0.25">
      <c r="A1352" s="1">
        <v>45546</v>
      </c>
      <c r="B1352">
        <v>2</v>
      </c>
      <c r="C1352" t="s">
        <v>6</v>
      </c>
      <c r="D1352">
        <v>242</v>
      </c>
      <c r="E1352">
        <v>4066.38</v>
      </c>
    </row>
    <row r="1353" spans="1:5" x14ac:dyDescent="0.25">
      <c r="A1353" s="1">
        <v>45547</v>
      </c>
      <c r="B1353">
        <v>2</v>
      </c>
      <c r="C1353" t="s">
        <v>6</v>
      </c>
      <c r="D1353">
        <v>298</v>
      </c>
      <c r="E1353">
        <v>4865.17</v>
      </c>
    </row>
    <row r="1354" spans="1:5" x14ac:dyDescent="0.25">
      <c r="A1354" s="1">
        <v>45548</v>
      </c>
      <c r="B1354">
        <v>2</v>
      </c>
      <c r="C1354" t="s">
        <v>6</v>
      </c>
      <c r="D1354">
        <v>295</v>
      </c>
      <c r="E1354">
        <v>5009.51</v>
      </c>
    </row>
    <row r="1355" spans="1:5" x14ac:dyDescent="0.25">
      <c r="A1355" s="1">
        <v>45549</v>
      </c>
      <c r="B1355">
        <v>2</v>
      </c>
      <c r="C1355" t="s">
        <v>6</v>
      </c>
      <c r="D1355">
        <v>336</v>
      </c>
      <c r="E1355">
        <v>5416.7</v>
      </c>
    </row>
    <row r="1356" spans="1:5" x14ac:dyDescent="0.25">
      <c r="A1356" s="1">
        <v>45550</v>
      </c>
      <c r="B1356">
        <v>2</v>
      </c>
      <c r="C1356" t="s">
        <v>6</v>
      </c>
      <c r="D1356">
        <v>314</v>
      </c>
      <c r="E1356">
        <v>5814.62</v>
      </c>
    </row>
    <row r="1357" spans="1:5" x14ac:dyDescent="0.25">
      <c r="A1357" s="1">
        <v>45551</v>
      </c>
      <c r="B1357">
        <v>2</v>
      </c>
      <c r="C1357" t="s">
        <v>6</v>
      </c>
      <c r="D1357">
        <v>278</v>
      </c>
      <c r="E1357">
        <v>4761.4399999999996</v>
      </c>
    </row>
    <row r="1358" spans="1:5" x14ac:dyDescent="0.25">
      <c r="A1358" s="1">
        <v>45552</v>
      </c>
      <c r="B1358">
        <v>2</v>
      </c>
      <c r="C1358" t="s">
        <v>6</v>
      </c>
      <c r="D1358">
        <v>254</v>
      </c>
      <c r="E1358">
        <v>4583.34</v>
      </c>
    </row>
    <row r="1359" spans="1:5" x14ac:dyDescent="0.25">
      <c r="A1359" s="1">
        <v>45553</v>
      </c>
      <c r="B1359">
        <v>2</v>
      </c>
      <c r="C1359" t="s">
        <v>6</v>
      </c>
      <c r="D1359">
        <v>255</v>
      </c>
      <c r="E1359">
        <v>4036.17</v>
      </c>
    </row>
    <row r="1360" spans="1:5" x14ac:dyDescent="0.25">
      <c r="A1360" s="1">
        <v>45554</v>
      </c>
      <c r="B1360">
        <v>2</v>
      </c>
      <c r="C1360" t="s">
        <v>6</v>
      </c>
      <c r="D1360">
        <v>268</v>
      </c>
      <c r="E1360">
        <v>4418.47</v>
      </c>
    </row>
    <row r="1361" spans="1:5" x14ac:dyDescent="0.25">
      <c r="A1361" s="1">
        <v>45555</v>
      </c>
      <c r="B1361">
        <v>2</v>
      </c>
      <c r="C1361" t="s">
        <v>6</v>
      </c>
      <c r="D1361">
        <v>303</v>
      </c>
      <c r="E1361">
        <v>4476.74</v>
      </c>
    </row>
    <row r="1362" spans="1:5" x14ac:dyDescent="0.25">
      <c r="A1362" s="1">
        <v>45556</v>
      </c>
      <c r="B1362">
        <v>2</v>
      </c>
      <c r="C1362" t="s">
        <v>6</v>
      </c>
      <c r="D1362">
        <v>304</v>
      </c>
      <c r="E1362">
        <v>4920.34</v>
      </c>
    </row>
    <row r="1363" spans="1:5" x14ac:dyDescent="0.25">
      <c r="A1363" s="1">
        <v>45557</v>
      </c>
      <c r="B1363">
        <v>2</v>
      </c>
      <c r="C1363" t="s">
        <v>6</v>
      </c>
      <c r="D1363">
        <v>306</v>
      </c>
      <c r="E1363">
        <v>5254.43</v>
      </c>
    </row>
    <row r="1364" spans="1:5" x14ac:dyDescent="0.25">
      <c r="A1364" s="1">
        <v>45558</v>
      </c>
      <c r="B1364">
        <v>2</v>
      </c>
      <c r="C1364" t="s">
        <v>6</v>
      </c>
      <c r="D1364">
        <v>269</v>
      </c>
      <c r="E1364">
        <v>4468.71</v>
      </c>
    </row>
    <row r="1365" spans="1:5" x14ac:dyDescent="0.25">
      <c r="A1365" s="1">
        <v>45559</v>
      </c>
      <c r="B1365">
        <v>2</v>
      </c>
      <c r="C1365" t="s">
        <v>6</v>
      </c>
      <c r="D1365">
        <v>270</v>
      </c>
      <c r="E1365">
        <v>4220.1000000000004</v>
      </c>
    </row>
    <row r="1366" spans="1:5" x14ac:dyDescent="0.25">
      <c r="A1366" s="1">
        <v>45560</v>
      </c>
      <c r="B1366">
        <v>2</v>
      </c>
      <c r="C1366" t="s">
        <v>6</v>
      </c>
      <c r="D1366">
        <v>233</v>
      </c>
      <c r="E1366">
        <v>3896.44</v>
      </c>
    </row>
    <row r="1367" spans="1:5" x14ac:dyDescent="0.25">
      <c r="A1367" s="1">
        <v>45561</v>
      </c>
      <c r="B1367">
        <v>2</v>
      </c>
      <c r="C1367" t="s">
        <v>6</v>
      </c>
      <c r="D1367">
        <v>247</v>
      </c>
      <c r="E1367">
        <v>4218.1000000000004</v>
      </c>
    </row>
    <row r="1368" spans="1:5" x14ac:dyDescent="0.25">
      <c r="A1368" s="1">
        <v>45562</v>
      </c>
      <c r="B1368">
        <v>2</v>
      </c>
      <c r="C1368" t="s">
        <v>6</v>
      </c>
      <c r="D1368">
        <v>283</v>
      </c>
      <c r="E1368">
        <v>4754.8100000000004</v>
      </c>
    </row>
    <row r="1369" spans="1:5" x14ac:dyDescent="0.25">
      <c r="A1369" s="1">
        <v>45563</v>
      </c>
      <c r="B1369">
        <v>2</v>
      </c>
      <c r="C1369" t="s">
        <v>6</v>
      </c>
      <c r="D1369">
        <v>294</v>
      </c>
      <c r="E1369">
        <v>4702.3</v>
      </c>
    </row>
    <row r="1370" spans="1:5" x14ac:dyDescent="0.25">
      <c r="A1370" s="1">
        <v>45564</v>
      </c>
      <c r="B1370">
        <v>2</v>
      </c>
      <c r="C1370" t="s">
        <v>6</v>
      </c>
      <c r="D1370">
        <v>302</v>
      </c>
      <c r="E1370">
        <v>4981.93</v>
      </c>
    </row>
    <row r="1371" spans="1:5" x14ac:dyDescent="0.25">
      <c r="A1371" s="1">
        <v>45565</v>
      </c>
      <c r="B1371">
        <v>2</v>
      </c>
      <c r="C1371" t="s">
        <v>6</v>
      </c>
      <c r="D1371">
        <v>293</v>
      </c>
      <c r="E1371">
        <v>5117.37</v>
      </c>
    </row>
    <row r="1372" spans="1:5" x14ac:dyDescent="0.25">
      <c r="A1372" s="1">
        <v>45566</v>
      </c>
      <c r="B1372">
        <v>2</v>
      </c>
      <c r="C1372" t="s">
        <v>6</v>
      </c>
      <c r="D1372">
        <v>260</v>
      </c>
      <c r="E1372">
        <v>4762.4399999999996</v>
      </c>
    </row>
    <row r="1373" spans="1:5" x14ac:dyDescent="0.25">
      <c r="A1373" s="1">
        <v>45567</v>
      </c>
      <c r="B1373">
        <v>2</v>
      </c>
      <c r="C1373" t="s">
        <v>6</v>
      </c>
      <c r="D1373">
        <v>226</v>
      </c>
      <c r="E1373">
        <v>4105.5</v>
      </c>
    </row>
    <row r="1374" spans="1:5" x14ac:dyDescent="0.25">
      <c r="A1374" s="1">
        <v>45568</v>
      </c>
      <c r="B1374">
        <v>2</v>
      </c>
      <c r="C1374" t="s">
        <v>6</v>
      </c>
      <c r="D1374">
        <v>275</v>
      </c>
      <c r="E1374">
        <v>4792.66</v>
      </c>
    </row>
    <row r="1375" spans="1:5" x14ac:dyDescent="0.25">
      <c r="A1375" s="1">
        <v>45569</v>
      </c>
      <c r="B1375">
        <v>2</v>
      </c>
      <c r="C1375" t="s">
        <v>6</v>
      </c>
      <c r="D1375">
        <v>284</v>
      </c>
      <c r="E1375">
        <v>4875.82</v>
      </c>
    </row>
    <row r="1376" spans="1:5" x14ac:dyDescent="0.25">
      <c r="A1376" s="1">
        <v>45570</v>
      </c>
      <c r="B1376">
        <v>2</v>
      </c>
      <c r="C1376" t="s">
        <v>6</v>
      </c>
      <c r="D1376">
        <v>386</v>
      </c>
      <c r="E1376">
        <v>6769.15</v>
      </c>
    </row>
    <row r="1377" spans="1:5" x14ac:dyDescent="0.25">
      <c r="A1377" s="1">
        <v>45571</v>
      </c>
      <c r="B1377">
        <v>2</v>
      </c>
      <c r="C1377" t="s">
        <v>6</v>
      </c>
      <c r="D1377">
        <v>309</v>
      </c>
      <c r="E1377">
        <v>5363.85</v>
      </c>
    </row>
    <row r="1378" spans="1:5" x14ac:dyDescent="0.25">
      <c r="A1378" s="1">
        <v>45572</v>
      </c>
      <c r="B1378">
        <v>2</v>
      </c>
      <c r="C1378" t="s">
        <v>6</v>
      </c>
      <c r="D1378">
        <v>273</v>
      </c>
      <c r="E1378">
        <v>4712.12</v>
      </c>
    </row>
    <row r="1379" spans="1:5" x14ac:dyDescent="0.25">
      <c r="A1379" s="1">
        <v>45573</v>
      </c>
      <c r="B1379">
        <v>2</v>
      </c>
      <c r="C1379" t="s">
        <v>6</v>
      </c>
      <c r="D1379">
        <v>277</v>
      </c>
      <c r="E1379">
        <v>4783.8999999999996</v>
      </c>
    </row>
    <row r="1380" spans="1:5" x14ac:dyDescent="0.25">
      <c r="A1380" s="1">
        <v>45574</v>
      </c>
      <c r="B1380">
        <v>2</v>
      </c>
      <c r="C1380" t="s">
        <v>6</v>
      </c>
      <c r="D1380">
        <v>253</v>
      </c>
      <c r="E1380">
        <v>3857.26</v>
      </c>
    </row>
    <row r="1381" spans="1:5" x14ac:dyDescent="0.25">
      <c r="A1381" s="1">
        <v>45575</v>
      </c>
      <c r="B1381">
        <v>2</v>
      </c>
      <c r="C1381" t="s">
        <v>6</v>
      </c>
      <c r="D1381">
        <v>257</v>
      </c>
      <c r="E1381">
        <v>4716.83</v>
      </c>
    </row>
    <row r="1382" spans="1:5" x14ac:dyDescent="0.25">
      <c r="A1382" s="1">
        <v>45576</v>
      </c>
      <c r="B1382">
        <v>2</v>
      </c>
      <c r="C1382" t="s">
        <v>6</v>
      </c>
      <c r="D1382">
        <v>224</v>
      </c>
      <c r="E1382">
        <v>4056.25</v>
      </c>
    </row>
    <row r="1383" spans="1:5" x14ac:dyDescent="0.25">
      <c r="A1383" s="1">
        <v>45577</v>
      </c>
      <c r="B1383">
        <v>2</v>
      </c>
      <c r="C1383" t="s">
        <v>6</v>
      </c>
      <c r="D1383">
        <v>287</v>
      </c>
      <c r="E1383">
        <v>4767.51</v>
      </c>
    </row>
    <row r="1384" spans="1:5" x14ac:dyDescent="0.25">
      <c r="A1384" s="1">
        <v>45578</v>
      </c>
      <c r="B1384">
        <v>2</v>
      </c>
      <c r="C1384" t="s">
        <v>6</v>
      </c>
      <c r="D1384">
        <v>291</v>
      </c>
      <c r="E1384">
        <v>4969.17</v>
      </c>
    </row>
    <row r="1385" spans="1:5" x14ac:dyDescent="0.25">
      <c r="A1385" s="1">
        <v>45579</v>
      </c>
      <c r="B1385">
        <v>2</v>
      </c>
      <c r="C1385" t="s">
        <v>6</v>
      </c>
      <c r="D1385">
        <v>281</v>
      </c>
      <c r="E1385">
        <v>4695.72</v>
      </c>
    </row>
    <row r="1386" spans="1:5" x14ac:dyDescent="0.25">
      <c r="A1386" s="1">
        <v>45580</v>
      </c>
      <c r="B1386">
        <v>2</v>
      </c>
      <c r="C1386" t="s">
        <v>6</v>
      </c>
      <c r="D1386">
        <v>301</v>
      </c>
      <c r="E1386">
        <v>5471.69</v>
      </c>
    </row>
    <row r="1387" spans="1:5" x14ac:dyDescent="0.25">
      <c r="A1387" s="1">
        <v>45581</v>
      </c>
      <c r="B1387">
        <v>2</v>
      </c>
      <c r="C1387" t="s">
        <v>6</v>
      </c>
      <c r="D1387">
        <v>309</v>
      </c>
      <c r="E1387">
        <v>5226.99</v>
      </c>
    </row>
    <row r="1388" spans="1:5" x14ac:dyDescent="0.25">
      <c r="A1388" s="1">
        <v>45582</v>
      </c>
      <c r="B1388">
        <v>2</v>
      </c>
      <c r="C1388" t="s">
        <v>6</v>
      </c>
      <c r="D1388">
        <v>282</v>
      </c>
      <c r="E1388">
        <v>4919.2</v>
      </c>
    </row>
    <row r="1389" spans="1:5" x14ac:dyDescent="0.25">
      <c r="A1389" s="1">
        <v>45583</v>
      </c>
      <c r="B1389">
        <v>2</v>
      </c>
      <c r="C1389" t="s">
        <v>6</v>
      </c>
      <c r="D1389">
        <v>283</v>
      </c>
      <c r="E1389">
        <v>4886.07</v>
      </c>
    </row>
    <row r="1390" spans="1:5" x14ac:dyDescent="0.25">
      <c r="A1390" s="1">
        <v>45584</v>
      </c>
      <c r="B1390">
        <v>2</v>
      </c>
      <c r="C1390" t="s">
        <v>6</v>
      </c>
      <c r="D1390">
        <v>280</v>
      </c>
      <c r="E1390">
        <v>4854.7</v>
      </c>
    </row>
    <row r="1391" spans="1:5" x14ac:dyDescent="0.25">
      <c r="A1391" s="1">
        <v>45585</v>
      </c>
      <c r="B1391">
        <v>2</v>
      </c>
      <c r="C1391" t="s">
        <v>6</v>
      </c>
      <c r="D1391">
        <v>296</v>
      </c>
      <c r="E1391">
        <v>5443.59</v>
      </c>
    </row>
    <row r="1392" spans="1:5" x14ac:dyDescent="0.25">
      <c r="A1392" s="1">
        <v>45586</v>
      </c>
      <c r="B1392">
        <v>2</v>
      </c>
      <c r="C1392" t="s">
        <v>6</v>
      </c>
      <c r="D1392">
        <v>265</v>
      </c>
      <c r="E1392">
        <v>4442.8599999999997</v>
      </c>
    </row>
    <row r="1393" spans="1:5" x14ac:dyDescent="0.25">
      <c r="A1393" s="1">
        <v>45587</v>
      </c>
      <c r="B1393">
        <v>2</v>
      </c>
      <c r="C1393" t="s">
        <v>6</v>
      </c>
      <c r="D1393">
        <v>295</v>
      </c>
      <c r="E1393">
        <v>5203.54</v>
      </c>
    </row>
    <row r="1394" spans="1:5" x14ac:dyDescent="0.25">
      <c r="A1394" s="1">
        <v>45588</v>
      </c>
      <c r="B1394">
        <v>2</v>
      </c>
      <c r="C1394" t="s">
        <v>6</v>
      </c>
      <c r="D1394">
        <v>311</v>
      </c>
      <c r="E1394">
        <v>5459.35</v>
      </c>
    </row>
    <row r="1395" spans="1:5" x14ac:dyDescent="0.25">
      <c r="A1395" s="1">
        <v>45589</v>
      </c>
      <c r="B1395">
        <v>2</v>
      </c>
      <c r="C1395" t="s">
        <v>6</v>
      </c>
      <c r="D1395">
        <v>239</v>
      </c>
      <c r="E1395">
        <v>3779.43</v>
      </c>
    </row>
    <row r="1396" spans="1:5" x14ac:dyDescent="0.25">
      <c r="A1396" s="1">
        <v>45590</v>
      </c>
      <c r="B1396">
        <v>2</v>
      </c>
      <c r="C1396" t="s">
        <v>6</v>
      </c>
      <c r="D1396">
        <v>242</v>
      </c>
      <c r="E1396">
        <v>4116.1400000000003</v>
      </c>
    </row>
    <row r="1397" spans="1:5" x14ac:dyDescent="0.25">
      <c r="A1397" s="1">
        <v>45591</v>
      </c>
      <c r="B1397">
        <v>2</v>
      </c>
      <c r="C1397" t="s">
        <v>6</v>
      </c>
      <c r="D1397">
        <v>289</v>
      </c>
      <c r="E1397">
        <v>5431.81</v>
      </c>
    </row>
    <row r="1398" spans="1:5" x14ac:dyDescent="0.25">
      <c r="A1398" s="1">
        <v>45592</v>
      </c>
      <c r="B1398">
        <v>2</v>
      </c>
      <c r="C1398" t="s">
        <v>6</v>
      </c>
      <c r="D1398">
        <v>283</v>
      </c>
      <c r="E1398">
        <v>4782.54</v>
      </c>
    </row>
    <row r="1399" spans="1:5" x14ac:dyDescent="0.25">
      <c r="A1399" s="1">
        <v>45593</v>
      </c>
      <c r="B1399">
        <v>2</v>
      </c>
      <c r="C1399" t="s">
        <v>6</v>
      </c>
      <c r="D1399">
        <v>268</v>
      </c>
      <c r="E1399">
        <v>4612.08</v>
      </c>
    </row>
    <row r="1400" spans="1:5" x14ac:dyDescent="0.25">
      <c r="A1400" s="1">
        <v>45594</v>
      </c>
      <c r="B1400">
        <v>2</v>
      </c>
      <c r="C1400" t="s">
        <v>6</v>
      </c>
      <c r="D1400">
        <v>256</v>
      </c>
      <c r="E1400">
        <v>4244.53</v>
      </c>
    </row>
    <row r="1401" spans="1:5" x14ac:dyDescent="0.25">
      <c r="A1401" s="1">
        <v>45595</v>
      </c>
      <c r="B1401">
        <v>2</v>
      </c>
      <c r="C1401" t="s">
        <v>6</v>
      </c>
      <c r="D1401">
        <v>258</v>
      </c>
      <c r="E1401">
        <v>4386.3999999999996</v>
      </c>
    </row>
    <row r="1402" spans="1:5" x14ac:dyDescent="0.25">
      <c r="A1402" s="1">
        <v>45596</v>
      </c>
      <c r="B1402">
        <v>2</v>
      </c>
      <c r="C1402" t="s">
        <v>6</v>
      </c>
      <c r="D1402">
        <v>233</v>
      </c>
      <c r="E1402">
        <v>4222.28</v>
      </c>
    </row>
    <row r="1403" spans="1:5" x14ac:dyDescent="0.25">
      <c r="A1403" s="1">
        <v>45597</v>
      </c>
      <c r="B1403">
        <v>2</v>
      </c>
      <c r="C1403" t="s">
        <v>6</v>
      </c>
      <c r="D1403">
        <v>260</v>
      </c>
      <c r="E1403">
        <v>4254.2299999999996</v>
      </c>
    </row>
    <row r="1404" spans="1:5" x14ac:dyDescent="0.25">
      <c r="A1404" s="1">
        <v>45598</v>
      </c>
      <c r="B1404">
        <v>2</v>
      </c>
      <c r="C1404" t="s">
        <v>6</v>
      </c>
      <c r="D1404">
        <v>304</v>
      </c>
      <c r="E1404">
        <v>5516.86</v>
      </c>
    </row>
    <row r="1405" spans="1:5" x14ac:dyDescent="0.25">
      <c r="A1405" s="1">
        <v>45599</v>
      </c>
      <c r="B1405">
        <v>2</v>
      </c>
      <c r="C1405" t="s">
        <v>6</v>
      </c>
      <c r="D1405">
        <v>316</v>
      </c>
      <c r="E1405">
        <v>5360.27</v>
      </c>
    </row>
    <row r="1406" spans="1:5" x14ac:dyDescent="0.25">
      <c r="A1406" s="1">
        <v>45600</v>
      </c>
      <c r="B1406">
        <v>2</v>
      </c>
      <c r="C1406" t="s">
        <v>6</v>
      </c>
      <c r="D1406">
        <v>252</v>
      </c>
      <c r="E1406">
        <v>4252.24</v>
      </c>
    </row>
    <row r="1407" spans="1:5" x14ac:dyDescent="0.25">
      <c r="A1407" s="1">
        <v>45601</v>
      </c>
      <c r="B1407">
        <v>2</v>
      </c>
      <c r="C1407" t="s">
        <v>6</v>
      </c>
      <c r="D1407">
        <v>226</v>
      </c>
      <c r="E1407">
        <v>3860.56</v>
      </c>
    </row>
    <row r="1408" spans="1:5" x14ac:dyDescent="0.25">
      <c r="A1408" s="1">
        <v>45602</v>
      </c>
      <c r="B1408">
        <v>2</v>
      </c>
      <c r="C1408" t="s">
        <v>6</v>
      </c>
      <c r="D1408">
        <v>248</v>
      </c>
      <c r="E1408">
        <v>4572.1099999999997</v>
      </c>
    </row>
    <row r="1409" spans="1:5" x14ac:dyDescent="0.25">
      <c r="A1409" s="1">
        <v>45603</v>
      </c>
      <c r="B1409">
        <v>2</v>
      </c>
      <c r="C1409" t="s">
        <v>6</v>
      </c>
      <c r="D1409">
        <v>254</v>
      </c>
      <c r="E1409">
        <v>4257.42</v>
      </c>
    </row>
    <row r="1410" spans="1:5" x14ac:dyDescent="0.25">
      <c r="A1410" s="1">
        <v>45604</v>
      </c>
      <c r="B1410">
        <v>2</v>
      </c>
      <c r="C1410" t="s">
        <v>6</v>
      </c>
      <c r="D1410">
        <v>209</v>
      </c>
      <c r="E1410">
        <v>3645.35</v>
      </c>
    </row>
    <row r="1411" spans="1:5" x14ac:dyDescent="0.25">
      <c r="A1411" s="1">
        <v>45605</v>
      </c>
      <c r="B1411">
        <v>2</v>
      </c>
      <c r="C1411" t="s">
        <v>6</v>
      </c>
      <c r="D1411">
        <v>287</v>
      </c>
      <c r="E1411">
        <v>4827.3900000000003</v>
      </c>
    </row>
    <row r="1412" spans="1:5" x14ac:dyDescent="0.25">
      <c r="A1412" s="1">
        <v>45606</v>
      </c>
      <c r="B1412">
        <v>2</v>
      </c>
      <c r="C1412" t="s">
        <v>6</v>
      </c>
      <c r="D1412">
        <v>283</v>
      </c>
      <c r="E1412">
        <v>5052.62</v>
      </c>
    </row>
    <row r="1413" spans="1:5" x14ac:dyDescent="0.25">
      <c r="A1413" s="1">
        <v>45607</v>
      </c>
      <c r="B1413">
        <v>2</v>
      </c>
      <c r="C1413" t="s">
        <v>6</v>
      </c>
      <c r="D1413">
        <v>257</v>
      </c>
      <c r="E1413">
        <v>4410.5600000000004</v>
      </c>
    </row>
    <row r="1414" spans="1:5" x14ac:dyDescent="0.25">
      <c r="A1414" s="1">
        <v>45608</v>
      </c>
      <c r="B1414">
        <v>2</v>
      </c>
      <c r="C1414" t="s">
        <v>6</v>
      </c>
      <c r="D1414">
        <v>251</v>
      </c>
      <c r="E1414">
        <v>4410.8500000000004</v>
      </c>
    </row>
    <row r="1415" spans="1:5" x14ac:dyDescent="0.25">
      <c r="A1415" s="1">
        <v>45609</v>
      </c>
      <c r="B1415">
        <v>2</v>
      </c>
      <c r="C1415" t="s">
        <v>6</v>
      </c>
      <c r="D1415">
        <v>255</v>
      </c>
      <c r="E1415">
        <v>4324.05</v>
      </c>
    </row>
    <row r="1416" spans="1:5" x14ac:dyDescent="0.25">
      <c r="A1416" s="1">
        <v>45610</v>
      </c>
      <c r="B1416">
        <v>2</v>
      </c>
      <c r="C1416" t="s">
        <v>6</v>
      </c>
      <c r="D1416">
        <v>223</v>
      </c>
      <c r="E1416">
        <v>3703.24</v>
      </c>
    </row>
    <row r="1417" spans="1:5" x14ac:dyDescent="0.25">
      <c r="A1417" s="1">
        <v>45611</v>
      </c>
      <c r="B1417">
        <v>2</v>
      </c>
      <c r="C1417" t="s">
        <v>6</v>
      </c>
      <c r="D1417">
        <v>235</v>
      </c>
      <c r="E1417">
        <v>4026.68</v>
      </c>
    </row>
    <row r="1418" spans="1:5" x14ac:dyDescent="0.25">
      <c r="A1418" s="1">
        <v>45612</v>
      </c>
      <c r="B1418">
        <v>2</v>
      </c>
      <c r="C1418" t="s">
        <v>6</v>
      </c>
      <c r="D1418">
        <v>346</v>
      </c>
      <c r="E1418">
        <v>5847.33</v>
      </c>
    </row>
    <row r="1419" spans="1:5" x14ac:dyDescent="0.25">
      <c r="A1419" s="1">
        <v>45613</v>
      </c>
      <c r="B1419">
        <v>2</v>
      </c>
      <c r="C1419" t="s">
        <v>6</v>
      </c>
      <c r="D1419">
        <v>282</v>
      </c>
      <c r="E1419">
        <v>4801.1499999999996</v>
      </c>
    </row>
    <row r="1420" spans="1:5" x14ac:dyDescent="0.25">
      <c r="A1420" s="1">
        <v>45614</v>
      </c>
      <c r="B1420">
        <v>2</v>
      </c>
      <c r="C1420" t="s">
        <v>6</v>
      </c>
      <c r="D1420">
        <v>269</v>
      </c>
      <c r="E1420">
        <v>4235.0200000000004</v>
      </c>
    </row>
    <row r="1421" spans="1:5" x14ac:dyDescent="0.25">
      <c r="A1421" s="1">
        <v>45615</v>
      </c>
      <c r="B1421">
        <v>2</v>
      </c>
      <c r="C1421" t="s">
        <v>6</v>
      </c>
      <c r="D1421">
        <v>269</v>
      </c>
      <c r="E1421">
        <v>4462.7</v>
      </c>
    </row>
    <row r="1422" spans="1:5" x14ac:dyDescent="0.25">
      <c r="A1422" s="1">
        <v>45616</v>
      </c>
      <c r="B1422">
        <v>2</v>
      </c>
      <c r="C1422" t="s">
        <v>6</v>
      </c>
      <c r="D1422">
        <v>300</v>
      </c>
      <c r="E1422">
        <v>5404.32</v>
      </c>
    </row>
    <row r="1423" spans="1:5" x14ac:dyDescent="0.25">
      <c r="A1423" s="1">
        <v>45617</v>
      </c>
      <c r="B1423">
        <v>2</v>
      </c>
      <c r="C1423" t="s">
        <v>6</v>
      </c>
      <c r="D1423">
        <v>244</v>
      </c>
      <c r="E1423">
        <v>4048.83</v>
      </c>
    </row>
    <row r="1424" spans="1:5" x14ac:dyDescent="0.25">
      <c r="A1424" s="1">
        <v>45618</v>
      </c>
      <c r="B1424">
        <v>2</v>
      </c>
      <c r="C1424" t="s">
        <v>6</v>
      </c>
      <c r="D1424">
        <v>239</v>
      </c>
      <c r="E1424">
        <v>4065.61</v>
      </c>
    </row>
    <row r="1425" spans="1:5" x14ac:dyDescent="0.25">
      <c r="A1425" s="1">
        <v>45619</v>
      </c>
      <c r="B1425">
        <v>2</v>
      </c>
      <c r="C1425" t="s">
        <v>6</v>
      </c>
      <c r="D1425">
        <v>223</v>
      </c>
      <c r="E1425">
        <v>4032.74</v>
      </c>
    </row>
    <row r="1426" spans="1:5" x14ac:dyDescent="0.25">
      <c r="A1426" s="1">
        <v>45620</v>
      </c>
      <c r="B1426">
        <v>2</v>
      </c>
      <c r="C1426" t="s">
        <v>6</v>
      </c>
      <c r="D1426">
        <v>293</v>
      </c>
      <c r="E1426">
        <v>4711.5</v>
      </c>
    </row>
    <row r="1427" spans="1:5" x14ac:dyDescent="0.25">
      <c r="A1427" s="1">
        <v>45621</v>
      </c>
      <c r="B1427">
        <v>2</v>
      </c>
      <c r="C1427" t="s">
        <v>6</v>
      </c>
      <c r="D1427">
        <v>261</v>
      </c>
      <c r="E1427">
        <v>4504.7</v>
      </c>
    </row>
    <row r="1428" spans="1:5" x14ac:dyDescent="0.25">
      <c r="A1428" s="1">
        <v>45622</v>
      </c>
      <c r="B1428">
        <v>2</v>
      </c>
      <c r="C1428" t="s">
        <v>6</v>
      </c>
      <c r="D1428">
        <v>238</v>
      </c>
      <c r="E1428">
        <v>3921.99</v>
      </c>
    </row>
    <row r="1429" spans="1:5" x14ac:dyDescent="0.25">
      <c r="A1429" s="1">
        <v>45623</v>
      </c>
      <c r="B1429">
        <v>2</v>
      </c>
      <c r="C1429" t="s">
        <v>6</v>
      </c>
      <c r="D1429">
        <v>304</v>
      </c>
      <c r="E1429">
        <v>4971.09</v>
      </c>
    </row>
    <row r="1430" spans="1:5" x14ac:dyDescent="0.25">
      <c r="A1430" s="1">
        <v>45624</v>
      </c>
      <c r="B1430">
        <v>2</v>
      </c>
      <c r="C1430" t="s">
        <v>6</v>
      </c>
      <c r="D1430">
        <v>175</v>
      </c>
      <c r="E1430">
        <v>3064.63</v>
      </c>
    </row>
    <row r="1431" spans="1:5" x14ac:dyDescent="0.25">
      <c r="A1431" s="1">
        <v>45625</v>
      </c>
      <c r="B1431">
        <v>2</v>
      </c>
      <c r="C1431" t="s">
        <v>6</v>
      </c>
      <c r="D1431">
        <v>213</v>
      </c>
      <c r="E1431">
        <v>3749.47</v>
      </c>
    </row>
    <row r="1432" spans="1:5" x14ac:dyDescent="0.25">
      <c r="A1432" s="1">
        <v>45626</v>
      </c>
      <c r="B1432">
        <v>2</v>
      </c>
      <c r="C1432" t="s">
        <v>6</v>
      </c>
      <c r="D1432">
        <v>284</v>
      </c>
      <c r="E1432">
        <v>4978.2299999999996</v>
      </c>
    </row>
    <row r="1433" spans="1:5" x14ac:dyDescent="0.25">
      <c r="A1433" s="1">
        <v>45627</v>
      </c>
      <c r="B1433">
        <v>2</v>
      </c>
      <c r="C1433" t="s">
        <v>6</v>
      </c>
      <c r="D1433">
        <v>269</v>
      </c>
      <c r="E1433">
        <v>4082.95</v>
      </c>
    </row>
    <row r="1434" spans="1:5" x14ac:dyDescent="0.25">
      <c r="A1434" s="1">
        <v>45628</v>
      </c>
      <c r="B1434">
        <v>2</v>
      </c>
      <c r="C1434" t="s">
        <v>6</v>
      </c>
      <c r="D1434">
        <v>243</v>
      </c>
      <c r="E1434">
        <v>4125.1400000000003</v>
      </c>
    </row>
    <row r="1435" spans="1:5" x14ac:dyDescent="0.25">
      <c r="A1435" s="1">
        <v>45629</v>
      </c>
      <c r="B1435">
        <v>2</v>
      </c>
      <c r="C1435" t="s">
        <v>6</v>
      </c>
      <c r="D1435">
        <v>245</v>
      </c>
      <c r="E1435">
        <v>4087.05</v>
      </c>
    </row>
    <row r="1436" spans="1:5" x14ac:dyDescent="0.25">
      <c r="A1436" s="1">
        <v>45630</v>
      </c>
      <c r="B1436">
        <v>2</v>
      </c>
      <c r="C1436" t="s">
        <v>6</v>
      </c>
      <c r="D1436">
        <v>217</v>
      </c>
      <c r="E1436">
        <v>3702.75</v>
      </c>
    </row>
    <row r="1437" spans="1:5" x14ac:dyDescent="0.25">
      <c r="A1437" s="1">
        <v>45631</v>
      </c>
      <c r="B1437">
        <v>2</v>
      </c>
      <c r="C1437" t="s">
        <v>6</v>
      </c>
      <c r="D1437">
        <v>223</v>
      </c>
      <c r="E1437">
        <v>3786.1</v>
      </c>
    </row>
    <row r="1438" spans="1:5" x14ac:dyDescent="0.25">
      <c r="A1438" s="1">
        <v>45632</v>
      </c>
      <c r="B1438">
        <v>2</v>
      </c>
      <c r="C1438" t="s">
        <v>6</v>
      </c>
      <c r="D1438">
        <v>224</v>
      </c>
      <c r="E1438">
        <v>3924.62</v>
      </c>
    </row>
    <row r="1439" spans="1:5" x14ac:dyDescent="0.25">
      <c r="A1439" s="1">
        <v>45633</v>
      </c>
      <c r="B1439">
        <v>2</v>
      </c>
      <c r="C1439" t="s">
        <v>6</v>
      </c>
      <c r="D1439">
        <v>222</v>
      </c>
      <c r="E1439">
        <v>3678.16</v>
      </c>
    </row>
    <row r="1440" spans="1:5" x14ac:dyDescent="0.25">
      <c r="A1440" s="1">
        <v>45634</v>
      </c>
      <c r="B1440">
        <v>2</v>
      </c>
      <c r="C1440" t="s">
        <v>6</v>
      </c>
      <c r="D1440">
        <v>236</v>
      </c>
      <c r="E1440">
        <v>4235.0200000000004</v>
      </c>
    </row>
    <row r="1441" spans="1:5" x14ac:dyDescent="0.25">
      <c r="A1441" s="1">
        <v>45635</v>
      </c>
      <c r="B1441">
        <v>2</v>
      </c>
      <c r="C1441" t="s">
        <v>6</v>
      </c>
      <c r="D1441">
        <v>253</v>
      </c>
      <c r="E1441">
        <v>4271.6899999999996</v>
      </c>
    </row>
    <row r="1442" spans="1:5" x14ac:dyDescent="0.25">
      <c r="A1442" s="1">
        <v>45636</v>
      </c>
      <c r="B1442">
        <v>2</v>
      </c>
      <c r="C1442" t="s">
        <v>6</v>
      </c>
      <c r="D1442">
        <v>210</v>
      </c>
      <c r="E1442">
        <v>3527.59</v>
      </c>
    </row>
    <row r="1443" spans="1:5" x14ac:dyDescent="0.25">
      <c r="A1443" s="1">
        <v>45637</v>
      </c>
      <c r="B1443">
        <v>2</v>
      </c>
      <c r="C1443" t="s">
        <v>6</v>
      </c>
      <c r="D1443">
        <v>251</v>
      </c>
      <c r="E1443">
        <v>4344.4399999999996</v>
      </c>
    </row>
    <row r="1444" spans="1:5" x14ac:dyDescent="0.25">
      <c r="A1444" s="1">
        <v>45638</v>
      </c>
      <c r="B1444">
        <v>2</v>
      </c>
      <c r="C1444" t="s">
        <v>6</v>
      </c>
      <c r="D1444">
        <v>214</v>
      </c>
      <c r="E1444">
        <v>3429.5</v>
      </c>
    </row>
    <row r="1445" spans="1:5" x14ac:dyDescent="0.25">
      <c r="A1445" s="1">
        <v>45639</v>
      </c>
      <c r="B1445">
        <v>2</v>
      </c>
      <c r="C1445" t="s">
        <v>6</v>
      </c>
      <c r="D1445">
        <v>206</v>
      </c>
      <c r="E1445">
        <v>3684</v>
      </c>
    </row>
    <row r="1446" spans="1:5" x14ac:dyDescent="0.25">
      <c r="A1446" s="1">
        <v>45640</v>
      </c>
      <c r="B1446">
        <v>2</v>
      </c>
      <c r="C1446" t="s">
        <v>6</v>
      </c>
      <c r="D1446">
        <v>256</v>
      </c>
      <c r="E1446">
        <v>4713.03</v>
      </c>
    </row>
    <row r="1447" spans="1:5" x14ac:dyDescent="0.25">
      <c r="A1447" s="1">
        <v>45641</v>
      </c>
      <c r="B1447">
        <v>2</v>
      </c>
      <c r="C1447" t="s">
        <v>6</v>
      </c>
      <c r="D1447">
        <v>184</v>
      </c>
      <c r="E1447">
        <v>3263.32</v>
      </c>
    </row>
    <row r="1448" spans="1:5" x14ac:dyDescent="0.25">
      <c r="A1448" s="1">
        <v>45642</v>
      </c>
      <c r="B1448">
        <v>2</v>
      </c>
      <c r="C1448" t="s">
        <v>6</v>
      </c>
      <c r="D1448">
        <v>235</v>
      </c>
      <c r="E1448">
        <v>3722.66</v>
      </c>
    </row>
    <row r="1449" spans="1:5" x14ac:dyDescent="0.25">
      <c r="A1449" s="1">
        <v>45643</v>
      </c>
      <c r="B1449">
        <v>2</v>
      </c>
      <c r="C1449" t="s">
        <v>6</v>
      </c>
      <c r="D1449">
        <v>221</v>
      </c>
      <c r="E1449">
        <v>3760.36</v>
      </c>
    </row>
    <row r="1450" spans="1:5" x14ac:dyDescent="0.25">
      <c r="A1450" s="1">
        <v>45644</v>
      </c>
      <c r="B1450">
        <v>2</v>
      </c>
      <c r="C1450" t="s">
        <v>6</v>
      </c>
      <c r="D1450">
        <v>218</v>
      </c>
      <c r="E1450">
        <v>3589.68</v>
      </c>
    </row>
    <row r="1451" spans="1:5" x14ac:dyDescent="0.25">
      <c r="A1451" s="1">
        <v>45645</v>
      </c>
      <c r="B1451">
        <v>2</v>
      </c>
      <c r="C1451" t="s">
        <v>6</v>
      </c>
      <c r="D1451">
        <v>208</v>
      </c>
      <c r="E1451">
        <v>3671.03</v>
      </c>
    </row>
    <row r="1452" spans="1:5" x14ac:dyDescent="0.25">
      <c r="A1452" s="1">
        <v>45646</v>
      </c>
      <c r="B1452">
        <v>2</v>
      </c>
      <c r="C1452" t="s">
        <v>6</v>
      </c>
      <c r="D1452">
        <v>251</v>
      </c>
      <c r="E1452">
        <v>4099.95</v>
      </c>
    </row>
    <row r="1453" spans="1:5" x14ac:dyDescent="0.25">
      <c r="A1453" s="1">
        <v>45647</v>
      </c>
      <c r="B1453">
        <v>2</v>
      </c>
      <c r="C1453" t="s">
        <v>6</v>
      </c>
      <c r="D1453">
        <v>269</v>
      </c>
      <c r="E1453">
        <v>4701.3500000000004</v>
      </c>
    </row>
    <row r="1454" spans="1:5" x14ac:dyDescent="0.25">
      <c r="A1454" s="1">
        <v>45648</v>
      </c>
      <c r="B1454">
        <v>2</v>
      </c>
      <c r="C1454" t="s">
        <v>6</v>
      </c>
      <c r="D1454">
        <v>288</v>
      </c>
      <c r="E1454">
        <v>4911.95</v>
      </c>
    </row>
    <row r="1455" spans="1:5" x14ac:dyDescent="0.25">
      <c r="A1455" s="1">
        <v>45649</v>
      </c>
      <c r="B1455">
        <v>2</v>
      </c>
      <c r="C1455" t="s">
        <v>6</v>
      </c>
      <c r="D1455">
        <v>227</v>
      </c>
      <c r="E1455">
        <v>3661.58</v>
      </c>
    </row>
    <row r="1456" spans="1:5" x14ac:dyDescent="0.25">
      <c r="A1456" s="1">
        <v>45650</v>
      </c>
      <c r="B1456">
        <v>2</v>
      </c>
      <c r="C1456" t="s">
        <v>6</v>
      </c>
      <c r="D1456">
        <v>255</v>
      </c>
      <c r="E1456">
        <v>3818.56</v>
      </c>
    </row>
    <row r="1457" spans="1:5" x14ac:dyDescent="0.25">
      <c r="A1457" s="1">
        <v>45651</v>
      </c>
      <c r="B1457">
        <v>2</v>
      </c>
      <c r="C1457" t="s">
        <v>6</v>
      </c>
      <c r="D1457">
        <v>207</v>
      </c>
      <c r="E1457">
        <v>3706.03</v>
      </c>
    </row>
    <row r="1458" spans="1:5" x14ac:dyDescent="0.25">
      <c r="A1458" s="1">
        <v>45652</v>
      </c>
      <c r="B1458">
        <v>2</v>
      </c>
      <c r="C1458" t="s">
        <v>6</v>
      </c>
      <c r="D1458">
        <v>246</v>
      </c>
      <c r="E1458">
        <v>4190.17</v>
      </c>
    </row>
    <row r="1459" spans="1:5" x14ac:dyDescent="0.25">
      <c r="A1459" s="1">
        <v>45653</v>
      </c>
      <c r="B1459">
        <v>2</v>
      </c>
      <c r="C1459" t="s">
        <v>6</v>
      </c>
      <c r="D1459">
        <v>251</v>
      </c>
      <c r="E1459">
        <v>4195.8500000000004</v>
      </c>
    </row>
    <row r="1460" spans="1:5" x14ac:dyDescent="0.25">
      <c r="A1460" s="1">
        <v>45654</v>
      </c>
      <c r="B1460">
        <v>2</v>
      </c>
      <c r="C1460" t="s">
        <v>6</v>
      </c>
      <c r="D1460">
        <v>225</v>
      </c>
      <c r="E1460">
        <v>4027.96</v>
      </c>
    </row>
    <row r="1461" spans="1:5" x14ac:dyDescent="0.25">
      <c r="A1461" s="1">
        <v>45655</v>
      </c>
      <c r="B1461">
        <v>2</v>
      </c>
      <c r="C1461" t="s">
        <v>6</v>
      </c>
      <c r="D1461">
        <v>210</v>
      </c>
      <c r="E1461">
        <v>3616.46</v>
      </c>
    </row>
    <row r="1462" spans="1:5" x14ac:dyDescent="0.25">
      <c r="A1462" s="1">
        <v>45656</v>
      </c>
      <c r="B1462">
        <v>2</v>
      </c>
      <c r="C1462" t="s">
        <v>6</v>
      </c>
      <c r="D1462">
        <v>218</v>
      </c>
      <c r="E1462">
        <v>3843</v>
      </c>
    </row>
    <row r="1463" spans="1:5" x14ac:dyDescent="0.25">
      <c r="A1463" s="1">
        <v>45657</v>
      </c>
      <c r="B1463">
        <v>2</v>
      </c>
      <c r="C1463" t="s">
        <v>6</v>
      </c>
      <c r="D1463">
        <v>239</v>
      </c>
      <c r="E1463">
        <v>4092.22</v>
      </c>
    </row>
    <row r="1464" spans="1:5" x14ac:dyDescent="0.25">
      <c r="A1464" s="1">
        <v>44927</v>
      </c>
      <c r="B1464">
        <v>3</v>
      </c>
      <c r="C1464" t="s">
        <v>7</v>
      </c>
      <c r="D1464">
        <v>225</v>
      </c>
      <c r="E1464">
        <v>3716.96</v>
      </c>
    </row>
    <row r="1465" spans="1:5" x14ac:dyDescent="0.25">
      <c r="A1465" s="1">
        <v>44928</v>
      </c>
      <c r="B1465">
        <v>3</v>
      </c>
      <c r="C1465" t="s">
        <v>7</v>
      </c>
      <c r="D1465">
        <v>216</v>
      </c>
      <c r="E1465">
        <v>3117.7</v>
      </c>
    </row>
    <row r="1466" spans="1:5" x14ac:dyDescent="0.25">
      <c r="A1466" s="1">
        <v>44929</v>
      </c>
      <c r="B1466">
        <v>3</v>
      </c>
      <c r="C1466" t="s">
        <v>7</v>
      </c>
      <c r="D1466">
        <v>200</v>
      </c>
      <c r="E1466">
        <v>3072.35</v>
      </c>
    </row>
    <row r="1467" spans="1:5" x14ac:dyDescent="0.25">
      <c r="A1467" s="1">
        <v>44930</v>
      </c>
      <c r="B1467">
        <v>3</v>
      </c>
      <c r="C1467" t="s">
        <v>7</v>
      </c>
      <c r="D1467">
        <v>200</v>
      </c>
      <c r="E1467">
        <v>3176.15</v>
      </c>
    </row>
    <row r="1468" spans="1:5" x14ac:dyDescent="0.25">
      <c r="A1468" s="1">
        <v>44931</v>
      </c>
      <c r="B1468">
        <v>3</v>
      </c>
      <c r="C1468" t="s">
        <v>7</v>
      </c>
      <c r="D1468">
        <v>210</v>
      </c>
      <c r="E1468">
        <v>3646.07</v>
      </c>
    </row>
    <row r="1469" spans="1:5" x14ac:dyDescent="0.25">
      <c r="A1469" s="1">
        <v>44932</v>
      </c>
      <c r="B1469">
        <v>3</v>
      </c>
      <c r="C1469" t="s">
        <v>7</v>
      </c>
      <c r="D1469">
        <v>200</v>
      </c>
      <c r="E1469">
        <v>3372.63</v>
      </c>
    </row>
    <row r="1470" spans="1:5" x14ac:dyDescent="0.25">
      <c r="A1470" s="1">
        <v>44933</v>
      </c>
      <c r="B1470">
        <v>3</v>
      </c>
      <c r="C1470" t="s">
        <v>7</v>
      </c>
      <c r="D1470">
        <v>260</v>
      </c>
      <c r="E1470">
        <v>4033.61</v>
      </c>
    </row>
    <row r="1471" spans="1:5" x14ac:dyDescent="0.25">
      <c r="A1471" s="1">
        <v>44934</v>
      </c>
      <c r="B1471">
        <v>3</v>
      </c>
      <c r="C1471" t="s">
        <v>7</v>
      </c>
      <c r="D1471">
        <v>237</v>
      </c>
      <c r="E1471">
        <v>3907.93</v>
      </c>
    </row>
    <row r="1472" spans="1:5" x14ac:dyDescent="0.25">
      <c r="A1472" s="1">
        <v>44935</v>
      </c>
      <c r="B1472">
        <v>3</v>
      </c>
      <c r="C1472" t="s">
        <v>7</v>
      </c>
      <c r="D1472">
        <v>246</v>
      </c>
      <c r="E1472">
        <v>3995.93</v>
      </c>
    </row>
    <row r="1473" spans="1:5" x14ac:dyDescent="0.25">
      <c r="A1473" s="1">
        <v>44936</v>
      </c>
      <c r="B1473">
        <v>3</v>
      </c>
      <c r="C1473" t="s">
        <v>7</v>
      </c>
      <c r="D1473">
        <v>166</v>
      </c>
      <c r="E1473">
        <v>2885.05</v>
      </c>
    </row>
    <row r="1474" spans="1:5" x14ac:dyDescent="0.25">
      <c r="A1474" s="1">
        <v>44937</v>
      </c>
      <c r="B1474">
        <v>3</v>
      </c>
      <c r="C1474" t="s">
        <v>7</v>
      </c>
      <c r="D1474">
        <v>171</v>
      </c>
      <c r="E1474">
        <v>2822.53</v>
      </c>
    </row>
    <row r="1475" spans="1:5" x14ac:dyDescent="0.25">
      <c r="A1475" s="1">
        <v>44938</v>
      </c>
      <c r="B1475">
        <v>3</v>
      </c>
      <c r="C1475" t="s">
        <v>7</v>
      </c>
      <c r="D1475">
        <v>178</v>
      </c>
      <c r="E1475">
        <v>3136.8</v>
      </c>
    </row>
    <row r="1476" spans="1:5" x14ac:dyDescent="0.25">
      <c r="A1476" s="1">
        <v>44939</v>
      </c>
      <c r="B1476">
        <v>3</v>
      </c>
      <c r="C1476" t="s">
        <v>7</v>
      </c>
      <c r="D1476">
        <v>209</v>
      </c>
      <c r="E1476">
        <v>3623.03</v>
      </c>
    </row>
    <row r="1477" spans="1:5" x14ac:dyDescent="0.25">
      <c r="A1477" s="1">
        <v>44940</v>
      </c>
      <c r="B1477">
        <v>3</v>
      </c>
      <c r="C1477" t="s">
        <v>7</v>
      </c>
      <c r="D1477">
        <v>209</v>
      </c>
      <c r="E1477">
        <v>3170.73</v>
      </c>
    </row>
    <row r="1478" spans="1:5" x14ac:dyDescent="0.25">
      <c r="A1478" s="1">
        <v>44941</v>
      </c>
      <c r="B1478">
        <v>3</v>
      </c>
      <c r="C1478" t="s">
        <v>7</v>
      </c>
      <c r="D1478">
        <v>226</v>
      </c>
      <c r="E1478">
        <v>3513.43</v>
      </c>
    </row>
    <row r="1479" spans="1:5" x14ac:dyDescent="0.25">
      <c r="A1479" s="1">
        <v>44942</v>
      </c>
      <c r="B1479">
        <v>3</v>
      </c>
      <c r="C1479" t="s">
        <v>7</v>
      </c>
      <c r="D1479">
        <v>194</v>
      </c>
      <c r="E1479">
        <v>3199.01</v>
      </c>
    </row>
    <row r="1480" spans="1:5" x14ac:dyDescent="0.25">
      <c r="A1480" s="1">
        <v>44943</v>
      </c>
      <c r="B1480">
        <v>3</v>
      </c>
      <c r="C1480" t="s">
        <v>7</v>
      </c>
      <c r="D1480">
        <v>179</v>
      </c>
      <c r="E1480">
        <v>2892.34</v>
      </c>
    </row>
    <row r="1481" spans="1:5" x14ac:dyDescent="0.25">
      <c r="A1481" s="1">
        <v>44944</v>
      </c>
      <c r="B1481">
        <v>3</v>
      </c>
      <c r="C1481" t="s">
        <v>7</v>
      </c>
      <c r="D1481">
        <v>154</v>
      </c>
      <c r="E1481">
        <v>2571.7800000000002</v>
      </c>
    </row>
    <row r="1482" spans="1:5" x14ac:dyDescent="0.25">
      <c r="A1482" s="1">
        <v>44945</v>
      </c>
      <c r="B1482">
        <v>3</v>
      </c>
      <c r="C1482" t="s">
        <v>7</v>
      </c>
      <c r="D1482">
        <v>202</v>
      </c>
      <c r="E1482">
        <v>3296.65</v>
      </c>
    </row>
    <row r="1483" spans="1:5" x14ac:dyDescent="0.25">
      <c r="A1483" s="1">
        <v>44946</v>
      </c>
      <c r="B1483">
        <v>3</v>
      </c>
      <c r="C1483" t="s">
        <v>7</v>
      </c>
      <c r="D1483">
        <v>210</v>
      </c>
      <c r="E1483">
        <v>3619.77</v>
      </c>
    </row>
    <row r="1484" spans="1:5" x14ac:dyDescent="0.25">
      <c r="A1484" s="1">
        <v>44947</v>
      </c>
      <c r="B1484">
        <v>3</v>
      </c>
      <c r="C1484" t="s">
        <v>7</v>
      </c>
      <c r="D1484">
        <v>229</v>
      </c>
      <c r="E1484">
        <v>3660.95</v>
      </c>
    </row>
    <row r="1485" spans="1:5" x14ac:dyDescent="0.25">
      <c r="A1485" s="1">
        <v>44948</v>
      </c>
      <c r="B1485">
        <v>3</v>
      </c>
      <c r="C1485" t="s">
        <v>7</v>
      </c>
      <c r="D1485">
        <v>208</v>
      </c>
      <c r="E1485">
        <v>3620.71</v>
      </c>
    </row>
    <row r="1486" spans="1:5" x14ac:dyDescent="0.25">
      <c r="A1486" s="1">
        <v>44949</v>
      </c>
      <c r="B1486">
        <v>3</v>
      </c>
      <c r="C1486" t="s">
        <v>7</v>
      </c>
      <c r="D1486">
        <v>189</v>
      </c>
      <c r="E1486">
        <v>3366.73</v>
      </c>
    </row>
    <row r="1487" spans="1:5" x14ac:dyDescent="0.25">
      <c r="A1487" s="1">
        <v>44950</v>
      </c>
      <c r="B1487">
        <v>3</v>
      </c>
      <c r="C1487" t="s">
        <v>7</v>
      </c>
      <c r="D1487">
        <v>193</v>
      </c>
      <c r="E1487">
        <v>3233.32</v>
      </c>
    </row>
    <row r="1488" spans="1:5" x14ac:dyDescent="0.25">
      <c r="A1488" s="1">
        <v>44951</v>
      </c>
      <c r="B1488">
        <v>3</v>
      </c>
      <c r="C1488" t="s">
        <v>7</v>
      </c>
      <c r="D1488">
        <v>129</v>
      </c>
      <c r="E1488">
        <v>1812.6</v>
      </c>
    </row>
    <row r="1489" spans="1:5" x14ac:dyDescent="0.25">
      <c r="A1489" s="1">
        <v>44952</v>
      </c>
      <c r="B1489">
        <v>3</v>
      </c>
      <c r="C1489" t="s">
        <v>7</v>
      </c>
      <c r="D1489">
        <v>163</v>
      </c>
      <c r="E1489">
        <v>2669.8</v>
      </c>
    </row>
    <row r="1490" spans="1:5" x14ac:dyDescent="0.25">
      <c r="A1490" s="1">
        <v>44953</v>
      </c>
      <c r="B1490">
        <v>3</v>
      </c>
      <c r="C1490" t="s">
        <v>7</v>
      </c>
      <c r="D1490">
        <v>212</v>
      </c>
      <c r="E1490">
        <v>3541.9</v>
      </c>
    </row>
    <row r="1491" spans="1:5" x14ac:dyDescent="0.25">
      <c r="A1491" s="1">
        <v>44954</v>
      </c>
      <c r="B1491">
        <v>3</v>
      </c>
      <c r="C1491" t="s">
        <v>7</v>
      </c>
      <c r="D1491">
        <v>203</v>
      </c>
      <c r="E1491">
        <v>3370.84</v>
      </c>
    </row>
    <row r="1492" spans="1:5" x14ac:dyDescent="0.25">
      <c r="A1492" s="1">
        <v>44955</v>
      </c>
      <c r="B1492">
        <v>3</v>
      </c>
      <c r="C1492" t="s">
        <v>7</v>
      </c>
      <c r="D1492">
        <v>232</v>
      </c>
      <c r="E1492">
        <v>3787.25</v>
      </c>
    </row>
    <row r="1493" spans="1:5" x14ac:dyDescent="0.25">
      <c r="A1493" s="1">
        <v>44956</v>
      </c>
      <c r="B1493">
        <v>3</v>
      </c>
      <c r="C1493" t="s">
        <v>7</v>
      </c>
      <c r="D1493">
        <v>217</v>
      </c>
      <c r="E1493">
        <v>3505.78</v>
      </c>
    </row>
    <row r="1494" spans="1:5" x14ac:dyDescent="0.25">
      <c r="A1494" s="1">
        <v>44957</v>
      </c>
      <c r="B1494">
        <v>3</v>
      </c>
      <c r="C1494" t="s">
        <v>7</v>
      </c>
      <c r="D1494">
        <v>165</v>
      </c>
      <c r="E1494">
        <v>2811.91</v>
      </c>
    </row>
    <row r="1495" spans="1:5" x14ac:dyDescent="0.25">
      <c r="A1495" s="1">
        <v>44958</v>
      </c>
      <c r="B1495">
        <v>3</v>
      </c>
      <c r="C1495" t="s">
        <v>7</v>
      </c>
      <c r="D1495">
        <v>180</v>
      </c>
      <c r="E1495">
        <v>3278.64</v>
      </c>
    </row>
    <row r="1496" spans="1:5" x14ac:dyDescent="0.25">
      <c r="A1496" s="1">
        <v>44959</v>
      </c>
      <c r="B1496">
        <v>3</v>
      </c>
      <c r="C1496" t="s">
        <v>7</v>
      </c>
      <c r="D1496">
        <v>211</v>
      </c>
      <c r="E1496">
        <v>3667.44</v>
      </c>
    </row>
    <row r="1497" spans="1:5" x14ac:dyDescent="0.25">
      <c r="A1497" s="1">
        <v>44960</v>
      </c>
      <c r="B1497">
        <v>3</v>
      </c>
      <c r="C1497" t="s">
        <v>7</v>
      </c>
      <c r="D1497">
        <v>193</v>
      </c>
      <c r="E1497">
        <v>3159.12</v>
      </c>
    </row>
    <row r="1498" spans="1:5" x14ac:dyDescent="0.25">
      <c r="A1498" s="1">
        <v>44961</v>
      </c>
      <c r="B1498">
        <v>3</v>
      </c>
      <c r="C1498" t="s">
        <v>7</v>
      </c>
      <c r="D1498">
        <v>189</v>
      </c>
      <c r="E1498">
        <v>3267.05</v>
      </c>
    </row>
    <row r="1499" spans="1:5" x14ac:dyDescent="0.25">
      <c r="A1499" s="1">
        <v>44962</v>
      </c>
      <c r="B1499">
        <v>3</v>
      </c>
      <c r="C1499" t="s">
        <v>7</v>
      </c>
      <c r="D1499">
        <v>200</v>
      </c>
      <c r="E1499">
        <v>3364.81</v>
      </c>
    </row>
    <row r="1500" spans="1:5" x14ac:dyDescent="0.25">
      <c r="A1500" s="1">
        <v>44963</v>
      </c>
      <c r="B1500">
        <v>3</v>
      </c>
      <c r="C1500" t="s">
        <v>7</v>
      </c>
      <c r="D1500">
        <v>193</v>
      </c>
      <c r="E1500">
        <v>3120.2</v>
      </c>
    </row>
    <row r="1501" spans="1:5" x14ac:dyDescent="0.25">
      <c r="A1501" s="1">
        <v>44964</v>
      </c>
      <c r="B1501">
        <v>3</v>
      </c>
      <c r="C1501" t="s">
        <v>7</v>
      </c>
      <c r="D1501">
        <v>219</v>
      </c>
      <c r="E1501">
        <v>3855.21</v>
      </c>
    </row>
    <row r="1502" spans="1:5" x14ac:dyDescent="0.25">
      <c r="A1502" s="1">
        <v>44965</v>
      </c>
      <c r="B1502">
        <v>3</v>
      </c>
      <c r="C1502" t="s">
        <v>7</v>
      </c>
      <c r="D1502">
        <v>157</v>
      </c>
      <c r="E1502">
        <v>2701.5</v>
      </c>
    </row>
    <row r="1503" spans="1:5" x14ac:dyDescent="0.25">
      <c r="A1503" s="1">
        <v>44966</v>
      </c>
      <c r="B1503">
        <v>3</v>
      </c>
      <c r="C1503" t="s">
        <v>7</v>
      </c>
      <c r="D1503">
        <v>169</v>
      </c>
      <c r="E1503">
        <v>2802.54</v>
      </c>
    </row>
    <row r="1504" spans="1:5" x14ac:dyDescent="0.25">
      <c r="A1504" s="1">
        <v>44967</v>
      </c>
      <c r="B1504">
        <v>3</v>
      </c>
      <c r="C1504" t="s">
        <v>7</v>
      </c>
      <c r="D1504">
        <v>202</v>
      </c>
      <c r="E1504">
        <v>3180.87</v>
      </c>
    </row>
    <row r="1505" spans="1:5" x14ac:dyDescent="0.25">
      <c r="A1505" s="1">
        <v>44968</v>
      </c>
      <c r="B1505">
        <v>3</v>
      </c>
      <c r="C1505" t="s">
        <v>7</v>
      </c>
      <c r="D1505">
        <v>181</v>
      </c>
      <c r="E1505">
        <v>3092.44</v>
      </c>
    </row>
    <row r="1506" spans="1:5" x14ac:dyDescent="0.25">
      <c r="A1506" s="1">
        <v>44969</v>
      </c>
      <c r="B1506">
        <v>3</v>
      </c>
      <c r="C1506" t="s">
        <v>7</v>
      </c>
      <c r="D1506">
        <v>221</v>
      </c>
      <c r="E1506">
        <v>3540.32</v>
      </c>
    </row>
    <row r="1507" spans="1:5" x14ac:dyDescent="0.25">
      <c r="A1507" s="1">
        <v>44970</v>
      </c>
      <c r="B1507">
        <v>3</v>
      </c>
      <c r="C1507" t="s">
        <v>7</v>
      </c>
      <c r="D1507">
        <v>210</v>
      </c>
      <c r="E1507">
        <v>3598.86</v>
      </c>
    </row>
    <row r="1508" spans="1:5" x14ac:dyDescent="0.25">
      <c r="A1508" s="1">
        <v>44971</v>
      </c>
      <c r="B1508">
        <v>3</v>
      </c>
      <c r="C1508" t="s">
        <v>7</v>
      </c>
      <c r="D1508">
        <v>191</v>
      </c>
      <c r="E1508">
        <v>3162.58</v>
      </c>
    </row>
    <row r="1509" spans="1:5" x14ac:dyDescent="0.25">
      <c r="A1509" s="1">
        <v>44972</v>
      </c>
      <c r="B1509">
        <v>3</v>
      </c>
      <c r="C1509" t="s">
        <v>7</v>
      </c>
      <c r="D1509">
        <v>187</v>
      </c>
      <c r="E1509">
        <v>3215.12</v>
      </c>
    </row>
    <row r="1510" spans="1:5" x14ac:dyDescent="0.25">
      <c r="A1510" s="1">
        <v>44973</v>
      </c>
      <c r="B1510">
        <v>3</v>
      </c>
      <c r="C1510" t="s">
        <v>7</v>
      </c>
      <c r="D1510">
        <v>196</v>
      </c>
      <c r="E1510">
        <v>2937.47</v>
      </c>
    </row>
    <row r="1511" spans="1:5" x14ac:dyDescent="0.25">
      <c r="A1511" s="1">
        <v>44974</v>
      </c>
      <c r="B1511">
        <v>3</v>
      </c>
      <c r="C1511" t="s">
        <v>7</v>
      </c>
      <c r="D1511">
        <v>185</v>
      </c>
      <c r="E1511">
        <v>3043.86</v>
      </c>
    </row>
    <row r="1512" spans="1:5" x14ac:dyDescent="0.25">
      <c r="A1512" s="1">
        <v>44975</v>
      </c>
      <c r="B1512">
        <v>3</v>
      </c>
      <c r="C1512" t="s">
        <v>7</v>
      </c>
      <c r="D1512">
        <v>250</v>
      </c>
      <c r="E1512">
        <v>3600.38</v>
      </c>
    </row>
    <row r="1513" spans="1:5" x14ac:dyDescent="0.25">
      <c r="A1513" s="1">
        <v>44976</v>
      </c>
      <c r="B1513">
        <v>3</v>
      </c>
      <c r="C1513" t="s">
        <v>7</v>
      </c>
      <c r="D1513">
        <v>200</v>
      </c>
      <c r="E1513">
        <v>3474.39</v>
      </c>
    </row>
    <row r="1514" spans="1:5" x14ac:dyDescent="0.25">
      <c r="A1514" s="1">
        <v>44977</v>
      </c>
      <c r="B1514">
        <v>3</v>
      </c>
      <c r="C1514" t="s">
        <v>7</v>
      </c>
      <c r="D1514">
        <v>196</v>
      </c>
      <c r="E1514">
        <v>3072.81</v>
      </c>
    </row>
    <row r="1515" spans="1:5" x14ac:dyDescent="0.25">
      <c r="A1515" s="1">
        <v>44978</v>
      </c>
      <c r="B1515">
        <v>3</v>
      </c>
      <c r="C1515" t="s">
        <v>7</v>
      </c>
      <c r="D1515">
        <v>165</v>
      </c>
      <c r="E1515">
        <v>2698.38</v>
      </c>
    </row>
    <row r="1516" spans="1:5" x14ac:dyDescent="0.25">
      <c r="A1516" s="1">
        <v>44979</v>
      </c>
      <c r="B1516">
        <v>3</v>
      </c>
      <c r="C1516" t="s">
        <v>7</v>
      </c>
      <c r="D1516">
        <v>194</v>
      </c>
      <c r="E1516">
        <v>3084.66</v>
      </c>
    </row>
    <row r="1517" spans="1:5" x14ac:dyDescent="0.25">
      <c r="A1517" s="1">
        <v>44980</v>
      </c>
      <c r="B1517">
        <v>3</v>
      </c>
      <c r="C1517" t="s">
        <v>7</v>
      </c>
      <c r="D1517">
        <v>200</v>
      </c>
      <c r="E1517">
        <v>3332.89</v>
      </c>
    </row>
    <row r="1518" spans="1:5" x14ac:dyDescent="0.25">
      <c r="A1518" s="1">
        <v>44981</v>
      </c>
      <c r="B1518">
        <v>3</v>
      </c>
      <c r="C1518" t="s">
        <v>7</v>
      </c>
      <c r="D1518">
        <v>181</v>
      </c>
      <c r="E1518">
        <v>2988.95</v>
      </c>
    </row>
    <row r="1519" spans="1:5" x14ac:dyDescent="0.25">
      <c r="A1519" s="1">
        <v>44982</v>
      </c>
      <c r="B1519">
        <v>3</v>
      </c>
      <c r="C1519" t="s">
        <v>7</v>
      </c>
      <c r="D1519">
        <v>219</v>
      </c>
      <c r="E1519">
        <v>3355.69</v>
      </c>
    </row>
    <row r="1520" spans="1:5" x14ac:dyDescent="0.25">
      <c r="A1520" s="1">
        <v>44983</v>
      </c>
      <c r="B1520">
        <v>3</v>
      </c>
      <c r="C1520" t="s">
        <v>7</v>
      </c>
      <c r="D1520">
        <v>242</v>
      </c>
      <c r="E1520">
        <v>4298.3100000000004</v>
      </c>
    </row>
    <row r="1521" spans="1:5" x14ac:dyDescent="0.25">
      <c r="A1521" s="1">
        <v>44984</v>
      </c>
      <c r="B1521">
        <v>3</v>
      </c>
      <c r="C1521" t="s">
        <v>7</v>
      </c>
      <c r="D1521">
        <v>240</v>
      </c>
      <c r="E1521">
        <v>3943.14</v>
      </c>
    </row>
    <row r="1522" spans="1:5" x14ac:dyDescent="0.25">
      <c r="A1522" s="1">
        <v>44985</v>
      </c>
      <c r="B1522">
        <v>3</v>
      </c>
      <c r="C1522" t="s">
        <v>7</v>
      </c>
      <c r="D1522">
        <v>172</v>
      </c>
      <c r="E1522">
        <v>2757.65</v>
      </c>
    </row>
    <row r="1523" spans="1:5" x14ac:dyDescent="0.25">
      <c r="A1523" s="1">
        <v>44986</v>
      </c>
      <c r="B1523">
        <v>3</v>
      </c>
      <c r="C1523" t="s">
        <v>7</v>
      </c>
      <c r="D1523">
        <v>194</v>
      </c>
      <c r="E1523">
        <v>2958.36</v>
      </c>
    </row>
    <row r="1524" spans="1:5" x14ac:dyDescent="0.25">
      <c r="A1524" s="1">
        <v>44987</v>
      </c>
      <c r="B1524">
        <v>3</v>
      </c>
      <c r="C1524" t="s">
        <v>7</v>
      </c>
      <c r="D1524">
        <v>175</v>
      </c>
      <c r="E1524">
        <v>2763.11</v>
      </c>
    </row>
    <row r="1525" spans="1:5" x14ac:dyDescent="0.25">
      <c r="A1525" s="1">
        <v>44988</v>
      </c>
      <c r="B1525">
        <v>3</v>
      </c>
      <c r="C1525" t="s">
        <v>7</v>
      </c>
      <c r="D1525">
        <v>175</v>
      </c>
      <c r="E1525">
        <v>2640.62</v>
      </c>
    </row>
    <row r="1526" spans="1:5" x14ac:dyDescent="0.25">
      <c r="A1526" s="1">
        <v>44989</v>
      </c>
      <c r="B1526">
        <v>3</v>
      </c>
      <c r="C1526" t="s">
        <v>7</v>
      </c>
      <c r="D1526">
        <v>235</v>
      </c>
      <c r="E1526">
        <v>4165.67</v>
      </c>
    </row>
    <row r="1527" spans="1:5" x14ac:dyDescent="0.25">
      <c r="A1527" s="1">
        <v>44990</v>
      </c>
      <c r="B1527">
        <v>3</v>
      </c>
      <c r="C1527" t="s">
        <v>7</v>
      </c>
      <c r="D1527">
        <v>209</v>
      </c>
      <c r="E1527">
        <v>3409.78</v>
      </c>
    </row>
    <row r="1528" spans="1:5" x14ac:dyDescent="0.25">
      <c r="A1528" s="1">
        <v>44991</v>
      </c>
      <c r="B1528">
        <v>3</v>
      </c>
      <c r="C1528" t="s">
        <v>7</v>
      </c>
      <c r="D1528">
        <v>160</v>
      </c>
      <c r="E1528">
        <v>2642.04</v>
      </c>
    </row>
    <row r="1529" spans="1:5" x14ac:dyDescent="0.25">
      <c r="A1529" s="1">
        <v>44992</v>
      </c>
      <c r="B1529">
        <v>3</v>
      </c>
      <c r="C1529" t="s">
        <v>7</v>
      </c>
      <c r="D1529">
        <v>155</v>
      </c>
      <c r="E1529">
        <v>2670.48</v>
      </c>
    </row>
    <row r="1530" spans="1:5" x14ac:dyDescent="0.25">
      <c r="A1530" s="1">
        <v>44993</v>
      </c>
      <c r="B1530">
        <v>3</v>
      </c>
      <c r="C1530" t="s">
        <v>7</v>
      </c>
      <c r="D1530">
        <v>175</v>
      </c>
      <c r="E1530">
        <v>3133.87</v>
      </c>
    </row>
    <row r="1531" spans="1:5" x14ac:dyDescent="0.25">
      <c r="A1531" s="1">
        <v>44994</v>
      </c>
      <c r="B1531">
        <v>3</v>
      </c>
      <c r="C1531" t="s">
        <v>7</v>
      </c>
      <c r="D1531">
        <v>169</v>
      </c>
      <c r="E1531">
        <v>2802.63</v>
      </c>
    </row>
    <row r="1532" spans="1:5" x14ac:dyDescent="0.25">
      <c r="A1532" s="1">
        <v>44995</v>
      </c>
      <c r="B1532">
        <v>3</v>
      </c>
      <c r="C1532" t="s">
        <v>7</v>
      </c>
      <c r="D1532">
        <v>154</v>
      </c>
      <c r="E1532">
        <v>2524.86</v>
      </c>
    </row>
    <row r="1533" spans="1:5" x14ac:dyDescent="0.25">
      <c r="A1533" s="1">
        <v>44996</v>
      </c>
      <c r="B1533">
        <v>3</v>
      </c>
      <c r="C1533" t="s">
        <v>7</v>
      </c>
      <c r="D1533">
        <v>192</v>
      </c>
      <c r="E1533">
        <v>3023.41</v>
      </c>
    </row>
    <row r="1534" spans="1:5" x14ac:dyDescent="0.25">
      <c r="A1534" s="1">
        <v>44997</v>
      </c>
      <c r="B1534">
        <v>3</v>
      </c>
      <c r="C1534" t="s">
        <v>7</v>
      </c>
      <c r="D1534">
        <v>216</v>
      </c>
      <c r="E1534">
        <v>3657.1</v>
      </c>
    </row>
    <row r="1535" spans="1:5" x14ac:dyDescent="0.25">
      <c r="A1535" s="1">
        <v>44998</v>
      </c>
      <c r="B1535">
        <v>3</v>
      </c>
      <c r="C1535" t="s">
        <v>7</v>
      </c>
      <c r="D1535">
        <v>149</v>
      </c>
      <c r="E1535">
        <v>2614.2600000000002</v>
      </c>
    </row>
    <row r="1536" spans="1:5" x14ac:dyDescent="0.25">
      <c r="A1536" s="1">
        <v>44999</v>
      </c>
      <c r="B1536">
        <v>3</v>
      </c>
      <c r="C1536" t="s">
        <v>7</v>
      </c>
      <c r="D1536">
        <v>177</v>
      </c>
      <c r="E1536">
        <v>2974.55</v>
      </c>
    </row>
    <row r="1537" spans="1:5" x14ac:dyDescent="0.25">
      <c r="A1537" s="1">
        <v>45000</v>
      </c>
      <c r="B1537">
        <v>3</v>
      </c>
      <c r="C1537" t="s">
        <v>7</v>
      </c>
      <c r="D1537">
        <v>181</v>
      </c>
      <c r="E1537">
        <v>3122.06</v>
      </c>
    </row>
    <row r="1538" spans="1:5" x14ac:dyDescent="0.25">
      <c r="A1538" s="1">
        <v>45001</v>
      </c>
      <c r="B1538">
        <v>3</v>
      </c>
      <c r="C1538" t="s">
        <v>7</v>
      </c>
      <c r="D1538">
        <v>197</v>
      </c>
      <c r="E1538">
        <v>3258.45</v>
      </c>
    </row>
    <row r="1539" spans="1:5" x14ac:dyDescent="0.25">
      <c r="A1539" s="1">
        <v>45002</v>
      </c>
      <c r="B1539">
        <v>3</v>
      </c>
      <c r="C1539" t="s">
        <v>7</v>
      </c>
      <c r="D1539">
        <v>217</v>
      </c>
      <c r="E1539">
        <v>3559.78</v>
      </c>
    </row>
    <row r="1540" spans="1:5" x14ac:dyDescent="0.25">
      <c r="A1540" s="1">
        <v>45003</v>
      </c>
      <c r="B1540">
        <v>3</v>
      </c>
      <c r="C1540" t="s">
        <v>7</v>
      </c>
      <c r="D1540">
        <v>170</v>
      </c>
      <c r="E1540">
        <v>2677.99</v>
      </c>
    </row>
    <row r="1541" spans="1:5" x14ac:dyDescent="0.25">
      <c r="A1541" s="1">
        <v>45004</v>
      </c>
      <c r="B1541">
        <v>3</v>
      </c>
      <c r="C1541" t="s">
        <v>7</v>
      </c>
      <c r="D1541">
        <v>223</v>
      </c>
      <c r="E1541">
        <v>3863.18</v>
      </c>
    </row>
    <row r="1542" spans="1:5" x14ac:dyDescent="0.25">
      <c r="A1542" s="1">
        <v>45005</v>
      </c>
      <c r="B1542">
        <v>3</v>
      </c>
      <c r="C1542" t="s">
        <v>7</v>
      </c>
      <c r="D1542">
        <v>185</v>
      </c>
      <c r="E1542">
        <v>3139.35</v>
      </c>
    </row>
    <row r="1543" spans="1:5" x14ac:dyDescent="0.25">
      <c r="A1543" s="1">
        <v>45006</v>
      </c>
      <c r="B1543">
        <v>3</v>
      </c>
      <c r="C1543" t="s">
        <v>7</v>
      </c>
      <c r="D1543">
        <v>199</v>
      </c>
      <c r="E1543">
        <v>2995.06</v>
      </c>
    </row>
    <row r="1544" spans="1:5" x14ac:dyDescent="0.25">
      <c r="A1544" s="1">
        <v>45007</v>
      </c>
      <c r="B1544">
        <v>3</v>
      </c>
      <c r="C1544" t="s">
        <v>7</v>
      </c>
      <c r="D1544">
        <v>197</v>
      </c>
      <c r="E1544">
        <v>3082.39</v>
      </c>
    </row>
    <row r="1545" spans="1:5" x14ac:dyDescent="0.25">
      <c r="A1545" s="1">
        <v>45008</v>
      </c>
      <c r="B1545">
        <v>3</v>
      </c>
      <c r="C1545" t="s">
        <v>7</v>
      </c>
      <c r="D1545">
        <v>199</v>
      </c>
      <c r="E1545">
        <v>3419.38</v>
      </c>
    </row>
    <row r="1546" spans="1:5" x14ac:dyDescent="0.25">
      <c r="A1546" s="1">
        <v>45009</v>
      </c>
      <c r="B1546">
        <v>3</v>
      </c>
      <c r="C1546" t="s">
        <v>7</v>
      </c>
      <c r="D1546">
        <v>149</v>
      </c>
      <c r="E1546">
        <v>2546.5700000000002</v>
      </c>
    </row>
    <row r="1547" spans="1:5" x14ac:dyDescent="0.25">
      <c r="A1547" s="1">
        <v>45010</v>
      </c>
      <c r="B1547">
        <v>3</v>
      </c>
      <c r="C1547" t="s">
        <v>7</v>
      </c>
      <c r="D1547">
        <v>212</v>
      </c>
      <c r="E1547">
        <v>3531.72</v>
      </c>
    </row>
    <row r="1548" spans="1:5" x14ac:dyDescent="0.25">
      <c r="A1548" s="1">
        <v>45011</v>
      </c>
      <c r="B1548">
        <v>3</v>
      </c>
      <c r="C1548" t="s">
        <v>7</v>
      </c>
      <c r="D1548">
        <v>178</v>
      </c>
      <c r="E1548">
        <v>2776.4</v>
      </c>
    </row>
    <row r="1549" spans="1:5" x14ac:dyDescent="0.25">
      <c r="A1549" s="1">
        <v>45012</v>
      </c>
      <c r="B1549">
        <v>3</v>
      </c>
      <c r="C1549" t="s">
        <v>7</v>
      </c>
      <c r="D1549">
        <v>174</v>
      </c>
      <c r="E1549">
        <v>2764.8</v>
      </c>
    </row>
    <row r="1550" spans="1:5" x14ac:dyDescent="0.25">
      <c r="A1550" s="1">
        <v>45013</v>
      </c>
      <c r="B1550">
        <v>3</v>
      </c>
      <c r="C1550" t="s">
        <v>7</v>
      </c>
      <c r="D1550">
        <v>198</v>
      </c>
      <c r="E1550">
        <v>3070.2</v>
      </c>
    </row>
    <row r="1551" spans="1:5" x14ac:dyDescent="0.25">
      <c r="A1551" s="1">
        <v>45014</v>
      </c>
      <c r="B1551">
        <v>3</v>
      </c>
      <c r="C1551" t="s">
        <v>7</v>
      </c>
      <c r="D1551">
        <v>161</v>
      </c>
      <c r="E1551">
        <v>2648.21</v>
      </c>
    </row>
    <row r="1552" spans="1:5" x14ac:dyDescent="0.25">
      <c r="A1552" s="1">
        <v>45015</v>
      </c>
      <c r="B1552">
        <v>3</v>
      </c>
      <c r="C1552" t="s">
        <v>7</v>
      </c>
      <c r="D1552">
        <v>185</v>
      </c>
      <c r="E1552">
        <v>3024.67</v>
      </c>
    </row>
    <row r="1553" spans="1:5" x14ac:dyDescent="0.25">
      <c r="A1553" s="1">
        <v>45016</v>
      </c>
      <c r="B1553">
        <v>3</v>
      </c>
      <c r="C1553" t="s">
        <v>7</v>
      </c>
      <c r="D1553">
        <v>179</v>
      </c>
      <c r="E1553">
        <v>2949.69</v>
      </c>
    </row>
    <row r="1554" spans="1:5" x14ac:dyDescent="0.25">
      <c r="A1554" s="1">
        <v>45017</v>
      </c>
      <c r="B1554">
        <v>3</v>
      </c>
      <c r="C1554" t="s">
        <v>7</v>
      </c>
      <c r="D1554">
        <v>208</v>
      </c>
      <c r="E1554">
        <v>3285.1</v>
      </c>
    </row>
    <row r="1555" spans="1:5" x14ac:dyDescent="0.25">
      <c r="A1555" s="1">
        <v>45018</v>
      </c>
      <c r="B1555">
        <v>3</v>
      </c>
      <c r="C1555" t="s">
        <v>7</v>
      </c>
      <c r="D1555">
        <v>199</v>
      </c>
      <c r="E1555">
        <v>3464.92</v>
      </c>
    </row>
    <row r="1556" spans="1:5" x14ac:dyDescent="0.25">
      <c r="A1556" s="1">
        <v>45019</v>
      </c>
      <c r="B1556">
        <v>3</v>
      </c>
      <c r="C1556" t="s">
        <v>7</v>
      </c>
      <c r="D1556">
        <v>133</v>
      </c>
      <c r="E1556">
        <v>2351.5</v>
      </c>
    </row>
    <row r="1557" spans="1:5" x14ac:dyDescent="0.25">
      <c r="A1557" s="1">
        <v>45020</v>
      </c>
      <c r="B1557">
        <v>3</v>
      </c>
      <c r="C1557" t="s">
        <v>7</v>
      </c>
      <c r="D1557">
        <v>199</v>
      </c>
      <c r="E1557">
        <v>3114.7</v>
      </c>
    </row>
    <row r="1558" spans="1:5" x14ac:dyDescent="0.25">
      <c r="A1558" s="1">
        <v>45021</v>
      </c>
      <c r="B1558">
        <v>3</v>
      </c>
      <c r="C1558" t="s">
        <v>7</v>
      </c>
      <c r="D1558">
        <v>172</v>
      </c>
      <c r="E1558">
        <v>2830.23</v>
      </c>
    </row>
    <row r="1559" spans="1:5" x14ac:dyDescent="0.25">
      <c r="A1559" s="1">
        <v>45022</v>
      </c>
      <c r="B1559">
        <v>3</v>
      </c>
      <c r="C1559" t="s">
        <v>7</v>
      </c>
      <c r="D1559">
        <v>187</v>
      </c>
      <c r="E1559">
        <v>3167.08</v>
      </c>
    </row>
    <row r="1560" spans="1:5" x14ac:dyDescent="0.25">
      <c r="A1560" s="1">
        <v>45023</v>
      </c>
      <c r="B1560">
        <v>3</v>
      </c>
      <c r="C1560" t="s">
        <v>7</v>
      </c>
      <c r="D1560">
        <v>186</v>
      </c>
      <c r="E1560">
        <v>3036.82</v>
      </c>
    </row>
    <row r="1561" spans="1:5" x14ac:dyDescent="0.25">
      <c r="A1561" s="1">
        <v>45024</v>
      </c>
      <c r="B1561">
        <v>3</v>
      </c>
      <c r="C1561" t="s">
        <v>7</v>
      </c>
      <c r="D1561">
        <v>201</v>
      </c>
      <c r="E1561">
        <v>3294.17</v>
      </c>
    </row>
    <row r="1562" spans="1:5" x14ac:dyDescent="0.25">
      <c r="A1562" s="1">
        <v>45025</v>
      </c>
      <c r="B1562">
        <v>3</v>
      </c>
      <c r="C1562" t="s">
        <v>7</v>
      </c>
      <c r="D1562">
        <v>234</v>
      </c>
      <c r="E1562">
        <v>4167.76</v>
      </c>
    </row>
    <row r="1563" spans="1:5" x14ac:dyDescent="0.25">
      <c r="A1563" s="1">
        <v>45026</v>
      </c>
      <c r="B1563">
        <v>3</v>
      </c>
      <c r="C1563" t="s">
        <v>7</v>
      </c>
      <c r="D1563">
        <v>167</v>
      </c>
      <c r="E1563">
        <v>2926.57</v>
      </c>
    </row>
    <row r="1564" spans="1:5" x14ac:dyDescent="0.25">
      <c r="A1564" s="1">
        <v>45027</v>
      </c>
      <c r="B1564">
        <v>3</v>
      </c>
      <c r="C1564" t="s">
        <v>7</v>
      </c>
      <c r="D1564">
        <v>162</v>
      </c>
      <c r="E1564">
        <v>2841.04</v>
      </c>
    </row>
    <row r="1565" spans="1:5" x14ac:dyDescent="0.25">
      <c r="A1565" s="1">
        <v>45028</v>
      </c>
      <c r="B1565">
        <v>3</v>
      </c>
      <c r="C1565" t="s">
        <v>7</v>
      </c>
      <c r="D1565">
        <v>183</v>
      </c>
      <c r="E1565">
        <v>3106.35</v>
      </c>
    </row>
    <row r="1566" spans="1:5" x14ac:dyDescent="0.25">
      <c r="A1566" s="1">
        <v>45029</v>
      </c>
      <c r="B1566">
        <v>3</v>
      </c>
      <c r="C1566" t="s">
        <v>7</v>
      </c>
      <c r="D1566">
        <v>219</v>
      </c>
      <c r="E1566">
        <v>3694.97</v>
      </c>
    </row>
    <row r="1567" spans="1:5" x14ac:dyDescent="0.25">
      <c r="A1567" s="1">
        <v>45030</v>
      </c>
      <c r="B1567">
        <v>3</v>
      </c>
      <c r="C1567" t="s">
        <v>7</v>
      </c>
      <c r="D1567">
        <v>163</v>
      </c>
      <c r="E1567">
        <v>2762.86</v>
      </c>
    </row>
    <row r="1568" spans="1:5" x14ac:dyDescent="0.25">
      <c r="A1568" s="1">
        <v>45031</v>
      </c>
      <c r="B1568">
        <v>3</v>
      </c>
      <c r="C1568" t="s">
        <v>7</v>
      </c>
      <c r="D1568">
        <v>234</v>
      </c>
      <c r="E1568">
        <v>4048.49</v>
      </c>
    </row>
    <row r="1569" spans="1:5" x14ac:dyDescent="0.25">
      <c r="A1569" s="1">
        <v>45032</v>
      </c>
      <c r="B1569">
        <v>3</v>
      </c>
      <c r="C1569" t="s">
        <v>7</v>
      </c>
      <c r="D1569">
        <v>226</v>
      </c>
      <c r="E1569">
        <v>3563.62</v>
      </c>
    </row>
    <row r="1570" spans="1:5" x14ac:dyDescent="0.25">
      <c r="A1570" s="1">
        <v>45033</v>
      </c>
      <c r="B1570">
        <v>3</v>
      </c>
      <c r="C1570" t="s">
        <v>7</v>
      </c>
      <c r="D1570">
        <v>180</v>
      </c>
      <c r="E1570">
        <v>2610.21</v>
      </c>
    </row>
    <row r="1571" spans="1:5" x14ac:dyDescent="0.25">
      <c r="A1571" s="1">
        <v>45034</v>
      </c>
      <c r="B1571">
        <v>3</v>
      </c>
      <c r="C1571" t="s">
        <v>7</v>
      </c>
      <c r="D1571">
        <v>163</v>
      </c>
      <c r="E1571">
        <v>2636.78</v>
      </c>
    </row>
    <row r="1572" spans="1:5" x14ac:dyDescent="0.25">
      <c r="A1572" s="1">
        <v>45035</v>
      </c>
      <c r="B1572">
        <v>3</v>
      </c>
      <c r="C1572" t="s">
        <v>7</v>
      </c>
      <c r="D1572">
        <v>220</v>
      </c>
      <c r="E1572">
        <v>3686.67</v>
      </c>
    </row>
    <row r="1573" spans="1:5" x14ac:dyDescent="0.25">
      <c r="A1573" s="1">
        <v>45036</v>
      </c>
      <c r="B1573">
        <v>3</v>
      </c>
      <c r="C1573" t="s">
        <v>7</v>
      </c>
      <c r="D1573">
        <v>215</v>
      </c>
      <c r="E1573">
        <v>3464.94</v>
      </c>
    </row>
    <row r="1574" spans="1:5" x14ac:dyDescent="0.25">
      <c r="A1574" s="1">
        <v>45037</v>
      </c>
      <c r="B1574">
        <v>3</v>
      </c>
      <c r="C1574" t="s">
        <v>7</v>
      </c>
      <c r="D1574">
        <v>208</v>
      </c>
      <c r="E1574">
        <v>3305.65</v>
      </c>
    </row>
    <row r="1575" spans="1:5" x14ac:dyDescent="0.25">
      <c r="A1575" s="1">
        <v>45038</v>
      </c>
      <c r="B1575">
        <v>3</v>
      </c>
      <c r="C1575" t="s">
        <v>7</v>
      </c>
      <c r="D1575">
        <v>220</v>
      </c>
      <c r="E1575">
        <v>3712.11</v>
      </c>
    </row>
    <row r="1576" spans="1:5" x14ac:dyDescent="0.25">
      <c r="A1576" s="1">
        <v>45039</v>
      </c>
      <c r="B1576">
        <v>3</v>
      </c>
      <c r="C1576" t="s">
        <v>7</v>
      </c>
      <c r="D1576">
        <v>218</v>
      </c>
      <c r="E1576">
        <v>3559.82</v>
      </c>
    </row>
    <row r="1577" spans="1:5" x14ac:dyDescent="0.25">
      <c r="A1577" s="1">
        <v>45040</v>
      </c>
      <c r="B1577">
        <v>3</v>
      </c>
      <c r="C1577" t="s">
        <v>7</v>
      </c>
      <c r="D1577">
        <v>178</v>
      </c>
      <c r="E1577">
        <v>2975.13</v>
      </c>
    </row>
    <row r="1578" spans="1:5" x14ac:dyDescent="0.25">
      <c r="A1578" s="1">
        <v>45041</v>
      </c>
      <c r="B1578">
        <v>3</v>
      </c>
      <c r="C1578" t="s">
        <v>7</v>
      </c>
      <c r="D1578">
        <v>151</v>
      </c>
      <c r="E1578">
        <v>2486.13</v>
      </c>
    </row>
    <row r="1579" spans="1:5" x14ac:dyDescent="0.25">
      <c r="A1579" s="1">
        <v>45042</v>
      </c>
      <c r="B1579">
        <v>3</v>
      </c>
      <c r="C1579" t="s">
        <v>7</v>
      </c>
      <c r="D1579">
        <v>159</v>
      </c>
      <c r="E1579">
        <v>2791.23</v>
      </c>
    </row>
    <row r="1580" spans="1:5" x14ac:dyDescent="0.25">
      <c r="A1580" s="1">
        <v>45043</v>
      </c>
      <c r="B1580">
        <v>3</v>
      </c>
      <c r="C1580" t="s">
        <v>7</v>
      </c>
      <c r="D1580">
        <v>188</v>
      </c>
      <c r="E1580">
        <v>3055.44</v>
      </c>
    </row>
    <row r="1581" spans="1:5" x14ac:dyDescent="0.25">
      <c r="A1581" s="1">
        <v>45044</v>
      </c>
      <c r="B1581">
        <v>3</v>
      </c>
      <c r="C1581" t="s">
        <v>7</v>
      </c>
      <c r="D1581">
        <v>181</v>
      </c>
      <c r="E1581">
        <v>2840.87</v>
      </c>
    </row>
    <row r="1582" spans="1:5" x14ac:dyDescent="0.25">
      <c r="A1582" s="1">
        <v>45045</v>
      </c>
      <c r="B1582">
        <v>3</v>
      </c>
      <c r="C1582" t="s">
        <v>7</v>
      </c>
      <c r="D1582">
        <v>251</v>
      </c>
      <c r="E1582">
        <v>3982.44</v>
      </c>
    </row>
    <row r="1583" spans="1:5" x14ac:dyDescent="0.25">
      <c r="A1583" s="1">
        <v>45046</v>
      </c>
      <c r="B1583">
        <v>3</v>
      </c>
      <c r="C1583" t="s">
        <v>7</v>
      </c>
      <c r="D1583">
        <v>186</v>
      </c>
      <c r="E1583">
        <v>3177.76</v>
      </c>
    </row>
    <row r="1584" spans="1:5" x14ac:dyDescent="0.25">
      <c r="A1584" s="1">
        <v>45047</v>
      </c>
      <c r="B1584">
        <v>3</v>
      </c>
      <c r="C1584" t="s">
        <v>7</v>
      </c>
      <c r="D1584">
        <v>150</v>
      </c>
      <c r="E1584">
        <v>2440.4899999999998</v>
      </c>
    </row>
    <row r="1585" spans="1:5" x14ac:dyDescent="0.25">
      <c r="A1585" s="1">
        <v>45048</v>
      </c>
      <c r="B1585">
        <v>3</v>
      </c>
      <c r="C1585" t="s">
        <v>7</v>
      </c>
      <c r="D1585">
        <v>174</v>
      </c>
      <c r="E1585">
        <v>2782.67</v>
      </c>
    </row>
    <row r="1586" spans="1:5" x14ac:dyDescent="0.25">
      <c r="A1586" s="1">
        <v>45049</v>
      </c>
      <c r="B1586">
        <v>3</v>
      </c>
      <c r="C1586" t="s">
        <v>7</v>
      </c>
      <c r="D1586">
        <v>170</v>
      </c>
      <c r="E1586">
        <v>3113.93</v>
      </c>
    </row>
    <row r="1587" spans="1:5" x14ac:dyDescent="0.25">
      <c r="A1587" s="1">
        <v>45050</v>
      </c>
      <c r="B1587">
        <v>3</v>
      </c>
      <c r="C1587" t="s">
        <v>7</v>
      </c>
      <c r="D1587">
        <v>205</v>
      </c>
      <c r="E1587">
        <v>3196</v>
      </c>
    </row>
    <row r="1588" spans="1:5" x14ac:dyDescent="0.25">
      <c r="A1588" s="1">
        <v>45051</v>
      </c>
      <c r="B1588">
        <v>3</v>
      </c>
      <c r="C1588" t="s">
        <v>7</v>
      </c>
      <c r="D1588">
        <v>163</v>
      </c>
      <c r="E1588">
        <v>2797.72</v>
      </c>
    </row>
    <row r="1589" spans="1:5" x14ac:dyDescent="0.25">
      <c r="A1589" s="1">
        <v>45052</v>
      </c>
      <c r="B1589">
        <v>3</v>
      </c>
      <c r="C1589" t="s">
        <v>7</v>
      </c>
      <c r="D1589">
        <v>218</v>
      </c>
      <c r="E1589">
        <v>3306.33</v>
      </c>
    </row>
    <row r="1590" spans="1:5" x14ac:dyDescent="0.25">
      <c r="A1590" s="1">
        <v>45053</v>
      </c>
      <c r="B1590">
        <v>3</v>
      </c>
      <c r="C1590" t="s">
        <v>7</v>
      </c>
      <c r="D1590">
        <v>228</v>
      </c>
      <c r="E1590">
        <v>3820.15</v>
      </c>
    </row>
    <row r="1591" spans="1:5" x14ac:dyDescent="0.25">
      <c r="A1591" s="1">
        <v>45054</v>
      </c>
      <c r="B1591">
        <v>3</v>
      </c>
      <c r="C1591" t="s">
        <v>7</v>
      </c>
      <c r="D1591">
        <v>182</v>
      </c>
      <c r="E1591">
        <v>3069.31</v>
      </c>
    </row>
    <row r="1592" spans="1:5" x14ac:dyDescent="0.25">
      <c r="A1592" s="1">
        <v>45055</v>
      </c>
      <c r="B1592">
        <v>3</v>
      </c>
      <c r="C1592" t="s">
        <v>7</v>
      </c>
      <c r="D1592">
        <v>176</v>
      </c>
      <c r="E1592">
        <v>3002.15</v>
      </c>
    </row>
    <row r="1593" spans="1:5" x14ac:dyDescent="0.25">
      <c r="A1593" s="1">
        <v>45056</v>
      </c>
      <c r="B1593">
        <v>3</v>
      </c>
      <c r="C1593" t="s">
        <v>7</v>
      </c>
      <c r="D1593">
        <v>182</v>
      </c>
      <c r="E1593">
        <v>3131.24</v>
      </c>
    </row>
    <row r="1594" spans="1:5" x14ac:dyDescent="0.25">
      <c r="A1594" s="1">
        <v>45057</v>
      </c>
      <c r="B1594">
        <v>3</v>
      </c>
      <c r="C1594" t="s">
        <v>7</v>
      </c>
      <c r="D1594">
        <v>146</v>
      </c>
      <c r="E1594">
        <v>2495.08</v>
      </c>
    </row>
    <row r="1595" spans="1:5" x14ac:dyDescent="0.25">
      <c r="A1595" s="1">
        <v>45058</v>
      </c>
      <c r="B1595">
        <v>3</v>
      </c>
      <c r="C1595" t="s">
        <v>7</v>
      </c>
      <c r="D1595">
        <v>206</v>
      </c>
      <c r="E1595">
        <v>3519.1</v>
      </c>
    </row>
    <row r="1596" spans="1:5" x14ac:dyDescent="0.25">
      <c r="A1596" s="1">
        <v>45059</v>
      </c>
      <c r="B1596">
        <v>3</v>
      </c>
      <c r="C1596" t="s">
        <v>7</v>
      </c>
      <c r="D1596">
        <v>200</v>
      </c>
      <c r="E1596">
        <v>3201.93</v>
      </c>
    </row>
    <row r="1597" spans="1:5" x14ac:dyDescent="0.25">
      <c r="A1597" s="1">
        <v>45060</v>
      </c>
      <c r="B1597">
        <v>3</v>
      </c>
      <c r="C1597" t="s">
        <v>7</v>
      </c>
      <c r="D1597">
        <v>233</v>
      </c>
      <c r="E1597">
        <v>3823.21</v>
      </c>
    </row>
    <row r="1598" spans="1:5" x14ac:dyDescent="0.25">
      <c r="A1598" s="1">
        <v>45061</v>
      </c>
      <c r="B1598">
        <v>3</v>
      </c>
      <c r="C1598" t="s">
        <v>7</v>
      </c>
      <c r="D1598">
        <v>204</v>
      </c>
      <c r="E1598">
        <v>3409.87</v>
      </c>
    </row>
    <row r="1599" spans="1:5" x14ac:dyDescent="0.25">
      <c r="A1599" s="1">
        <v>45062</v>
      </c>
      <c r="B1599">
        <v>3</v>
      </c>
      <c r="C1599" t="s">
        <v>7</v>
      </c>
      <c r="D1599">
        <v>174</v>
      </c>
      <c r="E1599">
        <v>2894.24</v>
      </c>
    </row>
    <row r="1600" spans="1:5" x14ac:dyDescent="0.25">
      <c r="A1600" s="1">
        <v>45063</v>
      </c>
      <c r="B1600">
        <v>3</v>
      </c>
      <c r="C1600" t="s">
        <v>7</v>
      </c>
      <c r="D1600">
        <v>180</v>
      </c>
      <c r="E1600">
        <v>3176.77</v>
      </c>
    </row>
    <row r="1601" spans="1:5" x14ac:dyDescent="0.25">
      <c r="A1601" s="1">
        <v>45064</v>
      </c>
      <c r="B1601">
        <v>3</v>
      </c>
      <c r="C1601" t="s">
        <v>7</v>
      </c>
      <c r="D1601">
        <v>211</v>
      </c>
      <c r="E1601">
        <v>3888.17</v>
      </c>
    </row>
    <row r="1602" spans="1:5" x14ac:dyDescent="0.25">
      <c r="A1602" s="1">
        <v>45065</v>
      </c>
      <c r="B1602">
        <v>3</v>
      </c>
      <c r="C1602" t="s">
        <v>7</v>
      </c>
      <c r="D1602">
        <v>204</v>
      </c>
      <c r="E1602">
        <v>3383.63</v>
      </c>
    </row>
    <row r="1603" spans="1:5" x14ac:dyDescent="0.25">
      <c r="A1603" s="1">
        <v>45066</v>
      </c>
      <c r="B1603">
        <v>3</v>
      </c>
      <c r="C1603" t="s">
        <v>7</v>
      </c>
      <c r="D1603">
        <v>227</v>
      </c>
      <c r="E1603">
        <v>3625.12</v>
      </c>
    </row>
    <row r="1604" spans="1:5" x14ac:dyDescent="0.25">
      <c r="A1604" s="1">
        <v>45067</v>
      </c>
      <c r="B1604">
        <v>3</v>
      </c>
      <c r="C1604" t="s">
        <v>7</v>
      </c>
      <c r="D1604">
        <v>191</v>
      </c>
      <c r="E1604">
        <v>2830.73</v>
      </c>
    </row>
    <row r="1605" spans="1:5" x14ac:dyDescent="0.25">
      <c r="A1605" s="1">
        <v>45068</v>
      </c>
      <c r="B1605">
        <v>3</v>
      </c>
      <c r="C1605" t="s">
        <v>7</v>
      </c>
      <c r="D1605">
        <v>194</v>
      </c>
      <c r="E1605">
        <v>3071.14</v>
      </c>
    </row>
    <row r="1606" spans="1:5" x14ac:dyDescent="0.25">
      <c r="A1606" s="1">
        <v>45069</v>
      </c>
      <c r="B1606">
        <v>3</v>
      </c>
      <c r="C1606" t="s">
        <v>7</v>
      </c>
      <c r="D1606">
        <v>185</v>
      </c>
      <c r="E1606">
        <v>2961.76</v>
      </c>
    </row>
    <row r="1607" spans="1:5" x14ac:dyDescent="0.25">
      <c r="A1607" s="1">
        <v>45070</v>
      </c>
      <c r="B1607">
        <v>3</v>
      </c>
      <c r="C1607" t="s">
        <v>7</v>
      </c>
      <c r="D1607">
        <v>268</v>
      </c>
      <c r="E1607">
        <v>4471.05</v>
      </c>
    </row>
    <row r="1608" spans="1:5" x14ac:dyDescent="0.25">
      <c r="A1608" s="1">
        <v>45071</v>
      </c>
      <c r="B1608">
        <v>3</v>
      </c>
      <c r="C1608" t="s">
        <v>7</v>
      </c>
      <c r="D1608">
        <v>206</v>
      </c>
      <c r="E1608">
        <v>3492.98</v>
      </c>
    </row>
    <row r="1609" spans="1:5" x14ac:dyDescent="0.25">
      <c r="A1609" s="1">
        <v>45072</v>
      </c>
      <c r="B1609">
        <v>3</v>
      </c>
      <c r="C1609" t="s">
        <v>7</v>
      </c>
      <c r="D1609">
        <v>225</v>
      </c>
      <c r="E1609">
        <v>3779.86</v>
      </c>
    </row>
    <row r="1610" spans="1:5" x14ac:dyDescent="0.25">
      <c r="A1610" s="1">
        <v>45073</v>
      </c>
      <c r="B1610">
        <v>3</v>
      </c>
      <c r="C1610" t="s">
        <v>7</v>
      </c>
      <c r="D1610">
        <v>232</v>
      </c>
      <c r="E1610">
        <v>3961.37</v>
      </c>
    </row>
    <row r="1611" spans="1:5" x14ac:dyDescent="0.25">
      <c r="A1611" s="1">
        <v>45074</v>
      </c>
      <c r="B1611">
        <v>3</v>
      </c>
      <c r="C1611" t="s">
        <v>7</v>
      </c>
      <c r="D1611">
        <v>216</v>
      </c>
      <c r="E1611">
        <v>3448.36</v>
      </c>
    </row>
    <row r="1612" spans="1:5" x14ac:dyDescent="0.25">
      <c r="A1612" s="1">
        <v>45075</v>
      </c>
      <c r="B1612">
        <v>3</v>
      </c>
      <c r="C1612" t="s">
        <v>7</v>
      </c>
      <c r="D1612">
        <v>181</v>
      </c>
      <c r="E1612">
        <v>2870.55</v>
      </c>
    </row>
    <row r="1613" spans="1:5" x14ac:dyDescent="0.25">
      <c r="A1613" s="1">
        <v>45076</v>
      </c>
      <c r="B1613">
        <v>3</v>
      </c>
      <c r="C1613" t="s">
        <v>7</v>
      </c>
      <c r="D1613">
        <v>193</v>
      </c>
      <c r="E1613">
        <v>3211.8</v>
      </c>
    </row>
    <row r="1614" spans="1:5" x14ac:dyDescent="0.25">
      <c r="A1614" s="1">
        <v>45077</v>
      </c>
      <c r="B1614">
        <v>3</v>
      </c>
      <c r="C1614" t="s">
        <v>7</v>
      </c>
      <c r="D1614">
        <v>214</v>
      </c>
      <c r="E1614">
        <v>3652.6</v>
      </c>
    </row>
    <row r="1615" spans="1:5" x14ac:dyDescent="0.25">
      <c r="A1615" s="1">
        <v>45078</v>
      </c>
      <c r="B1615">
        <v>3</v>
      </c>
      <c r="C1615" t="s">
        <v>7</v>
      </c>
      <c r="D1615">
        <v>195</v>
      </c>
      <c r="E1615">
        <v>3040.69</v>
      </c>
    </row>
    <row r="1616" spans="1:5" x14ac:dyDescent="0.25">
      <c r="A1616" s="1">
        <v>45079</v>
      </c>
      <c r="B1616">
        <v>3</v>
      </c>
      <c r="C1616" t="s">
        <v>7</v>
      </c>
      <c r="D1616">
        <v>218</v>
      </c>
      <c r="E1616">
        <v>3848.05</v>
      </c>
    </row>
    <row r="1617" spans="1:5" x14ac:dyDescent="0.25">
      <c r="A1617" s="1">
        <v>45080</v>
      </c>
      <c r="B1617">
        <v>3</v>
      </c>
      <c r="C1617" t="s">
        <v>7</v>
      </c>
      <c r="D1617">
        <v>251</v>
      </c>
      <c r="E1617">
        <v>4154.41</v>
      </c>
    </row>
    <row r="1618" spans="1:5" x14ac:dyDescent="0.25">
      <c r="A1618" s="1">
        <v>45081</v>
      </c>
      <c r="B1618">
        <v>3</v>
      </c>
      <c r="C1618" t="s">
        <v>7</v>
      </c>
      <c r="D1618">
        <v>223</v>
      </c>
      <c r="E1618">
        <v>3737.57</v>
      </c>
    </row>
    <row r="1619" spans="1:5" x14ac:dyDescent="0.25">
      <c r="A1619" s="1">
        <v>45082</v>
      </c>
      <c r="B1619">
        <v>3</v>
      </c>
      <c r="C1619" t="s">
        <v>7</v>
      </c>
      <c r="D1619">
        <v>233</v>
      </c>
      <c r="E1619">
        <v>3587.1</v>
      </c>
    </row>
    <row r="1620" spans="1:5" x14ac:dyDescent="0.25">
      <c r="A1620" s="1">
        <v>45083</v>
      </c>
      <c r="B1620">
        <v>3</v>
      </c>
      <c r="C1620" t="s">
        <v>7</v>
      </c>
      <c r="D1620">
        <v>225</v>
      </c>
      <c r="E1620">
        <v>3863.73</v>
      </c>
    </row>
    <row r="1621" spans="1:5" x14ac:dyDescent="0.25">
      <c r="A1621" s="1">
        <v>45084</v>
      </c>
      <c r="B1621">
        <v>3</v>
      </c>
      <c r="C1621" t="s">
        <v>7</v>
      </c>
      <c r="D1621">
        <v>197</v>
      </c>
      <c r="E1621">
        <v>3292.69</v>
      </c>
    </row>
    <row r="1622" spans="1:5" x14ac:dyDescent="0.25">
      <c r="A1622" s="1">
        <v>45085</v>
      </c>
      <c r="B1622">
        <v>3</v>
      </c>
      <c r="C1622" t="s">
        <v>7</v>
      </c>
      <c r="D1622">
        <v>184</v>
      </c>
      <c r="E1622">
        <v>2762.65</v>
      </c>
    </row>
    <row r="1623" spans="1:5" x14ac:dyDescent="0.25">
      <c r="A1623" s="1">
        <v>45086</v>
      </c>
      <c r="B1623">
        <v>3</v>
      </c>
      <c r="C1623" t="s">
        <v>7</v>
      </c>
      <c r="D1623">
        <v>218</v>
      </c>
      <c r="E1623">
        <v>3321.87</v>
      </c>
    </row>
    <row r="1624" spans="1:5" x14ac:dyDescent="0.25">
      <c r="A1624" s="1">
        <v>45087</v>
      </c>
      <c r="B1624">
        <v>3</v>
      </c>
      <c r="C1624" t="s">
        <v>7</v>
      </c>
      <c r="D1624">
        <v>242</v>
      </c>
      <c r="E1624">
        <v>3804.9</v>
      </c>
    </row>
    <row r="1625" spans="1:5" x14ac:dyDescent="0.25">
      <c r="A1625" s="1">
        <v>45088</v>
      </c>
      <c r="B1625">
        <v>3</v>
      </c>
      <c r="C1625" t="s">
        <v>7</v>
      </c>
      <c r="D1625">
        <v>268</v>
      </c>
      <c r="E1625">
        <v>4935.54</v>
      </c>
    </row>
    <row r="1626" spans="1:5" x14ac:dyDescent="0.25">
      <c r="A1626" s="1">
        <v>45089</v>
      </c>
      <c r="B1626">
        <v>3</v>
      </c>
      <c r="C1626" t="s">
        <v>7</v>
      </c>
      <c r="D1626">
        <v>234</v>
      </c>
      <c r="E1626">
        <v>4073.86</v>
      </c>
    </row>
    <row r="1627" spans="1:5" x14ac:dyDescent="0.25">
      <c r="A1627" s="1">
        <v>45090</v>
      </c>
      <c r="B1627">
        <v>3</v>
      </c>
      <c r="C1627" t="s">
        <v>7</v>
      </c>
      <c r="D1627">
        <v>234</v>
      </c>
      <c r="E1627">
        <v>3772.15</v>
      </c>
    </row>
    <row r="1628" spans="1:5" x14ac:dyDescent="0.25">
      <c r="A1628" s="1">
        <v>45091</v>
      </c>
      <c r="B1628">
        <v>3</v>
      </c>
      <c r="C1628" t="s">
        <v>7</v>
      </c>
      <c r="D1628">
        <v>242</v>
      </c>
      <c r="E1628">
        <v>3896.59</v>
      </c>
    </row>
    <row r="1629" spans="1:5" x14ac:dyDescent="0.25">
      <c r="A1629" s="1">
        <v>45092</v>
      </c>
      <c r="B1629">
        <v>3</v>
      </c>
      <c r="C1629" t="s">
        <v>7</v>
      </c>
      <c r="D1629">
        <v>263</v>
      </c>
      <c r="E1629">
        <v>3980.86</v>
      </c>
    </row>
    <row r="1630" spans="1:5" x14ac:dyDescent="0.25">
      <c r="A1630" s="1">
        <v>45093</v>
      </c>
      <c r="B1630">
        <v>3</v>
      </c>
      <c r="C1630" t="s">
        <v>7</v>
      </c>
      <c r="D1630">
        <v>239</v>
      </c>
      <c r="E1630">
        <v>4072.03</v>
      </c>
    </row>
    <row r="1631" spans="1:5" x14ac:dyDescent="0.25">
      <c r="A1631" s="1">
        <v>45094</v>
      </c>
      <c r="B1631">
        <v>3</v>
      </c>
      <c r="C1631" t="s">
        <v>7</v>
      </c>
      <c r="D1631">
        <v>297</v>
      </c>
      <c r="E1631">
        <v>4902.8900000000003</v>
      </c>
    </row>
    <row r="1632" spans="1:5" x14ac:dyDescent="0.25">
      <c r="A1632" s="1">
        <v>45095</v>
      </c>
      <c r="B1632">
        <v>3</v>
      </c>
      <c r="C1632" t="s">
        <v>7</v>
      </c>
      <c r="D1632">
        <v>249</v>
      </c>
      <c r="E1632">
        <v>4001.92</v>
      </c>
    </row>
    <row r="1633" spans="1:5" x14ac:dyDescent="0.25">
      <c r="A1633" s="1">
        <v>45096</v>
      </c>
      <c r="B1633">
        <v>3</v>
      </c>
      <c r="C1633" t="s">
        <v>7</v>
      </c>
      <c r="D1633">
        <v>222</v>
      </c>
      <c r="E1633">
        <v>3635.06</v>
      </c>
    </row>
    <row r="1634" spans="1:5" x14ac:dyDescent="0.25">
      <c r="A1634" s="1">
        <v>45097</v>
      </c>
      <c r="B1634">
        <v>3</v>
      </c>
      <c r="C1634" t="s">
        <v>7</v>
      </c>
      <c r="D1634">
        <v>212</v>
      </c>
      <c r="E1634">
        <v>3387.85</v>
      </c>
    </row>
    <row r="1635" spans="1:5" x14ac:dyDescent="0.25">
      <c r="A1635" s="1">
        <v>45098</v>
      </c>
      <c r="B1635">
        <v>3</v>
      </c>
      <c r="C1635" t="s">
        <v>7</v>
      </c>
      <c r="D1635">
        <v>211</v>
      </c>
      <c r="E1635">
        <v>3445.64</v>
      </c>
    </row>
    <row r="1636" spans="1:5" x14ac:dyDescent="0.25">
      <c r="A1636" s="1">
        <v>45099</v>
      </c>
      <c r="B1636">
        <v>3</v>
      </c>
      <c r="C1636" t="s">
        <v>7</v>
      </c>
      <c r="D1636">
        <v>267</v>
      </c>
      <c r="E1636">
        <v>4445.17</v>
      </c>
    </row>
    <row r="1637" spans="1:5" x14ac:dyDescent="0.25">
      <c r="A1637" s="1">
        <v>45100</v>
      </c>
      <c r="B1637">
        <v>3</v>
      </c>
      <c r="C1637" t="s">
        <v>7</v>
      </c>
      <c r="D1637">
        <v>265</v>
      </c>
      <c r="E1637">
        <v>3718.18</v>
      </c>
    </row>
    <row r="1638" spans="1:5" x14ac:dyDescent="0.25">
      <c r="A1638" s="1">
        <v>45101</v>
      </c>
      <c r="B1638">
        <v>3</v>
      </c>
      <c r="C1638" t="s">
        <v>7</v>
      </c>
      <c r="D1638">
        <v>288</v>
      </c>
      <c r="E1638">
        <v>4722.63</v>
      </c>
    </row>
    <row r="1639" spans="1:5" x14ac:dyDescent="0.25">
      <c r="A1639" s="1">
        <v>45102</v>
      </c>
      <c r="B1639">
        <v>3</v>
      </c>
      <c r="C1639" t="s">
        <v>7</v>
      </c>
      <c r="D1639">
        <v>205</v>
      </c>
      <c r="E1639">
        <v>3602.56</v>
      </c>
    </row>
    <row r="1640" spans="1:5" x14ac:dyDescent="0.25">
      <c r="A1640" s="1">
        <v>45103</v>
      </c>
      <c r="B1640">
        <v>3</v>
      </c>
      <c r="C1640" t="s">
        <v>7</v>
      </c>
      <c r="D1640">
        <v>256</v>
      </c>
      <c r="E1640">
        <v>3900.16</v>
      </c>
    </row>
    <row r="1641" spans="1:5" x14ac:dyDescent="0.25">
      <c r="A1641" s="1">
        <v>45104</v>
      </c>
      <c r="B1641">
        <v>3</v>
      </c>
      <c r="C1641" t="s">
        <v>7</v>
      </c>
      <c r="D1641">
        <v>238</v>
      </c>
      <c r="E1641">
        <v>4099.07</v>
      </c>
    </row>
    <row r="1642" spans="1:5" x14ac:dyDescent="0.25">
      <c r="A1642" s="1">
        <v>45105</v>
      </c>
      <c r="B1642">
        <v>3</v>
      </c>
      <c r="C1642" t="s">
        <v>7</v>
      </c>
      <c r="D1642">
        <v>241</v>
      </c>
      <c r="E1642">
        <v>3981.02</v>
      </c>
    </row>
    <row r="1643" spans="1:5" x14ac:dyDescent="0.25">
      <c r="A1643" s="1">
        <v>45106</v>
      </c>
      <c r="B1643">
        <v>3</v>
      </c>
      <c r="C1643" t="s">
        <v>7</v>
      </c>
      <c r="D1643">
        <v>227</v>
      </c>
      <c r="E1643">
        <v>3786.74</v>
      </c>
    </row>
    <row r="1644" spans="1:5" x14ac:dyDescent="0.25">
      <c r="A1644" s="1">
        <v>45107</v>
      </c>
      <c r="B1644">
        <v>3</v>
      </c>
      <c r="C1644" t="s">
        <v>7</v>
      </c>
      <c r="D1644">
        <v>262</v>
      </c>
      <c r="E1644">
        <v>4062.51</v>
      </c>
    </row>
    <row r="1645" spans="1:5" x14ac:dyDescent="0.25">
      <c r="A1645" s="1">
        <v>45108</v>
      </c>
      <c r="B1645">
        <v>3</v>
      </c>
      <c r="C1645" t="s">
        <v>7</v>
      </c>
      <c r="D1645">
        <v>307</v>
      </c>
      <c r="E1645">
        <v>5342.18</v>
      </c>
    </row>
    <row r="1646" spans="1:5" x14ac:dyDescent="0.25">
      <c r="A1646" s="1">
        <v>45109</v>
      </c>
      <c r="B1646">
        <v>3</v>
      </c>
      <c r="C1646" t="s">
        <v>7</v>
      </c>
      <c r="D1646">
        <v>204</v>
      </c>
      <c r="E1646">
        <v>3733.59</v>
      </c>
    </row>
    <row r="1647" spans="1:5" x14ac:dyDescent="0.25">
      <c r="A1647" s="1">
        <v>45110</v>
      </c>
      <c r="B1647">
        <v>3</v>
      </c>
      <c r="C1647" t="s">
        <v>7</v>
      </c>
      <c r="D1647">
        <v>247</v>
      </c>
      <c r="E1647">
        <v>3784.26</v>
      </c>
    </row>
    <row r="1648" spans="1:5" x14ac:dyDescent="0.25">
      <c r="A1648" s="1">
        <v>45111</v>
      </c>
      <c r="B1648">
        <v>3</v>
      </c>
      <c r="C1648" t="s">
        <v>7</v>
      </c>
      <c r="D1648">
        <v>264</v>
      </c>
      <c r="E1648">
        <v>4603.45</v>
      </c>
    </row>
    <row r="1649" spans="1:5" x14ac:dyDescent="0.25">
      <c r="A1649" s="1">
        <v>45112</v>
      </c>
      <c r="B1649">
        <v>3</v>
      </c>
      <c r="C1649" t="s">
        <v>7</v>
      </c>
      <c r="D1649">
        <v>278</v>
      </c>
      <c r="E1649">
        <v>3908.05</v>
      </c>
    </row>
    <row r="1650" spans="1:5" x14ac:dyDescent="0.25">
      <c r="A1650" s="1">
        <v>45113</v>
      </c>
      <c r="B1650">
        <v>3</v>
      </c>
      <c r="C1650" t="s">
        <v>7</v>
      </c>
      <c r="D1650">
        <v>235</v>
      </c>
      <c r="E1650">
        <v>3793.59</v>
      </c>
    </row>
    <row r="1651" spans="1:5" x14ac:dyDescent="0.25">
      <c r="A1651" s="1">
        <v>45114</v>
      </c>
      <c r="B1651">
        <v>3</v>
      </c>
      <c r="C1651" t="s">
        <v>7</v>
      </c>
      <c r="D1651">
        <v>240</v>
      </c>
      <c r="E1651">
        <v>3812.3</v>
      </c>
    </row>
    <row r="1652" spans="1:5" x14ac:dyDescent="0.25">
      <c r="A1652" s="1">
        <v>45115</v>
      </c>
      <c r="B1652">
        <v>3</v>
      </c>
      <c r="C1652" t="s">
        <v>7</v>
      </c>
      <c r="D1652">
        <v>278</v>
      </c>
      <c r="E1652">
        <v>4527.58</v>
      </c>
    </row>
    <row r="1653" spans="1:5" x14ac:dyDescent="0.25">
      <c r="A1653" s="1">
        <v>45116</v>
      </c>
      <c r="B1653">
        <v>3</v>
      </c>
      <c r="C1653" t="s">
        <v>7</v>
      </c>
      <c r="D1653">
        <v>248</v>
      </c>
      <c r="E1653">
        <v>3702.15</v>
      </c>
    </row>
    <row r="1654" spans="1:5" x14ac:dyDescent="0.25">
      <c r="A1654" s="1">
        <v>45117</v>
      </c>
      <c r="B1654">
        <v>3</v>
      </c>
      <c r="C1654" t="s">
        <v>7</v>
      </c>
      <c r="D1654">
        <v>256</v>
      </c>
      <c r="E1654">
        <v>4024.24</v>
      </c>
    </row>
    <row r="1655" spans="1:5" x14ac:dyDescent="0.25">
      <c r="A1655" s="1">
        <v>45118</v>
      </c>
      <c r="B1655">
        <v>3</v>
      </c>
      <c r="C1655" t="s">
        <v>7</v>
      </c>
      <c r="D1655">
        <v>260</v>
      </c>
      <c r="E1655">
        <v>4291.7299999999996</v>
      </c>
    </row>
    <row r="1656" spans="1:5" x14ac:dyDescent="0.25">
      <c r="A1656" s="1">
        <v>45119</v>
      </c>
      <c r="B1656">
        <v>3</v>
      </c>
      <c r="C1656" t="s">
        <v>7</v>
      </c>
      <c r="D1656">
        <v>217</v>
      </c>
      <c r="E1656">
        <v>3564.23</v>
      </c>
    </row>
    <row r="1657" spans="1:5" x14ac:dyDescent="0.25">
      <c r="A1657" s="1">
        <v>45120</v>
      </c>
      <c r="B1657">
        <v>3</v>
      </c>
      <c r="C1657" t="s">
        <v>7</v>
      </c>
      <c r="D1657">
        <v>268</v>
      </c>
      <c r="E1657">
        <v>4410.75</v>
      </c>
    </row>
    <row r="1658" spans="1:5" x14ac:dyDescent="0.25">
      <c r="A1658" s="1">
        <v>45121</v>
      </c>
      <c r="B1658">
        <v>3</v>
      </c>
      <c r="C1658" t="s">
        <v>7</v>
      </c>
      <c r="D1658">
        <v>290</v>
      </c>
      <c r="E1658">
        <v>5179.6400000000003</v>
      </c>
    </row>
    <row r="1659" spans="1:5" x14ac:dyDescent="0.25">
      <c r="A1659" s="1">
        <v>45122</v>
      </c>
      <c r="B1659">
        <v>3</v>
      </c>
      <c r="C1659" t="s">
        <v>7</v>
      </c>
      <c r="D1659">
        <v>282</v>
      </c>
      <c r="E1659">
        <v>4434.33</v>
      </c>
    </row>
    <row r="1660" spans="1:5" x14ac:dyDescent="0.25">
      <c r="A1660" s="1">
        <v>45123</v>
      </c>
      <c r="B1660">
        <v>3</v>
      </c>
      <c r="C1660" t="s">
        <v>7</v>
      </c>
      <c r="D1660">
        <v>270</v>
      </c>
      <c r="E1660">
        <v>4569.46</v>
      </c>
    </row>
    <row r="1661" spans="1:5" x14ac:dyDescent="0.25">
      <c r="A1661" s="1">
        <v>45124</v>
      </c>
      <c r="B1661">
        <v>3</v>
      </c>
      <c r="C1661" t="s">
        <v>7</v>
      </c>
      <c r="D1661">
        <v>267</v>
      </c>
      <c r="E1661">
        <v>4142.22</v>
      </c>
    </row>
    <row r="1662" spans="1:5" x14ac:dyDescent="0.25">
      <c r="A1662" s="1">
        <v>45125</v>
      </c>
      <c r="B1662">
        <v>3</v>
      </c>
      <c r="C1662" t="s">
        <v>7</v>
      </c>
      <c r="D1662">
        <v>297</v>
      </c>
      <c r="E1662">
        <v>4532.13</v>
      </c>
    </row>
    <row r="1663" spans="1:5" x14ac:dyDescent="0.25">
      <c r="A1663" s="1">
        <v>45126</v>
      </c>
      <c r="B1663">
        <v>3</v>
      </c>
      <c r="C1663" t="s">
        <v>7</v>
      </c>
      <c r="D1663">
        <v>254</v>
      </c>
      <c r="E1663">
        <v>4163.26</v>
      </c>
    </row>
    <row r="1664" spans="1:5" x14ac:dyDescent="0.25">
      <c r="A1664" s="1">
        <v>45127</v>
      </c>
      <c r="B1664">
        <v>3</v>
      </c>
      <c r="C1664" t="s">
        <v>7</v>
      </c>
      <c r="D1664">
        <v>208</v>
      </c>
      <c r="E1664">
        <v>3489.33</v>
      </c>
    </row>
    <row r="1665" spans="1:5" x14ac:dyDescent="0.25">
      <c r="A1665" s="1">
        <v>45128</v>
      </c>
      <c r="B1665">
        <v>3</v>
      </c>
      <c r="C1665" t="s">
        <v>7</v>
      </c>
      <c r="D1665">
        <v>226</v>
      </c>
      <c r="E1665">
        <v>3905.15</v>
      </c>
    </row>
    <row r="1666" spans="1:5" x14ac:dyDescent="0.25">
      <c r="A1666" s="1">
        <v>45129</v>
      </c>
      <c r="B1666">
        <v>3</v>
      </c>
      <c r="C1666" t="s">
        <v>7</v>
      </c>
      <c r="D1666">
        <v>270</v>
      </c>
      <c r="E1666">
        <v>4905.63</v>
      </c>
    </row>
    <row r="1667" spans="1:5" x14ac:dyDescent="0.25">
      <c r="A1667" s="1">
        <v>45130</v>
      </c>
      <c r="B1667">
        <v>3</v>
      </c>
      <c r="C1667" t="s">
        <v>7</v>
      </c>
      <c r="D1667">
        <v>291</v>
      </c>
      <c r="E1667">
        <v>4717.09</v>
      </c>
    </row>
    <row r="1668" spans="1:5" x14ac:dyDescent="0.25">
      <c r="A1668" s="1">
        <v>45131</v>
      </c>
      <c r="B1668">
        <v>3</v>
      </c>
      <c r="C1668" t="s">
        <v>7</v>
      </c>
      <c r="D1668">
        <v>295</v>
      </c>
      <c r="E1668">
        <v>4651.5</v>
      </c>
    </row>
    <row r="1669" spans="1:5" x14ac:dyDescent="0.25">
      <c r="A1669" s="1">
        <v>45132</v>
      </c>
      <c r="B1669">
        <v>3</v>
      </c>
      <c r="C1669" t="s">
        <v>7</v>
      </c>
      <c r="D1669">
        <v>256</v>
      </c>
      <c r="E1669">
        <v>4374.92</v>
      </c>
    </row>
    <row r="1670" spans="1:5" x14ac:dyDescent="0.25">
      <c r="A1670" s="1">
        <v>45133</v>
      </c>
      <c r="B1670">
        <v>3</v>
      </c>
      <c r="C1670" t="s">
        <v>7</v>
      </c>
      <c r="D1670">
        <v>270</v>
      </c>
      <c r="E1670">
        <v>4851.1000000000004</v>
      </c>
    </row>
    <row r="1671" spans="1:5" x14ac:dyDescent="0.25">
      <c r="A1671" s="1">
        <v>45134</v>
      </c>
      <c r="B1671">
        <v>3</v>
      </c>
      <c r="C1671" t="s">
        <v>7</v>
      </c>
      <c r="D1671">
        <v>283</v>
      </c>
      <c r="E1671">
        <v>4458.4399999999996</v>
      </c>
    </row>
    <row r="1672" spans="1:5" x14ac:dyDescent="0.25">
      <c r="A1672" s="1">
        <v>45135</v>
      </c>
      <c r="B1672">
        <v>3</v>
      </c>
      <c r="C1672" t="s">
        <v>7</v>
      </c>
      <c r="D1672">
        <v>259</v>
      </c>
      <c r="E1672">
        <v>4353.17</v>
      </c>
    </row>
    <row r="1673" spans="1:5" x14ac:dyDescent="0.25">
      <c r="A1673" s="1">
        <v>45136</v>
      </c>
      <c r="B1673">
        <v>3</v>
      </c>
      <c r="C1673" t="s">
        <v>7</v>
      </c>
      <c r="D1673">
        <v>296</v>
      </c>
      <c r="E1673">
        <v>4751.67</v>
      </c>
    </row>
    <row r="1674" spans="1:5" x14ac:dyDescent="0.25">
      <c r="A1674" s="1">
        <v>45137</v>
      </c>
      <c r="B1674">
        <v>3</v>
      </c>
      <c r="C1674" t="s">
        <v>7</v>
      </c>
      <c r="D1674">
        <v>297</v>
      </c>
      <c r="E1674">
        <v>4788.38</v>
      </c>
    </row>
    <row r="1675" spans="1:5" x14ac:dyDescent="0.25">
      <c r="A1675" s="1">
        <v>45138</v>
      </c>
      <c r="B1675">
        <v>3</v>
      </c>
      <c r="C1675" t="s">
        <v>7</v>
      </c>
      <c r="D1675">
        <v>239</v>
      </c>
      <c r="E1675">
        <v>3679.91</v>
      </c>
    </row>
    <row r="1676" spans="1:5" x14ac:dyDescent="0.25">
      <c r="A1676" s="1">
        <v>45139</v>
      </c>
      <c r="B1676">
        <v>3</v>
      </c>
      <c r="C1676" t="s">
        <v>7</v>
      </c>
      <c r="D1676">
        <v>293</v>
      </c>
      <c r="E1676">
        <v>5055.51</v>
      </c>
    </row>
    <row r="1677" spans="1:5" x14ac:dyDescent="0.25">
      <c r="A1677" s="1">
        <v>45140</v>
      </c>
      <c r="B1677">
        <v>3</v>
      </c>
      <c r="C1677" t="s">
        <v>7</v>
      </c>
      <c r="D1677">
        <v>278</v>
      </c>
      <c r="E1677">
        <v>4456.55</v>
      </c>
    </row>
    <row r="1678" spans="1:5" x14ac:dyDescent="0.25">
      <c r="A1678" s="1">
        <v>45141</v>
      </c>
      <c r="B1678">
        <v>3</v>
      </c>
      <c r="C1678" t="s">
        <v>7</v>
      </c>
      <c r="D1678">
        <v>225</v>
      </c>
      <c r="E1678">
        <v>3674.2</v>
      </c>
    </row>
    <row r="1679" spans="1:5" x14ac:dyDescent="0.25">
      <c r="A1679" s="1">
        <v>45142</v>
      </c>
      <c r="B1679">
        <v>3</v>
      </c>
      <c r="C1679" t="s">
        <v>7</v>
      </c>
      <c r="D1679">
        <v>306</v>
      </c>
      <c r="E1679">
        <v>5672.63</v>
      </c>
    </row>
    <row r="1680" spans="1:5" x14ac:dyDescent="0.25">
      <c r="A1680" s="1">
        <v>45143</v>
      </c>
      <c r="B1680">
        <v>3</v>
      </c>
      <c r="C1680" t="s">
        <v>7</v>
      </c>
      <c r="D1680">
        <v>314</v>
      </c>
      <c r="E1680">
        <v>5511.95</v>
      </c>
    </row>
    <row r="1681" spans="1:5" x14ac:dyDescent="0.25">
      <c r="A1681" s="1">
        <v>45144</v>
      </c>
      <c r="B1681">
        <v>3</v>
      </c>
      <c r="C1681" t="s">
        <v>7</v>
      </c>
      <c r="D1681">
        <v>300</v>
      </c>
      <c r="E1681">
        <v>4467.01</v>
      </c>
    </row>
    <row r="1682" spans="1:5" x14ac:dyDescent="0.25">
      <c r="A1682" s="1">
        <v>45145</v>
      </c>
      <c r="B1682">
        <v>3</v>
      </c>
      <c r="C1682" t="s">
        <v>7</v>
      </c>
      <c r="D1682">
        <v>263</v>
      </c>
      <c r="E1682">
        <v>3856.56</v>
      </c>
    </row>
    <row r="1683" spans="1:5" x14ac:dyDescent="0.25">
      <c r="A1683" s="1">
        <v>45146</v>
      </c>
      <c r="B1683">
        <v>3</v>
      </c>
      <c r="C1683" t="s">
        <v>7</v>
      </c>
      <c r="D1683">
        <v>266</v>
      </c>
      <c r="E1683">
        <v>4576.26</v>
      </c>
    </row>
    <row r="1684" spans="1:5" x14ac:dyDescent="0.25">
      <c r="A1684" s="1">
        <v>45147</v>
      </c>
      <c r="B1684">
        <v>3</v>
      </c>
      <c r="C1684" t="s">
        <v>7</v>
      </c>
      <c r="D1684">
        <v>261</v>
      </c>
      <c r="E1684">
        <v>4296.2299999999996</v>
      </c>
    </row>
    <row r="1685" spans="1:5" x14ac:dyDescent="0.25">
      <c r="A1685" s="1">
        <v>45148</v>
      </c>
      <c r="B1685">
        <v>3</v>
      </c>
      <c r="C1685" t="s">
        <v>7</v>
      </c>
      <c r="D1685">
        <v>251</v>
      </c>
      <c r="E1685">
        <v>4216.1899999999996</v>
      </c>
    </row>
    <row r="1686" spans="1:5" x14ac:dyDescent="0.25">
      <c r="A1686" s="1">
        <v>45149</v>
      </c>
      <c r="B1686">
        <v>3</v>
      </c>
      <c r="C1686" t="s">
        <v>7</v>
      </c>
      <c r="D1686">
        <v>250</v>
      </c>
      <c r="E1686">
        <v>4154.88</v>
      </c>
    </row>
    <row r="1687" spans="1:5" x14ac:dyDescent="0.25">
      <c r="A1687" s="1">
        <v>45150</v>
      </c>
      <c r="B1687">
        <v>3</v>
      </c>
      <c r="C1687" t="s">
        <v>7</v>
      </c>
      <c r="D1687">
        <v>219</v>
      </c>
      <c r="E1687">
        <v>3915.07</v>
      </c>
    </row>
    <row r="1688" spans="1:5" x14ac:dyDescent="0.25">
      <c r="A1688" s="1">
        <v>45151</v>
      </c>
      <c r="B1688">
        <v>3</v>
      </c>
      <c r="C1688" t="s">
        <v>7</v>
      </c>
      <c r="D1688">
        <v>304</v>
      </c>
      <c r="E1688">
        <v>5206.04</v>
      </c>
    </row>
    <row r="1689" spans="1:5" x14ac:dyDescent="0.25">
      <c r="A1689" s="1">
        <v>45152</v>
      </c>
      <c r="B1689">
        <v>3</v>
      </c>
      <c r="C1689" t="s">
        <v>7</v>
      </c>
      <c r="D1689">
        <v>279</v>
      </c>
      <c r="E1689">
        <v>4651.99</v>
      </c>
    </row>
    <row r="1690" spans="1:5" x14ac:dyDescent="0.25">
      <c r="A1690" s="1">
        <v>45153</v>
      </c>
      <c r="B1690">
        <v>3</v>
      </c>
      <c r="C1690" t="s">
        <v>7</v>
      </c>
      <c r="D1690">
        <v>262</v>
      </c>
      <c r="E1690">
        <v>4366.47</v>
      </c>
    </row>
    <row r="1691" spans="1:5" x14ac:dyDescent="0.25">
      <c r="A1691" s="1">
        <v>45154</v>
      </c>
      <c r="B1691">
        <v>3</v>
      </c>
      <c r="C1691" t="s">
        <v>7</v>
      </c>
      <c r="D1691">
        <v>243</v>
      </c>
      <c r="E1691">
        <v>3962.28</v>
      </c>
    </row>
    <row r="1692" spans="1:5" x14ac:dyDescent="0.25">
      <c r="A1692" s="1">
        <v>45155</v>
      </c>
      <c r="B1692">
        <v>3</v>
      </c>
      <c r="C1692" t="s">
        <v>7</v>
      </c>
      <c r="D1692">
        <v>277</v>
      </c>
      <c r="E1692">
        <v>4729.3900000000003</v>
      </c>
    </row>
    <row r="1693" spans="1:5" x14ac:dyDescent="0.25">
      <c r="A1693" s="1">
        <v>45156</v>
      </c>
      <c r="B1693">
        <v>3</v>
      </c>
      <c r="C1693" t="s">
        <v>7</v>
      </c>
      <c r="D1693">
        <v>272</v>
      </c>
      <c r="E1693">
        <v>3975.59</v>
      </c>
    </row>
    <row r="1694" spans="1:5" x14ac:dyDescent="0.25">
      <c r="A1694" s="1">
        <v>45157</v>
      </c>
      <c r="B1694">
        <v>3</v>
      </c>
      <c r="C1694" t="s">
        <v>7</v>
      </c>
      <c r="D1694">
        <v>302</v>
      </c>
      <c r="E1694">
        <v>4933.3599999999997</v>
      </c>
    </row>
    <row r="1695" spans="1:5" x14ac:dyDescent="0.25">
      <c r="A1695" s="1">
        <v>45158</v>
      </c>
      <c r="B1695">
        <v>3</v>
      </c>
      <c r="C1695" t="s">
        <v>7</v>
      </c>
      <c r="D1695">
        <v>330</v>
      </c>
      <c r="E1695">
        <v>5538.21</v>
      </c>
    </row>
    <row r="1696" spans="1:5" x14ac:dyDescent="0.25">
      <c r="A1696" s="1">
        <v>45159</v>
      </c>
      <c r="B1696">
        <v>3</v>
      </c>
      <c r="C1696" t="s">
        <v>7</v>
      </c>
      <c r="D1696">
        <v>288</v>
      </c>
      <c r="E1696">
        <v>4660.93</v>
      </c>
    </row>
    <row r="1697" spans="1:5" x14ac:dyDescent="0.25">
      <c r="A1697" s="1">
        <v>45160</v>
      </c>
      <c r="B1697">
        <v>3</v>
      </c>
      <c r="C1697" t="s">
        <v>7</v>
      </c>
      <c r="D1697">
        <v>274</v>
      </c>
      <c r="E1697">
        <v>4287.21</v>
      </c>
    </row>
    <row r="1698" spans="1:5" x14ac:dyDescent="0.25">
      <c r="A1698" s="1">
        <v>45161</v>
      </c>
      <c r="B1698">
        <v>3</v>
      </c>
      <c r="C1698" t="s">
        <v>7</v>
      </c>
      <c r="D1698">
        <v>271</v>
      </c>
      <c r="E1698">
        <v>4337.2299999999996</v>
      </c>
    </row>
    <row r="1699" spans="1:5" x14ac:dyDescent="0.25">
      <c r="A1699" s="1">
        <v>45162</v>
      </c>
      <c r="B1699">
        <v>3</v>
      </c>
      <c r="C1699" t="s">
        <v>7</v>
      </c>
      <c r="D1699">
        <v>273</v>
      </c>
      <c r="E1699">
        <v>4445.84</v>
      </c>
    </row>
    <row r="1700" spans="1:5" x14ac:dyDescent="0.25">
      <c r="A1700" s="1">
        <v>45163</v>
      </c>
      <c r="B1700">
        <v>3</v>
      </c>
      <c r="C1700" t="s">
        <v>7</v>
      </c>
      <c r="D1700">
        <v>262</v>
      </c>
      <c r="E1700">
        <v>4190.1099999999997</v>
      </c>
    </row>
    <row r="1701" spans="1:5" x14ac:dyDescent="0.25">
      <c r="A1701" s="1">
        <v>45164</v>
      </c>
      <c r="B1701">
        <v>3</v>
      </c>
      <c r="C1701" t="s">
        <v>7</v>
      </c>
      <c r="D1701">
        <v>305</v>
      </c>
      <c r="E1701">
        <v>4585.24</v>
      </c>
    </row>
    <row r="1702" spans="1:5" x14ac:dyDescent="0.25">
      <c r="A1702" s="1">
        <v>45165</v>
      </c>
      <c r="B1702">
        <v>3</v>
      </c>
      <c r="C1702" t="s">
        <v>7</v>
      </c>
      <c r="D1702">
        <v>291</v>
      </c>
      <c r="E1702">
        <v>4840.38</v>
      </c>
    </row>
    <row r="1703" spans="1:5" x14ac:dyDescent="0.25">
      <c r="A1703" s="1">
        <v>45166</v>
      </c>
      <c r="B1703">
        <v>3</v>
      </c>
      <c r="C1703" t="s">
        <v>7</v>
      </c>
      <c r="D1703">
        <v>279</v>
      </c>
      <c r="E1703">
        <v>4700.42</v>
      </c>
    </row>
    <row r="1704" spans="1:5" x14ac:dyDescent="0.25">
      <c r="A1704" s="1">
        <v>45167</v>
      </c>
      <c r="B1704">
        <v>3</v>
      </c>
      <c r="C1704" t="s">
        <v>7</v>
      </c>
      <c r="D1704">
        <v>292</v>
      </c>
      <c r="E1704">
        <v>5069.71</v>
      </c>
    </row>
    <row r="1705" spans="1:5" x14ac:dyDescent="0.25">
      <c r="A1705" s="1">
        <v>45168</v>
      </c>
      <c r="B1705">
        <v>3</v>
      </c>
      <c r="C1705" t="s">
        <v>7</v>
      </c>
      <c r="D1705">
        <v>291</v>
      </c>
      <c r="E1705">
        <v>5012.7700000000004</v>
      </c>
    </row>
    <row r="1706" spans="1:5" x14ac:dyDescent="0.25">
      <c r="A1706" s="1">
        <v>45169</v>
      </c>
      <c r="B1706">
        <v>3</v>
      </c>
      <c r="C1706" t="s">
        <v>7</v>
      </c>
      <c r="D1706">
        <v>292</v>
      </c>
      <c r="E1706">
        <v>4873.4399999999996</v>
      </c>
    </row>
    <row r="1707" spans="1:5" x14ac:dyDescent="0.25">
      <c r="A1707" s="1">
        <v>45170</v>
      </c>
      <c r="B1707">
        <v>3</v>
      </c>
      <c r="C1707" t="s">
        <v>7</v>
      </c>
      <c r="D1707">
        <v>290</v>
      </c>
      <c r="E1707">
        <v>4666.49</v>
      </c>
    </row>
    <row r="1708" spans="1:5" x14ac:dyDescent="0.25">
      <c r="A1708" s="1">
        <v>45171</v>
      </c>
      <c r="B1708">
        <v>3</v>
      </c>
      <c r="C1708" t="s">
        <v>7</v>
      </c>
      <c r="D1708">
        <v>263</v>
      </c>
      <c r="E1708">
        <v>4237.05</v>
      </c>
    </row>
    <row r="1709" spans="1:5" x14ac:dyDescent="0.25">
      <c r="A1709" s="1">
        <v>45172</v>
      </c>
      <c r="B1709">
        <v>3</v>
      </c>
      <c r="C1709" t="s">
        <v>7</v>
      </c>
      <c r="D1709">
        <v>308</v>
      </c>
      <c r="E1709">
        <v>5243.07</v>
      </c>
    </row>
    <row r="1710" spans="1:5" x14ac:dyDescent="0.25">
      <c r="A1710" s="1">
        <v>45173</v>
      </c>
      <c r="B1710">
        <v>3</v>
      </c>
      <c r="C1710" t="s">
        <v>7</v>
      </c>
      <c r="D1710">
        <v>245</v>
      </c>
      <c r="E1710">
        <v>3540.08</v>
      </c>
    </row>
    <row r="1711" spans="1:5" x14ac:dyDescent="0.25">
      <c r="A1711" s="1">
        <v>45174</v>
      </c>
      <c r="B1711">
        <v>3</v>
      </c>
      <c r="C1711" t="s">
        <v>7</v>
      </c>
      <c r="D1711">
        <v>226</v>
      </c>
      <c r="E1711">
        <v>3918.23</v>
      </c>
    </row>
    <row r="1712" spans="1:5" x14ac:dyDescent="0.25">
      <c r="A1712" s="1">
        <v>45175</v>
      </c>
      <c r="B1712">
        <v>3</v>
      </c>
      <c r="C1712" t="s">
        <v>7</v>
      </c>
      <c r="D1712">
        <v>267</v>
      </c>
      <c r="E1712">
        <v>4459.3999999999996</v>
      </c>
    </row>
    <row r="1713" spans="1:5" x14ac:dyDescent="0.25">
      <c r="A1713" s="1">
        <v>45176</v>
      </c>
      <c r="B1713">
        <v>3</v>
      </c>
      <c r="C1713" t="s">
        <v>7</v>
      </c>
      <c r="D1713">
        <v>229</v>
      </c>
      <c r="E1713">
        <v>3611.54</v>
      </c>
    </row>
    <row r="1714" spans="1:5" x14ac:dyDescent="0.25">
      <c r="A1714" s="1">
        <v>45177</v>
      </c>
      <c r="B1714">
        <v>3</v>
      </c>
      <c r="C1714" t="s">
        <v>7</v>
      </c>
      <c r="D1714">
        <v>228</v>
      </c>
      <c r="E1714">
        <v>3725.33</v>
      </c>
    </row>
    <row r="1715" spans="1:5" x14ac:dyDescent="0.25">
      <c r="A1715" s="1">
        <v>45178</v>
      </c>
      <c r="B1715">
        <v>3</v>
      </c>
      <c r="C1715" t="s">
        <v>7</v>
      </c>
      <c r="D1715">
        <v>260</v>
      </c>
      <c r="E1715">
        <v>4576.71</v>
      </c>
    </row>
    <row r="1716" spans="1:5" x14ac:dyDescent="0.25">
      <c r="A1716" s="1">
        <v>45179</v>
      </c>
      <c r="B1716">
        <v>3</v>
      </c>
      <c r="C1716" t="s">
        <v>7</v>
      </c>
      <c r="D1716">
        <v>254</v>
      </c>
      <c r="E1716">
        <v>4196.12</v>
      </c>
    </row>
    <row r="1717" spans="1:5" x14ac:dyDescent="0.25">
      <c r="A1717" s="1">
        <v>45180</v>
      </c>
      <c r="B1717">
        <v>3</v>
      </c>
      <c r="C1717" t="s">
        <v>7</v>
      </c>
      <c r="D1717">
        <v>257</v>
      </c>
      <c r="E1717">
        <v>4146.7</v>
      </c>
    </row>
    <row r="1718" spans="1:5" x14ac:dyDescent="0.25">
      <c r="A1718" s="1">
        <v>45181</v>
      </c>
      <c r="B1718">
        <v>3</v>
      </c>
      <c r="C1718" t="s">
        <v>7</v>
      </c>
      <c r="D1718">
        <v>303</v>
      </c>
      <c r="E1718">
        <v>4682.09</v>
      </c>
    </row>
    <row r="1719" spans="1:5" x14ac:dyDescent="0.25">
      <c r="A1719" s="1">
        <v>45182</v>
      </c>
      <c r="B1719">
        <v>3</v>
      </c>
      <c r="C1719" t="s">
        <v>7</v>
      </c>
      <c r="D1719">
        <v>229</v>
      </c>
      <c r="E1719">
        <v>3919.07</v>
      </c>
    </row>
    <row r="1720" spans="1:5" x14ac:dyDescent="0.25">
      <c r="A1720" s="1">
        <v>45183</v>
      </c>
      <c r="B1720">
        <v>3</v>
      </c>
      <c r="C1720" t="s">
        <v>7</v>
      </c>
      <c r="D1720">
        <v>237</v>
      </c>
      <c r="E1720">
        <v>3953</v>
      </c>
    </row>
    <row r="1721" spans="1:5" x14ac:dyDescent="0.25">
      <c r="A1721" s="1">
        <v>45184</v>
      </c>
      <c r="B1721">
        <v>3</v>
      </c>
      <c r="C1721" t="s">
        <v>7</v>
      </c>
      <c r="D1721">
        <v>273</v>
      </c>
      <c r="E1721">
        <v>4489.17</v>
      </c>
    </row>
    <row r="1722" spans="1:5" x14ac:dyDescent="0.25">
      <c r="A1722" s="1">
        <v>45185</v>
      </c>
      <c r="B1722">
        <v>3</v>
      </c>
      <c r="C1722" t="s">
        <v>7</v>
      </c>
      <c r="D1722">
        <v>269</v>
      </c>
      <c r="E1722">
        <v>4731.57</v>
      </c>
    </row>
    <row r="1723" spans="1:5" x14ac:dyDescent="0.25">
      <c r="A1723" s="1">
        <v>45186</v>
      </c>
      <c r="B1723">
        <v>3</v>
      </c>
      <c r="C1723" t="s">
        <v>7</v>
      </c>
      <c r="D1723">
        <v>283</v>
      </c>
      <c r="E1723">
        <v>4956.7700000000004</v>
      </c>
    </row>
    <row r="1724" spans="1:5" x14ac:dyDescent="0.25">
      <c r="A1724" s="1">
        <v>45187</v>
      </c>
      <c r="B1724">
        <v>3</v>
      </c>
      <c r="C1724" t="s">
        <v>7</v>
      </c>
      <c r="D1724">
        <v>274</v>
      </c>
      <c r="E1724">
        <v>4421.55</v>
      </c>
    </row>
    <row r="1725" spans="1:5" x14ac:dyDescent="0.25">
      <c r="A1725" s="1">
        <v>45188</v>
      </c>
      <c r="B1725">
        <v>3</v>
      </c>
      <c r="C1725" t="s">
        <v>7</v>
      </c>
      <c r="D1725">
        <v>228</v>
      </c>
      <c r="E1725">
        <v>3544.11</v>
      </c>
    </row>
    <row r="1726" spans="1:5" x14ac:dyDescent="0.25">
      <c r="A1726" s="1">
        <v>45189</v>
      </c>
      <c r="B1726">
        <v>3</v>
      </c>
      <c r="C1726" t="s">
        <v>7</v>
      </c>
      <c r="D1726">
        <v>258</v>
      </c>
      <c r="E1726">
        <v>4257.54</v>
      </c>
    </row>
    <row r="1727" spans="1:5" x14ac:dyDescent="0.25">
      <c r="A1727" s="1">
        <v>45190</v>
      </c>
      <c r="B1727">
        <v>3</v>
      </c>
      <c r="C1727" t="s">
        <v>7</v>
      </c>
      <c r="D1727">
        <v>265</v>
      </c>
      <c r="E1727">
        <v>4427.43</v>
      </c>
    </row>
    <row r="1728" spans="1:5" x14ac:dyDescent="0.25">
      <c r="A1728" s="1">
        <v>45191</v>
      </c>
      <c r="B1728">
        <v>3</v>
      </c>
      <c r="C1728" t="s">
        <v>7</v>
      </c>
      <c r="D1728">
        <v>258</v>
      </c>
      <c r="E1728">
        <v>4425.8</v>
      </c>
    </row>
    <row r="1729" spans="1:5" x14ac:dyDescent="0.25">
      <c r="A1729" s="1">
        <v>45192</v>
      </c>
      <c r="B1729">
        <v>3</v>
      </c>
      <c r="C1729" t="s">
        <v>7</v>
      </c>
      <c r="D1729">
        <v>283</v>
      </c>
      <c r="E1729">
        <v>4807.91</v>
      </c>
    </row>
    <row r="1730" spans="1:5" x14ac:dyDescent="0.25">
      <c r="A1730" s="1">
        <v>45193</v>
      </c>
      <c r="B1730">
        <v>3</v>
      </c>
      <c r="C1730" t="s">
        <v>7</v>
      </c>
      <c r="D1730">
        <v>286</v>
      </c>
      <c r="E1730">
        <v>4655.3999999999996</v>
      </c>
    </row>
    <row r="1731" spans="1:5" x14ac:dyDescent="0.25">
      <c r="A1731" s="1">
        <v>45194</v>
      </c>
      <c r="B1731">
        <v>3</v>
      </c>
      <c r="C1731" t="s">
        <v>7</v>
      </c>
      <c r="D1731">
        <v>246</v>
      </c>
      <c r="E1731">
        <v>3889.11</v>
      </c>
    </row>
    <row r="1732" spans="1:5" x14ac:dyDescent="0.25">
      <c r="A1732" s="1">
        <v>45195</v>
      </c>
      <c r="B1732">
        <v>3</v>
      </c>
      <c r="C1732" t="s">
        <v>7</v>
      </c>
      <c r="D1732">
        <v>249</v>
      </c>
      <c r="E1732">
        <v>4505.1899999999996</v>
      </c>
    </row>
    <row r="1733" spans="1:5" x14ac:dyDescent="0.25">
      <c r="A1733" s="1">
        <v>45196</v>
      </c>
      <c r="B1733">
        <v>3</v>
      </c>
      <c r="C1733" t="s">
        <v>7</v>
      </c>
      <c r="D1733">
        <v>239</v>
      </c>
      <c r="E1733">
        <v>3794.97</v>
      </c>
    </row>
    <row r="1734" spans="1:5" x14ac:dyDescent="0.25">
      <c r="A1734" s="1">
        <v>45197</v>
      </c>
      <c r="B1734">
        <v>3</v>
      </c>
      <c r="C1734" t="s">
        <v>7</v>
      </c>
      <c r="D1734">
        <v>252</v>
      </c>
      <c r="E1734">
        <v>4227.92</v>
      </c>
    </row>
    <row r="1735" spans="1:5" x14ac:dyDescent="0.25">
      <c r="A1735" s="1">
        <v>45198</v>
      </c>
      <c r="B1735">
        <v>3</v>
      </c>
      <c r="C1735" t="s">
        <v>7</v>
      </c>
      <c r="D1735">
        <v>260</v>
      </c>
      <c r="E1735">
        <v>4387.8</v>
      </c>
    </row>
    <row r="1736" spans="1:5" x14ac:dyDescent="0.25">
      <c r="A1736" s="1">
        <v>45199</v>
      </c>
      <c r="B1736">
        <v>3</v>
      </c>
      <c r="C1736" t="s">
        <v>7</v>
      </c>
      <c r="D1736">
        <v>309</v>
      </c>
      <c r="E1736">
        <v>4856.01</v>
      </c>
    </row>
    <row r="1737" spans="1:5" x14ac:dyDescent="0.25">
      <c r="A1737" s="1">
        <v>45200</v>
      </c>
      <c r="B1737">
        <v>3</v>
      </c>
      <c r="C1737" t="s">
        <v>7</v>
      </c>
      <c r="D1737">
        <v>295</v>
      </c>
      <c r="E1737">
        <v>5136.6499999999996</v>
      </c>
    </row>
    <row r="1738" spans="1:5" x14ac:dyDescent="0.25">
      <c r="A1738" s="1">
        <v>45201</v>
      </c>
      <c r="B1738">
        <v>3</v>
      </c>
      <c r="C1738" t="s">
        <v>7</v>
      </c>
      <c r="D1738">
        <v>277</v>
      </c>
      <c r="E1738">
        <v>4600.38</v>
      </c>
    </row>
    <row r="1739" spans="1:5" x14ac:dyDescent="0.25">
      <c r="A1739" s="1">
        <v>45202</v>
      </c>
      <c r="B1739">
        <v>3</v>
      </c>
      <c r="C1739" t="s">
        <v>7</v>
      </c>
      <c r="D1739">
        <v>248</v>
      </c>
      <c r="E1739">
        <v>3948.44</v>
      </c>
    </row>
    <row r="1740" spans="1:5" x14ac:dyDescent="0.25">
      <c r="A1740" s="1">
        <v>45203</v>
      </c>
      <c r="B1740">
        <v>3</v>
      </c>
      <c r="C1740" t="s">
        <v>7</v>
      </c>
      <c r="D1740">
        <v>266</v>
      </c>
      <c r="E1740">
        <v>4168.6499999999996</v>
      </c>
    </row>
    <row r="1741" spans="1:5" x14ac:dyDescent="0.25">
      <c r="A1741" s="1">
        <v>45204</v>
      </c>
      <c r="B1741">
        <v>3</v>
      </c>
      <c r="C1741" t="s">
        <v>7</v>
      </c>
      <c r="D1741">
        <v>188</v>
      </c>
      <c r="E1741">
        <v>2875.97</v>
      </c>
    </row>
    <row r="1742" spans="1:5" x14ac:dyDescent="0.25">
      <c r="A1742" s="1">
        <v>45205</v>
      </c>
      <c r="B1742">
        <v>3</v>
      </c>
      <c r="C1742" t="s">
        <v>7</v>
      </c>
      <c r="D1742">
        <v>259</v>
      </c>
      <c r="E1742">
        <v>3757.83</v>
      </c>
    </row>
    <row r="1743" spans="1:5" x14ac:dyDescent="0.25">
      <c r="A1743" s="1">
        <v>45206</v>
      </c>
      <c r="B1743">
        <v>3</v>
      </c>
      <c r="C1743" t="s">
        <v>7</v>
      </c>
      <c r="D1743">
        <v>264</v>
      </c>
      <c r="E1743">
        <v>4465.08</v>
      </c>
    </row>
    <row r="1744" spans="1:5" x14ac:dyDescent="0.25">
      <c r="A1744" s="1">
        <v>45207</v>
      </c>
      <c r="B1744">
        <v>3</v>
      </c>
      <c r="C1744" t="s">
        <v>7</v>
      </c>
      <c r="D1744">
        <v>279</v>
      </c>
      <c r="E1744">
        <v>5276.35</v>
      </c>
    </row>
    <row r="1745" spans="1:5" x14ac:dyDescent="0.25">
      <c r="A1745" s="1">
        <v>45208</v>
      </c>
      <c r="B1745">
        <v>3</v>
      </c>
      <c r="C1745" t="s">
        <v>7</v>
      </c>
      <c r="D1745">
        <v>255</v>
      </c>
      <c r="E1745">
        <v>4145.96</v>
      </c>
    </row>
    <row r="1746" spans="1:5" x14ac:dyDescent="0.25">
      <c r="A1746" s="1">
        <v>45209</v>
      </c>
      <c r="B1746">
        <v>3</v>
      </c>
      <c r="C1746" t="s">
        <v>7</v>
      </c>
      <c r="D1746">
        <v>267</v>
      </c>
      <c r="E1746">
        <v>4541.8100000000004</v>
      </c>
    </row>
    <row r="1747" spans="1:5" x14ac:dyDescent="0.25">
      <c r="A1747" s="1">
        <v>45210</v>
      </c>
      <c r="B1747">
        <v>3</v>
      </c>
      <c r="C1747" t="s">
        <v>7</v>
      </c>
      <c r="D1747">
        <v>243</v>
      </c>
      <c r="E1747">
        <v>4135.5600000000004</v>
      </c>
    </row>
    <row r="1748" spans="1:5" x14ac:dyDescent="0.25">
      <c r="A1748" s="1">
        <v>45211</v>
      </c>
      <c r="B1748">
        <v>3</v>
      </c>
      <c r="C1748" t="s">
        <v>7</v>
      </c>
      <c r="D1748">
        <v>261</v>
      </c>
      <c r="E1748">
        <v>4498.7</v>
      </c>
    </row>
    <row r="1749" spans="1:5" x14ac:dyDescent="0.25">
      <c r="A1749" s="1">
        <v>45212</v>
      </c>
      <c r="B1749">
        <v>3</v>
      </c>
      <c r="C1749" t="s">
        <v>7</v>
      </c>
      <c r="D1749">
        <v>247</v>
      </c>
      <c r="E1749">
        <v>3729.23</v>
      </c>
    </row>
    <row r="1750" spans="1:5" x14ac:dyDescent="0.25">
      <c r="A1750" s="1">
        <v>45213</v>
      </c>
      <c r="B1750">
        <v>3</v>
      </c>
      <c r="C1750" t="s">
        <v>7</v>
      </c>
      <c r="D1750">
        <v>305</v>
      </c>
      <c r="E1750">
        <v>5109.3599999999997</v>
      </c>
    </row>
    <row r="1751" spans="1:5" x14ac:dyDescent="0.25">
      <c r="A1751" s="1">
        <v>45214</v>
      </c>
      <c r="B1751">
        <v>3</v>
      </c>
      <c r="C1751" t="s">
        <v>7</v>
      </c>
      <c r="D1751">
        <v>286</v>
      </c>
      <c r="E1751">
        <v>4305.47</v>
      </c>
    </row>
    <row r="1752" spans="1:5" x14ac:dyDescent="0.25">
      <c r="A1752" s="1">
        <v>45215</v>
      </c>
      <c r="B1752">
        <v>3</v>
      </c>
      <c r="C1752" t="s">
        <v>7</v>
      </c>
      <c r="D1752">
        <v>262</v>
      </c>
      <c r="E1752">
        <v>4735.12</v>
      </c>
    </row>
    <row r="1753" spans="1:5" x14ac:dyDescent="0.25">
      <c r="A1753" s="1">
        <v>45216</v>
      </c>
      <c r="B1753">
        <v>3</v>
      </c>
      <c r="C1753" t="s">
        <v>7</v>
      </c>
      <c r="D1753">
        <v>271</v>
      </c>
      <c r="E1753">
        <v>4317.8999999999996</v>
      </c>
    </row>
    <row r="1754" spans="1:5" x14ac:dyDescent="0.25">
      <c r="A1754" s="1">
        <v>45217</v>
      </c>
      <c r="B1754">
        <v>3</v>
      </c>
      <c r="C1754" t="s">
        <v>7</v>
      </c>
      <c r="D1754">
        <v>244</v>
      </c>
      <c r="E1754">
        <v>3997.06</v>
      </c>
    </row>
    <row r="1755" spans="1:5" x14ac:dyDescent="0.25">
      <c r="A1755" s="1">
        <v>45218</v>
      </c>
      <c r="B1755">
        <v>3</v>
      </c>
      <c r="C1755" t="s">
        <v>7</v>
      </c>
      <c r="D1755">
        <v>238</v>
      </c>
      <c r="E1755">
        <v>4235.45</v>
      </c>
    </row>
    <row r="1756" spans="1:5" x14ac:dyDescent="0.25">
      <c r="A1756" s="1">
        <v>45219</v>
      </c>
      <c r="B1756">
        <v>3</v>
      </c>
      <c r="C1756" t="s">
        <v>7</v>
      </c>
      <c r="D1756">
        <v>227</v>
      </c>
      <c r="E1756">
        <v>3796.06</v>
      </c>
    </row>
    <row r="1757" spans="1:5" x14ac:dyDescent="0.25">
      <c r="A1757" s="1">
        <v>45220</v>
      </c>
      <c r="B1757">
        <v>3</v>
      </c>
      <c r="C1757" t="s">
        <v>7</v>
      </c>
      <c r="D1757">
        <v>280</v>
      </c>
      <c r="E1757">
        <v>4266.13</v>
      </c>
    </row>
    <row r="1758" spans="1:5" x14ac:dyDescent="0.25">
      <c r="A1758" s="1">
        <v>45221</v>
      </c>
      <c r="B1758">
        <v>3</v>
      </c>
      <c r="C1758" t="s">
        <v>7</v>
      </c>
      <c r="D1758">
        <v>274</v>
      </c>
      <c r="E1758">
        <v>4530.63</v>
      </c>
    </row>
    <row r="1759" spans="1:5" x14ac:dyDescent="0.25">
      <c r="A1759" s="1">
        <v>45222</v>
      </c>
      <c r="B1759">
        <v>3</v>
      </c>
      <c r="C1759" t="s">
        <v>7</v>
      </c>
      <c r="D1759">
        <v>239</v>
      </c>
      <c r="E1759">
        <v>4063.62</v>
      </c>
    </row>
    <row r="1760" spans="1:5" x14ac:dyDescent="0.25">
      <c r="A1760" s="1">
        <v>45223</v>
      </c>
      <c r="B1760">
        <v>3</v>
      </c>
      <c r="C1760" t="s">
        <v>7</v>
      </c>
      <c r="D1760">
        <v>265</v>
      </c>
      <c r="E1760">
        <v>4531.3599999999997</v>
      </c>
    </row>
    <row r="1761" spans="1:5" x14ac:dyDescent="0.25">
      <c r="A1761" s="1">
        <v>45224</v>
      </c>
      <c r="B1761">
        <v>3</v>
      </c>
      <c r="C1761" t="s">
        <v>7</v>
      </c>
      <c r="D1761">
        <v>225</v>
      </c>
      <c r="E1761">
        <v>4000.8</v>
      </c>
    </row>
    <row r="1762" spans="1:5" x14ac:dyDescent="0.25">
      <c r="A1762" s="1">
        <v>45225</v>
      </c>
      <c r="B1762">
        <v>3</v>
      </c>
      <c r="C1762" t="s">
        <v>7</v>
      </c>
      <c r="D1762">
        <v>219</v>
      </c>
      <c r="E1762">
        <v>3747.62</v>
      </c>
    </row>
    <row r="1763" spans="1:5" x14ac:dyDescent="0.25">
      <c r="A1763" s="1">
        <v>45226</v>
      </c>
      <c r="B1763">
        <v>3</v>
      </c>
      <c r="C1763" t="s">
        <v>7</v>
      </c>
      <c r="D1763">
        <v>250</v>
      </c>
      <c r="E1763">
        <v>3562.58</v>
      </c>
    </row>
    <row r="1764" spans="1:5" x14ac:dyDescent="0.25">
      <c r="A1764" s="1">
        <v>45227</v>
      </c>
      <c r="B1764">
        <v>3</v>
      </c>
      <c r="C1764" t="s">
        <v>7</v>
      </c>
      <c r="D1764">
        <v>276</v>
      </c>
      <c r="E1764">
        <v>4717.83</v>
      </c>
    </row>
    <row r="1765" spans="1:5" x14ac:dyDescent="0.25">
      <c r="A1765" s="1">
        <v>45228</v>
      </c>
      <c r="B1765">
        <v>3</v>
      </c>
      <c r="C1765" t="s">
        <v>7</v>
      </c>
      <c r="D1765">
        <v>273</v>
      </c>
      <c r="E1765">
        <v>4450.2</v>
      </c>
    </row>
    <row r="1766" spans="1:5" x14ac:dyDescent="0.25">
      <c r="A1766" s="1">
        <v>45229</v>
      </c>
      <c r="B1766">
        <v>3</v>
      </c>
      <c r="C1766" t="s">
        <v>7</v>
      </c>
      <c r="D1766">
        <v>262</v>
      </c>
      <c r="E1766">
        <v>4279.99</v>
      </c>
    </row>
    <row r="1767" spans="1:5" x14ac:dyDescent="0.25">
      <c r="A1767" s="1">
        <v>45230</v>
      </c>
      <c r="B1767">
        <v>3</v>
      </c>
      <c r="C1767" t="s">
        <v>7</v>
      </c>
      <c r="D1767">
        <v>226</v>
      </c>
      <c r="E1767">
        <v>3804.06</v>
      </c>
    </row>
    <row r="1768" spans="1:5" x14ac:dyDescent="0.25">
      <c r="A1768" s="1">
        <v>45231</v>
      </c>
      <c r="B1768">
        <v>3</v>
      </c>
      <c r="C1768" t="s">
        <v>7</v>
      </c>
      <c r="D1768">
        <v>271</v>
      </c>
      <c r="E1768">
        <v>4572.05</v>
      </c>
    </row>
    <row r="1769" spans="1:5" x14ac:dyDescent="0.25">
      <c r="A1769" s="1">
        <v>45232</v>
      </c>
      <c r="B1769">
        <v>3</v>
      </c>
      <c r="C1769" t="s">
        <v>7</v>
      </c>
      <c r="D1769">
        <v>195</v>
      </c>
      <c r="E1769">
        <v>3198.97</v>
      </c>
    </row>
    <row r="1770" spans="1:5" x14ac:dyDescent="0.25">
      <c r="A1770" s="1">
        <v>45233</v>
      </c>
      <c r="B1770">
        <v>3</v>
      </c>
      <c r="C1770" t="s">
        <v>7</v>
      </c>
      <c r="D1770">
        <v>259</v>
      </c>
      <c r="E1770">
        <v>4505.3999999999996</v>
      </c>
    </row>
    <row r="1771" spans="1:5" x14ac:dyDescent="0.25">
      <c r="A1771" s="1">
        <v>45234</v>
      </c>
      <c r="B1771">
        <v>3</v>
      </c>
      <c r="C1771" t="s">
        <v>7</v>
      </c>
      <c r="D1771">
        <v>283</v>
      </c>
      <c r="E1771">
        <v>4633.74</v>
      </c>
    </row>
    <row r="1772" spans="1:5" x14ac:dyDescent="0.25">
      <c r="A1772" s="1">
        <v>45235</v>
      </c>
      <c r="B1772">
        <v>3</v>
      </c>
      <c r="C1772" t="s">
        <v>7</v>
      </c>
      <c r="D1772">
        <v>253</v>
      </c>
      <c r="E1772">
        <v>4355.83</v>
      </c>
    </row>
    <row r="1773" spans="1:5" x14ac:dyDescent="0.25">
      <c r="A1773" s="1">
        <v>45236</v>
      </c>
      <c r="B1773">
        <v>3</v>
      </c>
      <c r="C1773" t="s">
        <v>7</v>
      </c>
      <c r="D1773">
        <v>226</v>
      </c>
      <c r="E1773">
        <v>3601.87</v>
      </c>
    </row>
    <row r="1774" spans="1:5" x14ac:dyDescent="0.25">
      <c r="A1774" s="1">
        <v>45237</v>
      </c>
      <c r="B1774">
        <v>3</v>
      </c>
      <c r="C1774" t="s">
        <v>7</v>
      </c>
      <c r="D1774">
        <v>266</v>
      </c>
      <c r="E1774">
        <v>4305.51</v>
      </c>
    </row>
    <row r="1775" spans="1:5" x14ac:dyDescent="0.25">
      <c r="A1775" s="1">
        <v>45238</v>
      </c>
      <c r="B1775">
        <v>3</v>
      </c>
      <c r="C1775" t="s">
        <v>7</v>
      </c>
      <c r="D1775">
        <v>224</v>
      </c>
      <c r="E1775">
        <v>3632.71</v>
      </c>
    </row>
    <row r="1776" spans="1:5" x14ac:dyDescent="0.25">
      <c r="A1776" s="1">
        <v>45239</v>
      </c>
      <c r="B1776">
        <v>3</v>
      </c>
      <c r="C1776" t="s">
        <v>7</v>
      </c>
      <c r="D1776">
        <v>289</v>
      </c>
      <c r="E1776">
        <v>4986.9399999999996</v>
      </c>
    </row>
    <row r="1777" spans="1:5" x14ac:dyDescent="0.25">
      <c r="A1777" s="1">
        <v>45240</v>
      </c>
      <c r="B1777">
        <v>3</v>
      </c>
      <c r="C1777" t="s">
        <v>7</v>
      </c>
      <c r="D1777">
        <v>197</v>
      </c>
      <c r="E1777">
        <v>3176.58</v>
      </c>
    </row>
    <row r="1778" spans="1:5" x14ac:dyDescent="0.25">
      <c r="A1778" s="1">
        <v>45241</v>
      </c>
      <c r="B1778">
        <v>3</v>
      </c>
      <c r="C1778" t="s">
        <v>7</v>
      </c>
      <c r="D1778">
        <v>305</v>
      </c>
      <c r="E1778">
        <v>5000.6000000000004</v>
      </c>
    </row>
    <row r="1779" spans="1:5" x14ac:dyDescent="0.25">
      <c r="A1779" s="1">
        <v>45242</v>
      </c>
      <c r="B1779">
        <v>3</v>
      </c>
      <c r="C1779" t="s">
        <v>7</v>
      </c>
      <c r="D1779">
        <v>285</v>
      </c>
      <c r="E1779">
        <v>4721.0600000000004</v>
      </c>
    </row>
    <row r="1780" spans="1:5" x14ac:dyDescent="0.25">
      <c r="A1780" s="1">
        <v>45243</v>
      </c>
      <c r="B1780">
        <v>3</v>
      </c>
      <c r="C1780" t="s">
        <v>7</v>
      </c>
      <c r="D1780">
        <v>207</v>
      </c>
      <c r="E1780">
        <v>3595.66</v>
      </c>
    </row>
    <row r="1781" spans="1:5" x14ac:dyDescent="0.25">
      <c r="A1781" s="1">
        <v>45244</v>
      </c>
      <c r="B1781">
        <v>3</v>
      </c>
      <c r="C1781" t="s">
        <v>7</v>
      </c>
      <c r="D1781">
        <v>241</v>
      </c>
      <c r="E1781">
        <v>3819.67</v>
      </c>
    </row>
    <row r="1782" spans="1:5" x14ac:dyDescent="0.25">
      <c r="A1782" s="1">
        <v>45245</v>
      </c>
      <c r="B1782">
        <v>3</v>
      </c>
      <c r="C1782" t="s">
        <v>7</v>
      </c>
      <c r="D1782">
        <v>258</v>
      </c>
      <c r="E1782">
        <v>4092.94</v>
      </c>
    </row>
    <row r="1783" spans="1:5" x14ac:dyDescent="0.25">
      <c r="A1783" s="1">
        <v>45246</v>
      </c>
      <c r="B1783">
        <v>3</v>
      </c>
      <c r="C1783" t="s">
        <v>7</v>
      </c>
      <c r="D1783">
        <v>211</v>
      </c>
      <c r="E1783">
        <v>3735.26</v>
      </c>
    </row>
    <row r="1784" spans="1:5" x14ac:dyDescent="0.25">
      <c r="A1784" s="1">
        <v>45247</v>
      </c>
      <c r="B1784">
        <v>3</v>
      </c>
      <c r="C1784" t="s">
        <v>7</v>
      </c>
      <c r="D1784">
        <v>208</v>
      </c>
      <c r="E1784">
        <v>3570.57</v>
      </c>
    </row>
    <row r="1785" spans="1:5" x14ac:dyDescent="0.25">
      <c r="A1785" s="1">
        <v>45248</v>
      </c>
      <c r="B1785">
        <v>3</v>
      </c>
      <c r="C1785" t="s">
        <v>7</v>
      </c>
      <c r="D1785">
        <v>278</v>
      </c>
      <c r="E1785">
        <v>4919.38</v>
      </c>
    </row>
    <row r="1786" spans="1:5" x14ac:dyDescent="0.25">
      <c r="A1786" s="1">
        <v>45249</v>
      </c>
      <c r="B1786">
        <v>3</v>
      </c>
      <c r="C1786" t="s">
        <v>7</v>
      </c>
      <c r="D1786">
        <v>232</v>
      </c>
      <c r="E1786">
        <v>3829.86</v>
      </c>
    </row>
    <row r="1787" spans="1:5" x14ac:dyDescent="0.25">
      <c r="A1787" s="1">
        <v>45250</v>
      </c>
      <c r="B1787">
        <v>3</v>
      </c>
      <c r="C1787" t="s">
        <v>7</v>
      </c>
      <c r="D1787">
        <v>220</v>
      </c>
      <c r="E1787">
        <v>3831.36</v>
      </c>
    </row>
    <row r="1788" spans="1:5" x14ac:dyDescent="0.25">
      <c r="A1788" s="1">
        <v>45251</v>
      </c>
      <c r="B1788">
        <v>3</v>
      </c>
      <c r="C1788" t="s">
        <v>7</v>
      </c>
      <c r="D1788">
        <v>204</v>
      </c>
      <c r="E1788">
        <v>3502.27</v>
      </c>
    </row>
    <row r="1789" spans="1:5" x14ac:dyDescent="0.25">
      <c r="A1789" s="1">
        <v>45252</v>
      </c>
      <c r="B1789">
        <v>3</v>
      </c>
      <c r="C1789" t="s">
        <v>7</v>
      </c>
      <c r="D1789">
        <v>241</v>
      </c>
      <c r="E1789">
        <v>3875.1</v>
      </c>
    </row>
    <row r="1790" spans="1:5" x14ac:dyDescent="0.25">
      <c r="A1790" s="1">
        <v>45253</v>
      </c>
      <c r="B1790">
        <v>3</v>
      </c>
      <c r="C1790" t="s">
        <v>7</v>
      </c>
      <c r="D1790">
        <v>204</v>
      </c>
      <c r="E1790">
        <v>3427.87</v>
      </c>
    </row>
    <row r="1791" spans="1:5" x14ac:dyDescent="0.25">
      <c r="A1791" s="1">
        <v>45254</v>
      </c>
      <c r="B1791">
        <v>3</v>
      </c>
      <c r="C1791" t="s">
        <v>7</v>
      </c>
      <c r="D1791">
        <v>200</v>
      </c>
      <c r="E1791">
        <v>3285.95</v>
      </c>
    </row>
    <row r="1792" spans="1:5" x14ac:dyDescent="0.25">
      <c r="A1792" s="1">
        <v>45255</v>
      </c>
      <c r="B1792">
        <v>3</v>
      </c>
      <c r="C1792" t="s">
        <v>7</v>
      </c>
      <c r="D1792">
        <v>252</v>
      </c>
      <c r="E1792">
        <v>4025.4</v>
      </c>
    </row>
    <row r="1793" spans="1:5" x14ac:dyDescent="0.25">
      <c r="A1793" s="1">
        <v>45256</v>
      </c>
      <c r="B1793">
        <v>3</v>
      </c>
      <c r="C1793" t="s">
        <v>7</v>
      </c>
      <c r="D1793">
        <v>248</v>
      </c>
      <c r="E1793">
        <v>3953.5</v>
      </c>
    </row>
    <row r="1794" spans="1:5" x14ac:dyDescent="0.25">
      <c r="A1794" s="1">
        <v>45257</v>
      </c>
      <c r="B1794">
        <v>3</v>
      </c>
      <c r="C1794" t="s">
        <v>7</v>
      </c>
      <c r="D1794">
        <v>258</v>
      </c>
      <c r="E1794">
        <v>4397.0600000000004</v>
      </c>
    </row>
    <row r="1795" spans="1:5" x14ac:dyDescent="0.25">
      <c r="A1795" s="1">
        <v>45258</v>
      </c>
      <c r="B1795">
        <v>3</v>
      </c>
      <c r="C1795" t="s">
        <v>7</v>
      </c>
      <c r="D1795">
        <v>235</v>
      </c>
      <c r="E1795">
        <v>4023.28</v>
      </c>
    </row>
    <row r="1796" spans="1:5" x14ac:dyDescent="0.25">
      <c r="A1796" s="1">
        <v>45259</v>
      </c>
      <c r="B1796">
        <v>3</v>
      </c>
      <c r="C1796" t="s">
        <v>7</v>
      </c>
      <c r="D1796">
        <v>197</v>
      </c>
      <c r="E1796">
        <v>3002.09</v>
      </c>
    </row>
    <row r="1797" spans="1:5" x14ac:dyDescent="0.25">
      <c r="A1797" s="1">
        <v>45260</v>
      </c>
      <c r="B1797">
        <v>3</v>
      </c>
      <c r="C1797" t="s">
        <v>7</v>
      </c>
      <c r="D1797">
        <v>232</v>
      </c>
      <c r="E1797">
        <v>4027.31</v>
      </c>
    </row>
    <row r="1798" spans="1:5" x14ac:dyDescent="0.25">
      <c r="A1798" s="1">
        <v>45261</v>
      </c>
      <c r="B1798">
        <v>3</v>
      </c>
      <c r="C1798" t="s">
        <v>7</v>
      </c>
      <c r="D1798">
        <v>254</v>
      </c>
      <c r="E1798">
        <v>4141.17</v>
      </c>
    </row>
    <row r="1799" spans="1:5" x14ac:dyDescent="0.25">
      <c r="A1799" s="1">
        <v>45262</v>
      </c>
      <c r="B1799">
        <v>3</v>
      </c>
      <c r="C1799" t="s">
        <v>7</v>
      </c>
      <c r="D1799">
        <v>245</v>
      </c>
      <c r="E1799">
        <v>4216.47</v>
      </c>
    </row>
    <row r="1800" spans="1:5" x14ac:dyDescent="0.25">
      <c r="A1800" s="1">
        <v>45263</v>
      </c>
      <c r="B1800">
        <v>3</v>
      </c>
      <c r="C1800" t="s">
        <v>7</v>
      </c>
      <c r="D1800">
        <v>252</v>
      </c>
      <c r="E1800">
        <v>4186.63</v>
      </c>
    </row>
    <row r="1801" spans="1:5" x14ac:dyDescent="0.25">
      <c r="A1801" s="1">
        <v>45264</v>
      </c>
      <c r="B1801">
        <v>3</v>
      </c>
      <c r="C1801" t="s">
        <v>7</v>
      </c>
      <c r="D1801">
        <v>213</v>
      </c>
      <c r="E1801">
        <v>3760.66</v>
      </c>
    </row>
    <row r="1802" spans="1:5" x14ac:dyDescent="0.25">
      <c r="A1802" s="1">
        <v>45265</v>
      </c>
      <c r="B1802">
        <v>3</v>
      </c>
      <c r="C1802" t="s">
        <v>7</v>
      </c>
      <c r="D1802">
        <v>231</v>
      </c>
      <c r="E1802">
        <v>3911.45</v>
      </c>
    </row>
    <row r="1803" spans="1:5" x14ac:dyDescent="0.25">
      <c r="A1803" s="1">
        <v>45266</v>
      </c>
      <c r="B1803">
        <v>3</v>
      </c>
      <c r="C1803" t="s">
        <v>7</v>
      </c>
      <c r="D1803">
        <v>265</v>
      </c>
      <c r="E1803">
        <v>4123.07</v>
      </c>
    </row>
    <row r="1804" spans="1:5" x14ac:dyDescent="0.25">
      <c r="A1804" s="1">
        <v>45267</v>
      </c>
      <c r="B1804">
        <v>3</v>
      </c>
      <c r="C1804" t="s">
        <v>7</v>
      </c>
      <c r="D1804">
        <v>211</v>
      </c>
      <c r="E1804">
        <v>3702.98</v>
      </c>
    </row>
    <row r="1805" spans="1:5" x14ac:dyDescent="0.25">
      <c r="A1805" s="1">
        <v>45268</v>
      </c>
      <c r="B1805">
        <v>3</v>
      </c>
      <c r="C1805" t="s">
        <v>7</v>
      </c>
      <c r="D1805">
        <v>231</v>
      </c>
      <c r="E1805">
        <v>3870.67</v>
      </c>
    </row>
    <row r="1806" spans="1:5" x14ac:dyDescent="0.25">
      <c r="A1806" s="1">
        <v>45269</v>
      </c>
      <c r="B1806">
        <v>3</v>
      </c>
      <c r="C1806" t="s">
        <v>7</v>
      </c>
      <c r="D1806">
        <v>266</v>
      </c>
      <c r="E1806">
        <v>4207.4799999999996</v>
      </c>
    </row>
    <row r="1807" spans="1:5" x14ac:dyDescent="0.25">
      <c r="A1807" s="1">
        <v>45270</v>
      </c>
      <c r="B1807">
        <v>3</v>
      </c>
      <c r="C1807" t="s">
        <v>7</v>
      </c>
      <c r="D1807">
        <v>284</v>
      </c>
      <c r="E1807">
        <v>4279.63</v>
      </c>
    </row>
    <row r="1808" spans="1:5" x14ac:dyDescent="0.25">
      <c r="A1808" s="1">
        <v>45271</v>
      </c>
      <c r="B1808">
        <v>3</v>
      </c>
      <c r="C1808" t="s">
        <v>7</v>
      </c>
      <c r="D1808">
        <v>163</v>
      </c>
      <c r="E1808">
        <v>2876.68</v>
      </c>
    </row>
    <row r="1809" spans="1:5" x14ac:dyDescent="0.25">
      <c r="A1809" s="1">
        <v>45272</v>
      </c>
      <c r="B1809">
        <v>3</v>
      </c>
      <c r="C1809" t="s">
        <v>7</v>
      </c>
      <c r="D1809">
        <v>213</v>
      </c>
      <c r="E1809">
        <v>3796.49</v>
      </c>
    </row>
    <row r="1810" spans="1:5" x14ac:dyDescent="0.25">
      <c r="A1810" s="1">
        <v>45273</v>
      </c>
      <c r="B1810">
        <v>3</v>
      </c>
      <c r="C1810" t="s">
        <v>7</v>
      </c>
      <c r="D1810">
        <v>208</v>
      </c>
      <c r="E1810">
        <v>3749.99</v>
      </c>
    </row>
    <row r="1811" spans="1:5" x14ac:dyDescent="0.25">
      <c r="A1811" s="1">
        <v>45274</v>
      </c>
      <c r="B1811">
        <v>3</v>
      </c>
      <c r="C1811" t="s">
        <v>7</v>
      </c>
      <c r="D1811">
        <v>194</v>
      </c>
      <c r="E1811">
        <v>3303.24</v>
      </c>
    </row>
    <row r="1812" spans="1:5" x14ac:dyDescent="0.25">
      <c r="A1812" s="1">
        <v>45275</v>
      </c>
      <c r="B1812">
        <v>3</v>
      </c>
      <c r="C1812" t="s">
        <v>7</v>
      </c>
      <c r="D1812">
        <v>201</v>
      </c>
      <c r="E1812">
        <v>3313.34</v>
      </c>
    </row>
    <row r="1813" spans="1:5" x14ac:dyDescent="0.25">
      <c r="A1813" s="1">
        <v>45276</v>
      </c>
      <c r="B1813">
        <v>3</v>
      </c>
      <c r="C1813" t="s">
        <v>7</v>
      </c>
      <c r="D1813">
        <v>254</v>
      </c>
      <c r="E1813">
        <v>4338.0600000000004</v>
      </c>
    </row>
    <row r="1814" spans="1:5" x14ac:dyDescent="0.25">
      <c r="A1814" s="1">
        <v>45277</v>
      </c>
      <c r="B1814">
        <v>3</v>
      </c>
      <c r="C1814" t="s">
        <v>7</v>
      </c>
      <c r="D1814">
        <v>236</v>
      </c>
      <c r="E1814">
        <v>3478.49</v>
      </c>
    </row>
    <row r="1815" spans="1:5" x14ac:dyDescent="0.25">
      <c r="A1815" s="1">
        <v>45278</v>
      </c>
      <c r="B1815">
        <v>3</v>
      </c>
      <c r="C1815" t="s">
        <v>7</v>
      </c>
      <c r="D1815">
        <v>188</v>
      </c>
      <c r="E1815">
        <v>3133.76</v>
      </c>
    </row>
    <row r="1816" spans="1:5" x14ac:dyDescent="0.25">
      <c r="A1816" s="1">
        <v>45279</v>
      </c>
      <c r="B1816">
        <v>3</v>
      </c>
      <c r="C1816" t="s">
        <v>7</v>
      </c>
      <c r="D1816">
        <v>214</v>
      </c>
      <c r="E1816">
        <v>3264.71</v>
      </c>
    </row>
    <row r="1817" spans="1:5" x14ac:dyDescent="0.25">
      <c r="A1817" s="1">
        <v>45280</v>
      </c>
      <c r="B1817">
        <v>3</v>
      </c>
      <c r="C1817" t="s">
        <v>7</v>
      </c>
      <c r="D1817">
        <v>196</v>
      </c>
      <c r="E1817">
        <v>3349.32</v>
      </c>
    </row>
    <row r="1818" spans="1:5" x14ac:dyDescent="0.25">
      <c r="A1818" s="1">
        <v>45281</v>
      </c>
      <c r="B1818">
        <v>3</v>
      </c>
      <c r="C1818" t="s">
        <v>7</v>
      </c>
      <c r="D1818">
        <v>207</v>
      </c>
      <c r="E1818">
        <v>3320.35</v>
      </c>
    </row>
    <row r="1819" spans="1:5" x14ac:dyDescent="0.25">
      <c r="A1819" s="1">
        <v>45282</v>
      </c>
      <c r="B1819">
        <v>3</v>
      </c>
      <c r="C1819" t="s">
        <v>7</v>
      </c>
      <c r="D1819">
        <v>205</v>
      </c>
      <c r="E1819">
        <v>3518.11</v>
      </c>
    </row>
    <row r="1820" spans="1:5" x14ac:dyDescent="0.25">
      <c r="A1820" s="1">
        <v>45283</v>
      </c>
      <c r="B1820">
        <v>3</v>
      </c>
      <c r="C1820" t="s">
        <v>7</v>
      </c>
      <c r="D1820">
        <v>237</v>
      </c>
      <c r="E1820">
        <v>3740.23</v>
      </c>
    </row>
    <row r="1821" spans="1:5" x14ac:dyDescent="0.25">
      <c r="A1821" s="1">
        <v>45284</v>
      </c>
      <c r="B1821">
        <v>3</v>
      </c>
      <c r="C1821" t="s">
        <v>7</v>
      </c>
      <c r="D1821">
        <v>216</v>
      </c>
      <c r="E1821">
        <v>3474.38</v>
      </c>
    </row>
    <row r="1822" spans="1:5" x14ac:dyDescent="0.25">
      <c r="A1822" s="1">
        <v>45285</v>
      </c>
      <c r="B1822">
        <v>3</v>
      </c>
      <c r="C1822" t="s">
        <v>7</v>
      </c>
      <c r="D1822">
        <v>224</v>
      </c>
      <c r="E1822">
        <v>3707.48</v>
      </c>
    </row>
    <row r="1823" spans="1:5" x14ac:dyDescent="0.25">
      <c r="A1823" s="1">
        <v>45286</v>
      </c>
      <c r="B1823">
        <v>3</v>
      </c>
      <c r="C1823" t="s">
        <v>7</v>
      </c>
      <c r="D1823">
        <v>188</v>
      </c>
      <c r="E1823">
        <v>2989.34</v>
      </c>
    </row>
    <row r="1824" spans="1:5" x14ac:dyDescent="0.25">
      <c r="A1824" s="1">
        <v>45287</v>
      </c>
      <c r="B1824">
        <v>3</v>
      </c>
      <c r="C1824" t="s">
        <v>7</v>
      </c>
      <c r="D1824">
        <v>223</v>
      </c>
      <c r="E1824">
        <v>3783.89</v>
      </c>
    </row>
    <row r="1825" spans="1:5" x14ac:dyDescent="0.25">
      <c r="A1825" s="1">
        <v>45288</v>
      </c>
      <c r="B1825">
        <v>3</v>
      </c>
      <c r="C1825" t="s">
        <v>7</v>
      </c>
      <c r="D1825">
        <v>198</v>
      </c>
      <c r="E1825">
        <v>3517.82</v>
      </c>
    </row>
    <row r="1826" spans="1:5" x14ac:dyDescent="0.25">
      <c r="A1826" s="1">
        <v>45289</v>
      </c>
      <c r="B1826">
        <v>3</v>
      </c>
      <c r="C1826" t="s">
        <v>7</v>
      </c>
      <c r="D1826">
        <v>170</v>
      </c>
      <c r="E1826">
        <v>2922.97</v>
      </c>
    </row>
    <row r="1827" spans="1:5" x14ac:dyDescent="0.25">
      <c r="A1827" s="1">
        <v>45290</v>
      </c>
      <c r="B1827">
        <v>3</v>
      </c>
      <c r="C1827" t="s">
        <v>7</v>
      </c>
      <c r="D1827">
        <v>230</v>
      </c>
      <c r="E1827">
        <v>3971.74</v>
      </c>
    </row>
    <row r="1828" spans="1:5" x14ac:dyDescent="0.25">
      <c r="A1828" s="1">
        <v>45291</v>
      </c>
      <c r="B1828">
        <v>3</v>
      </c>
      <c r="C1828" t="s">
        <v>7</v>
      </c>
      <c r="D1828">
        <v>256</v>
      </c>
      <c r="E1828">
        <v>4256.1099999999997</v>
      </c>
    </row>
    <row r="1829" spans="1:5" x14ac:dyDescent="0.25">
      <c r="A1829" s="1">
        <v>45292</v>
      </c>
      <c r="B1829">
        <v>3</v>
      </c>
      <c r="C1829" t="s">
        <v>7</v>
      </c>
      <c r="D1829">
        <v>191</v>
      </c>
      <c r="E1829">
        <v>2838.86</v>
      </c>
    </row>
    <row r="1830" spans="1:5" x14ac:dyDescent="0.25">
      <c r="A1830" s="1">
        <v>45293</v>
      </c>
      <c r="B1830">
        <v>3</v>
      </c>
      <c r="C1830" t="s">
        <v>7</v>
      </c>
      <c r="D1830">
        <v>229</v>
      </c>
      <c r="E1830">
        <v>3793.85</v>
      </c>
    </row>
    <row r="1831" spans="1:5" x14ac:dyDescent="0.25">
      <c r="A1831" s="1">
        <v>45294</v>
      </c>
      <c r="B1831">
        <v>3</v>
      </c>
      <c r="C1831" t="s">
        <v>7</v>
      </c>
      <c r="D1831">
        <v>207</v>
      </c>
      <c r="E1831">
        <v>3321.64</v>
      </c>
    </row>
    <row r="1832" spans="1:5" x14ac:dyDescent="0.25">
      <c r="A1832" s="1">
        <v>45295</v>
      </c>
      <c r="B1832">
        <v>3</v>
      </c>
      <c r="C1832" t="s">
        <v>7</v>
      </c>
      <c r="D1832">
        <v>190</v>
      </c>
      <c r="E1832">
        <v>3275.8</v>
      </c>
    </row>
    <row r="1833" spans="1:5" x14ac:dyDescent="0.25">
      <c r="A1833" s="1">
        <v>45296</v>
      </c>
      <c r="B1833">
        <v>3</v>
      </c>
      <c r="C1833" t="s">
        <v>7</v>
      </c>
      <c r="D1833">
        <v>207</v>
      </c>
      <c r="E1833">
        <v>3469.27</v>
      </c>
    </row>
    <row r="1834" spans="1:5" x14ac:dyDescent="0.25">
      <c r="A1834" s="1">
        <v>45297</v>
      </c>
      <c r="B1834">
        <v>3</v>
      </c>
      <c r="C1834" t="s">
        <v>7</v>
      </c>
      <c r="D1834">
        <v>229</v>
      </c>
      <c r="E1834">
        <v>3559.96</v>
      </c>
    </row>
    <row r="1835" spans="1:5" x14ac:dyDescent="0.25">
      <c r="A1835" s="1">
        <v>45298</v>
      </c>
      <c r="B1835">
        <v>3</v>
      </c>
      <c r="C1835" t="s">
        <v>7</v>
      </c>
      <c r="D1835">
        <v>272</v>
      </c>
      <c r="E1835">
        <v>4566.4799999999996</v>
      </c>
    </row>
    <row r="1836" spans="1:5" x14ac:dyDescent="0.25">
      <c r="A1836" s="1">
        <v>45299</v>
      </c>
      <c r="B1836">
        <v>3</v>
      </c>
      <c r="C1836" t="s">
        <v>7</v>
      </c>
      <c r="D1836">
        <v>173</v>
      </c>
      <c r="E1836">
        <v>3210.49</v>
      </c>
    </row>
    <row r="1837" spans="1:5" x14ac:dyDescent="0.25">
      <c r="A1837" s="1">
        <v>45300</v>
      </c>
      <c r="B1837">
        <v>3</v>
      </c>
      <c r="C1837" t="s">
        <v>7</v>
      </c>
      <c r="D1837">
        <v>186</v>
      </c>
      <c r="E1837">
        <v>2898.46</v>
      </c>
    </row>
    <row r="1838" spans="1:5" x14ac:dyDescent="0.25">
      <c r="A1838" s="1">
        <v>45301</v>
      </c>
      <c r="B1838">
        <v>3</v>
      </c>
      <c r="C1838" t="s">
        <v>7</v>
      </c>
      <c r="D1838">
        <v>218</v>
      </c>
      <c r="E1838">
        <v>3639.27</v>
      </c>
    </row>
    <row r="1839" spans="1:5" x14ac:dyDescent="0.25">
      <c r="A1839" s="1">
        <v>45302</v>
      </c>
      <c r="B1839">
        <v>3</v>
      </c>
      <c r="C1839" t="s">
        <v>7</v>
      </c>
      <c r="D1839">
        <v>193</v>
      </c>
      <c r="E1839">
        <v>3363.81</v>
      </c>
    </row>
    <row r="1840" spans="1:5" x14ac:dyDescent="0.25">
      <c r="A1840" s="1">
        <v>45303</v>
      </c>
      <c r="B1840">
        <v>3</v>
      </c>
      <c r="C1840" t="s">
        <v>7</v>
      </c>
      <c r="D1840">
        <v>208</v>
      </c>
      <c r="E1840">
        <v>3130.57</v>
      </c>
    </row>
    <row r="1841" spans="1:5" x14ac:dyDescent="0.25">
      <c r="A1841" s="1">
        <v>45304</v>
      </c>
      <c r="B1841">
        <v>3</v>
      </c>
      <c r="C1841" t="s">
        <v>7</v>
      </c>
      <c r="D1841">
        <v>227</v>
      </c>
      <c r="E1841">
        <v>3858.52</v>
      </c>
    </row>
    <row r="1842" spans="1:5" x14ac:dyDescent="0.25">
      <c r="A1842" s="1">
        <v>45305</v>
      </c>
      <c r="B1842">
        <v>3</v>
      </c>
      <c r="C1842" t="s">
        <v>7</v>
      </c>
      <c r="D1842">
        <v>195</v>
      </c>
      <c r="E1842">
        <v>3389</v>
      </c>
    </row>
    <row r="1843" spans="1:5" x14ac:dyDescent="0.25">
      <c r="A1843" s="1">
        <v>45306</v>
      </c>
      <c r="B1843">
        <v>3</v>
      </c>
      <c r="C1843" t="s">
        <v>7</v>
      </c>
      <c r="D1843">
        <v>178</v>
      </c>
      <c r="E1843">
        <v>3053.9</v>
      </c>
    </row>
    <row r="1844" spans="1:5" x14ac:dyDescent="0.25">
      <c r="A1844" s="1">
        <v>45307</v>
      </c>
      <c r="B1844">
        <v>3</v>
      </c>
      <c r="C1844" t="s">
        <v>7</v>
      </c>
      <c r="D1844">
        <v>205</v>
      </c>
      <c r="E1844">
        <v>3484.63</v>
      </c>
    </row>
    <row r="1845" spans="1:5" x14ac:dyDescent="0.25">
      <c r="A1845" s="1">
        <v>45308</v>
      </c>
      <c r="B1845">
        <v>3</v>
      </c>
      <c r="C1845" t="s">
        <v>7</v>
      </c>
      <c r="D1845">
        <v>179</v>
      </c>
      <c r="E1845">
        <v>2796.87</v>
      </c>
    </row>
    <row r="1846" spans="1:5" x14ac:dyDescent="0.25">
      <c r="A1846" s="1">
        <v>45309</v>
      </c>
      <c r="B1846">
        <v>3</v>
      </c>
      <c r="C1846" t="s">
        <v>7</v>
      </c>
      <c r="D1846">
        <v>180</v>
      </c>
      <c r="E1846">
        <v>3098.03</v>
      </c>
    </row>
    <row r="1847" spans="1:5" x14ac:dyDescent="0.25">
      <c r="A1847" s="1">
        <v>45310</v>
      </c>
      <c r="B1847">
        <v>3</v>
      </c>
      <c r="C1847" t="s">
        <v>7</v>
      </c>
      <c r="D1847">
        <v>192</v>
      </c>
      <c r="E1847">
        <v>3555.23</v>
      </c>
    </row>
    <row r="1848" spans="1:5" x14ac:dyDescent="0.25">
      <c r="A1848" s="1">
        <v>45311</v>
      </c>
      <c r="B1848">
        <v>3</v>
      </c>
      <c r="C1848" t="s">
        <v>7</v>
      </c>
      <c r="D1848">
        <v>285</v>
      </c>
      <c r="E1848">
        <v>4305.62</v>
      </c>
    </row>
    <row r="1849" spans="1:5" x14ac:dyDescent="0.25">
      <c r="A1849" s="1">
        <v>45312</v>
      </c>
      <c r="B1849">
        <v>3</v>
      </c>
      <c r="C1849" t="s">
        <v>7</v>
      </c>
      <c r="D1849">
        <v>243</v>
      </c>
      <c r="E1849">
        <v>4429.24</v>
      </c>
    </row>
    <row r="1850" spans="1:5" x14ac:dyDescent="0.25">
      <c r="A1850" s="1">
        <v>45313</v>
      </c>
      <c r="B1850">
        <v>3</v>
      </c>
      <c r="C1850" t="s">
        <v>7</v>
      </c>
      <c r="D1850">
        <v>156</v>
      </c>
      <c r="E1850">
        <v>2306.46</v>
      </c>
    </row>
    <row r="1851" spans="1:5" x14ac:dyDescent="0.25">
      <c r="A1851" s="1">
        <v>45314</v>
      </c>
      <c r="B1851">
        <v>3</v>
      </c>
      <c r="C1851" t="s">
        <v>7</v>
      </c>
      <c r="D1851">
        <v>204</v>
      </c>
      <c r="E1851">
        <v>3495.46</v>
      </c>
    </row>
    <row r="1852" spans="1:5" x14ac:dyDescent="0.25">
      <c r="A1852" s="1">
        <v>45315</v>
      </c>
      <c r="B1852">
        <v>3</v>
      </c>
      <c r="C1852" t="s">
        <v>7</v>
      </c>
      <c r="D1852">
        <v>215</v>
      </c>
      <c r="E1852">
        <v>3427.25</v>
      </c>
    </row>
    <row r="1853" spans="1:5" x14ac:dyDescent="0.25">
      <c r="A1853" s="1">
        <v>45316</v>
      </c>
      <c r="B1853">
        <v>3</v>
      </c>
      <c r="C1853" t="s">
        <v>7</v>
      </c>
      <c r="D1853">
        <v>211</v>
      </c>
      <c r="E1853">
        <v>3502.95</v>
      </c>
    </row>
    <row r="1854" spans="1:5" x14ac:dyDescent="0.25">
      <c r="A1854" s="1">
        <v>45317</v>
      </c>
      <c r="B1854">
        <v>3</v>
      </c>
      <c r="C1854" t="s">
        <v>7</v>
      </c>
      <c r="D1854">
        <v>184</v>
      </c>
      <c r="E1854">
        <v>3134.87</v>
      </c>
    </row>
    <row r="1855" spans="1:5" x14ac:dyDescent="0.25">
      <c r="A1855" s="1">
        <v>45318</v>
      </c>
      <c r="B1855">
        <v>3</v>
      </c>
      <c r="C1855" t="s">
        <v>7</v>
      </c>
      <c r="D1855">
        <v>227</v>
      </c>
      <c r="E1855">
        <v>3615.82</v>
      </c>
    </row>
    <row r="1856" spans="1:5" x14ac:dyDescent="0.25">
      <c r="A1856" s="1">
        <v>45319</v>
      </c>
      <c r="B1856">
        <v>3</v>
      </c>
      <c r="C1856" t="s">
        <v>7</v>
      </c>
      <c r="D1856">
        <v>219</v>
      </c>
      <c r="E1856">
        <v>3488.38</v>
      </c>
    </row>
    <row r="1857" spans="1:5" x14ac:dyDescent="0.25">
      <c r="A1857" s="1">
        <v>45320</v>
      </c>
      <c r="B1857">
        <v>3</v>
      </c>
      <c r="C1857" t="s">
        <v>7</v>
      </c>
      <c r="D1857">
        <v>168</v>
      </c>
      <c r="E1857">
        <v>2748.61</v>
      </c>
    </row>
    <row r="1858" spans="1:5" x14ac:dyDescent="0.25">
      <c r="A1858" s="1">
        <v>45321</v>
      </c>
      <c r="B1858">
        <v>3</v>
      </c>
      <c r="C1858" t="s">
        <v>7</v>
      </c>
      <c r="D1858">
        <v>180</v>
      </c>
      <c r="E1858">
        <v>2998.5</v>
      </c>
    </row>
    <row r="1859" spans="1:5" x14ac:dyDescent="0.25">
      <c r="A1859" s="1">
        <v>45322</v>
      </c>
      <c r="B1859">
        <v>3</v>
      </c>
      <c r="C1859" t="s">
        <v>7</v>
      </c>
      <c r="D1859">
        <v>158</v>
      </c>
      <c r="E1859">
        <v>2741.03</v>
      </c>
    </row>
    <row r="1860" spans="1:5" x14ac:dyDescent="0.25">
      <c r="A1860" s="1">
        <v>45323</v>
      </c>
      <c r="B1860">
        <v>3</v>
      </c>
      <c r="C1860" t="s">
        <v>7</v>
      </c>
      <c r="D1860">
        <v>225</v>
      </c>
      <c r="E1860">
        <v>3477.94</v>
      </c>
    </row>
    <row r="1861" spans="1:5" x14ac:dyDescent="0.25">
      <c r="A1861" s="1">
        <v>45324</v>
      </c>
      <c r="B1861">
        <v>3</v>
      </c>
      <c r="C1861" t="s">
        <v>7</v>
      </c>
      <c r="D1861">
        <v>200</v>
      </c>
      <c r="E1861">
        <v>3383.15</v>
      </c>
    </row>
    <row r="1862" spans="1:5" x14ac:dyDescent="0.25">
      <c r="A1862" s="1">
        <v>45325</v>
      </c>
      <c r="B1862">
        <v>3</v>
      </c>
      <c r="C1862" t="s">
        <v>7</v>
      </c>
      <c r="D1862">
        <v>193</v>
      </c>
      <c r="E1862">
        <v>3277.44</v>
      </c>
    </row>
    <row r="1863" spans="1:5" x14ac:dyDescent="0.25">
      <c r="A1863" s="1">
        <v>45326</v>
      </c>
      <c r="B1863">
        <v>3</v>
      </c>
      <c r="C1863" t="s">
        <v>7</v>
      </c>
      <c r="D1863">
        <v>186</v>
      </c>
      <c r="E1863">
        <v>2956.3</v>
      </c>
    </row>
    <row r="1864" spans="1:5" x14ac:dyDescent="0.25">
      <c r="A1864" s="1">
        <v>45327</v>
      </c>
      <c r="B1864">
        <v>3</v>
      </c>
      <c r="C1864" t="s">
        <v>7</v>
      </c>
      <c r="D1864">
        <v>185</v>
      </c>
      <c r="E1864">
        <v>3049.3</v>
      </c>
    </row>
    <row r="1865" spans="1:5" x14ac:dyDescent="0.25">
      <c r="A1865" s="1">
        <v>45328</v>
      </c>
      <c r="B1865">
        <v>3</v>
      </c>
      <c r="C1865" t="s">
        <v>7</v>
      </c>
      <c r="D1865">
        <v>231</v>
      </c>
      <c r="E1865">
        <v>3536.66</v>
      </c>
    </row>
    <row r="1866" spans="1:5" x14ac:dyDescent="0.25">
      <c r="A1866" s="1">
        <v>45329</v>
      </c>
      <c r="B1866">
        <v>3</v>
      </c>
      <c r="C1866" t="s">
        <v>7</v>
      </c>
      <c r="D1866">
        <v>181</v>
      </c>
      <c r="E1866">
        <v>3013.05</v>
      </c>
    </row>
    <row r="1867" spans="1:5" x14ac:dyDescent="0.25">
      <c r="A1867" s="1">
        <v>45330</v>
      </c>
      <c r="B1867">
        <v>3</v>
      </c>
      <c r="C1867" t="s">
        <v>7</v>
      </c>
      <c r="D1867">
        <v>188</v>
      </c>
      <c r="E1867">
        <v>3049.35</v>
      </c>
    </row>
    <row r="1868" spans="1:5" x14ac:dyDescent="0.25">
      <c r="A1868" s="1">
        <v>45331</v>
      </c>
      <c r="B1868">
        <v>3</v>
      </c>
      <c r="C1868" t="s">
        <v>7</v>
      </c>
      <c r="D1868">
        <v>228</v>
      </c>
      <c r="E1868">
        <v>3655.74</v>
      </c>
    </row>
    <row r="1869" spans="1:5" x14ac:dyDescent="0.25">
      <c r="A1869" s="1">
        <v>45332</v>
      </c>
      <c r="B1869">
        <v>3</v>
      </c>
      <c r="C1869" t="s">
        <v>7</v>
      </c>
      <c r="D1869">
        <v>234</v>
      </c>
      <c r="E1869">
        <v>3791.72</v>
      </c>
    </row>
    <row r="1870" spans="1:5" x14ac:dyDescent="0.25">
      <c r="A1870" s="1">
        <v>45333</v>
      </c>
      <c r="B1870">
        <v>3</v>
      </c>
      <c r="C1870" t="s">
        <v>7</v>
      </c>
      <c r="D1870">
        <v>212</v>
      </c>
      <c r="E1870">
        <v>3307.91</v>
      </c>
    </row>
    <row r="1871" spans="1:5" x14ac:dyDescent="0.25">
      <c r="A1871" s="1">
        <v>45334</v>
      </c>
      <c r="B1871">
        <v>3</v>
      </c>
      <c r="C1871" t="s">
        <v>7</v>
      </c>
      <c r="D1871">
        <v>158</v>
      </c>
      <c r="E1871">
        <v>2540.25</v>
      </c>
    </row>
    <row r="1872" spans="1:5" x14ac:dyDescent="0.25">
      <c r="A1872" s="1">
        <v>45335</v>
      </c>
      <c r="B1872">
        <v>3</v>
      </c>
      <c r="C1872" t="s">
        <v>7</v>
      </c>
      <c r="D1872">
        <v>163</v>
      </c>
      <c r="E1872">
        <v>2625.11</v>
      </c>
    </row>
    <row r="1873" spans="1:5" x14ac:dyDescent="0.25">
      <c r="A1873" s="1">
        <v>45336</v>
      </c>
      <c r="B1873">
        <v>3</v>
      </c>
      <c r="C1873" t="s">
        <v>7</v>
      </c>
      <c r="D1873">
        <v>198</v>
      </c>
      <c r="E1873">
        <v>3333.35</v>
      </c>
    </row>
    <row r="1874" spans="1:5" x14ac:dyDescent="0.25">
      <c r="A1874" s="1">
        <v>45337</v>
      </c>
      <c r="B1874">
        <v>3</v>
      </c>
      <c r="C1874" t="s">
        <v>7</v>
      </c>
      <c r="D1874">
        <v>162</v>
      </c>
      <c r="E1874">
        <v>2425.9699999999998</v>
      </c>
    </row>
    <row r="1875" spans="1:5" x14ac:dyDescent="0.25">
      <c r="A1875" s="1">
        <v>45338</v>
      </c>
      <c r="B1875">
        <v>3</v>
      </c>
      <c r="C1875" t="s">
        <v>7</v>
      </c>
      <c r="D1875">
        <v>202</v>
      </c>
      <c r="E1875">
        <v>3418.44</v>
      </c>
    </row>
    <row r="1876" spans="1:5" x14ac:dyDescent="0.25">
      <c r="A1876" s="1">
        <v>45339</v>
      </c>
      <c r="B1876">
        <v>3</v>
      </c>
      <c r="C1876" t="s">
        <v>7</v>
      </c>
      <c r="D1876">
        <v>210</v>
      </c>
      <c r="E1876">
        <v>3583.04</v>
      </c>
    </row>
    <row r="1877" spans="1:5" x14ac:dyDescent="0.25">
      <c r="A1877" s="1">
        <v>45340</v>
      </c>
      <c r="B1877">
        <v>3</v>
      </c>
      <c r="C1877" t="s">
        <v>7</v>
      </c>
      <c r="D1877">
        <v>223</v>
      </c>
      <c r="E1877">
        <v>3700.96</v>
      </c>
    </row>
    <row r="1878" spans="1:5" x14ac:dyDescent="0.25">
      <c r="A1878" s="1">
        <v>45341</v>
      </c>
      <c r="B1878">
        <v>3</v>
      </c>
      <c r="C1878" t="s">
        <v>7</v>
      </c>
      <c r="D1878">
        <v>192</v>
      </c>
      <c r="E1878">
        <v>3158.92</v>
      </c>
    </row>
    <row r="1879" spans="1:5" x14ac:dyDescent="0.25">
      <c r="A1879" s="1">
        <v>45342</v>
      </c>
      <c r="B1879">
        <v>3</v>
      </c>
      <c r="C1879" t="s">
        <v>7</v>
      </c>
      <c r="D1879">
        <v>186</v>
      </c>
      <c r="E1879">
        <v>3233.74</v>
      </c>
    </row>
    <row r="1880" spans="1:5" x14ac:dyDescent="0.25">
      <c r="A1880" s="1">
        <v>45343</v>
      </c>
      <c r="B1880">
        <v>3</v>
      </c>
      <c r="C1880" t="s">
        <v>7</v>
      </c>
      <c r="D1880">
        <v>189</v>
      </c>
      <c r="E1880">
        <v>3342.72</v>
      </c>
    </row>
    <row r="1881" spans="1:5" x14ac:dyDescent="0.25">
      <c r="A1881" s="1">
        <v>45344</v>
      </c>
      <c r="B1881">
        <v>3</v>
      </c>
      <c r="C1881" t="s">
        <v>7</v>
      </c>
      <c r="D1881">
        <v>204</v>
      </c>
      <c r="E1881">
        <v>3344.28</v>
      </c>
    </row>
    <row r="1882" spans="1:5" x14ac:dyDescent="0.25">
      <c r="A1882" s="1">
        <v>45345</v>
      </c>
      <c r="B1882">
        <v>3</v>
      </c>
      <c r="C1882" t="s">
        <v>7</v>
      </c>
      <c r="D1882">
        <v>180</v>
      </c>
      <c r="E1882">
        <v>2778.6</v>
      </c>
    </row>
    <row r="1883" spans="1:5" x14ac:dyDescent="0.25">
      <c r="A1883" s="1">
        <v>45346</v>
      </c>
      <c r="B1883">
        <v>3</v>
      </c>
      <c r="C1883" t="s">
        <v>7</v>
      </c>
      <c r="D1883">
        <v>223</v>
      </c>
      <c r="E1883">
        <v>3696.67</v>
      </c>
    </row>
    <row r="1884" spans="1:5" x14ac:dyDescent="0.25">
      <c r="A1884" s="1">
        <v>45347</v>
      </c>
      <c r="B1884">
        <v>3</v>
      </c>
      <c r="C1884" t="s">
        <v>7</v>
      </c>
      <c r="D1884">
        <v>236</v>
      </c>
      <c r="E1884">
        <v>3773.32</v>
      </c>
    </row>
    <row r="1885" spans="1:5" x14ac:dyDescent="0.25">
      <c r="A1885" s="1">
        <v>45348</v>
      </c>
      <c r="B1885">
        <v>3</v>
      </c>
      <c r="C1885" t="s">
        <v>7</v>
      </c>
      <c r="D1885">
        <v>159</v>
      </c>
      <c r="E1885">
        <v>2875.08</v>
      </c>
    </row>
    <row r="1886" spans="1:5" x14ac:dyDescent="0.25">
      <c r="A1886" s="1">
        <v>45349</v>
      </c>
      <c r="B1886">
        <v>3</v>
      </c>
      <c r="C1886" t="s">
        <v>7</v>
      </c>
      <c r="D1886">
        <v>190</v>
      </c>
      <c r="E1886">
        <v>3335.31</v>
      </c>
    </row>
    <row r="1887" spans="1:5" x14ac:dyDescent="0.25">
      <c r="A1887" s="1">
        <v>45350</v>
      </c>
      <c r="B1887">
        <v>3</v>
      </c>
      <c r="C1887" t="s">
        <v>7</v>
      </c>
      <c r="D1887">
        <v>165</v>
      </c>
      <c r="E1887">
        <v>2849.33</v>
      </c>
    </row>
    <row r="1888" spans="1:5" x14ac:dyDescent="0.25">
      <c r="A1888" s="1">
        <v>45351</v>
      </c>
      <c r="B1888">
        <v>3</v>
      </c>
      <c r="C1888" t="s">
        <v>7</v>
      </c>
      <c r="D1888">
        <v>168</v>
      </c>
      <c r="E1888">
        <v>2813.05</v>
      </c>
    </row>
    <row r="1889" spans="1:5" x14ac:dyDescent="0.25">
      <c r="A1889" s="1">
        <v>45352</v>
      </c>
      <c r="B1889">
        <v>3</v>
      </c>
      <c r="C1889" t="s">
        <v>7</v>
      </c>
      <c r="D1889">
        <v>201</v>
      </c>
      <c r="E1889">
        <v>3468.31</v>
      </c>
    </row>
    <row r="1890" spans="1:5" x14ac:dyDescent="0.25">
      <c r="A1890" s="1">
        <v>45353</v>
      </c>
      <c r="B1890">
        <v>3</v>
      </c>
      <c r="C1890" t="s">
        <v>7</v>
      </c>
      <c r="D1890">
        <v>200</v>
      </c>
      <c r="E1890">
        <v>3106.32</v>
      </c>
    </row>
    <row r="1891" spans="1:5" x14ac:dyDescent="0.25">
      <c r="A1891" s="1">
        <v>45354</v>
      </c>
      <c r="B1891">
        <v>3</v>
      </c>
      <c r="C1891" t="s">
        <v>7</v>
      </c>
      <c r="D1891">
        <v>176</v>
      </c>
      <c r="E1891">
        <v>3005.31</v>
      </c>
    </row>
    <row r="1892" spans="1:5" x14ac:dyDescent="0.25">
      <c r="A1892" s="1">
        <v>45355</v>
      </c>
      <c r="B1892">
        <v>3</v>
      </c>
      <c r="C1892" t="s">
        <v>7</v>
      </c>
      <c r="D1892">
        <v>166</v>
      </c>
      <c r="E1892">
        <v>2776.5</v>
      </c>
    </row>
    <row r="1893" spans="1:5" x14ac:dyDescent="0.25">
      <c r="A1893" s="1">
        <v>45356</v>
      </c>
      <c r="B1893">
        <v>3</v>
      </c>
      <c r="C1893" t="s">
        <v>7</v>
      </c>
      <c r="D1893">
        <v>169</v>
      </c>
      <c r="E1893">
        <v>3020.25</v>
      </c>
    </row>
    <row r="1894" spans="1:5" x14ac:dyDescent="0.25">
      <c r="A1894" s="1">
        <v>45357</v>
      </c>
      <c r="B1894">
        <v>3</v>
      </c>
      <c r="C1894" t="s">
        <v>7</v>
      </c>
      <c r="D1894">
        <v>183</v>
      </c>
      <c r="E1894">
        <v>3004.62</v>
      </c>
    </row>
    <row r="1895" spans="1:5" x14ac:dyDescent="0.25">
      <c r="A1895" s="1">
        <v>45358</v>
      </c>
      <c r="B1895">
        <v>3</v>
      </c>
      <c r="C1895" t="s">
        <v>7</v>
      </c>
      <c r="D1895">
        <v>172</v>
      </c>
      <c r="E1895">
        <v>2817.81</v>
      </c>
    </row>
    <row r="1896" spans="1:5" x14ac:dyDescent="0.25">
      <c r="A1896" s="1">
        <v>45359</v>
      </c>
      <c r="B1896">
        <v>3</v>
      </c>
      <c r="C1896" t="s">
        <v>7</v>
      </c>
      <c r="D1896">
        <v>214</v>
      </c>
      <c r="E1896">
        <v>3226.9</v>
      </c>
    </row>
    <row r="1897" spans="1:5" x14ac:dyDescent="0.25">
      <c r="A1897" s="1">
        <v>45360</v>
      </c>
      <c r="B1897">
        <v>3</v>
      </c>
      <c r="C1897" t="s">
        <v>7</v>
      </c>
      <c r="D1897">
        <v>192</v>
      </c>
      <c r="E1897">
        <v>3268.89</v>
      </c>
    </row>
    <row r="1898" spans="1:5" x14ac:dyDescent="0.25">
      <c r="A1898" s="1">
        <v>45361</v>
      </c>
      <c r="B1898">
        <v>3</v>
      </c>
      <c r="C1898" t="s">
        <v>7</v>
      </c>
      <c r="D1898">
        <v>198</v>
      </c>
      <c r="E1898">
        <v>3383.32</v>
      </c>
    </row>
    <row r="1899" spans="1:5" x14ac:dyDescent="0.25">
      <c r="A1899" s="1">
        <v>45362</v>
      </c>
      <c r="B1899">
        <v>3</v>
      </c>
      <c r="C1899" t="s">
        <v>7</v>
      </c>
      <c r="D1899">
        <v>177</v>
      </c>
      <c r="E1899">
        <v>2958.78</v>
      </c>
    </row>
    <row r="1900" spans="1:5" x14ac:dyDescent="0.25">
      <c r="A1900" s="1">
        <v>45363</v>
      </c>
      <c r="B1900">
        <v>3</v>
      </c>
      <c r="C1900" t="s">
        <v>7</v>
      </c>
      <c r="D1900">
        <v>208</v>
      </c>
      <c r="E1900">
        <v>3490.45</v>
      </c>
    </row>
    <row r="1901" spans="1:5" x14ac:dyDescent="0.25">
      <c r="A1901" s="1">
        <v>45364</v>
      </c>
      <c r="B1901">
        <v>3</v>
      </c>
      <c r="C1901" t="s">
        <v>7</v>
      </c>
      <c r="D1901">
        <v>211</v>
      </c>
      <c r="E1901">
        <v>3223.87</v>
      </c>
    </row>
    <row r="1902" spans="1:5" x14ac:dyDescent="0.25">
      <c r="A1902" s="1">
        <v>45365</v>
      </c>
      <c r="B1902">
        <v>3</v>
      </c>
      <c r="C1902" t="s">
        <v>7</v>
      </c>
      <c r="D1902">
        <v>184</v>
      </c>
      <c r="E1902">
        <v>2927.31</v>
      </c>
    </row>
    <row r="1903" spans="1:5" x14ac:dyDescent="0.25">
      <c r="A1903" s="1">
        <v>45366</v>
      </c>
      <c r="B1903">
        <v>3</v>
      </c>
      <c r="C1903" t="s">
        <v>7</v>
      </c>
      <c r="D1903">
        <v>193</v>
      </c>
      <c r="E1903">
        <v>2992.74</v>
      </c>
    </row>
    <row r="1904" spans="1:5" x14ac:dyDescent="0.25">
      <c r="A1904" s="1">
        <v>45367</v>
      </c>
      <c r="B1904">
        <v>3</v>
      </c>
      <c r="C1904" t="s">
        <v>7</v>
      </c>
      <c r="D1904">
        <v>223</v>
      </c>
      <c r="E1904">
        <v>3799.25</v>
      </c>
    </row>
    <row r="1905" spans="1:5" x14ac:dyDescent="0.25">
      <c r="A1905" s="1">
        <v>45368</v>
      </c>
      <c r="B1905">
        <v>3</v>
      </c>
      <c r="C1905" t="s">
        <v>7</v>
      </c>
      <c r="D1905">
        <v>192</v>
      </c>
      <c r="E1905">
        <v>3528.11</v>
      </c>
    </row>
    <row r="1906" spans="1:5" x14ac:dyDescent="0.25">
      <c r="A1906" s="1">
        <v>45369</v>
      </c>
      <c r="B1906">
        <v>3</v>
      </c>
      <c r="C1906" t="s">
        <v>7</v>
      </c>
      <c r="D1906">
        <v>201</v>
      </c>
      <c r="E1906">
        <v>3148.03</v>
      </c>
    </row>
    <row r="1907" spans="1:5" x14ac:dyDescent="0.25">
      <c r="A1907" s="1">
        <v>45370</v>
      </c>
      <c r="B1907">
        <v>3</v>
      </c>
      <c r="C1907" t="s">
        <v>7</v>
      </c>
      <c r="D1907">
        <v>186</v>
      </c>
      <c r="E1907">
        <v>3005.33</v>
      </c>
    </row>
    <row r="1908" spans="1:5" x14ac:dyDescent="0.25">
      <c r="A1908" s="1">
        <v>45371</v>
      </c>
      <c r="B1908">
        <v>3</v>
      </c>
      <c r="C1908" t="s">
        <v>7</v>
      </c>
      <c r="D1908">
        <v>194</v>
      </c>
      <c r="E1908">
        <v>3374.26</v>
      </c>
    </row>
    <row r="1909" spans="1:5" x14ac:dyDescent="0.25">
      <c r="A1909" s="1">
        <v>45372</v>
      </c>
      <c r="B1909">
        <v>3</v>
      </c>
      <c r="C1909" t="s">
        <v>7</v>
      </c>
      <c r="D1909">
        <v>177</v>
      </c>
      <c r="E1909">
        <v>3222.5</v>
      </c>
    </row>
    <row r="1910" spans="1:5" x14ac:dyDescent="0.25">
      <c r="A1910" s="1">
        <v>45373</v>
      </c>
      <c r="B1910">
        <v>3</v>
      </c>
      <c r="C1910" t="s">
        <v>7</v>
      </c>
      <c r="D1910">
        <v>171</v>
      </c>
      <c r="E1910">
        <v>2693</v>
      </c>
    </row>
    <row r="1911" spans="1:5" x14ac:dyDescent="0.25">
      <c r="A1911" s="1">
        <v>45374</v>
      </c>
      <c r="B1911">
        <v>3</v>
      </c>
      <c r="C1911" t="s">
        <v>7</v>
      </c>
      <c r="D1911">
        <v>207</v>
      </c>
      <c r="E1911">
        <v>3074.5</v>
      </c>
    </row>
    <row r="1912" spans="1:5" x14ac:dyDescent="0.25">
      <c r="A1912" s="1">
        <v>45375</v>
      </c>
      <c r="B1912">
        <v>3</v>
      </c>
      <c r="C1912" t="s">
        <v>7</v>
      </c>
      <c r="D1912">
        <v>196</v>
      </c>
      <c r="E1912">
        <v>3161.84</v>
      </c>
    </row>
    <row r="1913" spans="1:5" x14ac:dyDescent="0.25">
      <c r="A1913" s="1">
        <v>45376</v>
      </c>
      <c r="B1913">
        <v>3</v>
      </c>
      <c r="C1913" t="s">
        <v>7</v>
      </c>
      <c r="D1913">
        <v>210</v>
      </c>
      <c r="E1913">
        <v>3426.4</v>
      </c>
    </row>
    <row r="1914" spans="1:5" x14ac:dyDescent="0.25">
      <c r="A1914" s="1">
        <v>45377</v>
      </c>
      <c r="B1914">
        <v>3</v>
      </c>
      <c r="C1914" t="s">
        <v>7</v>
      </c>
      <c r="D1914">
        <v>191</v>
      </c>
      <c r="E1914">
        <v>3162.15</v>
      </c>
    </row>
    <row r="1915" spans="1:5" x14ac:dyDescent="0.25">
      <c r="A1915" s="1">
        <v>45378</v>
      </c>
      <c r="B1915">
        <v>3</v>
      </c>
      <c r="C1915" t="s">
        <v>7</v>
      </c>
      <c r="D1915">
        <v>213</v>
      </c>
      <c r="E1915">
        <v>3603.68</v>
      </c>
    </row>
    <row r="1916" spans="1:5" x14ac:dyDescent="0.25">
      <c r="A1916" s="1">
        <v>45379</v>
      </c>
      <c r="B1916">
        <v>3</v>
      </c>
      <c r="C1916" t="s">
        <v>7</v>
      </c>
      <c r="D1916">
        <v>200</v>
      </c>
      <c r="E1916">
        <v>3200.23</v>
      </c>
    </row>
    <row r="1917" spans="1:5" x14ac:dyDescent="0.25">
      <c r="A1917" s="1">
        <v>45380</v>
      </c>
      <c r="B1917">
        <v>3</v>
      </c>
      <c r="C1917" t="s">
        <v>7</v>
      </c>
      <c r="D1917">
        <v>188</v>
      </c>
      <c r="E1917">
        <v>3128.74</v>
      </c>
    </row>
    <row r="1918" spans="1:5" x14ac:dyDescent="0.25">
      <c r="A1918" s="1">
        <v>45381</v>
      </c>
      <c r="B1918">
        <v>3</v>
      </c>
      <c r="C1918" t="s">
        <v>7</v>
      </c>
      <c r="D1918">
        <v>229</v>
      </c>
      <c r="E1918">
        <v>3580.03</v>
      </c>
    </row>
    <row r="1919" spans="1:5" x14ac:dyDescent="0.25">
      <c r="A1919" s="1">
        <v>45382</v>
      </c>
      <c r="B1919">
        <v>3</v>
      </c>
      <c r="C1919" t="s">
        <v>7</v>
      </c>
      <c r="D1919">
        <v>200</v>
      </c>
      <c r="E1919">
        <v>3355.19</v>
      </c>
    </row>
    <row r="1920" spans="1:5" x14ac:dyDescent="0.25">
      <c r="A1920" s="1">
        <v>45383</v>
      </c>
      <c r="B1920">
        <v>3</v>
      </c>
      <c r="C1920" t="s">
        <v>7</v>
      </c>
      <c r="D1920">
        <v>170</v>
      </c>
      <c r="E1920">
        <v>2791.97</v>
      </c>
    </row>
    <row r="1921" spans="1:5" x14ac:dyDescent="0.25">
      <c r="A1921" s="1">
        <v>45384</v>
      </c>
      <c r="B1921">
        <v>3</v>
      </c>
      <c r="C1921" t="s">
        <v>7</v>
      </c>
      <c r="D1921">
        <v>143</v>
      </c>
      <c r="E1921">
        <v>2490.62</v>
      </c>
    </row>
    <row r="1922" spans="1:5" x14ac:dyDescent="0.25">
      <c r="A1922" s="1">
        <v>45385</v>
      </c>
      <c r="B1922">
        <v>3</v>
      </c>
      <c r="C1922" t="s">
        <v>7</v>
      </c>
      <c r="D1922">
        <v>190</v>
      </c>
      <c r="E1922">
        <v>3173.81</v>
      </c>
    </row>
    <row r="1923" spans="1:5" x14ac:dyDescent="0.25">
      <c r="A1923" s="1">
        <v>45386</v>
      </c>
      <c r="B1923">
        <v>3</v>
      </c>
      <c r="C1923" t="s">
        <v>7</v>
      </c>
      <c r="D1923">
        <v>210</v>
      </c>
      <c r="E1923">
        <v>3224.74</v>
      </c>
    </row>
    <row r="1924" spans="1:5" x14ac:dyDescent="0.25">
      <c r="A1924" s="1">
        <v>45387</v>
      </c>
      <c r="B1924">
        <v>3</v>
      </c>
      <c r="C1924" t="s">
        <v>7</v>
      </c>
      <c r="D1924">
        <v>177</v>
      </c>
      <c r="E1924">
        <v>3315.24</v>
      </c>
    </row>
    <row r="1925" spans="1:5" x14ac:dyDescent="0.25">
      <c r="A1925" s="1">
        <v>45388</v>
      </c>
      <c r="B1925">
        <v>3</v>
      </c>
      <c r="C1925" t="s">
        <v>7</v>
      </c>
      <c r="D1925">
        <v>222</v>
      </c>
      <c r="E1925">
        <v>3916.76</v>
      </c>
    </row>
    <row r="1926" spans="1:5" x14ac:dyDescent="0.25">
      <c r="A1926" s="1">
        <v>45389</v>
      </c>
      <c r="B1926">
        <v>3</v>
      </c>
      <c r="C1926" t="s">
        <v>7</v>
      </c>
      <c r="D1926">
        <v>216</v>
      </c>
      <c r="E1926">
        <v>3545.86</v>
      </c>
    </row>
    <row r="1927" spans="1:5" x14ac:dyDescent="0.25">
      <c r="A1927" s="1">
        <v>45390</v>
      </c>
      <c r="B1927">
        <v>3</v>
      </c>
      <c r="C1927" t="s">
        <v>7</v>
      </c>
      <c r="D1927">
        <v>176</v>
      </c>
      <c r="E1927">
        <v>3056.74</v>
      </c>
    </row>
    <row r="1928" spans="1:5" x14ac:dyDescent="0.25">
      <c r="A1928" s="1">
        <v>45391</v>
      </c>
      <c r="B1928">
        <v>3</v>
      </c>
      <c r="C1928" t="s">
        <v>7</v>
      </c>
      <c r="D1928">
        <v>203</v>
      </c>
      <c r="E1928">
        <v>3299.14</v>
      </c>
    </row>
    <row r="1929" spans="1:5" x14ac:dyDescent="0.25">
      <c r="A1929" s="1">
        <v>45392</v>
      </c>
      <c r="B1929">
        <v>3</v>
      </c>
      <c r="C1929" t="s">
        <v>7</v>
      </c>
      <c r="D1929">
        <v>164</v>
      </c>
      <c r="E1929">
        <v>2851.68</v>
      </c>
    </row>
    <row r="1930" spans="1:5" x14ac:dyDescent="0.25">
      <c r="A1930" s="1">
        <v>45393</v>
      </c>
      <c r="B1930">
        <v>3</v>
      </c>
      <c r="C1930" t="s">
        <v>7</v>
      </c>
      <c r="D1930">
        <v>224</v>
      </c>
      <c r="E1930">
        <v>3525.5</v>
      </c>
    </row>
    <row r="1931" spans="1:5" x14ac:dyDescent="0.25">
      <c r="A1931" s="1">
        <v>45394</v>
      </c>
      <c r="B1931">
        <v>3</v>
      </c>
      <c r="C1931" t="s">
        <v>7</v>
      </c>
      <c r="D1931">
        <v>170</v>
      </c>
      <c r="E1931">
        <v>2786.37</v>
      </c>
    </row>
    <row r="1932" spans="1:5" x14ac:dyDescent="0.25">
      <c r="A1932" s="1">
        <v>45395</v>
      </c>
      <c r="B1932">
        <v>3</v>
      </c>
      <c r="C1932" t="s">
        <v>7</v>
      </c>
      <c r="D1932">
        <v>210</v>
      </c>
      <c r="E1932">
        <v>3478.71</v>
      </c>
    </row>
    <row r="1933" spans="1:5" x14ac:dyDescent="0.25">
      <c r="A1933" s="1">
        <v>45396</v>
      </c>
      <c r="B1933">
        <v>3</v>
      </c>
      <c r="C1933" t="s">
        <v>7</v>
      </c>
      <c r="D1933">
        <v>205</v>
      </c>
      <c r="E1933">
        <v>3722.75</v>
      </c>
    </row>
    <row r="1934" spans="1:5" x14ac:dyDescent="0.25">
      <c r="A1934" s="1">
        <v>45397</v>
      </c>
      <c r="B1934">
        <v>3</v>
      </c>
      <c r="C1934" t="s">
        <v>7</v>
      </c>
      <c r="D1934">
        <v>152</v>
      </c>
      <c r="E1934">
        <v>2591.09</v>
      </c>
    </row>
    <row r="1935" spans="1:5" x14ac:dyDescent="0.25">
      <c r="A1935" s="1">
        <v>45398</v>
      </c>
      <c r="B1935">
        <v>3</v>
      </c>
      <c r="C1935" t="s">
        <v>7</v>
      </c>
      <c r="D1935">
        <v>143</v>
      </c>
      <c r="E1935">
        <v>2259.54</v>
      </c>
    </row>
    <row r="1936" spans="1:5" x14ac:dyDescent="0.25">
      <c r="A1936" s="1">
        <v>45399</v>
      </c>
      <c r="B1936">
        <v>3</v>
      </c>
      <c r="C1936" t="s">
        <v>7</v>
      </c>
      <c r="D1936">
        <v>201</v>
      </c>
      <c r="E1936">
        <v>3245.48</v>
      </c>
    </row>
    <row r="1937" spans="1:5" x14ac:dyDescent="0.25">
      <c r="A1937" s="1">
        <v>45400</v>
      </c>
      <c r="B1937">
        <v>3</v>
      </c>
      <c r="C1937" t="s">
        <v>7</v>
      </c>
      <c r="D1937">
        <v>200</v>
      </c>
      <c r="E1937">
        <v>3364.76</v>
      </c>
    </row>
    <row r="1938" spans="1:5" x14ac:dyDescent="0.25">
      <c r="A1938" s="1">
        <v>45401</v>
      </c>
      <c r="B1938">
        <v>3</v>
      </c>
      <c r="C1938" t="s">
        <v>7</v>
      </c>
      <c r="D1938">
        <v>184</v>
      </c>
      <c r="E1938">
        <v>3035.76</v>
      </c>
    </row>
    <row r="1939" spans="1:5" x14ac:dyDescent="0.25">
      <c r="A1939" s="1">
        <v>45402</v>
      </c>
      <c r="B1939">
        <v>3</v>
      </c>
      <c r="C1939" t="s">
        <v>7</v>
      </c>
      <c r="D1939">
        <v>203</v>
      </c>
      <c r="E1939">
        <v>3507.95</v>
      </c>
    </row>
    <row r="1940" spans="1:5" x14ac:dyDescent="0.25">
      <c r="A1940" s="1">
        <v>45403</v>
      </c>
      <c r="B1940">
        <v>3</v>
      </c>
      <c r="C1940" t="s">
        <v>7</v>
      </c>
      <c r="D1940">
        <v>229</v>
      </c>
      <c r="E1940">
        <v>3934.01</v>
      </c>
    </row>
    <row r="1941" spans="1:5" x14ac:dyDescent="0.25">
      <c r="A1941" s="1">
        <v>45404</v>
      </c>
      <c r="B1941">
        <v>3</v>
      </c>
      <c r="C1941" t="s">
        <v>7</v>
      </c>
      <c r="D1941">
        <v>186</v>
      </c>
      <c r="E1941">
        <v>3074.69</v>
      </c>
    </row>
    <row r="1942" spans="1:5" x14ac:dyDescent="0.25">
      <c r="A1942" s="1">
        <v>45405</v>
      </c>
      <c r="B1942">
        <v>3</v>
      </c>
      <c r="C1942" t="s">
        <v>7</v>
      </c>
      <c r="D1942">
        <v>199</v>
      </c>
      <c r="E1942">
        <v>3288.38</v>
      </c>
    </row>
    <row r="1943" spans="1:5" x14ac:dyDescent="0.25">
      <c r="A1943" s="1">
        <v>45406</v>
      </c>
      <c r="B1943">
        <v>3</v>
      </c>
      <c r="C1943" t="s">
        <v>7</v>
      </c>
      <c r="D1943">
        <v>210</v>
      </c>
      <c r="E1943">
        <v>3309.4</v>
      </c>
    </row>
    <row r="1944" spans="1:5" x14ac:dyDescent="0.25">
      <c r="A1944" s="1">
        <v>45407</v>
      </c>
      <c r="B1944">
        <v>3</v>
      </c>
      <c r="C1944" t="s">
        <v>7</v>
      </c>
      <c r="D1944">
        <v>137</v>
      </c>
      <c r="E1944">
        <v>2139.61</v>
      </c>
    </row>
    <row r="1945" spans="1:5" x14ac:dyDescent="0.25">
      <c r="A1945" s="1">
        <v>45408</v>
      </c>
      <c r="B1945">
        <v>3</v>
      </c>
      <c r="C1945" t="s">
        <v>7</v>
      </c>
      <c r="D1945">
        <v>216</v>
      </c>
      <c r="E1945">
        <v>3577.91</v>
      </c>
    </row>
    <row r="1946" spans="1:5" x14ac:dyDescent="0.25">
      <c r="A1946" s="1">
        <v>45409</v>
      </c>
      <c r="B1946">
        <v>3</v>
      </c>
      <c r="C1946" t="s">
        <v>7</v>
      </c>
      <c r="D1946">
        <v>230</v>
      </c>
      <c r="E1946">
        <v>3592.42</v>
      </c>
    </row>
    <row r="1947" spans="1:5" x14ac:dyDescent="0.25">
      <c r="A1947" s="1">
        <v>45410</v>
      </c>
      <c r="B1947">
        <v>3</v>
      </c>
      <c r="C1947" t="s">
        <v>7</v>
      </c>
      <c r="D1947">
        <v>219</v>
      </c>
      <c r="E1947">
        <v>3379.66</v>
      </c>
    </row>
    <row r="1948" spans="1:5" x14ac:dyDescent="0.25">
      <c r="A1948" s="1">
        <v>45411</v>
      </c>
      <c r="B1948">
        <v>3</v>
      </c>
      <c r="C1948" t="s">
        <v>7</v>
      </c>
      <c r="D1948">
        <v>197</v>
      </c>
      <c r="E1948">
        <v>3114.6</v>
      </c>
    </row>
    <row r="1949" spans="1:5" x14ac:dyDescent="0.25">
      <c r="A1949" s="1">
        <v>45412</v>
      </c>
      <c r="B1949">
        <v>3</v>
      </c>
      <c r="C1949" t="s">
        <v>7</v>
      </c>
      <c r="D1949">
        <v>182</v>
      </c>
      <c r="E1949">
        <v>2890.09</v>
      </c>
    </row>
    <row r="1950" spans="1:5" x14ac:dyDescent="0.25">
      <c r="A1950" s="1">
        <v>45413</v>
      </c>
      <c r="B1950">
        <v>3</v>
      </c>
      <c r="C1950" t="s">
        <v>7</v>
      </c>
      <c r="D1950">
        <v>197</v>
      </c>
      <c r="E1950">
        <v>3210.12</v>
      </c>
    </row>
    <row r="1951" spans="1:5" x14ac:dyDescent="0.25">
      <c r="A1951" s="1">
        <v>45414</v>
      </c>
      <c r="B1951">
        <v>3</v>
      </c>
      <c r="C1951" t="s">
        <v>7</v>
      </c>
      <c r="D1951">
        <v>204</v>
      </c>
      <c r="E1951">
        <v>3693.87</v>
      </c>
    </row>
    <row r="1952" spans="1:5" x14ac:dyDescent="0.25">
      <c r="A1952" s="1">
        <v>45415</v>
      </c>
      <c r="B1952">
        <v>3</v>
      </c>
      <c r="C1952" t="s">
        <v>7</v>
      </c>
      <c r="D1952">
        <v>217</v>
      </c>
      <c r="E1952">
        <v>3838.47</v>
      </c>
    </row>
    <row r="1953" spans="1:5" x14ac:dyDescent="0.25">
      <c r="A1953" s="1">
        <v>45416</v>
      </c>
      <c r="B1953">
        <v>3</v>
      </c>
      <c r="C1953" t="s">
        <v>7</v>
      </c>
      <c r="D1953">
        <v>225</v>
      </c>
      <c r="E1953">
        <v>3355.42</v>
      </c>
    </row>
    <row r="1954" spans="1:5" x14ac:dyDescent="0.25">
      <c r="A1954" s="1">
        <v>45417</v>
      </c>
      <c r="B1954">
        <v>3</v>
      </c>
      <c r="C1954" t="s">
        <v>7</v>
      </c>
      <c r="D1954">
        <v>226</v>
      </c>
      <c r="E1954">
        <v>3396.71</v>
      </c>
    </row>
    <row r="1955" spans="1:5" x14ac:dyDescent="0.25">
      <c r="A1955" s="1">
        <v>45418</v>
      </c>
      <c r="B1955">
        <v>3</v>
      </c>
      <c r="C1955" t="s">
        <v>7</v>
      </c>
      <c r="D1955">
        <v>188</v>
      </c>
      <c r="E1955">
        <v>3040.56</v>
      </c>
    </row>
    <row r="1956" spans="1:5" x14ac:dyDescent="0.25">
      <c r="A1956" s="1">
        <v>45419</v>
      </c>
      <c r="B1956">
        <v>3</v>
      </c>
      <c r="C1956" t="s">
        <v>7</v>
      </c>
      <c r="D1956">
        <v>181</v>
      </c>
      <c r="E1956">
        <v>2910.06</v>
      </c>
    </row>
    <row r="1957" spans="1:5" x14ac:dyDescent="0.25">
      <c r="A1957" s="1">
        <v>45420</v>
      </c>
      <c r="B1957">
        <v>3</v>
      </c>
      <c r="C1957" t="s">
        <v>7</v>
      </c>
      <c r="D1957">
        <v>185</v>
      </c>
      <c r="E1957">
        <v>3085.75</v>
      </c>
    </row>
    <row r="1958" spans="1:5" x14ac:dyDescent="0.25">
      <c r="A1958" s="1">
        <v>45421</v>
      </c>
      <c r="B1958">
        <v>3</v>
      </c>
      <c r="C1958" t="s">
        <v>7</v>
      </c>
      <c r="D1958">
        <v>226</v>
      </c>
      <c r="E1958">
        <v>3813.34</v>
      </c>
    </row>
    <row r="1959" spans="1:5" x14ac:dyDescent="0.25">
      <c r="A1959" s="1">
        <v>45422</v>
      </c>
      <c r="B1959">
        <v>3</v>
      </c>
      <c r="C1959" t="s">
        <v>7</v>
      </c>
      <c r="D1959">
        <v>214</v>
      </c>
      <c r="E1959">
        <v>3370.23</v>
      </c>
    </row>
    <row r="1960" spans="1:5" x14ac:dyDescent="0.25">
      <c r="A1960" s="1">
        <v>45423</v>
      </c>
      <c r="B1960">
        <v>3</v>
      </c>
      <c r="C1960" t="s">
        <v>7</v>
      </c>
      <c r="D1960">
        <v>204</v>
      </c>
      <c r="E1960">
        <v>3506.29</v>
      </c>
    </row>
    <row r="1961" spans="1:5" x14ac:dyDescent="0.25">
      <c r="A1961" s="1">
        <v>45424</v>
      </c>
      <c r="B1961">
        <v>3</v>
      </c>
      <c r="C1961" t="s">
        <v>7</v>
      </c>
      <c r="D1961">
        <v>213</v>
      </c>
      <c r="E1961">
        <v>3431.51</v>
      </c>
    </row>
    <row r="1962" spans="1:5" x14ac:dyDescent="0.25">
      <c r="A1962" s="1">
        <v>45425</v>
      </c>
      <c r="B1962">
        <v>3</v>
      </c>
      <c r="C1962" t="s">
        <v>7</v>
      </c>
      <c r="D1962">
        <v>173</v>
      </c>
      <c r="E1962">
        <v>2832.77</v>
      </c>
    </row>
    <row r="1963" spans="1:5" x14ac:dyDescent="0.25">
      <c r="A1963" s="1">
        <v>45426</v>
      </c>
      <c r="B1963">
        <v>3</v>
      </c>
      <c r="C1963" t="s">
        <v>7</v>
      </c>
      <c r="D1963">
        <v>230</v>
      </c>
      <c r="E1963">
        <v>3643.85</v>
      </c>
    </row>
    <row r="1964" spans="1:5" x14ac:dyDescent="0.25">
      <c r="A1964" s="1">
        <v>45427</v>
      </c>
      <c r="B1964">
        <v>3</v>
      </c>
      <c r="C1964" t="s">
        <v>7</v>
      </c>
      <c r="D1964">
        <v>204</v>
      </c>
      <c r="E1964">
        <v>3372.82</v>
      </c>
    </row>
    <row r="1965" spans="1:5" x14ac:dyDescent="0.25">
      <c r="A1965" s="1">
        <v>45428</v>
      </c>
      <c r="B1965">
        <v>3</v>
      </c>
      <c r="C1965" t="s">
        <v>7</v>
      </c>
      <c r="D1965">
        <v>189</v>
      </c>
      <c r="E1965">
        <v>2907.48</v>
      </c>
    </row>
    <row r="1966" spans="1:5" x14ac:dyDescent="0.25">
      <c r="A1966" s="1">
        <v>45429</v>
      </c>
      <c r="B1966">
        <v>3</v>
      </c>
      <c r="C1966" t="s">
        <v>7</v>
      </c>
      <c r="D1966">
        <v>176</v>
      </c>
      <c r="E1966">
        <v>2883.56</v>
      </c>
    </row>
    <row r="1967" spans="1:5" x14ac:dyDescent="0.25">
      <c r="A1967" s="1">
        <v>45430</v>
      </c>
      <c r="B1967">
        <v>3</v>
      </c>
      <c r="C1967" t="s">
        <v>7</v>
      </c>
      <c r="D1967">
        <v>242</v>
      </c>
      <c r="E1967">
        <v>3874.78</v>
      </c>
    </row>
    <row r="1968" spans="1:5" x14ac:dyDescent="0.25">
      <c r="A1968" s="1">
        <v>45431</v>
      </c>
      <c r="B1968">
        <v>3</v>
      </c>
      <c r="C1968" t="s">
        <v>7</v>
      </c>
      <c r="D1968">
        <v>225</v>
      </c>
      <c r="E1968">
        <v>3674.57</v>
      </c>
    </row>
    <row r="1969" spans="1:5" x14ac:dyDescent="0.25">
      <c r="A1969" s="1">
        <v>45432</v>
      </c>
      <c r="B1969">
        <v>3</v>
      </c>
      <c r="C1969" t="s">
        <v>7</v>
      </c>
      <c r="D1969">
        <v>176</v>
      </c>
      <c r="E1969">
        <v>2606.31</v>
      </c>
    </row>
    <row r="1970" spans="1:5" x14ac:dyDescent="0.25">
      <c r="A1970" s="1">
        <v>45433</v>
      </c>
      <c r="B1970">
        <v>3</v>
      </c>
      <c r="C1970" t="s">
        <v>7</v>
      </c>
      <c r="D1970">
        <v>200</v>
      </c>
      <c r="E1970">
        <v>3095.62</v>
      </c>
    </row>
    <row r="1971" spans="1:5" x14ac:dyDescent="0.25">
      <c r="A1971" s="1">
        <v>45434</v>
      </c>
      <c r="B1971">
        <v>3</v>
      </c>
      <c r="C1971" t="s">
        <v>7</v>
      </c>
      <c r="D1971">
        <v>189</v>
      </c>
      <c r="E1971">
        <v>2979.51</v>
      </c>
    </row>
    <row r="1972" spans="1:5" x14ac:dyDescent="0.25">
      <c r="A1972" s="1">
        <v>45435</v>
      </c>
      <c r="B1972">
        <v>3</v>
      </c>
      <c r="C1972" t="s">
        <v>7</v>
      </c>
      <c r="D1972">
        <v>167</v>
      </c>
      <c r="E1972">
        <v>2686.36</v>
      </c>
    </row>
    <row r="1973" spans="1:5" x14ac:dyDescent="0.25">
      <c r="A1973" s="1">
        <v>45436</v>
      </c>
      <c r="B1973">
        <v>3</v>
      </c>
      <c r="C1973" t="s">
        <v>7</v>
      </c>
      <c r="D1973">
        <v>226</v>
      </c>
      <c r="E1973">
        <v>3656.85</v>
      </c>
    </row>
    <row r="1974" spans="1:5" x14ac:dyDescent="0.25">
      <c r="A1974" s="1">
        <v>45437</v>
      </c>
      <c r="B1974">
        <v>3</v>
      </c>
      <c r="C1974" t="s">
        <v>7</v>
      </c>
      <c r="D1974">
        <v>226</v>
      </c>
      <c r="E1974">
        <v>3878.57</v>
      </c>
    </row>
    <row r="1975" spans="1:5" x14ac:dyDescent="0.25">
      <c r="A1975" s="1">
        <v>45438</v>
      </c>
      <c r="B1975">
        <v>3</v>
      </c>
      <c r="C1975" t="s">
        <v>7</v>
      </c>
      <c r="D1975">
        <v>244</v>
      </c>
      <c r="E1975">
        <v>3888.86</v>
      </c>
    </row>
    <row r="1976" spans="1:5" x14ac:dyDescent="0.25">
      <c r="A1976" s="1">
        <v>45439</v>
      </c>
      <c r="B1976">
        <v>3</v>
      </c>
      <c r="C1976" t="s">
        <v>7</v>
      </c>
      <c r="D1976">
        <v>197</v>
      </c>
      <c r="E1976">
        <v>3120.9</v>
      </c>
    </row>
    <row r="1977" spans="1:5" x14ac:dyDescent="0.25">
      <c r="A1977" s="1">
        <v>45440</v>
      </c>
      <c r="B1977">
        <v>3</v>
      </c>
      <c r="C1977" t="s">
        <v>7</v>
      </c>
      <c r="D1977">
        <v>167</v>
      </c>
      <c r="E1977">
        <v>2783.2</v>
      </c>
    </row>
    <row r="1978" spans="1:5" x14ac:dyDescent="0.25">
      <c r="A1978" s="1">
        <v>45441</v>
      </c>
      <c r="B1978">
        <v>3</v>
      </c>
      <c r="C1978" t="s">
        <v>7</v>
      </c>
      <c r="D1978">
        <v>203</v>
      </c>
      <c r="E1978">
        <v>3443.31</v>
      </c>
    </row>
    <row r="1979" spans="1:5" x14ac:dyDescent="0.25">
      <c r="A1979" s="1">
        <v>45442</v>
      </c>
      <c r="B1979">
        <v>3</v>
      </c>
      <c r="C1979" t="s">
        <v>7</v>
      </c>
      <c r="D1979">
        <v>187</v>
      </c>
      <c r="E1979">
        <v>3124.2</v>
      </c>
    </row>
    <row r="1980" spans="1:5" x14ac:dyDescent="0.25">
      <c r="A1980" s="1">
        <v>45443</v>
      </c>
      <c r="B1980">
        <v>3</v>
      </c>
      <c r="C1980" t="s">
        <v>7</v>
      </c>
      <c r="D1980">
        <v>211</v>
      </c>
      <c r="E1980">
        <v>3699.13</v>
      </c>
    </row>
    <row r="1981" spans="1:5" x14ac:dyDescent="0.25">
      <c r="A1981" s="1">
        <v>45444</v>
      </c>
      <c r="B1981">
        <v>3</v>
      </c>
      <c r="C1981" t="s">
        <v>7</v>
      </c>
      <c r="D1981">
        <v>238</v>
      </c>
      <c r="E1981">
        <v>3803.59</v>
      </c>
    </row>
    <row r="1982" spans="1:5" x14ac:dyDescent="0.25">
      <c r="A1982" s="1">
        <v>45445</v>
      </c>
      <c r="B1982">
        <v>3</v>
      </c>
      <c r="C1982" t="s">
        <v>7</v>
      </c>
      <c r="D1982">
        <v>208</v>
      </c>
      <c r="E1982">
        <v>3247.76</v>
      </c>
    </row>
    <row r="1983" spans="1:5" x14ac:dyDescent="0.25">
      <c r="A1983" s="1">
        <v>45446</v>
      </c>
      <c r="B1983">
        <v>3</v>
      </c>
      <c r="C1983" t="s">
        <v>7</v>
      </c>
      <c r="D1983">
        <v>228</v>
      </c>
      <c r="E1983">
        <v>3702.93</v>
      </c>
    </row>
    <row r="1984" spans="1:5" x14ac:dyDescent="0.25">
      <c r="A1984" s="1">
        <v>45447</v>
      </c>
      <c r="B1984">
        <v>3</v>
      </c>
      <c r="C1984" t="s">
        <v>7</v>
      </c>
      <c r="D1984">
        <v>217</v>
      </c>
      <c r="E1984">
        <v>3585.27</v>
      </c>
    </row>
    <row r="1985" spans="1:5" x14ac:dyDescent="0.25">
      <c r="A1985" s="1">
        <v>45448</v>
      </c>
      <c r="B1985">
        <v>3</v>
      </c>
      <c r="C1985" t="s">
        <v>7</v>
      </c>
      <c r="D1985">
        <v>215</v>
      </c>
      <c r="E1985">
        <v>3768.92</v>
      </c>
    </row>
    <row r="1986" spans="1:5" x14ac:dyDescent="0.25">
      <c r="A1986" s="1">
        <v>45449</v>
      </c>
      <c r="B1986">
        <v>3</v>
      </c>
      <c r="C1986" t="s">
        <v>7</v>
      </c>
      <c r="D1986">
        <v>217</v>
      </c>
      <c r="E1986">
        <v>3800.77</v>
      </c>
    </row>
    <row r="1987" spans="1:5" x14ac:dyDescent="0.25">
      <c r="A1987" s="1">
        <v>45450</v>
      </c>
      <c r="B1987">
        <v>3</v>
      </c>
      <c r="C1987" t="s">
        <v>7</v>
      </c>
      <c r="D1987">
        <v>200</v>
      </c>
      <c r="E1987">
        <v>3387.9</v>
      </c>
    </row>
    <row r="1988" spans="1:5" x14ac:dyDescent="0.25">
      <c r="A1988" s="1">
        <v>45451</v>
      </c>
      <c r="B1988">
        <v>3</v>
      </c>
      <c r="C1988" t="s">
        <v>7</v>
      </c>
      <c r="D1988">
        <v>244</v>
      </c>
      <c r="E1988">
        <v>4211.82</v>
      </c>
    </row>
    <row r="1989" spans="1:5" x14ac:dyDescent="0.25">
      <c r="A1989" s="1">
        <v>45452</v>
      </c>
      <c r="B1989">
        <v>3</v>
      </c>
      <c r="C1989" t="s">
        <v>7</v>
      </c>
      <c r="D1989">
        <v>198</v>
      </c>
      <c r="E1989">
        <v>3649.12</v>
      </c>
    </row>
    <row r="1990" spans="1:5" x14ac:dyDescent="0.25">
      <c r="A1990" s="1">
        <v>45453</v>
      </c>
      <c r="B1990">
        <v>3</v>
      </c>
      <c r="C1990" t="s">
        <v>7</v>
      </c>
      <c r="D1990">
        <v>228</v>
      </c>
      <c r="E1990">
        <v>3736.38</v>
      </c>
    </row>
    <row r="1991" spans="1:5" x14ac:dyDescent="0.25">
      <c r="A1991" s="1">
        <v>45454</v>
      </c>
      <c r="B1991">
        <v>3</v>
      </c>
      <c r="C1991" t="s">
        <v>7</v>
      </c>
      <c r="D1991">
        <v>223</v>
      </c>
      <c r="E1991">
        <v>3843.63</v>
      </c>
    </row>
    <row r="1992" spans="1:5" x14ac:dyDescent="0.25">
      <c r="A1992" s="1">
        <v>45455</v>
      </c>
      <c r="B1992">
        <v>3</v>
      </c>
      <c r="C1992" t="s">
        <v>7</v>
      </c>
      <c r="D1992">
        <v>247</v>
      </c>
      <c r="E1992">
        <v>3741.55</v>
      </c>
    </row>
    <row r="1993" spans="1:5" x14ac:dyDescent="0.25">
      <c r="A1993" s="1">
        <v>45456</v>
      </c>
      <c r="B1993">
        <v>3</v>
      </c>
      <c r="C1993" t="s">
        <v>7</v>
      </c>
      <c r="D1993">
        <v>232</v>
      </c>
      <c r="E1993">
        <v>3907.78</v>
      </c>
    </row>
    <row r="1994" spans="1:5" x14ac:dyDescent="0.25">
      <c r="A1994" s="1">
        <v>45457</v>
      </c>
      <c r="B1994">
        <v>3</v>
      </c>
      <c r="C1994" t="s">
        <v>7</v>
      </c>
      <c r="D1994">
        <v>220</v>
      </c>
      <c r="E1994">
        <v>3720.1</v>
      </c>
    </row>
    <row r="1995" spans="1:5" x14ac:dyDescent="0.25">
      <c r="A1995" s="1">
        <v>45458</v>
      </c>
      <c r="B1995">
        <v>3</v>
      </c>
      <c r="C1995" t="s">
        <v>7</v>
      </c>
      <c r="D1995">
        <v>276</v>
      </c>
      <c r="E1995">
        <v>4453.29</v>
      </c>
    </row>
    <row r="1996" spans="1:5" x14ac:dyDescent="0.25">
      <c r="A1996" s="1">
        <v>45459</v>
      </c>
      <c r="B1996">
        <v>3</v>
      </c>
      <c r="C1996" t="s">
        <v>7</v>
      </c>
      <c r="D1996">
        <v>238</v>
      </c>
      <c r="E1996">
        <v>3830.59</v>
      </c>
    </row>
    <row r="1997" spans="1:5" x14ac:dyDescent="0.25">
      <c r="A1997" s="1">
        <v>45460</v>
      </c>
      <c r="B1997">
        <v>3</v>
      </c>
      <c r="C1997" t="s">
        <v>7</v>
      </c>
      <c r="D1997">
        <v>237</v>
      </c>
      <c r="E1997">
        <v>3846.23</v>
      </c>
    </row>
    <row r="1998" spans="1:5" x14ac:dyDescent="0.25">
      <c r="A1998" s="1">
        <v>45461</v>
      </c>
      <c r="B1998">
        <v>3</v>
      </c>
      <c r="C1998" t="s">
        <v>7</v>
      </c>
      <c r="D1998">
        <v>209</v>
      </c>
      <c r="E1998">
        <v>3468.73</v>
      </c>
    </row>
    <row r="1999" spans="1:5" x14ac:dyDescent="0.25">
      <c r="A1999" s="1">
        <v>45462</v>
      </c>
      <c r="B1999">
        <v>3</v>
      </c>
      <c r="C1999" t="s">
        <v>7</v>
      </c>
      <c r="D1999">
        <v>247</v>
      </c>
      <c r="E1999">
        <v>4126.51</v>
      </c>
    </row>
    <row r="2000" spans="1:5" x14ac:dyDescent="0.25">
      <c r="A2000" s="1">
        <v>45463</v>
      </c>
      <c r="B2000">
        <v>3</v>
      </c>
      <c r="C2000" t="s">
        <v>7</v>
      </c>
      <c r="D2000">
        <v>185</v>
      </c>
      <c r="E2000">
        <v>3012.66</v>
      </c>
    </row>
    <row r="2001" spans="1:5" x14ac:dyDescent="0.25">
      <c r="A2001" s="1">
        <v>45464</v>
      </c>
      <c r="B2001">
        <v>3</v>
      </c>
      <c r="C2001" t="s">
        <v>7</v>
      </c>
      <c r="D2001">
        <v>227</v>
      </c>
      <c r="E2001">
        <v>3627.8</v>
      </c>
    </row>
    <row r="2002" spans="1:5" x14ac:dyDescent="0.25">
      <c r="A2002" s="1">
        <v>45465</v>
      </c>
      <c r="B2002">
        <v>3</v>
      </c>
      <c r="C2002" t="s">
        <v>7</v>
      </c>
      <c r="D2002">
        <v>251</v>
      </c>
      <c r="E2002">
        <v>4020.74</v>
      </c>
    </row>
    <row r="2003" spans="1:5" x14ac:dyDescent="0.25">
      <c r="A2003" s="1">
        <v>45466</v>
      </c>
      <c r="B2003">
        <v>3</v>
      </c>
      <c r="C2003" t="s">
        <v>7</v>
      </c>
      <c r="D2003">
        <v>263</v>
      </c>
      <c r="E2003">
        <v>4555.57</v>
      </c>
    </row>
    <row r="2004" spans="1:5" x14ac:dyDescent="0.25">
      <c r="A2004" s="1">
        <v>45467</v>
      </c>
      <c r="B2004">
        <v>3</v>
      </c>
      <c r="C2004" t="s">
        <v>7</v>
      </c>
      <c r="D2004">
        <v>207</v>
      </c>
      <c r="E2004">
        <v>3493.98</v>
      </c>
    </row>
    <row r="2005" spans="1:5" x14ac:dyDescent="0.25">
      <c r="A2005" s="1">
        <v>45468</v>
      </c>
      <c r="B2005">
        <v>3</v>
      </c>
      <c r="C2005" t="s">
        <v>7</v>
      </c>
      <c r="D2005">
        <v>225</v>
      </c>
      <c r="E2005">
        <v>3555.46</v>
      </c>
    </row>
    <row r="2006" spans="1:5" x14ac:dyDescent="0.25">
      <c r="A2006" s="1">
        <v>45469</v>
      </c>
      <c r="B2006">
        <v>3</v>
      </c>
      <c r="C2006" t="s">
        <v>7</v>
      </c>
      <c r="D2006">
        <v>204</v>
      </c>
      <c r="E2006">
        <v>3161.61</v>
      </c>
    </row>
    <row r="2007" spans="1:5" x14ac:dyDescent="0.25">
      <c r="A2007" s="1">
        <v>45470</v>
      </c>
      <c r="B2007">
        <v>3</v>
      </c>
      <c r="C2007" t="s">
        <v>7</v>
      </c>
      <c r="D2007">
        <v>240</v>
      </c>
      <c r="E2007">
        <v>4221.17</v>
      </c>
    </row>
    <row r="2008" spans="1:5" x14ac:dyDescent="0.25">
      <c r="A2008" s="1">
        <v>45471</v>
      </c>
      <c r="B2008">
        <v>3</v>
      </c>
      <c r="C2008" t="s">
        <v>7</v>
      </c>
      <c r="D2008">
        <v>270</v>
      </c>
      <c r="E2008">
        <v>4473.47</v>
      </c>
    </row>
    <row r="2009" spans="1:5" x14ac:dyDescent="0.25">
      <c r="A2009" s="1">
        <v>45472</v>
      </c>
      <c r="B2009">
        <v>3</v>
      </c>
      <c r="C2009" t="s">
        <v>7</v>
      </c>
      <c r="D2009">
        <v>213</v>
      </c>
      <c r="E2009">
        <v>3314.06</v>
      </c>
    </row>
    <row r="2010" spans="1:5" x14ac:dyDescent="0.25">
      <c r="A2010" s="1">
        <v>45473</v>
      </c>
      <c r="B2010">
        <v>3</v>
      </c>
      <c r="C2010" t="s">
        <v>7</v>
      </c>
      <c r="D2010">
        <v>287</v>
      </c>
      <c r="E2010">
        <v>4792.67</v>
      </c>
    </row>
    <row r="2011" spans="1:5" x14ac:dyDescent="0.25">
      <c r="A2011" s="1">
        <v>45474</v>
      </c>
      <c r="B2011">
        <v>3</v>
      </c>
      <c r="C2011" t="s">
        <v>7</v>
      </c>
      <c r="D2011">
        <v>231</v>
      </c>
      <c r="E2011">
        <v>3743.03</v>
      </c>
    </row>
    <row r="2012" spans="1:5" x14ac:dyDescent="0.25">
      <c r="A2012" s="1">
        <v>45475</v>
      </c>
      <c r="B2012">
        <v>3</v>
      </c>
      <c r="C2012" t="s">
        <v>7</v>
      </c>
      <c r="D2012">
        <v>289</v>
      </c>
      <c r="E2012">
        <v>4861.2299999999996</v>
      </c>
    </row>
    <row r="2013" spans="1:5" x14ac:dyDescent="0.25">
      <c r="A2013" s="1">
        <v>45476</v>
      </c>
      <c r="B2013">
        <v>3</v>
      </c>
      <c r="C2013" t="s">
        <v>7</v>
      </c>
      <c r="D2013">
        <v>249</v>
      </c>
      <c r="E2013">
        <v>3946.39</v>
      </c>
    </row>
    <row r="2014" spans="1:5" x14ac:dyDescent="0.25">
      <c r="A2014" s="1">
        <v>45477</v>
      </c>
      <c r="B2014">
        <v>3</v>
      </c>
      <c r="C2014" t="s">
        <v>7</v>
      </c>
      <c r="D2014">
        <v>248</v>
      </c>
      <c r="E2014">
        <v>3977.54</v>
      </c>
    </row>
    <row r="2015" spans="1:5" x14ac:dyDescent="0.25">
      <c r="A2015" s="1">
        <v>45478</v>
      </c>
      <c r="B2015">
        <v>3</v>
      </c>
      <c r="C2015" t="s">
        <v>7</v>
      </c>
      <c r="D2015">
        <v>223</v>
      </c>
      <c r="E2015">
        <v>3950.94</v>
      </c>
    </row>
    <row r="2016" spans="1:5" x14ac:dyDescent="0.25">
      <c r="A2016" s="1">
        <v>45479</v>
      </c>
      <c r="B2016">
        <v>3</v>
      </c>
      <c r="C2016" t="s">
        <v>7</v>
      </c>
      <c r="D2016">
        <v>285</v>
      </c>
      <c r="E2016">
        <v>4660.08</v>
      </c>
    </row>
    <row r="2017" spans="1:5" x14ac:dyDescent="0.25">
      <c r="A2017" s="1">
        <v>45480</v>
      </c>
      <c r="B2017">
        <v>3</v>
      </c>
      <c r="C2017" t="s">
        <v>7</v>
      </c>
      <c r="D2017">
        <v>294</v>
      </c>
      <c r="E2017">
        <v>4734.3</v>
      </c>
    </row>
    <row r="2018" spans="1:5" x14ac:dyDescent="0.25">
      <c r="A2018" s="1">
        <v>45481</v>
      </c>
      <c r="B2018">
        <v>3</v>
      </c>
      <c r="C2018" t="s">
        <v>7</v>
      </c>
      <c r="D2018">
        <v>253</v>
      </c>
      <c r="E2018">
        <v>4104.67</v>
      </c>
    </row>
    <row r="2019" spans="1:5" x14ac:dyDescent="0.25">
      <c r="A2019" s="1">
        <v>45482</v>
      </c>
      <c r="B2019">
        <v>3</v>
      </c>
      <c r="C2019" t="s">
        <v>7</v>
      </c>
      <c r="D2019">
        <v>230</v>
      </c>
      <c r="E2019">
        <v>3939.77</v>
      </c>
    </row>
    <row r="2020" spans="1:5" x14ac:dyDescent="0.25">
      <c r="A2020" s="1">
        <v>45483</v>
      </c>
      <c r="B2020">
        <v>3</v>
      </c>
      <c r="C2020" t="s">
        <v>7</v>
      </c>
      <c r="D2020">
        <v>251</v>
      </c>
      <c r="E2020">
        <v>3973.53</v>
      </c>
    </row>
    <row r="2021" spans="1:5" x14ac:dyDescent="0.25">
      <c r="A2021" s="1">
        <v>45484</v>
      </c>
      <c r="B2021">
        <v>3</v>
      </c>
      <c r="C2021" t="s">
        <v>7</v>
      </c>
      <c r="D2021">
        <v>245</v>
      </c>
      <c r="E2021">
        <v>3906.65</v>
      </c>
    </row>
    <row r="2022" spans="1:5" x14ac:dyDescent="0.25">
      <c r="A2022" s="1">
        <v>45485</v>
      </c>
      <c r="B2022">
        <v>3</v>
      </c>
      <c r="C2022" t="s">
        <v>7</v>
      </c>
      <c r="D2022">
        <v>221</v>
      </c>
      <c r="E2022">
        <v>3448.99</v>
      </c>
    </row>
    <row r="2023" spans="1:5" x14ac:dyDescent="0.25">
      <c r="A2023" s="1">
        <v>45486</v>
      </c>
      <c r="B2023">
        <v>3</v>
      </c>
      <c r="C2023" t="s">
        <v>7</v>
      </c>
      <c r="D2023">
        <v>279</v>
      </c>
      <c r="E2023">
        <v>4871.78</v>
      </c>
    </row>
    <row r="2024" spans="1:5" x14ac:dyDescent="0.25">
      <c r="A2024" s="1">
        <v>45487</v>
      </c>
      <c r="B2024">
        <v>3</v>
      </c>
      <c r="C2024" t="s">
        <v>7</v>
      </c>
      <c r="D2024">
        <v>281</v>
      </c>
      <c r="E2024">
        <v>4557.46</v>
      </c>
    </row>
    <row r="2025" spans="1:5" x14ac:dyDescent="0.25">
      <c r="A2025" s="1">
        <v>45488</v>
      </c>
      <c r="B2025">
        <v>3</v>
      </c>
      <c r="C2025" t="s">
        <v>7</v>
      </c>
      <c r="D2025">
        <v>210</v>
      </c>
      <c r="E2025">
        <v>3486.49</v>
      </c>
    </row>
    <row r="2026" spans="1:5" x14ac:dyDescent="0.25">
      <c r="A2026" s="1">
        <v>45489</v>
      </c>
      <c r="B2026">
        <v>3</v>
      </c>
      <c r="C2026" t="s">
        <v>7</v>
      </c>
      <c r="D2026">
        <v>254</v>
      </c>
      <c r="E2026">
        <v>4231.74</v>
      </c>
    </row>
    <row r="2027" spans="1:5" x14ac:dyDescent="0.25">
      <c r="A2027" s="1">
        <v>45490</v>
      </c>
      <c r="B2027">
        <v>3</v>
      </c>
      <c r="C2027" t="s">
        <v>7</v>
      </c>
      <c r="D2027">
        <v>235</v>
      </c>
      <c r="E2027">
        <v>3767.9</v>
      </c>
    </row>
    <row r="2028" spans="1:5" x14ac:dyDescent="0.25">
      <c r="A2028" s="1">
        <v>45491</v>
      </c>
      <c r="B2028">
        <v>3</v>
      </c>
      <c r="C2028" t="s">
        <v>7</v>
      </c>
      <c r="D2028">
        <v>232</v>
      </c>
      <c r="E2028">
        <v>3428.31</v>
      </c>
    </row>
    <row r="2029" spans="1:5" x14ac:dyDescent="0.25">
      <c r="A2029" s="1">
        <v>45492</v>
      </c>
      <c r="B2029">
        <v>3</v>
      </c>
      <c r="C2029" t="s">
        <v>7</v>
      </c>
      <c r="D2029">
        <v>243</v>
      </c>
      <c r="E2029">
        <v>4191.59</v>
      </c>
    </row>
    <row r="2030" spans="1:5" x14ac:dyDescent="0.25">
      <c r="A2030" s="1">
        <v>45493</v>
      </c>
      <c r="B2030">
        <v>3</v>
      </c>
      <c r="C2030" t="s">
        <v>7</v>
      </c>
      <c r="D2030">
        <v>290</v>
      </c>
      <c r="E2030">
        <v>4403.3599999999997</v>
      </c>
    </row>
    <row r="2031" spans="1:5" x14ac:dyDescent="0.25">
      <c r="A2031" s="1">
        <v>45494</v>
      </c>
      <c r="B2031">
        <v>3</v>
      </c>
      <c r="C2031" t="s">
        <v>7</v>
      </c>
      <c r="D2031">
        <v>252</v>
      </c>
      <c r="E2031">
        <v>4416.8500000000004</v>
      </c>
    </row>
    <row r="2032" spans="1:5" x14ac:dyDescent="0.25">
      <c r="A2032" s="1">
        <v>45495</v>
      </c>
      <c r="B2032">
        <v>3</v>
      </c>
      <c r="C2032" t="s">
        <v>7</v>
      </c>
      <c r="D2032">
        <v>302</v>
      </c>
      <c r="E2032">
        <v>5175.41</v>
      </c>
    </row>
    <row r="2033" spans="1:5" x14ac:dyDescent="0.25">
      <c r="A2033" s="1">
        <v>45496</v>
      </c>
      <c r="B2033">
        <v>3</v>
      </c>
      <c r="C2033" t="s">
        <v>7</v>
      </c>
      <c r="D2033">
        <v>269</v>
      </c>
      <c r="E2033">
        <v>4572.4399999999996</v>
      </c>
    </row>
    <row r="2034" spans="1:5" x14ac:dyDescent="0.25">
      <c r="A2034" s="1">
        <v>45497</v>
      </c>
      <c r="B2034">
        <v>3</v>
      </c>
      <c r="C2034" t="s">
        <v>7</v>
      </c>
      <c r="D2034">
        <v>240</v>
      </c>
      <c r="E2034">
        <v>4101.2</v>
      </c>
    </row>
    <row r="2035" spans="1:5" x14ac:dyDescent="0.25">
      <c r="A2035" s="1">
        <v>45498</v>
      </c>
      <c r="B2035">
        <v>3</v>
      </c>
      <c r="C2035" t="s">
        <v>7</v>
      </c>
      <c r="D2035">
        <v>283</v>
      </c>
      <c r="E2035">
        <v>4618.0600000000004</v>
      </c>
    </row>
    <row r="2036" spans="1:5" x14ac:dyDescent="0.25">
      <c r="A2036" s="1">
        <v>45499</v>
      </c>
      <c r="B2036">
        <v>3</v>
      </c>
      <c r="C2036" t="s">
        <v>7</v>
      </c>
      <c r="D2036">
        <v>248</v>
      </c>
      <c r="E2036">
        <v>4247.8100000000004</v>
      </c>
    </row>
    <row r="2037" spans="1:5" x14ac:dyDescent="0.25">
      <c r="A2037" s="1">
        <v>45500</v>
      </c>
      <c r="B2037">
        <v>3</v>
      </c>
      <c r="C2037" t="s">
        <v>7</v>
      </c>
      <c r="D2037">
        <v>286</v>
      </c>
      <c r="E2037">
        <v>4668.49</v>
      </c>
    </row>
    <row r="2038" spans="1:5" x14ac:dyDescent="0.25">
      <c r="A2038" s="1">
        <v>45501</v>
      </c>
      <c r="B2038">
        <v>3</v>
      </c>
      <c r="C2038" t="s">
        <v>7</v>
      </c>
      <c r="D2038">
        <v>313</v>
      </c>
      <c r="E2038">
        <v>5216.8999999999996</v>
      </c>
    </row>
    <row r="2039" spans="1:5" x14ac:dyDescent="0.25">
      <c r="A2039" s="1">
        <v>45502</v>
      </c>
      <c r="B2039">
        <v>3</v>
      </c>
      <c r="C2039" t="s">
        <v>7</v>
      </c>
      <c r="D2039">
        <v>253</v>
      </c>
      <c r="E2039">
        <v>3953.77</v>
      </c>
    </row>
    <row r="2040" spans="1:5" x14ac:dyDescent="0.25">
      <c r="A2040" s="1">
        <v>45503</v>
      </c>
      <c r="B2040">
        <v>3</v>
      </c>
      <c r="C2040" t="s">
        <v>7</v>
      </c>
      <c r="D2040">
        <v>278</v>
      </c>
      <c r="E2040">
        <v>4859.0200000000004</v>
      </c>
    </row>
    <row r="2041" spans="1:5" x14ac:dyDescent="0.25">
      <c r="A2041" s="1">
        <v>45504</v>
      </c>
      <c r="B2041">
        <v>3</v>
      </c>
      <c r="C2041" t="s">
        <v>7</v>
      </c>
      <c r="D2041">
        <v>281</v>
      </c>
      <c r="E2041">
        <v>4615.37</v>
      </c>
    </row>
    <row r="2042" spans="1:5" x14ac:dyDescent="0.25">
      <c r="A2042" s="1">
        <v>45505</v>
      </c>
      <c r="B2042">
        <v>3</v>
      </c>
      <c r="C2042" t="s">
        <v>7</v>
      </c>
      <c r="D2042">
        <v>229</v>
      </c>
      <c r="E2042">
        <v>3857.31</v>
      </c>
    </row>
    <row r="2043" spans="1:5" x14ac:dyDescent="0.25">
      <c r="A2043" s="1">
        <v>45506</v>
      </c>
      <c r="B2043">
        <v>3</v>
      </c>
      <c r="C2043" t="s">
        <v>7</v>
      </c>
      <c r="D2043">
        <v>256</v>
      </c>
      <c r="E2043">
        <v>4543.68</v>
      </c>
    </row>
    <row r="2044" spans="1:5" x14ac:dyDescent="0.25">
      <c r="A2044" s="1">
        <v>45507</v>
      </c>
      <c r="B2044">
        <v>3</v>
      </c>
      <c r="C2044" t="s">
        <v>7</v>
      </c>
      <c r="D2044">
        <v>292</v>
      </c>
      <c r="E2044">
        <v>4780.3500000000004</v>
      </c>
    </row>
    <row r="2045" spans="1:5" x14ac:dyDescent="0.25">
      <c r="A2045" s="1">
        <v>45508</v>
      </c>
      <c r="B2045">
        <v>3</v>
      </c>
      <c r="C2045" t="s">
        <v>7</v>
      </c>
      <c r="D2045">
        <v>298</v>
      </c>
      <c r="E2045">
        <v>4807.83</v>
      </c>
    </row>
    <row r="2046" spans="1:5" x14ac:dyDescent="0.25">
      <c r="A2046" s="1">
        <v>45509</v>
      </c>
      <c r="B2046">
        <v>3</v>
      </c>
      <c r="C2046" t="s">
        <v>7</v>
      </c>
      <c r="D2046">
        <v>270</v>
      </c>
      <c r="E2046">
        <v>4857.18</v>
      </c>
    </row>
    <row r="2047" spans="1:5" x14ac:dyDescent="0.25">
      <c r="A2047" s="1">
        <v>45510</v>
      </c>
      <c r="B2047">
        <v>3</v>
      </c>
      <c r="C2047" t="s">
        <v>7</v>
      </c>
      <c r="D2047">
        <v>274</v>
      </c>
      <c r="E2047">
        <v>4180.24</v>
      </c>
    </row>
    <row r="2048" spans="1:5" x14ac:dyDescent="0.25">
      <c r="A2048" s="1">
        <v>45511</v>
      </c>
      <c r="B2048">
        <v>3</v>
      </c>
      <c r="C2048" t="s">
        <v>7</v>
      </c>
      <c r="D2048">
        <v>291</v>
      </c>
      <c r="E2048">
        <v>4872.5600000000004</v>
      </c>
    </row>
    <row r="2049" spans="1:5" x14ac:dyDescent="0.25">
      <c r="A2049" s="1">
        <v>45512</v>
      </c>
      <c r="B2049">
        <v>3</v>
      </c>
      <c r="C2049" t="s">
        <v>7</v>
      </c>
      <c r="D2049">
        <v>270</v>
      </c>
      <c r="E2049">
        <v>4487.33</v>
      </c>
    </row>
    <row r="2050" spans="1:5" x14ac:dyDescent="0.25">
      <c r="A2050" s="1">
        <v>45513</v>
      </c>
      <c r="B2050">
        <v>3</v>
      </c>
      <c r="C2050" t="s">
        <v>7</v>
      </c>
      <c r="D2050">
        <v>262</v>
      </c>
      <c r="E2050">
        <v>4280.1000000000004</v>
      </c>
    </row>
    <row r="2051" spans="1:5" x14ac:dyDescent="0.25">
      <c r="A2051" s="1">
        <v>45514</v>
      </c>
      <c r="B2051">
        <v>3</v>
      </c>
      <c r="C2051" t="s">
        <v>7</v>
      </c>
      <c r="D2051">
        <v>300</v>
      </c>
      <c r="E2051">
        <v>4950.03</v>
      </c>
    </row>
    <row r="2052" spans="1:5" x14ac:dyDescent="0.25">
      <c r="A2052" s="1">
        <v>45515</v>
      </c>
      <c r="B2052">
        <v>3</v>
      </c>
      <c r="C2052" t="s">
        <v>7</v>
      </c>
      <c r="D2052">
        <v>347</v>
      </c>
      <c r="E2052">
        <v>5977.39</v>
      </c>
    </row>
    <row r="2053" spans="1:5" x14ac:dyDescent="0.25">
      <c r="A2053" s="1">
        <v>45516</v>
      </c>
      <c r="B2053">
        <v>3</v>
      </c>
      <c r="C2053" t="s">
        <v>7</v>
      </c>
      <c r="D2053">
        <v>248</v>
      </c>
      <c r="E2053">
        <v>3869.83</v>
      </c>
    </row>
    <row r="2054" spans="1:5" x14ac:dyDescent="0.25">
      <c r="A2054" s="1">
        <v>45517</v>
      </c>
      <c r="B2054">
        <v>3</v>
      </c>
      <c r="C2054" t="s">
        <v>7</v>
      </c>
      <c r="D2054">
        <v>286</v>
      </c>
      <c r="E2054">
        <v>4988.84</v>
      </c>
    </row>
    <row r="2055" spans="1:5" x14ac:dyDescent="0.25">
      <c r="A2055" s="1">
        <v>45518</v>
      </c>
      <c r="B2055">
        <v>3</v>
      </c>
      <c r="C2055" t="s">
        <v>7</v>
      </c>
      <c r="D2055">
        <v>270</v>
      </c>
      <c r="E2055">
        <v>4158.2299999999996</v>
      </c>
    </row>
    <row r="2056" spans="1:5" x14ac:dyDescent="0.25">
      <c r="A2056" s="1">
        <v>45519</v>
      </c>
      <c r="B2056">
        <v>3</v>
      </c>
      <c r="C2056" t="s">
        <v>7</v>
      </c>
      <c r="D2056">
        <v>286</v>
      </c>
      <c r="E2056">
        <v>4481.62</v>
      </c>
    </row>
    <row r="2057" spans="1:5" x14ac:dyDescent="0.25">
      <c r="A2057" s="1">
        <v>45520</v>
      </c>
      <c r="B2057">
        <v>3</v>
      </c>
      <c r="C2057" t="s">
        <v>7</v>
      </c>
      <c r="D2057">
        <v>265</v>
      </c>
      <c r="E2057">
        <v>4815.3999999999996</v>
      </c>
    </row>
    <row r="2058" spans="1:5" x14ac:dyDescent="0.25">
      <c r="A2058" s="1">
        <v>45521</v>
      </c>
      <c r="B2058">
        <v>3</v>
      </c>
      <c r="C2058" t="s">
        <v>7</v>
      </c>
      <c r="D2058">
        <v>316</v>
      </c>
      <c r="E2058">
        <v>5220.05</v>
      </c>
    </row>
    <row r="2059" spans="1:5" x14ac:dyDescent="0.25">
      <c r="A2059" s="1">
        <v>45522</v>
      </c>
      <c r="B2059">
        <v>3</v>
      </c>
      <c r="C2059" t="s">
        <v>7</v>
      </c>
      <c r="D2059">
        <v>288</v>
      </c>
      <c r="E2059">
        <v>4733.7</v>
      </c>
    </row>
    <row r="2060" spans="1:5" x14ac:dyDescent="0.25">
      <c r="A2060" s="1">
        <v>45523</v>
      </c>
      <c r="B2060">
        <v>3</v>
      </c>
      <c r="C2060" t="s">
        <v>7</v>
      </c>
      <c r="D2060">
        <v>255</v>
      </c>
      <c r="E2060">
        <v>4354.0200000000004</v>
      </c>
    </row>
    <row r="2061" spans="1:5" x14ac:dyDescent="0.25">
      <c r="A2061" s="1">
        <v>45524</v>
      </c>
      <c r="B2061">
        <v>3</v>
      </c>
      <c r="C2061" t="s">
        <v>7</v>
      </c>
      <c r="D2061">
        <v>294</v>
      </c>
      <c r="E2061">
        <v>4799</v>
      </c>
    </row>
    <row r="2062" spans="1:5" x14ac:dyDescent="0.25">
      <c r="A2062" s="1">
        <v>45525</v>
      </c>
      <c r="B2062">
        <v>3</v>
      </c>
      <c r="C2062" t="s">
        <v>7</v>
      </c>
      <c r="D2062">
        <v>304</v>
      </c>
      <c r="E2062">
        <v>4811.8599999999997</v>
      </c>
    </row>
    <row r="2063" spans="1:5" x14ac:dyDescent="0.25">
      <c r="A2063" s="1">
        <v>45526</v>
      </c>
      <c r="B2063">
        <v>3</v>
      </c>
      <c r="C2063" t="s">
        <v>7</v>
      </c>
      <c r="D2063">
        <v>251</v>
      </c>
      <c r="E2063">
        <v>4057.53</v>
      </c>
    </row>
    <row r="2064" spans="1:5" x14ac:dyDescent="0.25">
      <c r="A2064" s="1">
        <v>45527</v>
      </c>
      <c r="B2064">
        <v>3</v>
      </c>
      <c r="C2064" t="s">
        <v>7</v>
      </c>
      <c r="D2064">
        <v>260</v>
      </c>
      <c r="E2064">
        <v>4047.63</v>
      </c>
    </row>
    <row r="2065" spans="1:5" x14ac:dyDescent="0.25">
      <c r="A2065" s="1">
        <v>45528</v>
      </c>
      <c r="B2065">
        <v>3</v>
      </c>
      <c r="C2065" t="s">
        <v>7</v>
      </c>
      <c r="D2065">
        <v>257</v>
      </c>
      <c r="E2065">
        <v>4172.17</v>
      </c>
    </row>
    <row r="2066" spans="1:5" x14ac:dyDescent="0.25">
      <c r="A2066" s="1">
        <v>45529</v>
      </c>
      <c r="B2066">
        <v>3</v>
      </c>
      <c r="C2066" t="s">
        <v>7</v>
      </c>
      <c r="D2066">
        <v>287</v>
      </c>
      <c r="E2066">
        <v>4445.37</v>
      </c>
    </row>
    <row r="2067" spans="1:5" x14ac:dyDescent="0.25">
      <c r="A2067" s="1">
        <v>45530</v>
      </c>
      <c r="B2067">
        <v>3</v>
      </c>
      <c r="C2067" t="s">
        <v>7</v>
      </c>
      <c r="D2067">
        <v>278</v>
      </c>
      <c r="E2067">
        <v>4454.17</v>
      </c>
    </row>
    <row r="2068" spans="1:5" x14ac:dyDescent="0.25">
      <c r="A2068" s="1">
        <v>45531</v>
      </c>
      <c r="B2068">
        <v>3</v>
      </c>
      <c r="C2068" t="s">
        <v>7</v>
      </c>
      <c r="D2068">
        <v>270</v>
      </c>
      <c r="E2068">
        <v>4133.22</v>
      </c>
    </row>
    <row r="2069" spans="1:5" x14ac:dyDescent="0.25">
      <c r="A2069" s="1">
        <v>45532</v>
      </c>
      <c r="B2069">
        <v>3</v>
      </c>
      <c r="C2069" t="s">
        <v>7</v>
      </c>
      <c r="D2069">
        <v>278</v>
      </c>
      <c r="E2069">
        <v>4319.92</v>
      </c>
    </row>
    <row r="2070" spans="1:5" x14ac:dyDescent="0.25">
      <c r="A2070" s="1">
        <v>45533</v>
      </c>
      <c r="B2070">
        <v>3</v>
      </c>
      <c r="C2070" t="s">
        <v>7</v>
      </c>
      <c r="D2070">
        <v>253</v>
      </c>
      <c r="E2070">
        <v>4138.16</v>
      </c>
    </row>
    <row r="2071" spans="1:5" x14ac:dyDescent="0.25">
      <c r="A2071" s="1">
        <v>45534</v>
      </c>
      <c r="B2071">
        <v>3</v>
      </c>
      <c r="C2071" t="s">
        <v>7</v>
      </c>
      <c r="D2071">
        <v>267</v>
      </c>
      <c r="E2071">
        <v>4629.29</v>
      </c>
    </row>
    <row r="2072" spans="1:5" x14ac:dyDescent="0.25">
      <c r="A2072" s="1">
        <v>45535</v>
      </c>
      <c r="B2072">
        <v>3</v>
      </c>
      <c r="C2072" t="s">
        <v>7</v>
      </c>
      <c r="D2072">
        <v>278</v>
      </c>
      <c r="E2072">
        <v>4224.21</v>
      </c>
    </row>
    <row r="2073" spans="1:5" x14ac:dyDescent="0.25">
      <c r="A2073" s="1">
        <v>45536</v>
      </c>
      <c r="B2073">
        <v>3</v>
      </c>
      <c r="C2073" t="s">
        <v>7</v>
      </c>
      <c r="D2073">
        <v>277</v>
      </c>
      <c r="E2073">
        <v>4761.74</v>
      </c>
    </row>
    <row r="2074" spans="1:5" x14ac:dyDescent="0.25">
      <c r="A2074" s="1">
        <v>45537</v>
      </c>
      <c r="B2074">
        <v>3</v>
      </c>
      <c r="C2074" t="s">
        <v>7</v>
      </c>
      <c r="D2074">
        <v>268</v>
      </c>
      <c r="E2074">
        <v>4480.16</v>
      </c>
    </row>
    <row r="2075" spans="1:5" x14ac:dyDescent="0.25">
      <c r="A2075" s="1">
        <v>45538</v>
      </c>
      <c r="B2075">
        <v>3</v>
      </c>
      <c r="C2075" t="s">
        <v>7</v>
      </c>
      <c r="D2075">
        <v>256</v>
      </c>
      <c r="E2075">
        <v>4224.21</v>
      </c>
    </row>
    <row r="2076" spans="1:5" x14ac:dyDescent="0.25">
      <c r="A2076" s="1">
        <v>45539</v>
      </c>
      <c r="B2076">
        <v>3</v>
      </c>
      <c r="C2076" t="s">
        <v>7</v>
      </c>
      <c r="D2076">
        <v>250</v>
      </c>
      <c r="E2076">
        <v>3971.05</v>
      </c>
    </row>
    <row r="2077" spans="1:5" x14ac:dyDescent="0.25">
      <c r="A2077" s="1">
        <v>45540</v>
      </c>
      <c r="B2077">
        <v>3</v>
      </c>
      <c r="C2077" t="s">
        <v>7</v>
      </c>
      <c r="D2077">
        <v>230</v>
      </c>
      <c r="E2077">
        <v>3919.91</v>
      </c>
    </row>
    <row r="2078" spans="1:5" x14ac:dyDescent="0.25">
      <c r="A2078" s="1">
        <v>45541</v>
      </c>
      <c r="B2078">
        <v>3</v>
      </c>
      <c r="C2078" t="s">
        <v>7</v>
      </c>
      <c r="D2078">
        <v>283</v>
      </c>
      <c r="E2078">
        <v>4834.05</v>
      </c>
    </row>
    <row r="2079" spans="1:5" x14ac:dyDescent="0.25">
      <c r="A2079" s="1">
        <v>45542</v>
      </c>
      <c r="B2079">
        <v>3</v>
      </c>
      <c r="C2079" t="s">
        <v>7</v>
      </c>
      <c r="D2079">
        <v>288</v>
      </c>
      <c r="E2079">
        <v>4478.6099999999997</v>
      </c>
    </row>
    <row r="2080" spans="1:5" x14ac:dyDescent="0.25">
      <c r="A2080" s="1">
        <v>45543</v>
      </c>
      <c r="B2080">
        <v>3</v>
      </c>
      <c r="C2080" t="s">
        <v>7</v>
      </c>
      <c r="D2080">
        <v>295</v>
      </c>
      <c r="E2080">
        <v>4915.38</v>
      </c>
    </row>
    <row r="2081" spans="1:5" x14ac:dyDescent="0.25">
      <c r="A2081" s="1">
        <v>45544</v>
      </c>
      <c r="B2081">
        <v>3</v>
      </c>
      <c r="C2081" t="s">
        <v>7</v>
      </c>
      <c r="D2081">
        <v>260</v>
      </c>
      <c r="E2081">
        <v>4307.79</v>
      </c>
    </row>
    <row r="2082" spans="1:5" x14ac:dyDescent="0.25">
      <c r="A2082" s="1">
        <v>45545</v>
      </c>
      <c r="B2082">
        <v>3</v>
      </c>
      <c r="C2082" t="s">
        <v>7</v>
      </c>
      <c r="D2082">
        <v>293</v>
      </c>
      <c r="E2082">
        <v>5073.6400000000003</v>
      </c>
    </row>
    <row r="2083" spans="1:5" x14ac:dyDescent="0.25">
      <c r="A2083" s="1">
        <v>45546</v>
      </c>
      <c r="B2083">
        <v>3</v>
      </c>
      <c r="C2083" t="s">
        <v>7</v>
      </c>
      <c r="D2083">
        <v>254</v>
      </c>
      <c r="E2083">
        <v>4555.8500000000004</v>
      </c>
    </row>
    <row r="2084" spans="1:5" x14ac:dyDescent="0.25">
      <c r="A2084" s="1">
        <v>45547</v>
      </c>
      <c r="B2084">
        <v>3</v>
      </c>
      <c r="C2084" t="s">
        <v>7</v>
      </c>
      <c r="D2084">
        <v>259</v>
      </c>
      <c r="E2084">
        <v>4006.92</v>
      </c>
    </row>
    <row r="2085" spans="1:5" x14ac:dyDescent="0.25">
      <c r="A2085" s="1">
        <v>45548</v>
      </c>
      <c r="B2085">
        <v>3</v>
      </c>
      <c r="C2085" t="s">
        <v>7</v>
      </c>
      <c r="D2085">
        <v>255</v>
      </c>
      <c r="E2085">
        <v>3762.69</v>
      </c>
    </row>
    <row r="2086" spans="1:5" x14ac:dyDescent="0.25">
      <c r="A2086" s="1">
        <v>45549</v>
      </c>
      <c r="B2086">
        <v>3</v>
      </c>
      <c r="C2086" t="s">
        <v>7</v>
      </c>
      <c r="D2086">
        <v>289</v>
      </c>
      <c r="E2086">
        <v>4620.92</v>
      </c>
    </row>
    <row r="2087" spans="1:5" x14ac:dyDescent="0.25">
      <c r="A2087" s="1">
        <v>45550</v>
      </c>
      <c r="B2087">
        <v>3</v>
      </c>
      <c r="C2087" t="s">
        <v>7</v>
      </c>
      <c r="D2087">
        <v>296</v>
      </c>
      <c r="E2087">
        <v>4989.49</v>
      </c>
    </row>
    <row r="2088" spans="1:5" x14ac:dyDescent="0.25">
      <c r="A2088" s="1">
        <v>45551</v>
      </c>
      <c r="B2088">
        <v>3</v>
      </c>
      <c r="C2088" t="s">
        <v>7</v>
      </c>
      <c r="D2088">
        <v>233</v>
      </c>
      <c r="E2088">
        <v>3989.87</v>
      </c>
    </row>
    <row r="2089" spans="1:5" x14ac:dyDescent="0.25">
      <c r="A2089" s="1">
        <v>45552</v>
      </c>
      <c r="B2089">
        <v>3</v>
      </c>
      <c r="C2089" t="s">
        <v>7</v>
      </c>
      <c r="D2089">
        <v>274</v>
      </c>
      <c r="E2089">
        <v>4611.47</v>
      </c>
    </row>
    <row r="2090" spans="1:5" x14ac:dyDescent="0.25">
      <c r="A2090" s="1">
        <v>45553</v>
      </c>
      <c r="B2090">
        <v>3</v>
      </c>
      <c r="C2090" t="s">
        <v>7</v>
      </c>
      <c r="D2090">
        <v>270</v>
      </c>
      <c r="E2090">
        <v>4400.16</v>
      </c>
    </row>
    <row r="2091" spans="1:5" x14ac:dyDescent="0.25">
      <c r="A2091" s="1">
        <v>45554</v>
      </c>
      <c r="B2091">
        <v>3</v>
      </c>
      <c r="C2091" t="s">
        <v>7</v>
      </c>
      <c r="D2091">
        <v>263</v>
      </c>
      <c r="E2091">
        <v>4303.47</v>
      </c>
    </row>
    <row r="2092" spans="1:5" x14ac:dyDescent="0.25">
      <c r="A2092" s="1">
        <v>45555</v>
      </c>
      <c r="B2092">
        <v>3</v>
      </c>
      <c r="C2092" t="s">
        <v>7</v>
      </c>
      <c r="D2092">
        <v>254</v>
      </c>
      <c r="E2092">
        <v>4396.7</v>
      </c>
    </row>
    <row r="2093" spans="1:5" x14ac:dyDescent="0.25">
      <c r="A2093" s="1">
        <v>45556</v>
      </c>
      <c r="B2093">
        <v>3</v>
      </c>
      <c r="C2093" t="s">
        <v>7</v>
      </c>
      <c r="D2093">
        <v>296</v>
      </c>
      <c r="E2093">
        <v>4891.71</v>
      </c>
    </row>
    <row r="2094" spans="1:5" x14ac:dyDescent="0.25">
      <c r="A2094" s="1">
        <v>45557</v>
      </c>
      <c r="B2094">
        <v>3</v>
      </c>
      <c r="C2094" t="s">
        <v>7</v>
      </c>
      <c r="D2094">
        <v>269</v>
      </c>
      <c r="E2094">
        <v>4095.05</v>
      </c>
    </row>
    <row r="2095" spans="1:5" x14ac:dyDescent="0.25">
      <c r="A2095" s="1">
        <v>45558</v>
      </c>
      <c r="B2095">
        <v>3</v>
      </c>
      <c r="C2095" t="s">
        <v>7</v>
      </c>
      <c r="D2095">
        <v>270</v>
      </c>
      <c r="E2095">
        <v>4809.32</v>
      </c>
    </row>
    <row r="2096" spans="1:5" x14ac:dyDescent="0.25">
      <c r="A2096" s="1">
        <v>45559</v>
      </c>
      <c r="B2096">
        <v>3</v>
      </c>
      <c r="C2096" t="s">
        <v>7</v>
      </c>
      <c r="D2096">
        <v>224</v>
      </c>
      <c r="E2096">
        <v>3576.37</v>
      </c>
    </row>
    <row r="2097" spans="1:5" x14ac:dyDescent="0.25">
      <c r="A2097" s="1">
        <v>45560</v>
      </c>
      <c r="B2097">
        <v>3</v>
      </c>
      <c r="C2097" t="s">
        <v>7</v>
      </c>
      <c r="D2097">
        <v>255</v>
      </c>
      <c r="E2097">
        <v>4135.6899999999996</v>
      </c>
    </row>
    <row r="2098" spans="1:5" x14ac:dyDescent="0.25">
      <c r="A2098" s="1">
        <v>45561</v>
      </c>
      <c r="B2098">
        <v>3</v>
      </c>
      <c r="C2098" t="s">
        <v>7</v>
      </c>
      <c r="D2098">
        <v>216</v>
      </c>
      <c r="E2098">
        <v>3523.75</v>
      </c>
    </row>
    <row r="2099" spans="1:5" x14ac:dyDescent="0.25">
      <c r="A2099" s="1">
        <v>45562</v>
      </c>
      <c r="B2099">
        <v>3</v>
      </c>
      <c r="C2099" t="s">
        <v>7</v>
      </c>
      <c r="D2099">
        <v>248</v>
      </c>
      <c r="E2099">
        <v>4121.41</v>
      </c>
    </row>
    <row r="2100" spans="1:5" x14ac:dyDescent="0.25">
      <c r="A2100" s="1">
        <v>45563</v>
      </c>
      <c r="B2100">
        <v>3</v>
      </c>
      <c r="C2100" t="s">
        <v>7</v>
      </c>
      <c r="D2100">
        <v>270</v>
      </c>
      <c r="E2100">
        <v>4918.78</v>
      </c>
    </row>
    <row r="2101" spans="1:5" x14ac:dyDescent="0.25">
      <c r="A2101" s="1">
        <v>45564</v>
      </c>
      <c r="B2101">
        <v>3</v>
      </c>
      <c r="C2101" t="s">
        <v>7</v>
      </c>
      <c r="D2101">
        <v>294</v>
      </c>
      <c r="E2101">
        <v>4539.91</v>
      </c>
    </row>
    <row r="2102" spans="1:5" x14ac:dyDescent="0.25">
      <c r="A2102" s="1">
        <v>45565</v>
      </c>
      <c r="B2102">
        <v>3</v>
      </c>
      <c r="C2102" t="s">
        <v>7</v>
      </c>
      <c r="D2102">
        <v>259</v>
      </c>
      <c r="E2102">
        <v>4246.6099999999997</v>
      </c>
    </row>
    <row r="2103" spans="1:5" x14ac:dyDescent="0.25">
      <c r="A2103" s="1">
        <v>45566</v>
      </c>
      <c r="B2103">
        <v>3</v>
      </c>
      <c r="C2103" t="s">
        <v>7</v>
      </c>
      <c r="D2103">
        <v>241</v>
      </c>
      <c r="E2103">
        <v>3551.04</v>
      </c>
    </row>
    <row r="2104" spans="1:5" x14ac:dyDescent="0.25">
      <c r="A2104" s="1">
        <v>45567</v>
      </c>
      <c r="B2104">
        <v>3</v>
      </c>
      <c r="C2104" t="s">
        <v>7</v>
      </c>
      <c r="D2104">
        <v>223</v>
      </c>
      <c r="E2104">
        <v>3645.85</v>
      </c>
    </row>
    <row r="2105" spans="1:5" x14ac:dyDescent="0.25">
      <c r="A2105" s="1">
        <v>45568</v>
      </c>
      <c r="B2105">
        <v>3</v>
      </c>
      <c r="C2105" t="s">
        <v>7</v>
      </c>
      <c r="D2105">
        <v>270</v>
      </c>
      <c r="E2105">
        <v>4587.2299999999996</v>
      </c>
    </row>
    <row r="2106" spans="1:5" x14ac:dyDescent="0.25">
      <c r="A2106" s="1">
        <v>45569</v>
      </c>
      <c r="B2106">
        <v>3</v>
      </c>
      <c r="C2106" t="s">
        <v>7</v>
      </c>
      <c r="D2106">
        <v>232</v>
      </c>
      <c r="E2106">
        <v>3937.07</v>
      </c>
    </row>
    <row r="2107" spans="1:5" x14ac:dyDescent="0.25">
      <c r="A2107" s="1">
        <v>45570</v>
      </c>
      <c r="B2107">
        <v>3</v>
      </c>
      <c r="C2107" t="s">
        <v>7</v>
      </c>
      <c r="D2107">
        <v>330</v>
      </c>
      <c r="E2107">
        <v>5144.67</v>
      </c>
    </row>
    <row r="2108" spans="1:5" x14ac:dyDescent="0.25">
      <c r="A2108" s="1">
        <v>45571</v>
      </c>
      <c r="B2108">
        <v>3</v>
      </c>
      <c r="C2108" t="s">
        <v>7</v>
      </c>
      <c r="D2108">
        <v>265</v>
      </c>
      <c r="E2108">
        <v>4305.6000000000004</v>
      </c>
    </row>
    <row r="2109" spans="1:5" x14ac:dyDescent="0.25">
      <c r="A2109" s="1">
        <v>45572</v>
      </c>
      <c r="B2109">
        <v>3</v>
      </c>
      <c r="C2109" t="s">
        <v>7</v>
      </c>
      <c r="D2109">
        <v>266</v>
      </c>
      <c r="E2109">
        <v>4419.45</v>
      </c>
    </row>
    <row r="2110" spans="1:5" x14ac:dyDescent="0.25">
      <c r="A2110" s="1">
        <v>45573</v>
      </c>
      <c r="B2110">
        <v>3</v>
      </c>
      <c r="C2110" t="s">
        <v>7</v>
      </c>
      <c r="D2110">
        <v>283</v>
      </c>
      <c r="E2110">
        <v>4889.5200000000004</v>
      </c>
    </row>
    <row r="2111" spans="1:5" x14ac:dyDescent="0.25">
      <c r="A2111" s="1">
        <v>45574</v>
      </c>
      <c r="B2111">
        <v>3</v>
      </c>
      <c r="C2111" t="s">
        <v>7</v>
      </c>
      <c r="D2111">
        <v>288</v>
      </c>
      <c r="E2111">
        <v>4927.16</v>
      </c>
    </row>
    <row r="2112" spans="1:5" x14ac:dyDescent="0.25">
      <c r="A2112" s="1">
        <v>45575</v>
      </c>
      <c r="B2112">
        <v>3</v>
      </c>
      <c r="C2112" t="s">
        <v>7</v>
      </c>
      <c r="D2112">
        <v>276</v>
      </c>
      <c r="E2112">
        <v>4445.68</v>
      </c>
    </row>
    <row r="2113" spans="1:5" x14ac:dyDescent="0.25">
      <c r="A2113" s="1">
        <v>45576</v>
      </c>
      <c r="B2113">
        <v>3</v>
      </c>
      <c r="C2113" t="s">
        <v>7</v>
      </c>
      <c r="D2113">
        <v>225</v>
      </c>
      <c r="E2113">
        <v>3177.06</v>
      </c>
    </row>
    <row r="2114" spans="1:5" x14ac:dyDescent="0.25">
      <c r="A2114" s="1">
        <v>45577</v>
      </c>
      <c r="B2114">
        <v>3</v>
      </c>
      <c r="C2114" t="s">
        <v>7</v>
      </c>
      <c r="D2114">
        <v>287</v>
      </c>
      <c r="E2114">
        <v>4963.57</v>
      </c>
    </row>
    <row r="2115" spans="1:5" x14ac:dyDescent="0.25">
      <c r="A2115" s="1">
        <v>45578</v>
      </c>
      <c r="B2115">
        <v>3</v>
      </c>
      <c r="C2115" t="s">
        <v>7</v>
      </c>
      <c r="D2115">
        <v>300</v>
      </c>
      <c r="E2115">
        <v>4857.87</v>
      </c>
    </row>
    <row r="2116" spans="1:5" x14ac:dyDescent="0.25">
      <c r="A2116" s="1">
        <v>45579</v>
      </c>
      <c r="B2116">
        <v>3</v>
      </c>
      <c r="C2116" t="s">
        <v>7</v>
      </c>
      <c r="D2116">
        <v>256</v>
      </c>
      <c r="E2116">
        <v>3934.41</v>
      </c>
    </row>
    <row r="2117" spans="1:5" x14ac:dyDescent="0.25">
      <c r="A2117" s="1">
        <v>45580</v>
      </c>
      <c r="B2117">
        <v>3</v>
      </c>
      <c r="C2117" t="s">
        <v>7</v>
      </c>
      <c r="D2117">
        <v>250</v>
      </c>
      <c r="E2117">
        <v>4218.37</v>
      </c>
    </row>
    <row r="2118" spans="1:5" x14ac:dyDescent="0.25">
      <c r="A2118" s="1">
        <v>45581</v>
      </c>
      <c r="B2118">
        <v>3</v>
      </c>
      <c r="C2118" t="s">
        <v>7</v>
      </c>
      <c r="D2118">
        <v>263</v>
      </c>
      <c r="E2118">
        <v>4615.21</v>
      </c>
    </row>
    <row r="2119" spans="1:5" x14ac:dyDescent="0.25">
      <c r="A2119" s="1">
        <v>45582</v>
      </c>
      <c r="B2119">
        <v>3</v>
      </c>
      <c r="C2119" t="s">
        <v>7</v>
      </c>
      <c r="D2119">
        <v>257</v>
      </c>
      <c r="E2119">
        <v>4572.22</v>
      </c>
    </row>
    <row r="2120" spans="1:5" x14ac:dyDescent="0.25">
      <c r="A2120" s="1">
        <v>45583</v>
      </c>
      <c r="B2120">
        <v>3</v>
      </c>
      <c r="C2120" t="s">
        <v>7</v>
      </c>
      <c r="D2120">
        <v>278</v>
      </c>
      <c r="E2120">
        <v>4767.1400000000003</v>
      </c>
    </row>
    <row r="2121" spans="1:5" x14ac:dyDescent="0.25">
      <c r="A2121" s="1">
        <v>45584</v>
      </c>
      <c r="B2121">
        <v>3</v>
      </c>
      <c r="C2121" t="s">
        <v>7</v>
      </c>
      <c r="D2121">
        <v>274</v>
      </c>
      <c r="E2121">
        <v>4443.2</v>
      </c>
    </row>
    <row r="2122" spans="1:5" x14ac:dyDescent="0.25">
      <c r="A2122" s="1">
        <v>45585</v>
      </c>
      <c r="B2122">
        <v>3</v>
      </c>
      <c r="C2122" t="s">
        <v>7</v>
      </c>
      <c r="D2122">
        <v>306</v>
      </c>
      <c r="E2122">
        <v>4788.2</v>
      </c>
    </row>
    <row r="2123" spans="1:5" x14ac:dyDescent="0.25">
      <c r="A2123" s="1">
        <v>45586</v>
      </c>
      <c r="B2123">
        <v>3</v>
      </c>
      <c r="C2123" t="s">
        <v>7</v>
      </c>
      <c r="D2123">
        <v>270</v>
      </c>
      <c r="E2123">
        <v>4514.95</v>
      </c>
    </row>
    <row r="2124" spans="1:5" x14ac:dyDescent="0.25">
      <c r="A2124" s="1">
        <v>45587</v>
      </c>
      <c r="B2124">
        <v>3</v>
      </c>
      <c r="C2124" t="s">
        <v>7</v>
      </c>
      <c r="D2124">
        <v>235</v>
      </c>
      <c r="E2124">
        <v>3968.27</v>
      </c>
    </row>
    <row r="2125" spans="1:5" x14ac:dyDescent="0.25">
      <c r="A2125" s="1">
        <v>45588</v>
      </c>
      <c r="B2125">
        <v>3</v>
      </c>
      <c r="C2125" t="s">
        <v>7</v>
      </c>
      <c r="D2125">
        <v>264</v>
      </c>
      <c r="E2125">
        <v>4609.9399999999996</v>
      </c>
    </row>
    <row r="2126" spans="1:5" x14ac:dyDescent="0.25">
      <c r="A2126" s="1">
        <v>45589</v>
      </c>
      <c r="B2126">
        <v>3</v>
      </c>
      <c r="C2126" t="s">
        <v>7</v>
      </c>
      <c r="D2126">
        <v>265</v>
      </c>
      <c r="E2126">
        <v>4630.91</v>
      </c>
    </row>
    <row r="2127" spans="1:5" x14ac:dyDescent="0.25">
      <c r="A2127" s="1">
        <v>45590</v>
      </c>
      <c r="B2127">
        <v>3</v>
      </c>
      <c r="C2127" t="s">
        <v>7</v>
      </c>
      <c r="D2127">
        <v>265</v>
      </c>
      <c r="E2127">
        <v>4526.0200000000004</v>
      </c>
    </row>
    <row r="2128" spans="1:5" x14ac:dyDescent="0.25">
      <c r="A2128" s="1">
        <v>45591</v>
      </c>
      <c r="B2128">
        <v>3</v>
      </c>
      <c r="C2128" t="s">
        <v>7</v>
      </c>
      <c r="D2128">
        <v>243</v>
      </c>
      <c r="E2128">
        <v>4180.43</v>
      </c>
    </row>
    <row r="2129" spans="1:5" x14ac:dyDescent="0.25">
      <c r="A2129" s="1">
        <v>45592</v>
      </c>
      <c r="B2129">
        <v>3</v>
      </c>
      <c r="C2129" t="s">
        <v>7</v>
      </c>
      <c r="D2129">
        <v>307</v>
      </c>
      <c r="E2129">
        <v>4897.8500000000004</v>
      </c>
    </row>
    <row r="2130" spans="1:5" x14ac:dyDescent="0.25">
      <c r="A2130" s="1">
        <v>45593</v>
      </c>
      <c r="B2130">
        <v>3</v>
      </c>
      <c r="C2130" t="s">
        <v>7</v>
      </c>
      <c r="D2130">
        <v>257</v>
      </c>
      <c r="E2130">
        <v>3972.98</v>
      </c>
    </row>
    <row r="2131" spans="1:5" x14ac:dyDescent="0.25">
      <c r="A2131" s="1">
        <v>45594</v>
      </c>
      <c r="B2131">
        <v>3</v>
      </c>
      <c r="C2131" t="s">
        <v>7</v>
      </c>
      <c r="D2131">
        <v>253</v>
      </c>
      <c r="E2131">
        <v>3647.07</v>
      </c>
    </row>
    <row r="2132" spans="1:5" x14ac:dyDescent="0.25">
      <c r="A2132" s="1">
        <v>45595</v>
      </c>
      <c r="B2132">
        <v>3</v>
      </c>
      <c r="C2132" t="s">
        <v>7</v>
      </c>
      <c r="D2132">
        <v>247</v>
      </c>
      <c r="E2132">
        <v>4144.3</v>
      </c>
    </row>
    <row r="2133" spans="1:5" x14ac:dyDescent="0.25">
      <c r="A2133" s="1">
        <v>45596</v>
      </c>
      <c r="B2133">
        <v>3</v>
      </c>
      <c r="C2133" t="s">
        <v>7</v>
      </c>
      <c r="D2133">
        <v>256</v>
      </c>
      <c r="E2133">
        <v>4183.53</v>
      </c>
    </row>
    <row r="2134" spans="1:5" x14ac:dyDescent="0.25">
      <c r="A2134" s="1">
        <v>45597</v>
      </c>
      <c r="B2134">
        <v>3</v>
      </c>
      <c r="C2134" t="s">
        <v>7</v>
      </c>
      <c r="D2134">
        <v>259</v>
      </c>
      <c r="E2134">
        <v>3956.05</v>
      </c>
    </row>
    <row r="2135" spans="1:5" x14ac:dyDescent="0.25">
      <c r="A2135" s="1">
        <v>45598</v>
      </c>
      <c r="B2135">
        <v>3</v>
      </c>
      <c r="C2135" t="s">
        <v>7</v>
      </c>
      <c r="D2135">
        <v>289</v>
      </c>
      <c r="E2135">
        <v>4960.4799999999996</v>
      </c>
    </row>
    <row r="2136" spans="1:5" x14ac:dyDescent="0.25">
      <c r="A2136" s="1">
        <v>45599</v>
      </c>
      <c r="B2136">
        <v>3</v>
      </c>
      <c r="C2136" t="s">
        <v>7</v>
      </c>
      <c r="D2136">
        <v>283</v>
      </c>
      <c r="E2136">
        <v>4602.1899999999996</v>
      </c>
    </row>
    <row r="2137" spans="1:5" x14ac:dyDescent="0.25">
      <c r="A2137" s="1">
        <v>45600</v>
      </c>
      <c r="B2137">
        <v>3</v>
      </c>
      <c r="C2137" t="s">
        <v>7</v>
      </c>
      <c r="D2137">
        <v>220</v>
      </c>
      <c r="E2137">
        <v>3597.4</v>
      </c>
    </row>
    <row r="2138" spans="1:5" x14ac:dyDescent="0.25">
      <c r="A2138" s="1">
        <v>45601</v>
      </c>
      <c r="B2138">
        <v>3</v>
      </c>
      <c r="C2138" t="s">
        <v>7</v>
      </c>
      <c r="D2138">
        <v>241</v>
      </c>
      <c r="E2138">
        <v>4183.96</v>
      </c>
    </row>
    <row r="2139" spans="1:5" x14ac:dyDescent="0.25">
      <c r="A2139" s="1">
        <v>45602</v>
      </c>
      <c r="B2139">
        <v>3</v>
      </c>
      <c r="C2139" t="s">
        <v>7</v>
      </c>
      <c r="D2139">
        <v>240</v>
      </c>
      <c r="E2139">
        <v>4246.57</v>
      </c>
    </row>
    <row r="2140" spans="1:5" x14ac:dyDescent="0.25">
      <c r="A2140" s="1">
        <v>45603</v>
      </c>
      <c r="B2140">
        <v>3</v>
      </c>
      <c r="C2140" t="s">
        <v>7</v>
      </c>
      <c r="D2140">
        <v>222</v>
      </c>
      <c r="E2140">
        <v>3921.75</v>
      </c>
    </row>
    <row r="2141" spans="1:5" x14ac:dyDescent="0.25">
      <c r="A2141" s="1">
        <v>45604</v>
      </c>
      <c r="B2141">
        <v>3</v>
      </c>
      <c r="C2141" t="s">
        <v>7</v>
      </c>
      <c r="D2141">
        <v>269</v>
      </c>
      <c r="E2141">
        <v>4249.3599999999997</v>
      </c>
    </row>
    <row r="2142" spans="1:5" x14ac:dyDescent="0.25">
      <c r="A2142" s="1">
        <v>45605</v>
      </c>
      <c r="B2142">
        <v>3</v>
      </c>
      <c r="C2142" t="s">
        <v>7</v>
      </c>
      <c r="D2142">
        <v>295</v>
      </c>
      <c r="E2142">
        <v>4804</v>
      </c>
    </row>
    <row r="2143" spans="1:5" x14ac:dyDescent="0.25">
      <c r="A2143" s="1">
        <v>45606</v>
      </c>
      <c r="B2143">
        <v>3</v>
      </c>
      <c r="C2143" t="s">
        <v>7</v>
      </c>
      <c r="D2143">
        <v>263</v>
      </c>
      <c r="E2143">
        <v>4620.42</v>
      </c>
    </row>
    <row r="2144" spans="1:5" x14ac:dyDescent="0.25">
      <c r="A2144" s="1">
        <v>45607</v>
      </c>
      <c r="B2144">
        <v>3</v>
      </c>
      <c r="C2144" t="s">
        <v>7</v>
      </c>
      <c r="D2144">
        <v>251</v>
      </c>
      <c r="E2144">
        <v>4271.51</v>
      </c>
    </row>
    <row r="2145" spans="1:5" x14ac:dyDescent="0.25">
      <c r="A2145" s="1">
        <v>45608</v>
      </c>
      <c r="B2145">
        <v>3</v>
      </c>
      <c r="C2145" t="s">
        <v>7</v>
      </c>
      <c r="D2145">
        <v>265</v>
      </c>
      <c r="E2145">
        <v>4390.5600000000004</v>
      </c>
    </row>
    <row r="2146" spans="1:5" x14ac:dyDescent="0.25">
      <c r="A2146" s="1">
        <v>45609</v>
      </c>
      <c r="B2146">
        <v>3</v>
      </c>
      <c r="C2146" t="s">
        <v>7</v>
      </c>
      <c r="D2146">
        <v>213</v>
      </c>
      <c r="E2146">
        <v>3134.19</v>
      </c>
    </row>
    <row r="2147" spans="1:5" x14ac:dyDescent="0.25">
      <c r="A2147" s="1">
        <v>45610</v>
      </c>
      <c r="B2147">
        <v>3</v>
      </c>
      <c r="C2147" t="s">
        <v>7</v>
      </c>
      <c r="D2147">
        <v>197</v>
      </c>
      <c r="E2147">
        <v>3296.08</v>
      </c>
    </row>
    <row r="2148" spans="1:5" x14ac:dyDescent="0.25">
      <c r="A2148" s="1">
        <v>45611</v>
      </c>
      <c r="B2148">
        <v>3</v>
      </c>
      <c r="C2148" t="s">
        <v>7</v>
      </c>
      <c r="D2148">
        <v>226</v>
      </c>
      <c r="E2148">
        <v>3727.27</v>
      </c>
    </row>
    <row r="2149" spans="1:5" x14ac:dyDescent="0.25">
      <c r="A2149" s="1">
        <v>45612</v>
      </c>
      <c r="B2149">
        <v>3</v>
      </c>
      <c r="C2149" t="s">
        <v>7</v>
      </c>
      <c r="D2149">
        <v>286</v>
      </c>
      <c r="E2149">
        <v>4236.3999999999996</v>
      </c>
    </row>
    <row r="2150" spans="1:5" x14ac:dyDescent="0.25">
      <c r="A2150" s="1">
        <v>45613</v>
      </c>
      <c r="B2150">
        <v>3</v>
      </c>
      <c r="C2150" t="s">
        <v>7</v>
      </c>
      <c r="D2150">
        <v>280</v>
      </c>
      <c r="E2150">
        <v>4428.24</v>
      </c>
    </row>
    <row r="2151" spans="1:5" x14ac:dyDescent="0.25">
      <c r="A2151" s="1">
        <v>45614</v>
      </c>
      <c r="B2151">
        <v>3</v>
      </c>
      <c r="C2151" t="s">
        <v>7</v>
      </c>
      <c r="D2151">
        <v>194</v>
      </c>
      <c r="E2151">
        <v>3010.88</v>
      </c>
    </row>
    <row r="2152" spans="1:5" x14ac:dyDescent="0.25">
      <c r="A2152" s="1">
        <v>45615</v>
      </c>
      <c r="B2152">
        <v>3</v>
      </c>
      <c r="C2152" t="s">
        <v>7</v>
      </c>
      <c r="D2152">
        <v>222</v>
      </c>
      <c r="E2152">
        <v>3676.97</v>
      </c>
    </row>
    <row r="2153" spans="1:5" x14ac:dyDescent="0.25">
      <c r="A2153" s="1">
        <v>45616</v>
      </c>
      <c r="B2153">
        <v>3</v>
      </c>
      <c r="C2153" t="s">
        <v>7</v>
      </c>
      <c r="D2153">
        <v>269</v>
      </c>
      <c r="E2153">
        <v>4546.46</v>
      </c>
    </row>
    <row r="2154" spans="1:5" x14ac:dyDescent="0.25">
      <c r="A2154" s="1">
        <v>45617</v>
      </c>
      <c r="B2154">
        <v>3</v>
      </c>
      <c r="C2154" t="s">
        <v>7</v>
      </c>
      <c r="D2154">
        <v>251</v>
      </c>
      <c r="E2154">
        <v>4494.05</v>
      </c>
    </row>
    <row r="2155" spans="1:5" x14ac:dyDescent="0.25">
      <c r="A2155" s="1">
        <v>45618</v>
      </c>
      <c r="B2155">
        <v>3</v>
      </c>
      <c r="C2155" t="s">
        <v>7</v>
      </c>
      <c r="D2155">
        <v>212</v>
      </c>
      <c r="E2155">
        <v>3421.48</v>
      </c>
    </row>
    <row r="2156" spans="1:5" x14ac:dyDescent="0.25">
      <c r="A2156" s="1">
        <v>45619</v>
      </c>
      <c r="B2156">
        <v>3</v>
      </c>
      <c r="C2156" t="s">
        <v>7</v>
      </c>
      <c r="D2156">
        <v>292</v>
      </c>
      <c r="E2156">
        <v>4843.9799999999996</v>
      </c>
    </row>
    <row r="2157" spans="1:5" x14ac:dyDescent="0.25">
      <c r="A2157" s="1">
        <v>45620</v>
      </c>
      <c r="B2157">
        <v>3</v>
      </c>
      <c r="C2157" t="s">
        <v>7</v>
      </c>
      <c r="D2157">
        <v>252</v>
      </c>
      <c r="E2157">
        <v>4339.32</v>
      </c>
    </row>
    <row r="2158" spans="1:5" x14ac:dyDescent="0.25">
      <c r="A2158" s="1">
        <v>45621</v>
      </c>
      <c r="B2158">
        <v>3</v>
      </c>
      <c r="C2158" t="s">
        <v>7</v>
      </c>
      <c r="D2158">
        <v>210</v>
      </c>
      <c r="E2158">
        <v>3601.71</v>
      </c>
    </row>
    <row r="2159" spans="1:5" x14ac:dyDescent="0.25">
      <c r="A2159" s="1">
        <v>45622</v>
      </c>
      <c r="B2159">
        <v>3</v>
      </c>
      <c r="C2159" t="s">
        <v>7</v>
      </c>
      <c r="D2159">
        <v>253</v>
      </c>
      <c r="E2159">
        <v>4426.83</v>
      </c>
    </row>
    <row r="2160" spans="1:5" x14ac:dyDescent="0.25">
      <c r="A2160" s="1">
        <v>45623</v>
      </c>
      <c r="B2160">
        <v>3</v>
      </c>
      <c r="C2160" t="s">
        <v>7</v>
      </c>
      <c r="D2160">
        <v>292</v>
      </c>
      <c r="E2160">
        <v>4647.17</v>
      </c>
    </row>
    <row r="2161" spans="1:5" x14ac:dyDescent="0.25">
      <c r="A2161" s="1">
        <v>45624</v>
      </c>
      <c r="B2161">
        <v>3</v>
      </c>
      <c r="C2161" t="s">
        <v>7</v>
      </c>
      <c r="D2161">
        <v>214</v>
      </c>
      <c r="E2161">
        <v>3296.53</v>
      </c>
    </row>
    <row r="2162" spans="1:5" x14ac:dyDescent="0.25">
      <c r="A2162" s="1">
        <v>45625</v>
      </c>
      <c r="B2162">
        <v>3</v>
      </c>
      <c r="C2162" t="s">
        <v>7</v>
      </c>
      <c r="D2162">
        <v>199</v>
      </c>
      <c r="E2162">
        <v>3544.72</v>
      </c>
    </row>
    <row r="2163" spans="1:5" x14ac:dyDescent="0.25">
      <c r="A2163" s="1">
        <v>45626</v>
      </c>
      <c r="B2163">
        <v>3</v>
      </c>
      <c r="C2163" t="s">
        <v>7</v>
      </c>
      <c r="D2163">
        <v>269</v>
      </c>
      <c r="E2163">
        <v>4404.8999999999996</v>
      </c>
    </row>
    <row r="2164" spans="1:5" x14ac:dyDescent="0.25">
      <c r="A2164" s="1">
        <v>45627</v>
      </c>
      <c r="B2164">
        <v>3</v>
      </c>
      <c r="C2164" t="s">
        <v>7</v>
      </c>
      <c r="D2164">
        <v>252</v>
      </c>
      <c r="E2164">
        <v>3663.65</v>
      </c>
    </row>
    <row r="2165" spans="1:5" x14ac:dyDescent="0.25">
      <c r="A2165" s="1">
        <v>45628</v>
      </c>
      <c r="B2165">
        <v>3</v>
      </c>
      <c r="C2165" t="s">
        <v>7</v>
      </c>
      <c r="D2165">
        <v>229</v>
      </c>
      <c r="E2165">
        <v>3513.89</v>
      </c>
    </row>
    <row r="2166" spans="1:5" x14ac:dyDescent="0.25">
      <c r="A2166" s="1">
        <v>45629</v>
      </c>
      <c r="B2166">
        <v>3</v>
      </c>
      <c r="C2166" t="s">
        <v>7</v>
      </c>
      <c r="D2166">
        <v>254</v>
      </c>
      <c r="E2166">
        <v>4695.5600000000004</v>
      </c>
    </row>
    <row r="2167" spans="1:5" x14ac:dyDescent="0.25">
      <c r="A2167" s="1">
        <v>45630</v>
      </c>
      <c r="B2167">
        <v>3</v>
      </c>
      <c r="C2167" t="s">
        <v>7</v>
      </c>
      <c r="D2167">
        <v>229</v>
      </c>
      <c r="E2167">
        <v>3590.07</v>
      </c>
    </row>
    <row r="2168" spans="1:5" x14ac:dyDescent="0.25">
      <c r="A2168" s="1">
        <v>45631</v>
      </c>
      <c r="B2168">
        <v>3</v>
      </c>
      <c r="C2168" t="s">
        <v>7</v>
      </c>
      <c r="D2168">
        <v>221</v>
      </c>
      <c r="E2168">
        <v>3556.27</v>
      </c>
    </row>
    <row r="2169" spans="1:5" x14ac:dyDescent="0.25">
      <c r="A2169" s="1">
        <v>45632</v>
      </c>
      <c r="B2169">
        <v>3</v>
      </c>
      <c r="C2169" t="s">
        <v>7</v>
      </c>
      <c r="D2169">
        <v>212</v>
      </c>
      <c r="E2169">
        <v>3449.15</v>
      </c>
    </row>
    <row r="2170" spans="1:5" x14ac:dyDescent="0.25">
      <c r="A2170" s="1">
        <v>45633</v>
      </c>
      <c r="B2170">
        <v>3</v>
      </c>
      <c r="C2170" t="s">
        <v>7</v>
      </c>
      <c r="D2170">
        <v>209</v>
      </c>
      <c r="E2170">
        <v>3648.02</v>
      </c>
    </row>
    <row r="2171" spans="1:5" x14ac:dyDescent="0.25">
      <c r="A2171" s="1">
        <v>45634</v>
      </c>
      <c r="B2171">
        <v>3</v>
      </c>
      <c r="C2171" t="s">
        <v>7</v>
      </c>
      <c r="D2171">
        <v>206</v>
      </c>
      <c r="E2171">
        <v>3326.34</v>
      </c>
    </row>
    <row r="2172" spans="1:5" x14ac:dyDescent="0.25">
      <c r="A2172" s="1">
        <v>45635</v>
      </c>
      <c r="B2172">
        <v>3</v>
      </c>
      <c r="C2172" t="s">
        <v>7</v>
      </c>
      <c r="D2172">
        <v>242</v>
      </c>
      <c r="E2172">
        <v>4342.34</v>
      </c>
    </row>
    <row r="2173" spans="1:5" x14ac:dyDescent="0.25">
      <c r="A2173" s="1">
        <v>45636</v>
      </c>
      <c r="B2173">
        <v>3</v>
      </c>
      <c r="C2173" t="s">
        <v>7</v>
      </c>
      <c r="D2173">
        <v>217</v>
      </c>
      <c r="E2173">
        <v>3660.51</v>
      </c>
    </row>
    <row r="2174" spans="1:5" x14ac:dyDescent="0.25">
      <c r="A2174" s="1">
        <v>45637</v>
      </c>
      <c r="B2174">
        <v>3</v>
      </c>
      <c r="C2174" t="s">
        <v>7</v>
      </c>
      <c r="D2174">
        <v>202</v>
      </c>
      <c r="E2174">
        <v>3730.7</v>
      </c>
    </row>
    <row r="2175" spans="1:5" x14ac:dyDescent="0.25">
      <c r="A2175" s="1">
        <v>45638</v>
      </c>
      <c r="B2175">
        <v>3</v>
      </c>
      <c r="C2175" t="s">
        <v>7</v>
      </c>
      <c r="D2175">
        <v>177</v>
      </c>
      <c r="E2175">
        <v>2925.38</v>
      </c>
    </row>
    <row r="2176" spans="1:5" x14ac:dyDescent="0.25">
      <c r="A2176" s="1">
        <v>45639</v>
      </c>
      <c r="B2176">
        <v>3</v>
      </c>
      <c r="C2176" t="s">
        <v>7</v>
      </c>
      <c r="D2176">
        <v>186</v>
      </c>
      <c r="E2176">
        <v>2986.53</v>
      </c>
    </row>
    <row r="2177" spans="1:5" x14ac:dyDescent="0.25">
      <c r="A2177" s="1">
        <v>45640</v>
      </c>
      <c r="B2177">
        <v>3</v>
      </c>
      <c r="C2177" t="s">
        <v>7</v>
      </c>
      <c r="D2177">
        <v>249</v>
      </c>
      <c r="E2177">
        <v>4130.05</v>
      </c>
    </row>
    <row r="2178" spans="1:5" x14ac:dyDescent="0.25">
      <c r="A2178" s="1">
        <v>45641</v>
      </c>
      <c r="B2178">
        <v>3</v>
      </c>
      <c r="C2178" t="s">
        <v>7</v>
      </c>
      <c r="D2178">
        <v>247</v>
      </c>
      <c r="E2178">
        <v>3805.85</v>
      </c>
    </row>
    <row r="2179" spans="1:5" x14ac:dyDescent="0.25">
      <c r="A2179" s="1">
        <v>45642</v>
      </c>
      <c r="B2179">
        <v>3</v>
      </c>
      <c r="C2179" t="s">
        <v>7</v>
      </c>
      <c r="D2179">
        <v>249</v>
      </c>
      <c r="E2179">
        <v>4078.72</v>
      </c>
    </row>
    <row r="2180" spans="1:5" x14ac:dyDescent="0.25">
      <c r="A2180" s="1">
        <v>45643</v>
      </c>
      <c r="B2180">
        <v>3</v>
      </c>
      <c r="C2180" t="s">
        <v>7</v>
      </c>
      <c r="D2180">
        <v>201</v>
      </c>
      <c r="E2180">
        <v>3140.34</v>
      </c>
    </row>
    <row r="2181" spans="1:5" x14ac:dyDescent="0.25">
      <c r="A2181" s="1">
        <v>45644</v>
      </c>
      <c r="B2181">
        <v>3</v>
      </c>
      <c r="C2181" t="s">
        <v>7</v>
      </c>
      <c r="D2181">
        <v>214</v>
      </c>
      <c r="E2181">
        <v>3518.55</v>
      </c>
    </row>
    <row r="2182" spans="1:5" x14ac:dyDescent="0.25">
      <c r="A2182" s="1">
        <v>45645</v>
      </c>
      <c r="B2182">
        <v>3</v>
      </c>
      <c r="C2182" t="s">
        <v>7</v>
      </c>
      <c r="D2182">
        <v>206</v>
      </c>
      <c r="E2182">
        <v>3418.26</v>
      </c>
    </row>
    <row r="2183" spans="1:5" x14ac:dyDescent="0.25">
      <c r="A2183" s="1">
        <v>45646</v>
      </c>
      <c r="B2183">
        <v>3</v>
      </c>
      <c r="C2183" t="s">
        <v>7</v>
      </c>
      <c r="D2183">
        <v>200</v>
      </c>
      <c r="E2183">
        <v>3408.04</v>
      </c>
    </row>
    <row r="2184" spans="1:5" x14ac:dyDescent="0.25">
      <c r="A2184" s="1">
        <v>45647</v>
      </c>
      <c r="B2184">
        <v>3</v>
      </c>
      <c r="C2184" t="s">
        <v>7</v>
      </c>
      <c r="D2184">
        <v>254</v>
      </c>
      <c r="E2184">
        <v>4063.16</v>
      </c>
    </row>
    <row r="2185" spans="1:5" x14ac:dyDescent="0.25">
      <c r="A2185" s="1">
        <v>45648</v>
      </c>
      <c r="B2185">
        <v>3</v>
      </c>
      <c r="C2185" t="s">
        <v>7</v>
      </c>
      <c r="D2185">
        <v>262</v>
      </c>
      <c r="E2185">
        <v>4431</v>
      </c>
    </row>
    <row r="2186" spans="1:5" x14ac:dyDescent="0.25">
      <c r="A2186" s="1">
        <v>45649</v>
      </c>
      <c r="B2186">
        <v>3</v>
      </c>
      <c r="C2186" t="s">
        <v>7</v>
      </c>
      <c r="D2186">
        <v>194</v>
      </c>
      <c r="E2186">
        <v>3207.12</v>
      </c>
    </row>
    <row r="2187" spans="1:5" x14ac:dyDescent="0.25">
      <c r="A2187" s="1">
        <v>45650</v>
      </c>
      <c r="B2187">
        <v>3</v>
      </c>
      <c r="C2187" t="s">
        <v>7</v>
      </c>
      <c r="D2187">
        <v>210</v>
      </c>
      <c r="E2187">
        <v>3379.5</v>
      </c>
    </row>
    <row r="2188" spans="1:5" x14ac:dyDescent="0.25">
      <c r="A2188" s="1">
        <v>45651</v>
      </c>
      <c r="B2188">
        <v>3</v>
      </c>
      <c r="C2188" t="s">
        <v>7</v>
      </c>
      <c r="D2188">
        <v>227</v>
      </c>
      <c r="E2188">
        <v>3727.81</v>
      </c>
    </row>
    <row r="2189" spans="1:5" x14ac:dyDescent="0.25">
      <c r="A2189" s="1">
        <v>45652</v>
      </c>
      <c r="B2189">
        <v>3</v>
      </c>
      <c r="C2189" t="s">
        <v>7</v>
      </c>
      <c r="D2189">
        <v>218</v>
      </c>
      <c r="E2189">
        <v>3313.8</v>
      </c>
    </row>
    <row r="2190" spans="1:5" x14ac:dyDescent="0.25">
      <c r="A2190" s="1">
        <v>45653</v>
      </c>
      <c r="B2190">
        <v>3</v>
      </c>
      <c r="C2190" t="s">
        <v>7</v>
      </c>
      <c r="D2190">
        <v>251</v>
      </c>
      <c r="E2190">
        <v>4315.84</v>
      </c>
    </row>
    <row r="2191" spans="1:5" x14ac:dyDescent="0.25">
      <c r="A2191" s="1">
        <v>45654</v>
      </c>
      <c r="B2191">
        <v>3</v>
      </c>
      <c r="C2191" t="s">
        <v>7</v>
      </c>
      <c r="D2191">
        <v>231</v>
      </c>
      <c r="E2191">
        <v>4001.96</v>
      </c>
    </row>
    <row r="2192" spans="1:5" x14ac:dyDescent="0.25">
      <c r="A2192" s="1">
        <v>45655</v>
      </c>
      <c r="B2192">
        <v>3</v>
      </c>
      <c r="C2192" t="s">
        <v>7</v>
      </c>
      <c r="D2192">
        <v>208</v>
      </c>
      <c r="E2192">
        <v>3422.5</v>
      </c>
    </row>
    <row r="2193" spans="1:5" x14ac:dyDescent="0.25">
      <c r="A2193" s="1">
        <v>45656</v>
      </c>
      <c r="B2193">
        <v>3</v>
      </c>
      <c r="C2193" t="s">
        <v>7</v>
      </c>
      <c r="D2193">
        <v>205</v>
      </c>
      <c r="E2193">
        <v>3217.04</v>
      </c>
    </row>
    <row r="2194" spans="1:5" x14ac:dyDescent="0.25">
      <c r="A2194" s="1">
        <v>45657</v>
      </c>
      <c r="B2194">
        <v>3</v>
      </c>
      <c r="C2194" t="s">
        <v>7</v>
      </c>
      <c r="D2194">
        <v>155</v>
      </c>
      <c r="E2194">
        <v>2844.47</v>
      </c>
    </row>
    <row r="2195" spans="1:5" x14ac:dyDescent="0.25">
      <c r="A2195" s="1">
        <v>44927</v>
      </c>
      <c r="B2195">
        <v>4</v>
      </c>
      <c r="C2195" t="s">
        <v>8</v>
      </c>
      <c r="D2195">
        <v>250</v>
      </c>
      <c r="E2195">
        <v>3972.4</v>
      </c>
    </row>
    <row r="2196" spans="1:5" x14ac:dyDescent="0.25">
      <c r="A2196" s="1">
        <v>44928</v>
      </c>
      <c r="B2196">
        <v>4</v>
      </c>
      <c r="C2196" t="s">
        <v>8</v>
      </c>
      <c r="D2196">
        <v>189</v>
      </c>
      <c r="E2196">
        <v>2805.14</v>
      </c>
    </row>
    <row r="2197" spans="1:5" x14ac:dyDescent="0.25">
      <c r="A2197" s="1">
        <v>44929</v>
      </c>
      <c r="B2197">
        <v>4</v>
      </c>
      <c r="C2197" t="s">
        <v>8</v>
      </c>
      <c r="D2197">
        <v>197</v>
      </c>
      <c r="E2197">
        <v>3149.25</v>
      </c>
    </row>
    <row r="2198" spans="1:5" x14ac:dyDescent="0.25">
      <c r="A2198" s="1">
        <v>44930</v>
      </c>
      <c r="B2198">
        <v>4</v>
      </c>
      <c r="C2198" t="s">
        <v>8</v>
      </c>
      <c r="D2198">
        <v>159</v>
      </c>
      <c r="E2198">
        <v>2301.54</v>
      </c>
    </row>
    <row r="2199" spans="1:5" x14ac:dyDescent="0.25">
      <c r="A2199" s="1">
        <v>44931</v>
      </c>
      <c r="B2199">
        <v>4</v>
      </c>
      <c r="C2199" t="s">
        <v>8</v>
      </c>
      <c r="D2199">
        <v>195</v>
      </c>
      <c r="E2199">
        <v>3129.23</v>
      </c>
    </row>
    <row r="2200" spans="1:5" x14ac:dyDescent="0.25">
      <c r="A2200" s="1">
        <v>44932</v>
      </c>
      <c r="B2200">
        <v>4</v>
      </c>
      <c r="C2200" t="s">
        <v>8</v>
      </c>
      <c r="D2200">
        <v>170</v>
      </c>
      <c r="E2200">
        <v>2783.74</v>
      </c>
    </row>
    <row r="2201" spans="1:5" x14ac:dyDescent="0.25">
      <c r="A2201" s="1">
        <v>44933</v>
      </c>
      <c r="B2201">
        <v>4</v>
      </c>
      <c r="C2201" t="s">
        <v>8</v>
      </c>
      <c r="D2201">
        <v>193</v>
      </c>
      <c r="E2201">
        <v>2847.72</v>
      </c>
    </row>
    <row r="2202" spans="1:5" x14ac:dyDescent="0.25">
      <c r="A2202" s="1">
        <v>44934</v>
      </c>
      <c r="B2202">
        <v>4</v>
      </c>
      <c r="C2202" t="s">
        <v>8</v>
      </c>
      <c r="D2202">
        <v>167</v>
      </c>
      <c r="E2202">
        <v>2361.04</v>
      </c>
    </row>
    <row r="2203" spans="1:5" x14ac:dyDescent="0.25">
      <c r="A2203" s="1">
        <v>44935</v>
      </c>
      <c r="B2203">
        <v>4</v>
      </c>
      <c r="C2203" t="s">
        <v>8</v>
      </c>
      <c r="D2203">
        <v>186</v>
      </c>
      <c r="E2203">
        <v>2927.95</v>
      </c>
    </row>
    <row r="2204" spans="1:5" x14ac:dyDescent="0.25">
      <c r="A2204" s="1">
        <v>44936</v>
      </c>
      <c r="B2204">
        <v>4</v>
      </c>
      <c r="C2204" t="s">
        <v>8</v>
      </c>
      <c r="D2204">
        <v>172</v>
      </c>
      <c r="E2204">
        <v>2625.44</v>
      </c>
    </row>
    <row r="2205" spans="1:5" x14ac:dyDescent="0.25">
      <c r="A2205" s="1">
        <v>44937</v>
      </c>
      <c r="B2205">
        <v>4</v>
      </c>
      <c r="C2205" t="s">
        <v>8</v>
      </c>
      <c r="D2205">
        <v>220</v>
      </c>
      <c r="E2205">
        <v>3312.33</v>
      </c>
    </row>
    <row r="2206" spans="1:5" x14ac:dyDescent="0.25">
      <c r="A2206" s="1">
        <v>44938</v>
      </c>
      <c r="B2206">
        <v>4</v>
      </c>
      <c r="C2206" t="s">
        <v>8</v>
      </c>
      <c r="D2206">
        <v>205</v>
      </c>
      <c r="E2206">
        <v>3331.17</v>
      </c>
    </row>
    <row r="2207" spans="1:5" x14ac:dyDescent="0.25">
      <c r="A2207" s="1">
        <v>44939</v>
      </c>
      <c r="B2207">
        <v>4</v>
      </c>
      <c r="C2207" t="s">
        <v>8</v>
      </c>
      <c r="D2207">
        <v>168</v>
      </c>
      <c r="E2207">
        <v>2668.55</v>
      </c>
    </row>
    <row r="2208" spans="1:5" x14ac:dyDescent="0.25">
      <c r="A2208" s="1">
        <v>44940</v>
      </c>
      <c r="B2208">
        <v>4</v>
      </c>
      <c r="C2208" t="s">
        <v>8</v>
      </c>
      <c r="D2208">
        <v>246</v>
      </c>
      <c r="E2208">
        <v>4152.18</v>
      </c>
    </row>
    <row r="2209" spans="1:5" x14ac:dyDescent="0.25">
      <c r="A2209" s="1">
        <v>44941</v>
      </c>
      <c r="B2209">
        <v>4</v>
      </c>
      <c r="C2209" t="s">
        <v>8</v>
      </c>
      <c r="D2209">
        <v>169</v>
      </c>
      <c r="E2209">
        <v>2671.57</v>
      </c>
    </row>
    <row r="2210" spans="1:5" x14ac:dyDescent="0.25">
      <c r="A2210" s="1">
        <v>44942</v>
      </c>
      <c r="B2210">
        <v>4</v>
      </c>
      <c r="C2210" t="s">
        <v>8</v>
      </c>
      <c r="D2210">
        <v>168</v>
      </c>
      <c r="E2210">
        <v>2637.18</v>
      </c>
    </row>
    <row r="2211" spans="1:5" x14ac:dyDescent="0.25">
      <c r="A2211" s="1">
        <v>44943</v>
      </c>
      <c r="B2211">
        <v>4</v>
      </c>
      <c r="C2211" t="s">
        <v>8</v>
      </c>
      <c r="D2211">
        <v>201</v>
      </c>
      <c r="E2211">
        <v>2990.26</v>
      </c>
    </row>
    <row r="2212" spans="1:5" x14ac:dyDescent="0.25">
      <c r="A2212" s="1">
        <v>44944</v>
      </c>
      <c r="B2212">
        <v>4</v>
      </c>
      <c r="C2212" t="s">
        <v>8</v>
      </c>
      <c r="D2212">
        <v>139</v>
      </c>
      <c r="E2212">
        <v>2248.94</v>
      </c>
    </row>
    <row r="2213" spans="1:5" x14ac:dyDescent="0.25">
      <c r="A2213" s="1">
        <v>44945</v>
      </c>
      <c r="B2213">
        <v>4</v>
      </c>
      <c r="C2213" t="s">
        <v>8</v>
      </c>
      <c r="D2213">
        <v>195</v>
      </c>
      <c r="E2213">
        <v>2941.11</v>
      </c>
    </row>
    <row r="2214" spans="1:5" x14ac:dyDescent="0.25">
      <c r="A2214" s="1">
        <v>44946</v>
      </c>
      <c r="B2214">
        <v>4</v>
      </c>
      <c r="C2214" t="s">
        <v>8</v>
      </c>
      <c r="D2214">
        <v>149</v>
      </c>
      <c r="E2214">
        <v>2384.54</v>
      </c>
    </row>
    <row r="2215" spans="1:5" x14ac:dyDescent="0.25">
      <c r="A2215" s="1">
        <v>44947</v>
      </c>
      <c r="B2215">
        <v>4</v>
      </c>
      <c r="C2215" t="s">
        <v>8</v>
      </c>
      <c r="D2215">
        <v>186</v>
      </c>
      <c r="E2215">
        <v>2411.7399999999998</v>
      </c>
    </row>
    <row r="2216" spans="1:5" x14ac:dyDescent="0.25">
      <c r="A2216" s="1">
        <v>44948</v>
      </c>
      <c r="B2216">
        <v>4</v>
      </c>
      <c r="C2216" t="s">
        <v>8</v>
      </c>
      <c r="D2216">
        <v>166</v>
      </c>
      <c r="E2216">
        <v>2619.17</v>
      </c>
    </row>
    <row r="2217" spans="1:5" x14ac:dyDescent="0.25">
      <c r="A2217" s="1">
        <v>44949</v>
      </c>
      <c r="B2217">
        <v>4</v>
      </c>
      <c r="C2217" t="s">
        <v>8</v>
      </c>
      <c r="D2217">
        <v>185</v>
      </c>
      <c r="E2217">
        <v>3032.42</v>
      </c>
    </row>
    <row r="2218" spans="1:5" x14ac:dyDescent="0.25">
      <c r="A2218" s="1">
        <v>44950</v>
      </c>
      <c r="B2218">
        <v>4</v>
      </c>
      <c r="C2218" t="s">
        <v>8</v>
      </c>
      <c r="D2218">
        <v>214</v>
      </c>
      <c r="E2218">
        <v>3116.52</v>
      </c>
    </row>
    <row r="2219" spans="1:5" x14ac:dyDescent="0.25">
      <c r="A2219" s="1">
        <v>44951</v>
      </c>
      <c r="B2219">
        <v>4</v>
      </c>
      <c r="C2219" t="s">
        <v>8</v>
      </c>
      <c r="D2219">
        <v>139</v>
      </c>
      <c r="E2219">
        <v>2302.6799999999998</v>
      </c>
    </row>
    <row r="2220" spans="1:5" x14ac:dyDescent="0.25">
      <c r="A2220" s="1">
        <v>44952</v>
      </c>
      <c r="B2220">
        <v>4</v>
      </c>
      <c r="C2220" t="s">
        <v>8</v>
      </c>
      <c r="D2220">
        <v>141</v>
      </c>
      <c r="E2220">
        <v>2298.0500000000002</v>
      </c>
    </row>
    <row r="2221" spans="1:5" x14ac:dyDescent="0.25">
      <c r="A2221" s="1">
        <v>44953</v>
      </c>
      <c r="B2221">
        <v>4</v>
      </c>
      <c r="C2221" t="s">
        <v>8</v>
      </c>
      <c r="D2221">
        <v>171</v>
      </c>
      <c r="E2221">
        <v>2578.02</v>
      </c>
    </row>
    <row r="2222" spans="1:5" x14ac:dyDescent="0.25">
      <c r="A2222" s="1">
        <v>44954</v>
      </c>
      <c r="B2222">
        <v>4</v>
      </c>
      <c r="C2222" t="s">
        <v>8</v>
      </c>
      <c r="D2222">
        <v>181</v>
      </c>
      <c r="E2222">
        <v>2780.52</v>
      </c>
    </row>
    <row r="2223" spans="1:5" x14ac:dyDescent="0.25">
      <c r="A2223" s="1">
        <v>44955</v>
      </c>
      <c r="B2223">
        <v>4</v>
      </c>
      <c r="C2223" t="s">
        <v>8</v>
      </c>
      <c r="D2223">
        <v>216</v>
      </c>
      <c r="E2223">
        <v>3333.6</v>
      </c>
    </row>
    <row r="2224" spans="1:5" x14ac:dyDescent="0.25">
      <c r="A2224" s="1">
        <v>44956</v>
      </c>
      <c r="B2224">
        <v>4</v>
      </c>
      <c r="C2224" t="s">
        <v>8</v>
      </c>
      <c r="D2224">
        <v>189</v>
      </c>
      <c r="E2224">
        <v>2719.15</v>
      </c>
    </row>
    <row r="2225" spans="1:5" x14ac:dyDescent="0.25">
      <c r="A2225" s="1">
        <v>44957</v>
      </c>
      <c r="B2225">
        <v>4</v>
      </c>
      <c r="C2225" t="s">
        <v>8</v>
      </c>
      <c r="D2225">
        <v>175</v>
      </c>
      <c r="E2225">
        <v>2658.04</v>
      </c>
    </row>
    <row r="2226" spans="1:5" x14ac:dyDescent="0.25">
      <c r="A2226" s="1">
        <v>44958</v>
      </c>
      <c r="B2226">
        <v>4</v>
      </c>
      <c r="C2226" t="s">
        <v>8</v>
      </c>
      <c r="D2226">
        <v>149</v>
      </c>
      <c r="E2226">
        <v>2485.71</v>
      </c>
    </row>
    <row r="2227" spans="1:5" x14ac:dyDescent="0.25">
      <c r="A2227" s="1">
        <v>44959</v>
      </c>
      <c r="B2227">
        <v>4</v>
      </c>
      <c r="C2227" t="s">
        <v>8</v>
      </c>
      <c r="D2227">
        <v>209</v>
      </c>
      <c r="E2227">
        <v>3328.36</v>
      </c>
    </row>
    <row r="2228" spans="1:5" x14ac:dyDescent="0.25">
      <c r="A2228" s="1">
        <v>44960</v>
      </c>
      <c r="B2228">
        <v>4</v>
      </c>
      <c r="C2228" t="s">
        <v>8</v>
      </c>
      <c r="D2228">
        <v>175</v>
      </c>
      <c r="E2228">
        <v>2673.35</v>
      </c>
    </row>
    <row r="2229" spans="1:5" x14ac:dyDescent="0.25">
      <c r="A2229" s="1">
        <v>44961</v>
      </c>
      <c r="B2229">
        <v>4</v>
      </c>
      <c r="C2229" t="s">
        <v>8</v>
      </c>
      <c r="D2229">
        <v>201</v>
      </c>
      <c r="E2229">
        <v>2871.8</v>
      </c>
    </row>
    <row r="2230" spans="1:5" x14ac:dyDescent="0.25">
      <c r="A2230" s="1">
        <v>44962</v>
      </c>
      <c r="B2230">
        <v>4</v>
      </c>
      <c r="C2230" t="s">
        <v>8</v>
      </c>
      <c r="D2230">
        <v>179</v>
      </c>
      <c r="E2230">
        <v>2790.81</v>
      </c>
    </row>
    <row r="2231" spans="1:5" x14ac:dyDescent="0.25">
      <c r="A2231" s="1">
        <v>44963</v>
      </c>
      <c r="B2231">
        <v>4</v>
      </c>
      <c r="C2231" t="s">
        <v>8</v>
      </c>
      <c r="D2231">
        <v>149</v>
      </c>
      <c r="E2231">
        <v>2355.46</v>
      </c>
    </row>
    <row r="2232" spans="1:5" x14ac:dyDescent="0.25">
      <c r="A2232" s="1">
        <v>44964</v>
      </c>
      <c r="B2232">
        <v>4</v>
      </c>
      <c r="C2232" t="s">
        <v>8</v>
      </c>
      <c r="D2232">
        <v>195</v>
      </c>
      <c r="E2232">
        <v>3043.02</v>
      </c>
    </row>
    <row r="2233" spans="1:5" x14ac:dyDescent="0.25">
      <c r="A2233" s="1">
        <v>44965</v>
      </c>
      <c r="B2233">
        <v>4</v>
      </c>
      <c r="C2233" t="s">
        <v>8</v>
      </c>
      <c r="D2233">
        <v>155</v>
      </c>
      <c r="E2233">
        <v>2388.56</v>
      </c>
    </row>
    <row r="2234" spans="1:5" x14ac:dyDescent="0.25">
      <c r="A2234" s="1">
        <v>44966</v>
      </c>
      <c r="B2234">
        <v>4</v>
      </c>
      <c r="C2234" t="s">
        <v>8</v>
      </c>
      <c r="D2234">
        <v>186</v>
      </c>
      <c r="E2234">
        <v>2747.24</v>
      </c>
    </row>
    <row r="2235" spans="1:5" x14ac:dyDescent="0.25">
      <c r="A2235" s="1">
        <v>44967</v>
      </c>
      <c r="B2235">
        <v>4</v>
      </c>
      <c r="C2235" t="s">
        <v>8</v>
      </c>
      <c r="D2235">
        <v>129</v>
      </c>
      <c r="E2235">
        <v>1972.29</v>
      </c>
    </row>
    <row r="2236" spans="1:5" x14ac:dyDescent="0.25">
      <c r="A2236" s="1">
        <v>44968</v>
      </c>
      <c r="B2236">
        <v>4</v>
      </c>
      <c r="C2236" t="s">
        <v>8</v>
      </c>
      <c r="D2236">
        <v>186</v>
      </c>
      <c r="E2236">
        <v>2927.56</v>
      </c>
    </row>
    <row r="2237" spans="1:5" x14ac:dyDescent="0.25">
      <c r="A2237" s="1">
        <v>44969</v>
      </c>
      <c r="B2237">
        <v>4</v>
      </c>
      <c r="C2237" t="s">
        <v>8</v>
      </c>
      <c r="D2237">
        <v>186</v>
      </c>
      <c r="E2237">
        <v>2831.51</v>
      </c>
    </row>
    <row r="2238" spans="1:5" x14ac:dyDescent="0.25">
      <c r="A2238" s="1">
        <v>44970</v>
      </c>
      <c r="B2238">
        <v>4</v>
      </c>
      <c r="C2238" t="s">
        <v>8</v>
      </c>
      <c r="D2238">
        <v>214</v>
      </c>
      <c r="E2238">
        <v>3327.76</v>
      </c>
    </row>
    <row r="2239" spans="1:5" x14ac:dyDescent="0.25">
      <c r="A2239" s="1">
        <v>44971</v>
      </c>
      <c r="B2239">
        <v>4</v>
      </c>
      <c r="C2239" t="s">
        <v>8</v>
      </c>
      <c r="D2239">
        <v>206</v>
      </c>
      <c r="E2239">
        <v>3517.45</v>
      </c>
    </row>
    <row r="2240" spans="1:5" x14ac:dyDescent="0.25">
      <c r="A2240" s="1">
        <v>44972</v>
      </c>
      <c r="B2240">
        <v>4</v>
      </c>
      <c r="C2240" t="s">
        <v>8</v>
      </c>
      <c r="D2240">
        <v>166</v>
      </c>
      <c r="E2240">
        <v>2810.23</v>
      </c>
    </row>
    <row r="2241" spans="1:5" x14ac:dyDescent="0.25">
      <c r="A2241" s="1">
        <v>44973</v>
      </c>
      <c r="B2241">
        <v>4</v>
      </c>
      <c r="C2241" t="s">
        <v>8</v>
      </c>
      <c r="D2241">
        <v>186</v>
      </c>
      <c r="E2241">
        <v>2897.94</v>
      </c>
    </row>
    <row r="2242" spans="1:5" x14ac:dyDescent="0.25">
      <c r="A2242" s="1">
        <v>44974</v>
      </c>
      <c r="B2242">
        <v>4</v>
      </c>
      <c r="C2242" t="s">
        <v>8</v>
      </c>
      <c r="D2242">
        <v>209</v>
      </c>
      <c r="E2242">
        <v>2984.18</v>
      </c>
    </row>
    <row r="2243" spans="1:5" x14ac:dyDescent="0.25">
      <c r="A2243" s="1">
        <v>44975</v>
      </c>
      <c r="B2243">
        <v>4</v>
      </c>
      <c r="C2243" t="s">
        <v>8</v>
      </c>
      <c r="D2243">
        <v>224</v>
      </c>
      <c r="E2243">
        <v>3330</v>
      </c>
    </row>
    <row r="2244" spans="1:5" x14ac:dyDescent="0.25">
      <c r="A2244" s="1">
        <v>44976</v>
      </c>
      <c r="B2244">
        <v>4</v>
      </c>
      <c r="C2244" t="s">
        <v>8</v>
      </c>
      <c r="D2244">
        <v>214</v>
      </c>
      <c r="E2244">
        <v>3131.82</v>
      </c>
    </row>
    <row r="2245" spans="1:5" x14ac:dyDescent="0.25">
      <c r="A2245" s="1">
        <v>44977</v>
      </c>
      <c r="B2245">
        <v>4</v>
      </c>
      <c r="C2245" t="s">
        <v>8</v>
      </c>
      <c r="D2245">
        <v>163</v>
      </c>
      <c r="E2245">
        <v>2668.59</v>
      </c>
    </row>
    <row r="2246" spans="1:5" x14ac:dyDescent="0.25">
      <c r="A2246" s="1">
        <v>44978</v>
      </c>
      <c r="B2246">
        <v>4</v>
      </c>
      <c r="C2246" t="s">
        <v>8</v>
      </c>
      <c r="D2246">
        <v>166</v>
      </c>
      <c r="E2246">
        <v>2582.02</v>
      </c>
    </row>
    <row r="2247" spans="1:5" x14ac:dyDescent="0.25">
      <c r="A2247" s="1">
        <v>44979</v>
      </c>
      <c r="B2247">
        <v>4</v>
      </c>
      <c r="C2247" t="s">
        <v>8</v>
      </c>
      <c r="D2247">
        <v>173</v>
      </c>
      <c r="E2247">
        <v>2465.37</v>
      </c>
    </row>
    <row r="2248" spans="1:5" x14ac:dyDescent="0.25">
      <c r="A2248" s="1">
        <v>44980</v>
      </c>
      <c r="B2248">
        <v>4</v>
      </c>
      <c r="C2248" t="s">
        <v>8</v>
      </c>
      <c r="D2248">
        <v>175</v>
      </c>
      <c r="E2248">
        <v>2749.36</v>
      </c>
    </row>
    <row r="2249" spans="1:5" x14ac:dyDescent="0.25">
      <c r="A2249" s="1">
        <v>44981</v>
      </c>
      <c r="B2249">
        <v>4</v>
      </c>
      <c r="C2249" t="s">
        <v>8</v>
      </c>
      <c r="D2249">
        <v>175</v>
      </c>
      <c r="E2249">
        <v>3036.95</v>
      </c>
    </row>
    <row r="2250" spans="1:5" x14ac:dyDescent="0.25">
      <c r="A2250" s="1">
        <v>44982</v>
      </c>
      <c r="B2250">
        <v>4</v>
      </c>
      <c r="C2250" t="s">
        <v>8</v>
      </c>
      <c r="D2250">
        <v>184</v>
      </c>
      <c r="E2250">
        <v>2776.1</v>
      </c>
    </row>
    <row r="2251" spans="1:5" x14ac:dyDescent="0.25">
      <c r="A2251" s="1">
        <v>44983</v>
      </c>
      <c r="B2251">
        <v>4</v>
      </c>
      <c r="C2251" t="s">
        <v>8</v>
      </c>
      <c r="D2251">
        <v>175</v>
      </c>
      <c r="E2251">
        <v>2895.77</v>
      </c>
    </row>
    <row r="2252" spans="1:5" x14ac:dyDescent="0.25">
      <c r="A2252" s="1">
        <v>44984</v>
      </c>
      <c r="B2252">
        <v>4</v>
      </c>
      <c r="C2252" t="s">
        <v>8</v>
      </c>
      <c r="D2252">
        <v>203</v>
      </c>
      <c r="E2252">
        <v>3385.25</v>
      </c>
    </row>
    <row r="2253" spans="1:5" x14ac:dyDescent="0.25">
      <c r="A2253" s="1">
        <v>44985</v>
      </c>
      <c r="B2253">
        <v>4</v>
      </c>
      <c r="C2253" t="s">
        <v>8</v>
      </c>
      <c r="D2253">
        <v>197</v>
      </c>
      <c r="E2253">
        <v>3092.5</v>
      </c>
    </row>
    <row r="2254" spans="1:5" x14ac:dyDescent="0.25">
      <c r="A2254" s="1">
        <v>44986</v>
      </c>
      <c r="B2254">
        <v>4</v>
      </c>
      <c r="C2254" t="s">
        <v>8</v>
      </c>
      <c r="D2254">
        <v>181</v>
      </c>
      <c r="E2254">
        <v>3142.11</v>
      </c>
    </row>
    <row r="2255" spans="1:5" x14ac:dyDescent="0.25">
      <c r="A2255" s="1">
        <v>44987</v>
      </c>
      <c r="B2255">
        <v>4</v>
      </c>
      <c r="C2255" t="s">
        <v>8</v>
      </c>
      <c r="D2255">
        <v>159</v>
      </c>
      <c r="E2255">
        <v>2496.11</v>
      </c>
    </row>
    <row r="2256" spans="1:5" x14ac:dyDescent="0.25">
      <c r="A2256" s="1">
        <v>44988</v>
      </c>
      <c r="B2256">
        <v>4</v>
      </c>
      <c r="C2256" t="s">
        <v>8</v>
      </c>
      <c r="D2256">
        <v>164</v>
      </c>
      <c r="E2256">
        <v>2663.58</v>
      </c>
    </row>
    <row r="2257" spans="1:5" x14ac:dyDescent="0.25">
      <c r="A2257" s="1">
        <v>44989</v>
      </c>
      <c r="B2257">
        <v>4</v>
      </c>
      <c r="C2257" t="s">
        <v>8</v>
      </c>
      <c r="D2257">
        <v>195</v>
      </c>
      <c r="E2257">
        <v>2942.91</v>
      </c>
    </row>
    <row r="2258" spans="1:5" x14ac:dyDescent="0.25">
      <c r="A2258" s="1">
        <v>44990</v>
      </c>
      <c r="B2258">
        <v>4</v>
      </c>
      <c r="C2258" t="s">
        <v>8</v>
      </c>
      <c r="D2258">
        <v>146</v>
      </c>
      <c r="E2258">
        <v>2286.5300000000002</v>
      </c>
    </row>
    <row r="2259" spans="1:5" x14ac:dyDescent="0.25">
      <c r="A2259" s="1">
        <v>44991</v>
      </c>
      <c r="B2259">
        <v>4</v>
      </c>
      <c r="C2259" t="s">
        <v>8</v>
      </c>
      <c r="D2259">
        <v>212</v>
      </c>
      <c r="E2259">
        <v>3540.72</v>
      </c>
    </row>
    <row r="2260" spans="1:5" x14ac:dyDescent="0.25">
      <c r="A2260" s="1">
        <v>44992</v>
      </c>
      <c r="B2260">
        <v>4</v>
      </c>
      <c r="C2260" t="s">
        <v>8</v>
      </c>
      <c r="D2260">
        <v>176</v>
      </c>
      <c r="E2260">
        <v>2909.55</v>
      </c>
    </row>
    <row r="2261" spans="1:5" x14ac:dyDescent="0.25">
      <c r="A2261" s="1">
        <v>44993</v>
      </c>
      <c r="B2261">
        <v>4</v>
      </c>
      <c r="C2261" t="s">
        <v>8</v>
      </c>
      <c r="D2261">
        <v>176</v>
      </c>
      <c r="E2261">
        <v>2665.6</v>
      </c>
    </row>
    <row r="2262" spans="1:5" x14ac:dyDescent="0.25">
      <c r="A2262" s="1">
        <v>44994</v>
      </c>
      <c r="B2262">
        <v>4</v>
      </c>
      <c r="C2262" t="s">
        <v>8</v>
      </c>
      <c r="D2262">
        <v>170</v>
      </c>
      <c r="E2262">
        <v>2760.7</v>
      </c>
    </row>
    <row r="2263" spans="1:5" x14ac:dyDescent="0.25">
      <c r="A2263" s="1">
        <v>44995</v>
      </c>
      <c r="B2263">
        <v>4</v>
      </c>
      <c r="C2263" t="s">
        <v>8</v>
      </c>
      <c r="D2263">
        <v>167</v>
      </c>
      <c r="E2263">
        <v>2375.5</v>
      </c>
    </row>
    <row r="2264" spans="1:5" x14ac:dyDescent="0.25">
      <c r="A2264" s="1">
        <v>44996</v>
      </c>
      <c r="B2264">
        <v>4</v>
      </c>
      <c r="C2264" t="s">
        <v>8</v>
      </c>
      <c r="D2264">
        <v>203</v>
      </c>
      <c r="E2264">
        <v>3054.32</v>
      </c>
    </row>
    <row r="2265" spans="1:5" x14ac:dyDescent="0.25">
      <c r="A2265" s="1">
        <v>44997</v>
      </c>
      <c r="B2265">
        <v>4</v>
      </c>
      <c r="C2265" t="s">
        <v>8</v>
      </c>
      <c r="D2265">
        <v>201</v>
      </c>
      <c r="E2265">
        <v>2967.05</v>
      </c>
    </row>
    <row r="2266" spans="1:5" x14ac:dyDescent="0.25">
      <c r="A2266" s="1">
        <v>44998</v>
      </c>
      <c r="B2266">
        <v>4</v>
      </c>
      <c r="C2266" t="s">
        <v>8</v>
      </c>
      <c r="D2266">
        <v>175</v>
      </c>
      <c r="E2266">
        <v>2584.52</v>
      </c>
    </row>
    <row r="2267" spans="1:5" x14ac:dyDescent="0.25">
      <c r="A2267" s="1">
        <v>44999</v>
      </c>
      <c r="B2267">
        <v>4</v>
      </c>
      <c r="C2267" t="s">
        <v>8</v>
      </c>
      <c r="D2267">
        <v>177</v>
      </c>
      <c r="E2267">
        <v>2761.39</v>
      </c>
    </row>
    <row r="2268" spans="1:5" x14ac:dyDescent="0.25">
      <c r="A2268" s="1">
        <v>45000</v>
      </c>
      <c r="B2268">
        <v>4</v>
      </c>
      <c r="C2268" t="s">
        <v>8</v>
      </c>
      <c r="D2268">
        <v>168</v>
      </c>
      <c r="E2268">
        <v>2538.21</v>
      </c>
    </row>
    <row r="2269" spans="1:5" x14ac:dyDescent="0.25">
      <c r="A2269" s="1">
        <v>45001</v>
      </c>
      <c r="B2269">
        <v>4</v>
      </c>
      <c r="C2269" t="s">
        <v>8</v>
      </c>
      <c r="D2269">
        <v>168</v>
      </c>
      <c r="E2269">
        <v>2629.34</v>
      </c>
    </row>
    <row r="2270" spans="1:5" x14ac:dyDescent="0.25">
      <c r="A2270" s="1">
        <v>45002</v>
      </c>
      <c r="B2270">
        <v>4</v>
      </c>
      <c r="C2270" t="s">
        <v>8</v>
      </c>
      <c r="D2270">
        <v>191</v>
      </c>
      <c r="E2270">
        <v>2953.97</v>
      </c>
    </row>
    <row r="2271" spans="1:5" x14ac:dyDescent="0.25">
      <c r="A2271" s="1">
        <v>45003</v>
      </c>
      <c r="B2271">
        <v>4</v>
      </c>
      <c r="C2271" t="s">
        <v>8</v>
      </c>
      <c r="D2271">
        <v>178</v>
      </c>
      <c r="E2271">
        <v>2692.24</v>
      </c>
    </row>
    <row r="2272" spans="1:5" x14ac:dyDescent="0.25">
      <c r="A2272" s="1">
        <v>45004</v>
      </c>
      <c r="B2272">
        <v>4</v>
      </c>
      <c r="C2272" t="s">
        <v>8</v>
      </c>
      <c r="D2272">
        <v>197</v>
      </c>
      <c r="E2272">
        <v>2868.1</v>
      </c>
    </row>
    <row r="2273" spans="1:5" x14ac:dyDescent="0.25">
      <c r="A2273" s="1">
        <v>45005</v>
      </c>
      <c r="B2273">
        <v>4</v>
      </c>
      <c r="C2273" t="s">
        <v>8</v>
      </c>
      <c r="D2273">
        <v>175</v>
      </c>
      <c r="E2273">
        <v>2901.6</v>
      </c>
    </row>
    <row r="2274" spans="1:5" x14ac:dyDescent="0.25">
      <c r="A2274" s="1">
        <v>45006</v>
      </c>
      <c r="B2274">
        <v>4</v>
      </c>
      <c r="C2274" t="s">
        <v>8</v>
      </c>
      <c r="D2274">
        <v>138</v>
      </c>
      <c r="E2274">
        <v>2128.66</v>
      </c>
    </row>
    <row r="2275" spans="1:5" x14ac:dyDescent="0.25">
      <c r="A2275" s="1">
        <v>45007</v>
      </c>
      <c r="B2275">
        <v>4</v>
      </c>
      <c r="C2275" t="s">
        <v>8</v>
      </c>
      <c r="D2275">
        <v>158</v>
      </c>
      <c r="E2275">
        <v>2516.33</v>
      </c>
    </row>
    <row r="2276" spans="1:5" x14ac:dyDescent="0.25">
      <c r="A2276" s="1">
        <v>45008</v>
      </c>
      <c r="B2276">
        <v>4</v>
      </c>
      <c r="C2276" t="s">
        <v>8</v>
      </c>
      <c r="D2276">
        <v>156</v>
      </c>
      <c r="E2276">
        <v>2423.88</v>
      </c>
    </row>
    <row r="2277" spans="1:5" x14ac:dyDescent="0.25">
      <c r="A2277" s="1">
        <v>45009</v>
      </c>
      <c r="B2277">
        <v>4</v>
      </c>
      <c r="C2277" t="s">
        <v>8</v>
      </c>
      <c r="D2277">
        <v>143</v>
      </c>
      <c r="E2277">
        <v>2327.87</v>
      </c>
    </row>
    <row r="2278" spans="1:5" x14ac:dyDescent="0.25">
      <c r="A2278" s="1">
        <v>45010</v>
      </c>
      <c r="B2278">
        <v>4</v>
      </c>
      <c r="C2278" t="s">
        <v>8</v>
      </c>
      <c r="D2278">
        <v>167</v>
      </c>
      <c r="E2278">
        <v>2436.91</v>
      </c>
    </row>
    <row r="2279" spans="1:5" x14ac:dyDescent="0.25">
      <c r="A2279" s="1">
        <v>45011</v>
      </c>
      <c r="B2279">
        <v>4</v>
      </c>
      <c r="C2279" t="s">
        <v>8</v>
      </c>
      <c r="D2279">
        <v>199</v>
      </c>
      <c r="E2279">
        <v>3212.74</v>
      </c>
    </row>
    <row r="2280" spans="1:5" x14ac:dyDescent="0.25">
      <c r="A2280" s="1">
        <v>45012</v>
      </c>
      <c r="B2280">
        <v>4</v>
      </c>
      <c r="C2280" t="s">
        <v>8</v>
      </c>
      <c r="D2280">
        <v>136</v>
      </c>
      <c r="E2280">
        <v>2109.86</v>
      </c>
    </row>
    <row r="2281" spans="1:5" x14ac:dyDescent="0.25">
      <c r="A2281" s="1">
        <v>45013</v>
      </c>
      <c r="B2281">
        <v>4</v>
      </c>
      <c r="C2281" t="s">
        <v>8</v>
      </c>
      <c r="D2281">
        <v>149</v>
      </c>
      <c r="E2281">
        <v>2302.79</v>
      </c>
    </row>
    <row r="2282" spans="1:5" x14ac:dyDescent="0.25">
      <c r="A2282" s="1">
        <v>45014</v>
      </c>
      <c r="B2282">
        <v>4</v>
      </c>
      <c r="C2282" t="s">
        <v>8</v>
      </c>
      <c r="D2282">
        <v>181</v>
      </c>
      <c r="E2282">
        <v>2948.08</v>
      </c>
    </row>
    <row r="2283" spans="1:5" x14ac:dyDescent="0.25">
      <c r="A2283" s="1">
        <v>45015</v>
      </c>
      <c r="B2283">
        <v>4</v>
      </c>
      <c r="C2283" t="s">
        <v>8</v>
      </c>
      <c r="D2283">
        <v>161</v>
      </c>
      <c r="E2283">
        <v>2662.72</v>
      </c>
    </row>
    <row r="2284" spans="1:5" x14ac:dyDescent="0.25">
      <c r="A2284" s="1">
        <v>45016</v>
      </c>
      <c r="B2284">
        <v>4</v>
      </c>
      <c r="C2284" t="s">
        <v>8</v>
      </c>
      <c r="D2284">
        <v>159</v>
      </c>
      <c r="E2284">
        <v>2774.07</v>
      </c>
    </row>
    <row r="2285" spans="1:5" x14ac:dyDescent="0.25">
      <c r="A2285" s="1">
        <v>45017</v>
      </c>
      <c r="B2285">
        <v>4</v>
      </c>
      <c r="C2285" t="s">
        <v>8</v>
      </c>
      <c r="D2285">
        <v>218</v>
      </c>
      <c r="E2285">
        <v>3227.26</v>
      </c>
    </row>
    <row r="2286" spans="1:5" x14ac:dyDescent="0.25">
      <c r="A2286" s="1">
        <v>45018</v>
      </c>
      <c r="B2286">
        <v>4</v>
      </c>
      <c r="C2286" t="s">
        <v>8</v>
      </c>
      <c r="D2286">
        <v>172</v>
      </c>
      <c r="E2286">
        <v>2804.81</v>
      </c>
    </row>
    <row r="2287" spans="1:5" x14ac:dyDescent="0.25">
      <c r="A2287" s="1">
        <v>45019</v>
      </c>
      <c r="B2287">
        <v>4</v>
      </c>
      <c r="C2287" t="s">
        <v>8</v>
      </c>
      <c r="D2287">
        <v>164</v>
      </c>
      <c r="E2287">
        <v>2374.7199999999998</v>
      </c>
    </row>
    <row r="2288" spans="1:5" x14ac:dyDescent="0.25">
      <c r="A2288" s="1">
        <v>45020</v>
      </c>
      <c r="B2288">
        <v>4</v>
      </c>
      <c r="C2288" t="s">
        <v>8</v>
      </c>
      <c r="D2288">
        <v>161</v>
      </c>
      <c r="E2288">
        <v>2324.92</v>
      </c>
    </row>
    <row r="2289" spans="1:5" x14ac:dyDescent="0.25">
      <c r="A2289" s="1">
        <v>45021</v>
      </c>
      <c r="B2289">
        <v>4</v>
      </c>
      <c r="C2289" t="s">
        <v>8</v>
      </c>
      <c r="D2289">
        <v>136</v>
      </c>
      <c r="E2289">
        <v>2247.9</v>
      </c>
    </row>
    <row r="2290" spans="1:5" x14ac:dyDescent="0.25">
      <c r="A2290" s="1">
        <v>45022</v>
      </c>
      <c r="B2290">
        <v>4</v>
      </c>
      <c r="C2290" t="s">
        <v>8</v>
      </c>
      <c r="D2290">
        <v>148</v>
      </c>
      <c r="E2290">
        <v>2046.18</v>
      </c>
    </row>
    <row r="2291" spans="1:5" x14ac:dyDescent="0.25">
      <c r="A2291" s="1">
        <v>45023</v>
      </c>
      <c r="B2291">
        <v>4</v>
      </c>
      <c r="C2291" t="s">
        <v>8</v>
      </c>
      <c r="D2291">
        <v>185</v>
      </c>
      <c r="E2291">
        <v>2881.94</v>
      </c>
    </row>
    <row r="2292" spans="1:5" x14ac:dyDescent="0.25">
      <c r="A2292" s="1">
        <v>45024</v>
      </c>
      <c r="B2292">
        <v>4</v>
      </c>
      <c r="C2292" t="s">
        <v>8</v>
      </c>
      <c r="D2292">
        <v>206</v>
      </c>
      <c r="E2292">
        <v>2931.53</v>
      </c>
    </row>
    <row r="2293" spans="1:5" x14ac:dyDescent="0.25">
      <c r="A2293" s="1">
        <v>45025</v>
      </c>
      <c r="B2293">
        <v>4</v>
      </c>
      <c r="C2293" t="s">
        <v>8</v>
      </c>
      <c r="D2293">
        <v>203</v>
      </c>
      <c r="E2293">
        <v>2962.05</v>
      </c>
    </row>
    <row r="2294" spans="1:5" x14ac:dyDescent="0.25">
      <c r="A2294" s="1">
        <v>45026</v>
      </c>
      <c r="B2294">
        <v>4</v>
      </c>
      <c r="C2294" t="s">
        <v>8</v>
      </c>
      <c r="D2294">
        <v>164</v>
      </c>
      <c r="E2294">
        <v>2701.26</v>
      </c>
    </row>
    <row r="2295" spans="1:5" x14ac:dyDescent="0.25">
      <c r="A2295" s="1">
        <v>45027</v>
      </c>
      <c r="B2295">
        <v>4</v>
      </c>
      <c r="C2295" t="s">
        <v>8</v>
      </c>
      <c r="D2295">
        <v>139</v>
      </c>
      <c r="E2295">
        <v>2207.46</v>
      </c>
    </row>
    <row r="2296" spans="1:5" x14ac:dyDescent="0.25">
      <c r="A2296" s="1">
        <v>45028</v>
      </c>
      <c r="B2296">
        <v>4</v>
      </c>
      <c r="C2296" t="s">
        <v>8</v>
      </c>
      <c r="D2296">
        <v>179</v>
      </c>
      <c r="E2296">
        <v>2676.78</v>
      </c>
    </row>
    <row r="2297" spans="1:5" x14ac:dyDescent="0.25">
      <c r="A2297" s="1">
        <v>45029</v>
      </c>
      <c r="B2297">
        <v>4</v>
      </c>
      <c r="C2297" t="s">
        <v>8</v>
      </c>
      <c r="D2297">
        <v>199</v>
      </c>
      <c r="E2297">
        <v>3181.8</v>
      </c>
    </row>
    <row r="2298" spans="1:5" x14ac:dyDescent="0.25">
      <c r="A2298" s="1">
        <v>45030</v>
      </c>
      <c r="B2298">
        <v>4</v>
      </c>
      <c r="C2298" t="s">
        <v>8</v>
      </c>
      <c r="D2298">
        <v>163</v>
      </c>
      <c r="E2298">
        <v>2407.7399999999998</v>
      </c>
    </row>
    <row r="2299" spans="1:5" x14ac:dyDescent="0.25">
      <c r="A2299" s="1">
        <v>45031</v>
      </c>
      <c r="B2299">
        <v>4</v>
      </c>
      <c r="C2299" t="s">
        <v>8</v>
      </c>
      <c r="D2299">
        <v>197</v>
      </c>
      <c r="E2299">
        <v>2956.31</v>
      </c>
    </row>
    <row r="2300" spans="1:5" x14ac:dyDescent="0.25">
      <c r="A2300" s="1">
        <v>45032</v>
      </c>
      <c r="B2300">
        <v>4</v>
      </c>
      <c r="C2300" t="s">
        <v>8</v>
      </c>
      <c r="D2300">
        <v>166</v>
      </c>
      <c r="E2300">
        <v>2346.4699999999998</v>
      </c>
    </row>
    <row r="2301" spans="1:5" x14ac:dyDescent="0.25">
      <c r="A2301" s="1">
        <v>45033</v>
      </c>
      <c r="B2301">
        <v>4</v>
      </c>
      <c r="C2301" t="s">
        <v>8</v>
      </c>
      <c r="D2301">
        <v>142</v>
      </c>
      <c r="E2301">
        <v>2252.2399999999998</v>
      </c>
    </row>
    <row r="2302" spans="1:5" x14ac:dyDescent="0.25">
      <c r="A2302" s="1">
        <v>45034</v>
      </c>
      <c r="B2302">
        <v>4</v>
      </c>
      <c r="C2302" t="s">
        <v>8</v>
      </c>
      <c r="D2302">
        <v>165</v>
      </c>
      <c r="E2302">
        <v>2652.25</v>
      </c>
    </row>
    <row r="2303" spans="1:5" x14ac:dyDescent="0.25">
      <c r="A2303" s="1">
        <v>45035</v>
      </c>
      <c r="B2303">
        <v>4</v>
      </c>
      <c r="C2303" t="s">
        <v>8</v>
      </c>
      <c r="D2303">
        <v>152</v>
      </c>
      <c r="E2303">
        <v>2400.9899999999998</v>
      </c>
    </row>
    <row r="2304" spans="1:5" x14ac:dyDescent="0.25">
      <c r="A2304" s="1">
        <v>45036</v>
      </c>
      <c r="B2304">
        <v>4</v>
      </c>
      <c r="C2304" t="s">
        <v>8</v>
      </c>
      <c r="D2304">
        <v>192</v>
      </c>
      <c r="E2304">
        <v>2934.7</v>
      </c>
    </row>
    <row r="2305" spans="1:5" x14ac:dyDescent="0.25">
      <c r="A2305" s="1">
        <v>45037</v>
      </c>
      <c r="B2305">
        <v>4</v>
      </c>
      <c r="C2305" t="s">
        <v>8</v>
      </c>
      <c r="D2305">
        <v>168</v>
      </c>
      <c r="E2305">
        <v>2717.76</v>
      </c>
    </row>
    <row r="2306" spans="1:5" x14ac:dyDescent="0.25">
      <c r="A2306" s="1">
        <v>45038</v>
      </c>
      <c r="B2306">
        <v>4</v>
      </c>
      <c r="C2306" t="s">
        <v>8</v>
      </c>
      <c r="D2306">
        <v>177</v>
      </c>
      <c r="E2306">
        <v>2839.86</v>
      </c>
    </row>
    <row r="2307" spans="1:5" x14ac:dyDescent="0.25">
      <c r="A2307" s="1">
        <v>45039</v>
      </c>
      <c r="B2307">
        <v>4</v>
      </c>
      <c r="C2307" t="s">
        <v>8</v>
      </c>
      <c r="D2307">
        <v>192</v>
      </c>
      <c r="E2307">
        <v>2693.95</v>
      </c>
    </row>
    <row r="2308" spans="1:5" x14ac:dyDescent="0.25">
      <c r="A2308" s="1">
        <v>45040</v>
      </c>
      <c r="B2308">
        <v>4</v>
      </c>
      <c r="C2308" t="s">
        <v>8</v>
      </c>
      <c r="D2308">
        <v>159</v>
      </c>
      <c r="E2308">
        <v>2370.6</v>
      </c>
    </row>
    <row r="2309" spans="1:5" x14ac:dyDescent="0.25">
      <c r="A2309" s="1">
        <v>45041</v>
      </c>
      <c r="B2309">
        <v>4</v>
      </c>
      <c r="C2309" t="s">
        <v>8</v>
      </c>
      <c r="D2309">
        <v>167</v>
      </c>
      <c r="E2309">
        <v>2628.95</v>
      </c>
    </row>
    <row r="2310" spans="1:5" x14ac:dyDescent="0.25">
      <c r="A2310" s="1">
        <v>45042</v>
      </c>
      <c r="B2310">
        <v>4</v>
      </c>
      <c r="C2310" t="s">
        <v>8</v>
      </c>
      <c r="D2310">
        <v>178</v>
      </c>
      <c r="E2310">
        <v>2829.46</v>
      </c>
    </row>
    <row r="2311" spans="1:5" x14ac:dyDescent="0.25">
      <c r="A2311" s="1">
        <v>45043</v>
      </c>
      <c r="B2311">
        <v>4</v>
      </c>
      <c r="C2311" t="s">
        <v>8</v>
      </c>
      <c r="D2311">
        <v>168</v>
      </c>
      <c r="E2311">
        <v>2614.19</v>
      </c>
    </row>
    <row r="2312" spans="1:5" x14ac:dyDescent="0.25">
      <c r="A2312" s="1">
        <v>45044</v>
      </c>
      <c r="B2312">
        <v>4</v>
      </c>
      <c r="C2312" t="s">
        <v>8</v>
      </c>
      <c r="D2312">
        <v>191</v>
      </c>
      <c r="E2312">
        <v>2945.47</v>
      </c>
    </row>
    <row r="2313" spans="1:5" x14ac:dyDescent="0.25">
      <c r="A2313" s="1">
        <v>45045</v>
      </c>
      <c r="B2313">
        <v>4</v>
      </c>
      <c r="C2313" t="s">
        <v>8</v>
      </c>
      <c r="D2313">
        <v>222</v>
      </c>
      <c r="E2313">
        <v>3332.62</v>
      </c>
    </row>
    <row r="2314" spans="1:5" x14ac:dyDescent="0.25">
      <c r="A2314" s="1">
        <v>45046</v>
      </c>
      <c r="B2314">
        <v>4</v>
      </c>
      <c r="C2314" t="s">
        <v>8</v>
      </c>
      <c r="D2314">
        <v>186</v>
      </c>
      <c r="E2314">
        <v>2854.02</v>
      </c>
    </row>
    <row r="2315" spans="1:5" x14ac:dyDescent="0.25">
      <c r="A2315" s="1">
        <v>45047</v>
      </c>
      <c r="B2315">
        <v>4</v>
      </c>
      <c r="C2315" t="s">
        <v>8</v>
      </c>
      <c r="D2315">
        <v>175</v>
      </c>
      <c r="E2315">
        <v>2949.04</v>
      </c>
    </row>
    <row r="2316" spans="1:5" x14ac:dyDescent="0.25">
      <c r="A2316" s="1">
        <v>45048</v>
      </c>
      <c r="B2316">
        <v>4</v>
      </c>
      <c r="C2316" t="s">
        <v>8</v>
      </c>
      <c r="D2316">
        <v>131</v>
      </c>
      <c r="E2316">
        <v>2299.8200000000002</v>
      </c>
    </row>
    <row r="2317" spans="1:5" x14ac:dyDescent="0.25">
      <c r="A2317" s="1">
        <v>45049</v>
      </c>
      <c r="B2317">
        <v>4</v>
      </c>
      <c r="C2317" t="s">
        <v>8</v>
      </c>
      <c r="D2317">
        <v>129</v>
      </c>
      <c r="E2317">
        <v>1935.94</v>
      </c>
    </row>
    <row r="2318" spans="1:5" x14ac:dyDescent="0.25">
      <c r="A2318" s="1">
        <v>45050</v>
      </c>
      <c r="B2318">
        <v>4</v>
      </c>
      <c r="C2318" t="s">
        <v>8</v>
      </c>
      <c r="D2318">
        <v>159</v>
      </c>
      <c r="E2318">
        <v>2488.08</v>
      </c>
    </row>
    <row r="2319" spans="1:5" x14ac:dyDescent="0.25">
      <c r="A2319" s="1">
        <v>45051</v>
      </c>
      <c r="B2319">
        <v>4</v>
      </c>
      <c r="C2319" t="s">
        <v>8</v>
      </c>
      <c r="D2319">
        <v>178</v>
      </c>
      <c r="E2319">
        <v>2950.12</v>
      </c>
    </row>
    <row r="2320" spans="1:5" x14ac:dyDescent="0.25">
      <c r="A2320" s="1">
        <v>45052</v>
      </c>
      <c r="B2320">
        <v>4</v>
      </c>
      <c r="C2320" t="s">
        <v>8</v>
      </c>
      <c r="D2320">
        <v>176</v>
      </c>
      <c r="E2320">
        <v>2692.35</v>
      </c>
    </row>
    <row r="2321" spans="1:5" x14ac:dyDescent="0.25">
      <c r="A2321" s="1">
        <v>45053</v>
      </c>
      <c r="B2321">
        <v>4</v>
      </c>
      <c r="C2321" t="s">
        <v>8</v>
      </c>
      <c r="D2321">
        <v>207</v>
      </c>
      <c r="E2321">
        <v>3094.46</v>
      </c>
    </row>
    <row r="2322" spans="1:5" x14ac:dyDescent="0.25">
      <c r="A2322" s="1">
        <v>45054</v>
      </c>
      <c r="B2322">
        <v>4</v>
      </c>
      <c r="C2322" t="s">
        <v>8</v>
      </c>
      <c r="D2322">
        <v>180</v>
      </c>
      <c r="E2322">
        <v>2703.94</v>
      </c>
    </row>
    <row r="2323" spans="1:5" x14ac:dyDescent="0.25">
      <c r="A2323" s="1">
        <v>45055</v>
      </c>
      <c r="B2323">
        <v>4</v>
      </c>
      <c r="C2323" t="s">
        <v>8</v>
      </c>
      <c r="D2323">
        <v>183</v>
      </c>
      <c r="E2323">
        <v>2771.65</v>
      </c>
    </row>
    <row r="2324" spans="1:5" x14ac:dyDescent="0.25">
      <c r="A2324" s="1">
        <v>45056</v>
      </c>
      <c r="B2324">
        <v>4</v>
      </c>
      <c r="C2324" t="s">
        <v>8</v>
      </c>
      <c r="D2324">
        <v>159</v>
      </c>
      <c r="E2324">
        <v>2572.65</v>
      </c>
    </row>
    <row r="2325" spans="1:5" x14ac:dyDescent="0.25">
      <c r="A2325" s="1">
        <v>45057</v>
      </c>
      <c r="B2325">
        <v>4</v>
      </c>
      <c r="C2325" t="s">
        <v>8</v>
      </c>
      <c r="D2325">
        <v>162</v>
      </c>
      <c r="E2325">
        <v>2634.5</v>
      </c>
    </row>
    <row r="2326" spans="1:5" x14ac:dyDescent="0.25">
      <c r="A2326" s="1">
        <v>45058</v>
      </c>
      <c r="B2326">
        <v>4</v>
      </c>
      <c r="C2326" t="s">
        <v>8</v>
      </c>
      <c r="D2326">
        <v>164</v>
      </c>
      <c r="E2326">
        <v>2384.7600000000002</v>
      </c>
    </row>
    <row r="2327" spans="1:5" x14ac:dyDescent="0.25">
      <c r="A2327" s="1">
        <v>45059</v>
      </c>
      <c r="B2327">
        <v>4</v>
      </c>
      <c r="C2327" t="s">
        <v>8</v>
      </c>
      <c r="D2327">
        <v>195</v>
      </c>
      <c r="E2327">
        <v>2708.78</v>
      </c>
    </row>
    <row r="2328" spans="1:5" x14ac:dyDescent="0.25">
      <c r="A2328" s="1">
        <v>45060</v>
      </c>
      <c r="B2328">
        <v>4</v>
      </c>
      <c r="C2328" t="s">
        <v>8</v>
      </c>
      <c r="D2328">
        <v>195</v>
      </c>
      <c r="E2328">
        <v>2880.94</v>
      </c>
    </row>
    <row r="2329" spans="1:5" x14ac:dyDescent="0.25">
      <c r="A2329" s="1">
        <v>45061</v>
      </c>
      <c r="B2329">
        <v>4</v>
      </c>
      <c r="C2329" t="s">
        <v>8</v>
      </c>
      <c r="D2329">
        <v>193</v>
      </c>
      <c r="E2329">
        <v>3066.24</v>
      </c>
    </row>
    <row r="2330" spans="1:5" x14ac:dyDescent="0.25">
      <c r="A2330" s="1">
        <v>45062</v>
      </c>
      <c r="B2330">
        <v>4</v>
      </c>
      <c r="C2330" t="s">
        <v>8</v>
      </c>
      <c r="D2330">
        <v>160</v>
      </c>
      <c r="E2330">
        <v>2572.11</v>
      </c>
    </row>
    <row r="2331" spans="1:5" x14ac:dyDescent="0.25">
      <c r="A2331" s="1">
        <v>45063</v>
      </c>
      <c r="B2331">
        <v>4</v>
      </c>
      <c r="C2331" t="s">
        <v>8</v>
      </c>
      <c r="D2331">
        <v>190</v>
      </c>
      <c r="E2331">
        <v>2933.6</v>
      </c>
    </row>
    <row r="2332" spans="1:5" x14ac:dyDescent="0.25">
      <c r="A2332" s="1">
        <v>45064</v>
      </c>
      <c r="B2332">
        <v>4</v>
      </c>
      <c r="C2332" t="s">
        <v>8</v>
      </c>
      <c r="D2332">
        <v>167</v>
      </c>
      <c r="E2332">
        <v>2453.61</v>
      </c>
    </row>
    <row r="2333" spans="1:5" x14ac:dyDescent="0.25">
      <c r="A2333" s="1">
        <v>45065</v>
      </c>
      <c r="B2333">
        <v>4</v>
      </c>
      <c r="C2333" t="s">
        <v>8</v>
      </c>
      <c r="D2333">
        <v>189</v>
      </c>
      <c r="E2333">
        <v>3210.62</v>
      </c>
    </row>
    <row r="2334" spans="1:5" x14ac:dyDescent="0.25">
      <c r="A2334" s="1">
        <v>45066</v>
      </c>
      <c r="B2334">
        <v>4</v>
      </c>
      <c r="C2334" t="s">
        <v>8</v>
      </c>
      <c r="D2334">
        <v>192</v>
      </c>
      <c r="E2334">
        <v>3153.92</v>
      </c>
    </row>
    <row r="2335" spans="1:5" x14ac:dyDescent="0.25">
      <c r="A2335" s="1">
        <v>45067</v>
      </c>
      <c r="B2335">
        <v>4</v>
      </c>
      <c r="C2335" t="s">
        <v>8</v>
      </c>
      <c r="D2335">
        <v>190</v>
      </c>
      <c r="E2335">
        <v>2829.28</v>
      </c>
    </row>
    <row r="2336" spans="1:5" x14ac:dyDescent="0.25">
      <c r="A2336" s="1">
        <v>45068</v>
      </c>
      <c r="B2336">
        <v>4</v>
      </c>
      <c r="C2336" t="s">
        <v>8</v>
      </c>
      <c r="D2336">
        <v>146</v>
      </c>
      <c r="E2336">
        <v>2172.59</v>
      </c>
    </row>
    <row r="2337" spans="1:5" x14ac:dyDescent="0.25">
      <c r="A2337" s="1">
        <v>45069</v>
      </c>
      <c r="B2337">
        <v>4</v>
      </c>
      <c r="C2337" t="s">
        <v>8</v>
      </c>
      <c r="D2337">
        <v>202</v>
      </c>
      <c r="E2337">
        <v>3199.67</v>
      </c>
    </row>
    <row r="2338" spans="1:5" x14ac:dyDescent="0.25">
      <c r="A2338" s="1">
        <v>45070</v>
      </c>
      <c r="B2338">
        <v>4</v>
      </c>
      <c r="C2338" t="s">
        <v>8</v>
      </c>
      <c r="D2338">
        <v>197</v>
      </c>
      <c r="E2338">
        <v>3140.41</v>
      </c>
    </row>
    <row r="2339" spans="1:5" x14ac:dyDescent="0.25">
      <c r="A2339" s="1">
        <v>45071</v>
      </c>
      <c r="B2339">
        <v>4</v>
      </c>
      <c r="C2339" t="s">
        <v>8</v>
      </c>
      <c r="D2339">
        <v>177</v>
      </c>
      <c r="E2339">
        <v>2819.56</v>
      </c>
    </row>
    <row r="2340" spans="1:5" x14ac:dyDescent="0.25">
      <c r="A2340" s="1">
        <v>45072</v>
      </c>
      <c r="B2340">
        <v>4</v>
      </c>
      <c r="C2340" t="s">
        <v>8</v>
      </c>
      <c r="D2340">
        <v>160</v>
      </c>
      <c r="E2340">
        <v>2450.23</v>
      </c>
    </row>
    <row r="2341" spans="1:5" x14ac:dyDescent="0.25">
      <c r="A2341" s="1">
        <v>45073</v>
      </c>
      <c r="B2341">
        <v>4</v>
      </c>
      <c r="C2341" t="s">
        <v>8</v>
      </c>
      <c r="D2341">
        <v>187</v>
      </c>
      <c r="E2341">
        <v>2888.8</v>
      </c>
    </row>
    <row r="2342" spans="1:5" x14ac:dyDescent="0.25">
      <c r="A2342" s="1">
        <v>45074</v>
      </c>
      <c r="B2342">
        <v>4</v>
      </c>
      <c r="C2342" t="s">
        <v>8</v>
      </c>
      <c r="D2342">
        <v>198</v>
      </c>
      <c r="E2342">
        <v>2854.49</v>
      </c>
    </row>
    <row r="2343" spans="1:5" x14ac:dyDescent="0.25">
      <c r="A2343" s="1">
        <v>45075</v>
      </c>
      <c r="B2343">
        <v>4</v>
      </c>
      <c r="C2343" t="s">
        <v>8</v>
      </c>
      <c r="D2343">
        <v>182</v>
      </c>
      <c r="E2343">
        <v>2973.51</v>
      </c>
    </row>
    <row r="2344" spans="1:5" x14ac:dyDescent="0.25">
      <c r="A2344" s="1">
        <v>45076</v>
      </c>
      <c r="B2344">
        <v>4</v>
      </c>
      <c r="C2344" t="s">
        <v>8</v>
      </c>
      <c r="D2344">
        <v>168</v>
      </c>
      <c r="E2344">
        <v>2762.16</v>
      </c>
    </row>
    <row r="2345" spans="1:5" x14ac:dyDescent="0.25">
      <c r="A2345" s="1">
        <v>45077</v>
      </c>
      <c r="B2345">
        <v>4</v>
      </c>
      <c r="C2345" t="s">
        <v>8</v>
      </c>
      <c r="D2345">
        <v>169</v>
      </c>
      <c r="E2345">
        <v>2359.9499999999998</v>
      </c>
    </row>
    <row r="2346" spans="1:5" x14ac:dyDescent="0.25">
      <c r="A2346" s="1">
        <v>45078</v>
      </c>
      <c r="B2346">
        <v>4</v>
      </c>
      <c r="C2346" t="s">
        <v>8</v>
      </c>
      <c r="D2346">
        <v>181</v>
      </c>
      <c r="E2346">
        <v>2905.45</v>
      </c>
    </row>
    <row r="2347" spans="1:5" x14ac:dyDescent="0.25">
      <c r="A2347" s="1">
        <v>45079</v>
      </c>
      <c r="B2347">
        <v>4</v>
      </c>
      <c r="C2347" t="s">
        <v>8</v>
      </c>
      <c r="D2347">
        <v>204</v>
      </c>
      <c r="E2347">
        <v>3159.79</v>
      </c>
    </row>
    <row r="2348" spans="1:5" x14ac:dyDescent="0.25">
      <c r="A2348" s="1">
        <v>45080</v>
      </c>
      <c r="B2348">
        <v>4</v>
      </c>
      <c r="C2348" t="s">
        <v>8</v>
      </c>
      <c r="D2348">
        <v>200</v>
      </c>
      <c r="E2348">
        <v>2995.87</v>
      </c>
    </row>
    <row r="2349" spans="1:5" x14ac:dyDescent="0.25">
      <c r="A2349" s="1">
        <v>45081</v>
      </c>
      <c r="B2349">
        <v>4</v>
      </c>
      <c r="C2349" t="s">
        <v>8</v>
      </c>
      <c r="D2349">
        <v>223</v>
      </c>
      <c r="E2349">
        <v>3617.27</v>
      </c>
    </row>
    <row r="2350" spans="1:5" x14ac:dyDescent="0.25">
      <c r="A2350" s="1">
        <v>45082</v>
      </c>
      <c r="B2350">
        <v>4</v>
      </c>
      <c r="C2350" t="s">
        <v>8</v>
      </c>
      <c r="D2350">
        <v>175</v>
      </c>
      <c r="E2350">
        <v>2664.73</v>
      </c>
    </row>
    <row r="2351" spans="1:5" x14ac:dyDescent="0.25">
      <c r="A2351" s="1">
        <v>45083</v>
      </c>
      <c r="B2351">
        <v>4</v>
      </c>
      <c r="C2351" t="s">
        <v>8</v>
      </c>
      <c r="D2351">
        <v>179</v>
      </c>
      <c r="E2351">
        <v>2880.31</v>
      </c>
    </row>
    <row r="2352" spans="1:5" x14ac:dyDescent="0.25">
      <c r="A2352" s="1">
        <v>45084</v>
      </c>
      <c r="B2352">
        <v>4</v>
      </c>
      <c r="C2352" t="s">
        <v>8</v>
      </c>
      <c r="D2352">
        <v>164</v>
      </c>
      <c r="E2352">
        <v>2658.23</v>
      </c>
    </row>
    <row r="2353" spans="1:5" x14ac:dyDescent="0.25">
      <c r="A2353" s="1">
        <v>45085</v>
      </c>
      <c r="B2353">
        <v>4</v>
      </c>
      <c r="C2353" t="s">
        <v>8</v>
      </c>
      <c r="D2353">
        <v>213</v>
      </c>
      <c r="E2353">
        <v>3170.61</v>
      </c>
    </row>
    <row r="2354" spans="1:5" x14ac:dyDescent="0.25">
      <c r="A2354" s="1">
        <v>45086</v>
      </c>
      <c r="B2354">
        <v>4</v>
      </c>
      <c r="C2354" t="s">
        <v>8</v>
      </c>
      <c r="D2354">
        <v>180</v>
      </c>
      <c r="E2354">
        <v>2741.52</v>
      </c>
    </row>
    <row r="2355" spans="1:5" x14ac:dyDescent="0.25">
      <c r="A2355" s="1">
        <v>45087</v>
      </c>
      <c r="B2355">
        <v>4</v>
      </c>
      <c r="C2355" t="s">
        <v>8</v>
      </c>
      <c r="D2355">
        <v>234</v>
      </c>
      <c r="E2355">
        <v>3896.41</v>
      </c>
    </row>
    <row r="2356" spans="1:5" x14ac:dyDescent="0.25">
      <c r="A2356" s="1">
        <v>45088</v>
      </c>
      <c r="B2356">
        <v>4</v>
      </c>
      <c r="C2356" t="s">
        <v>8</v>
      </c>
      <c r="D2356">
        <v>245</v>
      </c>
      <c r="E2356">
        <v>4123</v>
      </c>
    </row>
    <row r="2357" spans="1:5" x14ac:dyDescent="0.25">
      <c r="A2357" s="1">
        <v>45089</v>
      </c>
      <c r="B2357">
        <v>4</v>
      </c>
      <c r="C2357" t="s">
        <v>8</v>
      </c>
      <c r="D2357">
        <v>188</v>
      </c>
      <c r="E2357">
        <v>2835.16</v>
      </c>
    </row>
    <row r="2358" spans="1:5" x14ac:dyDescent="0.25">
      <c r="A2358" s="1">
        <v>45090</v>
      </c>
      <c r="B2358">
        <v>4</v>
      </c>
      <c r="C2358" t="s">
        <v>8</v>
      </c>
      <c r="D2358">
        <v>218</v>
      </c>
      <c r="E2358">
        <v>3271.91</v>
      </c>
    </row>
    <row r="2359" spans="1:5" x14ac:dyDescent="0.25">
      <c r="A2359" s="1">
        <v>45091</v>
      </c>
      <c r="B2359">
        <v>4</v>
      </c>
      <c r="C2359" t="s">
        <v>8</v>
      </c>
      <c r="D2359">
        <v>186</v>
      </c>
      <c r="E2359">
        <v>2712.57</v>
      </c>
    </row>
    <row r="2360" spans="1:5" x14ac:dyDescent="0.25">
      <c r="A2360" s="1">
        <v>45092</v>
      </c>
      <c r="B2360">
        <v>4</v>
      </c>
      <c r="C2360" t="s">
        <v>8</v>
      </c>
      <c r="D2360">
        <v>192</v>
      </c>
      <c r="E2360">
        <v>2910.52</v>
      </c>
    </row>
    <row r="2361" spans="1:5" x14ac:dyDescent="0.25">
      <c r="A2361" s="1">
        <v>45093</v>
      </c>
      <c r="B2361">
        <v>4</v>
      </c>
      <c r="C2361" t="s">
        <v>8</v>
      </c>
      <c r="D2361">
        <v>252</v>
      </c>
      <c r="E2361">
        <v>3537.06</v>
      </c>
    </row>
    <row r="2362" spans="1:5" x14ac:dyDescent="0.25">
      <c r="A2362" s="1">
        <v>45094</v>
      </c>
      <c r="B2362">
        <v>4</v>
      </c>
      <c r="C2362" t="s">
        <v>8</v>
      </c>
      <c r="D2362">
        <v>249</v>
      </c>
      <c r="E2362">
        <v>3707.53</v>
      </c>
    </row>
    <row r="2363" spans="1:5" x14ac:dyDescent="0.25">
      <c r="A2363" s="1">
        <v>45095</v>
      </c>
      <c r="B2363">
        <v>4</v>
      </c>
      <c r="C2363" t="s">
        <v>8</v>
      </c>
      <c r="D2363">
        <v>239</v>
      </c>
      <c r="E2363">
        <v>3571.75</v>
      </c>
    </row>
    <row r="2364" spans="1:5" x14ac:dyDescent="0.25">
      <c r="A2364" s="1">
        <v>45096</v>
      </c>
      <c r="B2364">
        <v>4</v>
      </c>
      <c r="C2364" t="s">
        <v>8</v>
      </c>
      <c r="D2364">
        <v>202</v>
      </c>
      <c r="E2364">
        <v>3373.04</v>
      </c>
    </row>
    <row r="2365" spans="1:5" x14ac:dyDescent="0.25">
      <c r="A2365" s="1">
        <v>45097</v>
      </c>
      <c r="B2365">
        <v>4</v>
      </c>
      <c r="C2365" t="s">
        <v>8</v>
      </c>
      <c r="D2365">
        <v>202</v>
      </c>
      <c r="E2365">
        <v>3022.72</v>
      </c>
    </row>
    <row r="2366" spans="1:5" x14ac:dyDescent="0.25">
      <c r="A2366" s="1">
        <v>45098</v>
      </c>
      <c r="B2366">
        <v>4</v>
      </c>
      <c r="C2366" t="s">
        <v>8</v>
      </c>
      <c r="D2366">
        <v>196</v>
      </c>
      <c r="E2366">
        <v>3018.36</v>
      </c>
    </row>
    <row r="2367" spans="1:5" x14ac:dyDescent="0.25">
      <c r="A2367" s="1">
        <v>45099</v>
      </c>
      <c r="B2367">
        <v>4</v>
      </c>
      <c r="C2367" t="s">
        <v>8</v>
      </c>
      <c r="D2367">
        <v>198</v>
      </c>
      <c r="E2367">
        <v>2849.99</v>
      </c>
    </row>
    <row r="2368" spans="1:5" x14ac:dyDescent="0.25">
      <c r="A2368" s="1">
        <v>45100</v>
      </c>
      <c r="B2368">
        <v>4</v>
      </c>
      <c r="C2368" t="s">
        <v>8</v>
      </c>
      <c r="D2368">
        <v>199</v>
      </c>
      <c r="E2368">
        <v>3007.16</v>
      </c>
    </row>
    <row r="2369" spans="1:5" x14ac:dyDescent="0.25">
      <c r="A2369" s="1">
        <v>45101</v>
      </c>
      <c r="B2369">
        <v>4</v>
      </c>
      <c r="C2369" t="s">
        <v>8</v>
      </c>
      <c r="D2369">
        <v>232</v>
      </c>
      <c r="E2369">
        <v>3793.42</v>
      </c>
    </row>
    <row r="2370" spans="1:5" x14ac:dyDescent="0.25">
      <c r="A2370" s="1">
        <v>45102</v>
      </c>
      <c r="B2370">
        <v>4</v>
      </c>
      <c r="C2370" t="s">
        <v>8</v>
      </c>
      <c r="D2370">
        <v>207</v>
      </c>
      <c r="E2370">
        <v>3357.73</v>
      </c>
    </row>
    <row r="2371" spans="1:5" x14ac:dyDescent="0.25">
      <c r="A2371" s="1">
        <v>45103</v>
      </c>
      <c r="B2371">
        <v>4</v>
      </c>
      <c r="C2371" t="s">
        <v>8</v>
      </c>
      <c r="D2371">
        <v>242</v>
      </c>
      <c r="E2371">
        <v>3650.04</v>
      </c>
    </row>
    <row r="2372" spans="1:5" x14ac:dyDescent="0.25">
      <c r="A2372" s="1">
        <v>45104</v>
      </c>
      <c r="B2372">
        <v>4</v>
      </c>
      <c r="C2372" t="s">
        <v>8</v>
      </c>
      <c r="D2372">
        <v>158</v>
      </c>
      <c r="E2372">
        <v>2253.64</v>
      </c>
    </row>
    <row r="2373" spans="1:5" x14ac:dyDescent="0.25">
      <c r="A2373" s="1">
        <v>45105</v>
      </c>
      <c r="B2373">
        <v>4</v>
      </c>
      <c r="C2373" t="s">
        <v>8</v>
      </c>
      <c r="D2373">
        <v>211</v>
      </c>
      <c r="E2373">
        <v>3451.21</v>
      </c>
    </row>
    <row r="2374" spans="1:5" x14ac:dyDescent="0.25">
      <c r="A2374" s="1">
        <v>45106</v>
      </c>
      <c r="B2374">
        <v>4</v>
      </c>
      <c r="C2374" t="s">
        <v>8</v>
      </c>
      <c r="D2374">
        <v>231</v>
      </c>
      <c r="E2374">
        <v>3383.09</v>
      </c>
    </row>
    <row r="2375" spans="1:5" x14ac:dyDescent="0.25">
      <c r="A2375" s="1">
        <v>45107</v>
      </c>
      <c r="B2375">
        <v>4</v>
      </c>
      <c r="C2375" t="s">
        <v>8</v>
      </c>
      <c r="D2375">
        <v>196</v>
      </c>
      <c r="E2375">
        <v>3035.71</v>
      </c>
    </row>
    <row r="2376" spans="1:5" x14ac:dyDescent="0.25">
      <c r="A2376" s="1">
        <v>45108</v>
      </c>
      <c r="B2376">
        <v>4</v>
      </c>
      <c r="C2376" t="s">
        <v>8</v>
      </c>
      <c r="D2376">
        <v>232</v>
      </c>
      <c r="E2376">
        <v>3629.28</v>
      </c>
    </row>
    <row r="2377" spans="1:5" x14ac:dyDescent="0.25">
      <c r="A2377" s="1">
        <v>45109</v>
      </c>
      <c r="B2377">
        <v>4</v>
      </c>
      <c r="C2377" t="s">
        <v>8</v>
      </c>
      <c r="D2377">
        <v>198</v>
      </c>
      <c r="E2377">
        <v>2940.63</v>
      </c>
    </row>
    <row r="2378" spans="1:5" x14ac:dyDescent="0.25">
      <c r="A2378" s="1">
        <v>45110</v>
      </c>
      <c r="B2378">
        <v>4</v>
      </c>
      <c r="C2378" t="s">
        <v>8</v>
      </c>
      <c r="D2378">
        <v>216</v>
      </c>
      <c r="E2378">
        <v>3405.29</v>
      </c>
    </row>
    <row r="2379" spans="1:5" x14ac:dyDescent="0.25">
      <c r="A2379" s="1">
        <v>45111</v>
      </c>
      <c r="B2379">
        <v>4</v>
      </c>
      <c r="C2379" t="s">
        <v>8</v>
      </c>
      <c r="D2379">
        <v>241</v>
      </c>
      <c r="E2379">
        <v>4005.52</v>
      </c>
    </row>
    <row r="2380" spans="1:5" x14ac:dyDescent="0.25">
      <c r="A2380" s="1">
        <v>45112</v>
      </c>
      <c r="B2380">
        <v>4</v>
      </c>
      <c r="C2380" t="s">
        <v>8</v>
      </c>
      <c r="D2380">
        <v>193</v>
      </c>
      <c r="E2380">
        <v>2932.23</v>
      </c>
    </row>
    <row r="2381" spans="1:5" x14ac:dyDescent="0.25">
      <c r="A2381" s="1">
        <v>45113</v>
      </c>
      <c r="B2381">
        <v>4</v>
      </c>
      <c r="C2381" t="s">
        <v>8</v>
      </c>
      <c r="D2381">
        <v>158</v>
      </c>
      <c r="E2381">
        <v>2642.06</v>
      </c>
    </row>
    <row r="2382" spans="1:5" x14ac:dyDescent="0.25">
      <c r="A2382" s="1">
        <v>45114</v>
      </c>
      <c r="B2382">
        <v>4</v>
      </c>
      <c r="C2382" t="s">
        <v>8</v>
      </c>
      <c r="D2382">
        <v>181</v>
      </c>
      <c r="E2382">
        <v>2879.1</v>
      </c>
    </row>
    <row r="2383" spans="1:5" x14ac:dyDescent="0.25">
      <c r="A2383" s="1">
        <v>45115</v>
      </c>
      <c r="B2383">
        <v>4</v>
      </c>
      <c r="C2383" t="s">
        <v>8</v>
      </c>
      <c r="D2383">
        <v>238</v>
      </c>
      <c r="E2383">
        <v>3552.52</v>
      </c>
    </row>
    <row r="2384" spans="1:5" x14ac:dyDescent="0.25">
      <c r="A2384" s="1">
        <v>45116</v>
      </c>
      <c r="B2384">
        <v>4</v>
      </c>
      <c r="C2384" t="s">
        <v>8</v>
      </c>
      <c r="D2384">
        <v>224</v>
      </c>
      <c r="E2384">
        <v>3739.6</v>
      </c>
    </row>
    <row r="2385" spans="1:5" x14ac:dyDescent="0.25">
      <c r="A2385" s="1">
        <v>45117</v>
      </c>
      <c r="B2385">
        <v>4</v>
      </c>
      <c r="C2385" t="s">
        <v>8</v>
      </c>
      <c r="D2385">
        <v>211</v>
      </c>
      <c r="E2385">
        <v>3244.55</v>
      </c>
    </row>
    <row r="2386" spans="1:5" x14ac:dyDescent="0.25">
      <c r="A2386" s="1">
        <v>45118</v>
      </c>
      <c r="B2386">
        <v>4</v>
      </c>
      <c r="C2386" t="s">
        <v>8</v>
      </c>
      <c r="D2386">
        <v>248</v>
      </c>
      <c r="E2386">
        <v>3909.34</v>
      </c>
    </row>
    <row r="2387" spans="1:5" x14ac:dyDescent="0.25">
      <c r="A2387" s="1">
        <v>45119</v>
      </c>
      <c r="B2387">
        <v>4</v>
      </c>
      <c r="C2387" t="s">
        <v>8</v>
      </c>
      <c r="D2387">
        <v>238</v>
      </c>
      <c r="E2387">
        <v>3824.83</v>
      </c>
    </row>
    <row r="2388" spans="1:5" x14ac:dyDescent="0.25">
      <c r="A2388" s="1">
        <v>45120</v>
      </c>
      <c r="B2388">
        <v>4</v>
      </c>
      <c r="C2388" t="s">
        <v>8</v>
      </c>
      <c r="D2388">
        <v>210</v>
      </c>
      <c r="E2388">
        <v>3324.25</v>
      </c>
    </row>
    <row r="2389" spans="1:5" x14ac:dyDescent="0.25">
      <c r="A2389" s="1">
        <v>45121</v>
      </c>
      <c r="B2389">
        <v>4</v>
      </c>
      <c r="C2389" t="s">
        <v>8</v>
      </c>
      <c r="D2389">
        <v>197</v>
      </c>
      <c r="E2389">
        <v>3175.83</v>
      </c>
    </row>
    <row r="2390" spans="1:5" x14ac:dyDescent="0.25">
      <c r="A2390" s="1">
        <v>45122</v>
      </c>
      <c r="B2390">
        <v>4</v>
      </c>
      <c r="C2390" t="s">
        <v>8</v>
      </c>
      <c r="D2390">
        <v>220</v>
      </c>
      <c r="E2390">
        <v>3676.34</v>
      </c>
    </row>
    <row r="2391" spans="1:5" x14ac:dyDescent="0.25">
      <c r="A2391" s="1">
        <v>45123</v>
      </c>
      <c r="B2391">
        <v>4</v>
      </c>
      <c r="C2391" t="s">
        <v>8</v>
      </c>
      <c r="D2391">
        <v>229</v>
      </c>
      <c r="E2391">
        <v>3960.15</v>
      </c>
    </row>
    <row r="2392" spans="1:5" x14ac:dyDescent="0.25">
      <c r="A2392" s="1">
        <v>45124</v>
      </c>
      <c r="B2392">
        <v>4</v>
      </c>
      <c r="C2392" t="s">
        <v>8</v>
      </c>
      <c r="D2392">
        <v>256</v>
      </c>
      <c r="E2392">
        <v>4178.58</v>
      </c>
    </row>
    <row r="2393" spans="1:5" x14ac:dyDescent="0.25">
      <c r="A2393" s="1">
        <v>45125</v>
      </c>
      <c r="B2393">
        <v>4</v>
      </c>
      <c r="C2393" t="s">
        <v>8</v>
      </c>
      <c r="D2393">
        <v>263</v>
      </c>
      <c r="E2393">
        <v>4066.02</v>
      </c>
    </row>
    <row r="2394" spans="1:5" x14ac:dyDescent="0.25">
      <c r="A2394" s="1">
        <v>45126</v>
      </c>
      <c r="B2394">
        <v>4</v>
      </c>
      <c r="C2394" t="s">
        <v>8</v>
      </c>
      <c r="D2394">
        <v>245</v>
      </c>
      <c r="E2394">
        <v>3435.01</v>
      </c>
    </row>
    <row r="2395" spans="1:5" x14ac:dyDescent="0.25">
      <c r="A2395" s="1">
        <v>45127</v>
      </c>
      <c r="B2395">
        <v>4</v>
      </c>
      <c r="C2395" t="s">
        <v>8</v>
      </c>
      <c r="D2395">
        <v>230</v>
      </c>
      <c r="E2395">
        <v>3923.13</v>
      </c>
    </row>
    <row r="2396" spans="1:5" x14ac:dyDescent="0.25">
      <c r="A2396" s="1">
        <v>45128</v>
      </c>
      <c r="B2396">
        <v>4</v>
      </c>
      <c r="C2396" t="s">
        <v>8</v>
      </c>
      <c r="D2396">
        <v>232</v>
      </c>
      <c r="E2396">
        <v>3588.78</v>
      </c>
    </row>
    <row r="2397" spans="1:5" x14ac:dyDescent="0.25">
      <c r="A2397" s="1">
        <v>45129</v>
      </c>
      <c r="B2397">
        <v>4</v>
      </c>
      <c r="C2397" t="s">
        <v>8</v>
      </c>
      <c r="D2397">
        <v>219</v>
      </c>
      <c r="E2397">
        <v>3456.84</v>
      </c>
    </row>
    <row r="2398" spans="1:5" x14ac:dyDescent="0.25">
      <c r="A2398" s="1">
        <v>45130</v>
      </c>
      <c r="B2398">
        <v>4</v>
      </c>
      <c r="C2398" t="s">
        <v>8</v>
      </c>
      <c r="D2398">
        <v>272</v>
      </c>
      <c r="E2398">
        <v>4020.32</v>
      </c>
    </row>
    <row r="2399" spans="1:5" x14ac:dyDescent="0.25">
      <c r="A2399" s="1">
        <v>45131</v>
      </c>
      <c r="B2399">
        <v>4</v>
      </c>
      <c r="C2399" t="s">
        <v>8</v>
      </c>
      <c r="D2399">
        <v>224</v>
      </c>
      <c r="E2399">
        <v>3498.33</v>
      </c>
    </row>
    <row r="2400" spans="1:5" x14ac:dyDescent="0.25">
      <c r="A2400" s="1">
        <v>45132</v>
      </c>
      <c r="B2400">
        <v>4</v>
      </c>
      <c r="C2400" t="s">
        <v>8</v>
      </c>
      <c r="D2400">
        <v>230</v>
      </c>
      <c r="E2400">
        <v>3622.17</v>
      </c>
    </row>
    <row r="2401" spans="1:5" x14ac:dyDescent="0.25">
      <c r="A2401" s="1">
        <v>45133</v>
      </c>
      <c r="B2401">
        <v>4</v>
      </c>
      <c r="C2401" t="s">
        <v>8</v>
      </c>
      <c r="D2401">
        <v>218</v>
      </c>
      <c r="E2401">
        <v>3531.9</v>
      </c>
    </row>
    <row r="2402" spans="1:5" x14ac:dyDescent="0.25">
      <c r="A2402" s="1">
        <v>45134</v>
      </c>
      <c r="B2402">
        <v>4</v>
      </c>
      <c r="C2402" t="s">
        <v>8</v>
      </c>
      <c r="D2402">
        <v>224</v>
      </c>
      <c r="E2402">
        <v>3832.6</v>
      </c>
    </row>
    <row r="2403" spans="1:5" x14ac:dyDescent="0.25">
      <c r="A2403" s="1">
        <v>45135</v>
      </c>
      <c r="B2403">
        <v>4</v>
      </c>
      <c r="C2403" t="s">
        <v>8</v>
      </c>
      <c r="D2403">
        <v>199</v>
      </c>
      <c r="E2403">
        <v>2955.29</v>
      </c>
    </row>
    <row r="2404" spans="1:5" x14ac:dyDescent="0.25">
      <c r="A2404" s="1">
        <v>45136</v>
      </c>
      <c r="B2404">
        <v>4</v>
      </c>
      <c r="C2404" t="s">
        <v>8</v>
      </c>
      <c r="D2404">
        <v>228</v>
      </c>
      <c r="E2404">
        <v>3259.99</v>
      </c>
    </row>
    <row r="2405" spans="1:5" x14ac:dyDescent="0.25">
      <c r="A2405" s="1">
        <v>45137</v>
      </c>
      <c r="B2405">
        <v>4</v>
      </c>
      <c r="C2405" t="s">
        <v>8</v>
      </c>
      <c r="D2405">
        <v>260</v>
      </c>
      <c r="E2405">
        <v>3979.42</v>
      </c>
    </row>
    <row r="2406" spans="1:5" x14ac:dyDescent="0.25">
      <c r="A2406" s="1">
        <v>45138</v>
      </c>
      <c r="B2406">
        <v>4</v>
      </c>
      <c r="C2406" t="s">
        <v>8</v>
      </c>
      <c r="D2406">
        <v>223</v>
      </c>
      <c r="E2406">
        <v>3452.59</v>
      </c>
    </row>
    <row r="2407" spans="1:5" x14ac:dyDescent="0.25">
      <c r="A2407" s="1">
        <v>45139</v>
      </c>
      <c r="B2407">
        <v>4</v>
      </c>
      <c r="C2407" t="s">
        <v>8</v>
      </c>
      <c r="D2407">
        <v>226</v>
      </c>
      <c r="E2407">
        <v>3573.21</v>
      </c>
    </row>
    <row r="2408" spans="1:5" x14ac:dyDescent="0.25">
      <c r="A2408" s="1">
        <v>45140</v>
      </c>
      <c r="B2408">
        <v>4</v>
      </c>
      <c r="C2408" t="s">
        <v>8</v>
      </c>
      <c r="D2408">
        <v>248</v>
      </c>
      <c r="E2408">
        <v>3696.6</v>
      </c>
    </row>
    <row r="2409" spans="1:5" x14ac:dyDescent="0.25">
      <c r="A2409" s="1">
        <v>45141</v>
      </c>
      <c r="B2409">
        <v>4</v>
      </c>
      <c r="C2409" t="s">
        <v>8</v>
      </c>
      <c r="D2409">
        <v>230</v>
      </c>
      <c r="E2409">
        <v>3562.95</v>
      </c>
    </row>
    <row r="2410" spans="1:5" x14ac:dyDescent="0.25">
      <c r="A2410" s="1">
        <v>45142</v>
      </c>
      <c r="B2410">
        <v>4</v>
      </c>
      <c r="C2410" t="s">
        <v>8</v>
      </c>
      <c r="D2410">
        <v>235</v>
      </c>
      <c r="E2410">
        <v>3762.21</v>
      </c>
    </row>
    <row r="2411" spans="1:5" x14ac:dyDescent="0.25">
      <c r="A2411" s="1">
        <v>45143</v>
      </c>
      <c r="B2411">
        <v>4</v>
      </c>
      <c r="C2411" t="s">
        <v>8</v>
      </c>
      <c r="D2411">
        <v>240</v>
      </c>
      <c r="E2411">
        <v>3615.71</v>
      </c>
    </row>
    <row r="2412" spans="1:5" x14ac:dyDescent="0.25">
      <c r="A2412" s="1">
        <v>45144</v>
      </c>
      <c r="B2412">
        <v>4</v>
      </c>
      <c r="C2412" t="s">
        <v>8</v>
      </c>
      <c r="D2412">
        <v>267</v>
      </c>
      <c r="E2412">
        <v>4025.07</v>
      </c>
    </row>
    <row r="2413" spans="1:5" x14ac:dyDescent="0.25">
      <c r="A2413" s="1">
        <v>45145</v>
      </c>
      <c r="B2413">
        <v>4</v>
      </c>
      <c r="C2413" t="s">
        <v>8</v>
      </c>
      <c r="D2413">
        <v>261</v>
      </c>
      <c r="E2413">
        <v>4159.87</v>
      </c>
    </row>
    <row r="2414" spans="1:5" x14ac:dyDescent="0.25">
      <c r="A2414" s="1">
        <v>45146</v>
      </c>
      <c r="B2414">
        <v>4</v>
      </c>
      <c r="C2414" t="s">
        <v>8</v>
      </c>
      <c r="D2414">
        <v>226</v>
      </c>
      <c r="E2414">
        <v>3529.36</v>
      </c>
    </row>
    <row r="2415" spans="1:5" x14ac:dyDescent="0.25">
      <c r="A2415" s="1">
        <v>45147</v>
      </c>
      <c r="B2415">
        <v>4</v>
      </c>
      <c r="C2415" t="s">
        <v>8</v>
      </c>
      <c r="D2415">
        <v>226</v>
      </c>
      <c r="E2415">
        <v>3682.19</v>
      </c>
    </row>
    <row r="2416" spans="1:5" x14ac:dyDescent="0.25">
      <c r="A2416" s="1">
        <v>45148</v>
      </c>
      <c r="B2416">
        <v>4</v>
      </c>
      <c r="C2416" t="s">
        <v>8</v>
      </c>
      <c r="D2416">
        <v>222</v>
      </c>
      <c r="E2416">
        <v>3463.22</v>
      </c>
    </row>
    <row r="2417" spans="1:5" x14ac:dyDescent="0.25">
      <c r="A2417" s="1">
        <v>45149</v>
      </c>
      <c r="B2417">
        <v>4</v>
      </c>
      <c r="C2417" t="s">
        <v>8</v>
      </c>
      <c r="D2417">
        <v>220</v>
      </c>
      <c r="E2417">
        <v>3798.71</v>
      </c>
    </row>
    <row r="2418" spans="1:5" x14ac:dyDescent="0.25">
      <c r="A2418" s="1">
        <v>45150</v>
      </c>
      <c r="B2418">
        <v>4</v>
      </c>
      <c r="C2418" t="s">
        <v>8</v>
      </c>
      <c r="D2418">
        <v>182</v>
      </c>
      <c r="E2418">
        <v>2592.62</v>
      </c>
    </row>
    <row r="2419" spans="1:5" x14ac:dyDescent="0.25">
      <c r="A2419" s="1">
        <v>45151</v>
      </c>
      <c r="B2419">
        <v>4</v>
      </c>
      <c r="C2419" t="s">
        <v>8</v>
      </c>
      <c r="D2419">
        <v>289</v>
      </c>
      <c r="E2419">
        <v>4724.9399999999996</v>
      </c>
    </row>
    <row r="2420" spans="1:5" x14ac:dyDescent="0.25">
      <c r="A2420" s="1">
        <v>45152</v>
      </c>
      <c r="B2420">
        <v>4</v>
      </c>
      <c r="C2420" t="s">
        <v>8</v>
      </c>
      <c r="D2420">
        <v>217</v>
      </c>
      <c r="E2420">
        <v>3432.69</v>
      </c>
    </row>
    <row r="2421" spans="1:5" x14ac:dyDescent="0.25">
      <c r="A2421" s="1">
        <v>45153</v>
      </c>
      <c r="B2421">
        <v>4</v>
      </c>
      <c r="C2421" t="s">
        <v>8</v>
      </c>
      <c r="D2421">
        <v>226</v>
      </c>
      <c r="E2421">
        <v>3431.57</v>
      </c>
    </row>
    <row r="2422" spans="1:5" x14ac:dyDescent="0.25">
      <c r="A2422" s="1">
        <v>45154</v>
      </c>
      <c r="B2422">
        <v>4</v>
      </c>
      <c r="C2422" t="s">
        <v>8</v>
      </c>
      <c r="D2422">
        <v>227</v>
      </c>
      <c r="E2422">
        <v>3511.2</v>
      </c>
    </row>
    <row r="2423" spans="1:5" x14ac:dyDescent="0.25">
      <c r="A2423" s="1">
        <v>45155</v>
      </c>
      <c r="B2423">
        <v>4</v>
      </c>
      <c r="C2423" t="s">
        <v>8</v>
      </c>
      <c r="D2423">
        <v>240</v>
      </c>
      <c r="E2423">
        <v>3663.37</v>
      </c>
    </row>
    <row r="2424" spans="1:5" x14ac:dyDescent="0.25">
      <c r="A2424" s="1">
        <v>45156</v>
      </c>
      <c r="B2424">
        <v>4</v>
      </c>
      <c r="C2424" t="s">
        <v>8</v>
      </c>
      <c r="D2424">
        <v>200</v>
      </c>
      <c r="E2424">
        <v>3122.6</v>
      </c>
    </row>
    <row r="2425" spans="1:5" x14ac:dyDescent="0.25">
      <c r="A2425" s="1">
        <v>45157</v>
      </c>
      <c r="B2425">
        <v>4</v>
      </c>
      <c r="C2425" t="s">
        <v>8</v>
      </c>
      <c r="D2425">
        <v>268</v>
      </c>
      <c r="E2425">
        <v>4435.2700000000004</v>
      </c>
    </row>
    <row r="2426" spans="1:5" x14ac:dyDescent="0.25">
      <c r="A2426" s="1">
        <v>45158</v>
      </c>
      <c r="B2426">
        <v>4</v>
      </c>
      <c r="C2426" t="s">
        <v>8</v>
      </c>
      <c r="D2426">
        <v>267</v>
      </c>
      <c r="E2426">
        <v>3912.5</v>
      </c>
    </row>
    <row r="2427" spans="1:5" x14ac:dyDescent="0.25">
      <c r="A2427" s="1">
        <v>45159</v>
      </c>
      <c r="B2427">
        <v>4</v>
      </c>
      <c r="C2427" t="s">
        <v>8</v>
      </c>
      <c r="D2427">
        <v>250</v>
      </c>
      <c r="E2427">
        <v>3373.39</v>
      </c>
    </row>
    <row r="2428" spans="1:5" x14ac:dyDescent="0.25">
      <c r="A2428" s="1">
        <v>45160</v>
      </c>
      <c r="B2428">
        <v>4</v>
      </c>
      <c r="C2428" t="s">
        <v>8</v>
      </c>
      <c r="D2428">
        <v>239</v>
      </c>
      <c r="E2428">
        <v>3868.78</v>
      </c>
    </row>
    <row r="2429" spans="1:5" x14ac:dyDescent="0.25">
      <c r="A2429" s="1">
        <v>45161</v>
      </c>
      <c r="B2429">
        <v>4</v>
      </c>
      <c r="C2429" t="s">
        <v>8</v>
      </c>
      <c r="D2429">
        <v>248</v>
      </c>
      <c r="E2429">
        <v>3877.72</v>
      </c>
    </row>
    <row r="2430" spans="1:5" x14ac:dyDescent="0.25">
      <c r="A2430" s="1">
        <v>45162</v>
      </c>
      <c r="B2430">
        <v>4</v>
      </c>
      <c r="C2430" t="s">
        <v>8</v>
      </c>
      <c r="D2430">
        <v>253</v>
      </c>
      <c r="E2430">
        <v>4087.48</v>
      </c>
    </row>
    <row r="2431" spans="1:5" x14ac:dyDescent="0.25">
      <c r="A2431" s="1">
        <v>45163</v>
      </c>
      <c r="B2431">
        <v>4</v>
      </c>
      <c r="C2431" t="s">
        <v>8</v>
      </c>
      <c r="D2431">
        <v>232</v>
      </c>
      <c r="E2431">
        <v>3785.63</v>
      </c>
    </row>
    <row r="2432" spans="1:5" x14ac:dyDescent="0.25">
      <c r="A2432" s="1">
        <v>45164</v>
      </c>
      <c r="B2432">
        <v>4</v>
      </c>
      <c r="C2432" t="s">
        <v>8</v>
      </c>
      <c r="D2432">
        <v>258</v>
      </c>
      <c r="E2432">
        <v>3853.74</v>
      </c>
    </row>
    <row r="2433" spans="1:5" x14ac:dyDescent="0.25">
      <c r="A2433" s="1">
        <v>45165</v>
      </c>
      <c r="B2433">
        <v>4</v>
      </c>
      <c r="C2433" t="s">
        <v>8</v>
      </c>
      <c r="D2433">
        <v>261</v>
      </c>
      <c r="E2433">
        <v>4027.87</v>
      </c>
    </row>
    <row r="2434" spans="1:5" x14ac:dyDescent="0.25">
      <c r="A2434" s="1">
        <v>45166</v>
      </c>
      <c r="B2434">
        <v>4</v>
      </c>
      <c r="C2434" t="s">
        <v>8</v>
      </c>
      <c r="D2434">
        <v>237</v>
      </c>
      <c r="E2434">
        <v>3574.88</v>
      </c>
    </row>
    <row r="2435" spans="1:5" x14ac:dyDescent="0.25">
      <c r="A2435" s="1">
        <v>45167</v>
      </c>
      <c r="B2435">
        <v>4</v>
      </c>
      <c r="C2435" t="s">
        <v>8</v>
      </c>
      <c r="D2435">
        <v>238</v>
      </c>
      <c r="E2435">
        <v>3594.96</v>
      </c>
    </row>
    <row r="2436" spans="1:5" x14ac:dyDescent="0.25">
      <c r="A2436" s="1">
        <v>45168</v>
      </c>
      <c r="B2436">
        <v>4</v>
      </c>
      <c r="C2436" t="s">
        <v>8</v>
      </c>
      <c r="D2436">
        <v>224</v>
      </c>
      <c r="E2436">
        <v>3438.39</v>
      </c>
    </row>
    <row r="2437" spans="1:5" x14ac:dyDescent="0.25">
      <c r="A2437" s="1">
        <v>45169</v>
      </c>
      <c r="B2437">
        <v>4</v>
      </c>
      <c r="C2437" t="s">
        <v>8</v>
      </c>
      <c r="D2437">
        <v>218</v>
      </c>
      <c r="E2437">
        <v>3284.54</v>
      </c>
    </row>
    <row r="2438" spans="1:5" x14ac:dyDescent="0.25">
      <c r="A2438" s="1">
        <v>45170</v>
      </c>
      <c r="B2438">
        <v>4</v>
      </c>
      <c r="C2438" t="s">
        <v>8</v>
      </c>
      <c r="D2438">
        <v>263</v>
      </c>
      <c r="E2438">
        <v>4264.95</v>
      </c>
    </row>
    <row r="2439" spans="1:5" x14ac:dyDescent="0.25">
      <c r="A2439" s="1">
        <v>45171</v>
      </c>
      <c r="B2439">
        <v>4</v>
      </c>
      <c r="C2439" t="s">
        <v>8</v>
      </c>
      <c r="D2439">
        <v>235</v>
      </c>
      <c r="E2439">
        <v>3605.01</v>
      </c>
    </row>
    <row r="2440" spans="1:5" x14ac:dyDescent="0.25">
      <c r="A2440" s="1">
        <v>45172</v>
      </c>
      <c r="B2440">
        <v>4</v>
      </c>
      <c r="C2440" t="s">
        <v>8</v>
      </c>
      <c r="D2440">
        <v>240</v>
      </c>
      <c r="E2440">
        <v>3911.4</v>
      </c>
    </row>
    <row r="2441" spans="1:5" x14ac:dyDescent="0.25">
      <c r="A2441" s="1">
        <v>45173</v>
      </c>
      <c r="B2441">
        <v>4</v>
      </c>
      <c r="C2441" t="s">
        <v>8</v>
      </c>
      <c r="D2441">
        <v>248</v>
      </c>
      <c r="E2441">
        <v>3881.09</v>
      </c>
    </row>
    <row r="2442" spans="1:5" x14ac:dyDescent="0.25">
      <c r="A2442" s="1">
        <v>45174</v>
      </c>
      <c r="B2442">
        <v>4</v>
      </c>
      <c r="C2442" t="s">
        <v>8</v>
      </c>
      <c r="D2442">
        <v>211</v>
      </c>
      <c r="E2442">
        <v>3625.84</v>
      </c>
    </row>
    <row r="2443" spans="1:5" x14ac:dyDescent="0.25">
      <c r="A2443" s="1">
        <v>45175</v>
      </c>
      <c r="B2443">
        <v>4</v>
      </c>
      <c r="C2443" t="s">
        <v>8</v>
      </c>
      <c r="D2443">
        <v>229</v>
      </c>
      <c r="E2443">
        <v>3281.96</v>
      </c>
    </row>
    <row r="2444" spans="1:5" x14ac:dyDescent="0.25">
      <c r="A2444" s="1">
        <v>45176</v>
      </c>
      <c r="B2444">
        <v>4</v>
      </c>
      <c r="C2444" t="s">
        <v>8</v>
      </c>
      <c r="D2444">
        <v>262</v>
      </c>
      <c r="E2444">
        <v>3798.04</v>
      </c>
    </row>
    <row r="2445" spans="1:5" x14ac:dyDescent="0.25">
      <c r="A2445" s="1">
        <v>45177</v>
      </c>
      <c r="B2445">
        <v>4</v>
      </c>
      <c r="C2445" t="s">
        <v>8</v>
      </c>
      <c r="D2445">
        <v>259</v>
      </c>
      <c r="E2445">
        <v>4172.51</v>
      </c>
    </row>
    <row r="2446" spans="1:5" x14ac:dyDescent="0.25">
      <c r="A2446" s="1">
        <v>45178</v>
      </c>
      <c r="B2446">
        <v>4</v>
      </c>
      <c r="C2446" t="s">
        <v>8</v>
      </c>
      <c r="D2446">
        <v>234</v>
      </c>
      <c r="E2446">
        <v>3904.91</v>
      </c>
    </row>
    <row r="2447" spans="1:5" x14ac:dyDescent="0.25">
      <c r="A2447" s="1">
        <v>45179</v>
      </c>
      <c r="B2447">
        <v>4</v>
      </c>
      <c r="C2447" t="s">
        <v>8</v>
      </c>
      <c r="D2447">
        <v>257</v>
      </c>
      <c r="E2447">
        <v>3772.01</v>
      </c>
    </row>
    <row r="2448" spans="1:5" x14ac:dyDescent="0.25">
      <c r="A2448" s="1">
        <v>45180</v>
      </c>
      <c r="B2448">
        <v>4</v>
      </c>
      <c r="C2448" t="s">
        <v>8</v>
      </c>
      <c r="D2448">
        <v>240</v>
      </c>
      <c r="E2448">
        <v>3485.9</v>
      </c>
    </row>
    <row r="2449" spans="1:5" x14ac:dyDescent="0.25">
      <c r="A2449" s="1">
        <v>45181</v>
      </c>
      <c r="B2449">
        <v>4</v>
      </c>
      <c r="C2449" t="s">
        <v>8</v>
      </c>
      <c r="D2449">
        <v>252</v>
      </c>
      <c r="E2449">
        <v>3762.86</v>
      </c>
    </row>
    <row r="2450" spans="1:5" x14ac:dyDescent="0.25">
      <c r="A2450" s="1">
        <v>45182</v>
      </c>
      <c r="B2450">
        <v>4</v>
      </c>
      <c r="C2450" t="s">
        <v>8</v>
      </c>
      <c r="D2450">
        <v>236</v>
      </c>
      <c r="E2450">
        <v>3556.68</v>
      </c>
    </row>
    <row r="2451" spans="1:5" x14ac:dyDescent="0.25">
      <c r="A2451" s="1">
        <v>45183</v>
      </c>
      <c r="B2451">
        <v>4</v>
      </c>
      <c r="C2451" t="s">
        <v>8</v>
      </c>
      <c r="D2451">
        <v>206</v>
      </c>
      <c r="E2451">
        <v>3279.29</v>
      </c>
    </row>
    <row r="2452" spans="1:5" x14ac:dyDescent="0.25">
      <c r="A2452" s="1">
        <v>45184</v>
      </c>
      <c r="B2452">
        <v>4</v>
      </c>
      <c r="C2452" t="s">
        <v>8</v>
      </c>
      <c r="D2452">
        <v>217</v>
      </c>
      <c r="E2452">
        <v>3077.88</v>
      </c>
    </row>
    <row r="2453" spans="1:5" x14ac:dyDescent="0.25">
      <c r="A2453" s="1">
        <v>45185</v>
      </c>
      <c r="B2453">
        <v>4</v>
      </c>
      <c r="C2453" t="s">
        <v>8</v>
      </c>
      <c r="D2453">
        <v>261</v>
      </c>
      <c r="E2453">
        <v>4086.2</v>
      </c>
    </row>
    <row r="2454" spans="1:5" x14ac:dyDescent="0.25">
      <c r="A2454" s="1">
        <v>45186</v>
      </c>
      <c r="B2454">
        <v>4</v>
      </c>
      <c r="C2454" t="s">
        <v>8</v>
      </c>
      <c r="D2454">
        <v>255</v>
      </c>
      <c r="E2454">
        <v>3968.87</v>
      </c>
    </row>
    <row r="2455" spans="1:5" x14ac:dyDescent="0.25">
      <c r="A2455" s="1">
        <v>45187</v>
      </c>
      <c r="B2455">
        <v>4</v>
      </c>
      <c r="C2455" t="s">
        <v>8</v>
      </c>
      <c r="D2455">
        <v>231</v>
      </c>
      <c r="E2455">
        <v>3475.29</v>
      </c>
    </row>
    <row r="2456" spans="1:5" x14ac:dyDescent="0.25">
      <c r="A2456" s="1">
        <v>45188</v>
      </c>
      <c r="B2456">
        <v>4</v>
      </c>
      <c r="C2456" t="s">
        <v>8</v>
      </c>
      <c r="D2456">
        <v>232</v>
      </c>
      <c r="E2456">
        <v>3622.59</v>
      </c>
    </row>
    <row r="2457" spans="1:5" x14ac:dyDescent="0.25">
      <c r="A2457" s="1">
        <v>45189</v>
      </c>
      <c r="B2457">
        <v>4</v>
      </c>
      <c r="C2457" t="s">
        <v>8</v>
      </c>
      <c r="D2457">
        <v>228</v>
      </c>
      <c r="E2457">
        <v>3325.93</v>
      </c>
    </row>
    <row r="2458" spans="1:5" x14ac:dyDescent="0.25">
      <c r="A2458" s="1">
        <v>45190</v>
      </c>
      <c r="B2458">
        <v>4</v>
      </c>
      <c r="C2458" t="s">
        <v>8</v>
      </c>
      <c r="D2458">
        <v>259</v>
      </c>
      <c r="E2458">
        <v>3921.82</v>
      </c>
    </row>
    <row r="2459" spans="1:5" x14ac:dyDescent="0.25">
      <c r="A2459" s="1">
        <v>45191</v>
      </c>
      <c r="B2459">
        <v>4</v>
      </c>
      <c r="C2459" t="s">
        <v>8</v>
      </c>
      <c r="D2459">
        <v>221</v>
      </c>
      <c r="E2459">
        <v>3290.87</v>
      </c>
    </row>
    <row r="2460" spans="1:5" x14ac:dyDescent="0.25">
      <c r="A2460" s="1">
        <v>45192</v>
      </c>
      <c r="B2460">
        <v>4</v>
      </c>
      <c r="C2460" t="s">
        <v>8</v>
      </c>
      <c r="D2460">
        <v>228</v>
      </c>
      <c r="E2460">
        <v>3818.34</v>
      </c>
    </row>
    <row r="2461" spans="1:5" x14ac:dyDescent="0.25">
      <c r="A2461" s="1">
        <v>45193</v>
      </c>
      <c r="B2461">
        <v>4</v>
      </c>
      <c r="C2461" t="s">
        <v>8</v>
      </c>
      <c r="D2461">
        <v>228</v>
      </c>
      <c r="E2461">
        <v>3480.11</v>
      </c>
    </row>
    <row r="2462" spans="1:5" x14ac:dyDescent="0.25">
      <c r="A2462" s="1">
        <v>45194</v>
      </c>
      <c r="B2462">
        <v>4</v>
      </c>
      <c r="C2462" t="s">
        <v>8</v>
      </c>
      <c r="D2462">
        <v>228</v>
      </c>
      <c r="E2462">
        <v>3895.47</v>
      </c>
    </row>
    <row r="2463" spans="1:5" x14ac:dyDescent="0.25">
      <c r="A2463" s="1">
        <v>45195</v>
      </c>
      <c r="B2463">
        <v>4</v>
      </c>
      <c r="C2463" t="s">
        <v>8</v>
      </c>
      <c r="D2463">
        <v>281</v>
      </c>
      <c r="E2463">
        <v>4104.7700000000004</v>
      </c>
    </row>
    <row r="2464" spans="1:5" x14ac:dyDescent="0.25">
      <c r="A2464" s="1">
        <v>45196</v>
      </c>
      <c r="B2464">
        <v>4</v>
      </c>
      <c r="C2464" t="s">
        <v>8</v>
      </c>
      <c r="D2464">
        <v>205</v>
      </c>
      <c r="E2464">
        <v>2985.15</v>
      </c>
    </row>
    <row r="2465" spans="1:5" x14ac:dyDescent="0.25">
      <c r="A2465" s="1">
        <v>45197</v>
      </c>
      <c r="B2465">
        <v>4</v>
      </c>
      <c r="C2465" t="s">
        <v>8</v>
      </c>
      <c r="D2465">
        <v>225</v>
      </c>
      <c r="E2465">
        <v>3503.03</v>
      </c>
    </row>
    <row r="2466" spans="1:5" x14ac:dyDescent="0.25">
      <c r="A2466" s="1">
        <v>45198</v>
      </c>
      <c r="B2466">
        <v>4</v>
      </c>
      <c r="C2466" t="s">
        <v>8</v>
      </c>
      <c r="D2466">
        <v>221</v>
      </c>
      <c r="E2466">
        <v>3488.75</v>
      </c>
    </row>
    <row r="2467" spans="1:5" x14ac:dyDescent="0.25">
      <c r="A2467" s="1">
        <v>45199</v>
      </c>
      <c r="B2467">
        <v>4</v>
      </c>
      <c r="C2467" t="s">
        <v>8</v>
      </c>
      <c r="D2467">
        <v>235</v>
      </c>
      <c r="E2467">
        <v>3475.57</v>
      </c>
    </row>
    <row r="2468" spans="1:5" x14ac:dyDescent="0.25">
      <c r="A2468" s="1">
        <v>45200</v>
      </c>
      <c r="B2468">
        <v>4</v>
      </c>
      <c r="C2468" t="s">
        <v>8</v>
      </c>
      <c r="D2468">
        <v>284</v>
      </c>
      <c r="E2468">
        <v>4241.68</v>
      </c>
    </row>
    <row r="2469" spans="1:5" x14ac:dyDescent="0.25">
      <c r="A2469" s="1">
        <v>45201</v>
      </c>
      <c r="B2469">
        <v>4</v>
      </c>
      <c r="C2469" t="s">
        <v>8</v>
      </c>
      <c r="D2469">
        <v>188</v>
      </c>
      <c r="E2469">
        <v>2771.16</v>
      </c>
    </row>
    <row r="2470" spans="1:5" x14ac:dyDescent="0.25">
      <c r="A2470" s="1">
        <v>45202</v>
      </c>
      <c r="B2470">
        <v>4</v>
      </c>
      <c r="C2470" t="s">
        <v>8</v>
      </c>
      <c r="D2470">
        <v>210</v>
      </c>
      <c r="E2470">
        <v>3085.81</v>
      </c>
    </row>
    <row r="2471" spans="1:5" x14ac:dyDescent="0.25">
      <c r="A2471" s="1">
        <v>45203</v>
      </c>
      <c r="B2471">
        <v>4</v>
      </c>
      <c r="C2471" t="s">
        <v>8</v>
      </c>
      <c r="D2471">
        <v>214</v>
      </c>
      <c r="E2471">
        <v>3636.23</v>
      </c>
    </row>
    <row r="2472" spans="1:5" x14ac:dyDescent="0.25">
      <c r="A2472" s="1">
        <v>45204</v>
      </c>
      <c r="B2472">
        <v>4</v>
      </c>
      <c r="C2472" t="s">
        <v>8</v>
      </c>
      <c r="D2472">
        <v>230</v>
      </c>
      <c r="E2472">
        <v>3945.98</v>
      </c>
    </row>
    <row r="2473" spans="1:5" x14ac:dyDescent="0.25">
      <c r="A2473" s="1">
        <v>45205</v>
      </c>
      <c r="B2473">
        <v>4</v>
      </c>
      <c r="C2473" t="s">
        <v>8</v>
      </c>
      <c r="D2473">
        <v>229</v>
      </c>
      <c r="E2473">
        <v>3880.85</v>
      </c>
    </row>
    <row r="2474" spans="1:5" x14ac:dyDescent="0.25">
      <c r="A2474" s="1">
        <v>45206</v>
      </c>
      <c r="B2474">
        <v>4</v>
      </c>
      <c r="C2474" t="s">
        <v>8</v>
      </c>
      <c r="D2474">
        <v>254</v>
      </c>
      <c r="E2474">
        <v>3898</v>
      </c>
    </row>
    <row r="2475" spans="1:5" x14ac:dyDescent="0.25">
      <c r="A2475" s="1">
        <v>45207</v>
      </c>
      <c r="B2475">
        <v>4</v>
      </c>
      <c r="C2475" t="s">
        <v>8</v>
      </c>
      <c r="D2475">
        <v>234</v>
      </c>
      <c r="E2475">
        <v>3716.42</v>
      </c>
    </row>
    <row r="2476" spans="1:5" x14ac:dyDescent="0.25">
      <c r="A2476" s="1">
        <v>45208</v>
      </c>
      <c r="B2476">
        <v>4</v>
      </c>
      <c r="C2476" t="s">
        <v>8</v>
      </c>
      <c r="D2476">
        <v>232</v>
      </c>
      <c r="E2476">
        <v>3683.56</v>
      </c>
    </row>
    <row r="2477" spans="1:5" x14ac:dyDescent="0.25">
      <c r="A2477" s="1">
        <v>45209</v>
      </c>
      <c r="B2477">
        <v>4</v>
      </c>
      <c r="C2477" t="s">
        <v>8</v>
      </c>
      <c r="D2477">
        <v>238</v>
      </c>
      <c r="E2477">
        <v>3756.3</v>
      </c>
    </row>
    <row r="2478" spans="1:5" x14ac:dyDescent="0.25">
      <c r="A2478" s="1">
        <v>45210</v>
      </c>
      <c r="B2478">
        <v>4</v>
      </c>
      <c r="C2478" t="s">
        <v>8</v>
      </c>
      <c r="D2478">
        <v>227</v>
      </c>
      <c r="E2478">
        <v>3713.29</v>
      </c>
    </row>
    <row r="2479" spans="1:5" x14ac:dyDescent="0.25">
      <c r="A2479" s="1">
        <v>45211</v>
      </c>
      <c r="B2479">
        <v>4</v>
      </c>
      <c r="C2479" t="s">
        <v>8</v>
      </c>
      <c r="D2479">
        <v>206</v>
      </c>
      <c r="E2479">
        <v>3257.88</v>
      </c>
    </row>
    <row r="2480" spans="1:5" x14ac:dyDescent="0.25">
      <c r="A2480" s="1">
        <v>45212</v>
      </c>
      <c r="B2480">
        <v>4</v>
      </c>
      <c r="C2480" t="s">
        <v>8</v>
      </c>
      <c r="D2480">
        <v>229</v>
      </c>
      <c r="E2480">
        <v>3491.87</v>
      </c>
    </row>
    <row r="2481" spans="1:5" x14ac:dyDescent="0.25">
      <c r="A2481" s="1">
        <v>45213</v>
      </c>
      <c r="B2481">
        <v>4</v>
      </c>
      <c r="C2481" t="s">
        <v>8</v>
      </c>
      <c r="D2481">
        <v>260</v>
      </c>
      <c r="E2481">
        <v>3984.62</v>
      </c>
    </row>
    <row r="2482" spans="1:5" x14ac:dyDescent="0.25">
      <c r="A2482" s="1">
        <v>45214</v>
      </c>
      <c r="B2482">
        <v>4</v>
      </c>
      <c r="C2482" t="s">
        <v>8</v>
      </c>
      <c r="D2482">
        <v>249</v>
      </c>
      <c r="E2482">
        <v>4121.95</v>
      </c>
    </row>
    <row r="2483" spans="1:5" x14ac:dyDescent="0.25">
      <c r="A2483" s="1">
        <v>45215</v>
      </c>
      <c r="B2483">
        <v>4</v>
      </c>
      <c r="C2483" t="s">
        <v>8</v>
      </c>
      <c r="D2483">
        <v>203</v>
      </c>
      <c r="E2483">
        <v>3152.77</v>
      </c>
    </row>
    <row r="2484" spans="1:5" x14ac:dyDescent="0.25">
      <c r="A2484" s="1">
        <v>45216</v>
      </c>
      <c r="B2484">
        <v>4</v>
      </c>
      <c r="C2484" t="s">
        <v>8</v>
      </c>
      <c r="D2484">
        <v>244</v>
      </c>
      <c r="E2484">
        <v>3517.86</v>
      </c>
    </row>
    <row r="2485" spans="1:5" x14ac:dyDescent="0.25">
      <c r="A2485" s="1">
        <v>45217</v>
      </c>
      <c r="B2485">
        <v>4</v>
      </c>
      <c r="C2485" t="s">
        <v>8</v>
      </c>
      <c r="D2485">
        <v>241</v>
      </c>
      <c r="E2485">
        <v>3811.88</v>
      </c>
    </row>
    <row r="2486" spans="1:5" x14ac:dyDescent="0.25">
      <c r="A2486" s="1">
        <v>45218</v>
      </c>
      <c r="B2486">
        <v>4</v>
      </c>
      <c r="C2486" t="s">
        <v>8</v>
      </c>
      <c r="D2486">
        <v>244</v>
      </c>
      <c r="E2486">
        <v>3692.75</v>
      </c>
    </row>
    <row r="2487" spans="1:5" x14ac:dyDescent="0.25">
      <c r="A2487" s="1">
        <v>45219</v>
      </c>
      <c r="B2487">
        <v>4</v>
      </c>
      <c r="C2487" t="s">
        <v>8</v>
      </c>
      <c r="D2487">
        <v>242</v>
      </c>
      <c r="E2487">
        <v>3785.56</v>
      </c>
    </row>
    <row r="2488" spans="1:5" x14ac:dyDescent="0.25">
      <c r="A2488" s="1">
        <v>45220</v>
      </c>
      <c r="B2488">
        <v>4</v>
      </c>
      <c r="C2488" t="s">
        <v>8</v>
      </c>
      <c r="D2488">
        <v>233</v>
      </c>
      <c r="E2488">
        <v>3959.89</v>
      </c>
    </row>
    <row r="2489" spans="1:5" x14ac:dyDescent="0.25">
      <c r="A2489" s="1">
        <v>45221</v>
      </c>
      <c r="B2489">
        <v>4</v>
      </c>
      <c r="C2489" t="s">
        <v>8</v>
      </c>
      <c r="D2489">
        <v>215</v>
      </c>
      <c r="E2489">
        <v>3507.45</v>
      </c>
    </row>
    <row r="2490" spans="1:5" x14ac:dyDescent="0.25">
      <c r="A2490" s="1">
        <v>45222</v>
      </c>
      <c r="B2490">
        <v>4</v>
      </c>
      <c r="C2490" t="s">
        <v>8</v>
      </c>
      <c r="D2490">
        <v>237</v>
      </c>
      <c r="E2490">
        <v>3484.46</v>
      </c>
    </row>
    <row r="2491" spans="1:5" x14ac:dyDescent="0.25">
      <c r="A2491" s="1">
        <v>45223</v>
      </c>
      <c r="B2491">
        <v>4</v>
      </c>
      <c r="C2491" t="s">
        <v>8</v>
      </c>
      <c r="D2491">
        <v>187</v>
      </c>
      <c r="E2491">
        <v>2905.54</v>
      </c>
    </row>
    <row r="2492" spans="1:5" x14ac:dyDescent="0.25">
      <c r="A2492" s="1">
        <v>45224</v>
      </c>
      <c r="B2492">
        <v>4</v>
      </c>
      <c r="C2492" t="s">
        <v>8</v>
      </c>
      <c r="D2492">
        <v>201</v>
      </c>
      <c r="E2492">
        <v>3179.51</v>
      </c>
    </row>
    <row r="2493" spans="1:5" x14ac:dyDescent="0.25">
      <c r="A2493" s="1">
        <v>45225</v>
      </c>
      <c r="B2493">
        <v>4</v>
      </c>
      <c r="C2493" t="s">
        <v>8</v>
      </c>
      <c r="D2493">
        <v>205</v>
      </c>
      <c r="E2493">
        <v>2929.24</v>
      </c>
    </row>
    <row r="2494" spans="1:5" x14ac:dyDescent="0.25">
      <c r="A2494" s="1">
        <v>45226</v>
      </c>
      <c r="B2494">
        <v>4</v>
      </c>
      <c r="C2494" t="s">
        <v>8</v>
      </c>
      <c r="D2494">
        <v>229</v>
      </c>
      <c r="E2494">
        <v>3740.85</v>
      </c>
    </row>
    <row r="2495" spans="1:5" x14ac:dyDescent="0.25">
      <c r="A2495" s="1">
        <v>45227</v>
      </c>
      <c r="B2495">
        <v>4</v>
      </c>
      <c r="C2495" t="s">
        <v>8</v>
      </c>
      <c r="D2495">
        <v>235</v>
      </c>
      <c r="E2495">
        <v>3753.58</v>
      </c>
    </row>
    <row r="2496" spans="1:5" x14ac:dyDescent="0.25">
      <c r="A2496" s="1">
        <v>45228</v>
      </c>
      <c r="B2496">
        <v>4</v>
      </c>
      <c r="C2496" t="s">
        <v>8</v>
      </c>
      <c r="D2496">
        <v>261</v>
      </c>
      <c r="E2496">
        <v>4181.3999999999996</v>
      </c>
    </row>
    <row r="2497" spans="1:5" x14ac:dyDescent="0.25">
      <c r="A2497" s="1">
        <v>45229</v>
      </c>
      <c r="B2497">
        <v>4</v>
      </c>
      <c r="C2497" t="s">
        <v>8</v>
      </c>
      <c r="D2497">
        <v>259</v>
      </c>
      <c r="E2497">
        <v>4038.18</v>
      </c>
    </row>
    <row r="2498" spans="1:5" x14ac:dyDescent="0.25">
      <c r="A2498" s="1">
        <v>45230</v>
      </c>
      <c r="B2498">
        <v>4</v>
      </c>
      <c r="C2498" t="s">
        <v>8</v>
      </c>
      <c r="D2498">
        <v>267</v>
      </c>
      <c r="E2498">
        <v>3781.16</v>
      </c>
    </row>
    <row r="2499" spans="1:5" x14ac:dyDescent="0.25">
      <c r="A2499" s="1">
        <v>45231</v>
      </c>
      <c r="B2499">
        <v>4</v>
      </c>
      <c r="C2499" t="s">
        <v>8</v>
      </c>
      <c r="D2499">
        <v>231</v>
      </c>
      <c r="E2499">
        <v>3449.89</v>
      </c>
    </row>
    <row r="2500" spans="1:5" x14ac:dyDescent="0.25">
      <c r="A2500" s="1">
        <v>45232</v>
      </c>
      <c r="B2500">
        <v>4</v>
      </c>
      <c r="C2500" t="s">
        <v>8</v>
      </c>
      <c r="D2500">
        <v>187</v>
      </c>
      <c r="E2500">
        <v>2978.54</v>
      </c>
    </row>
    <row r="2501" spans="1:5" x14ac:dyDescent="0.25">
      <c r="A2501" s="1">
        <v>45233</v>
      </c>
      <c r="B2501">
        <v>4</v>
      </c>
      <c r="C2501" t="s">
        <v>8</v>
      </c>
      <c r="D2501">
        <v>247</v>
      </c>
      <c r="E2501">
        <v>3645.98</v>
      </c>
    </row>
    <row r="2502" spans="1:5" x14ac:dyDescent="0.25">
      <c r="A2502" s="1">
        <v>45234</v>
      </c>
      <c r="B2502">
        <v>4</v>
      </c>
      <c r="C2502" t="s">
        <v>8</v>
      </c>
      <c r="D2502">
        <v>249</v>
      </c>
      <c r="E2502">
        <v>3719.09</v>
      </c>
    </row>
    <row r="2503" spans="1:5" x14ac:dyDescent="0.25">
      <c r="A2503" s="1">
        <v>45235</v>
      </c>
      <c r="B2503">
        <v>4</v>
      </c>
      <c r="C2503" t="s">
        <v>8</v>
      </c>
      <c r="D2503">
        <v>246</v>
      </c>
      <c r="E2503">
        <v>3750.25</v>
      </c>
    </row>
    <row r="2504" spans="1:5" x14ac:dyDescent="0.25">
      <c r="A2504" s="1">
        <v>45236</v>
      </c>
      <c r="B2504">
        <v>4</v>
      </c>
      <c r="C2504" t="s">
        <v>8</v>
      </c>
      <c r="D2504">
        <v>193</v>
      </c>
      <c r="E2504">
        <v>3060.56</v>
      </c>
    </row>
    <row r="2505" spans="1:5" x14ac:dyDescent="0.25">
      <c r="A2505" s="1">
        <v>45237</v>
      </c>
      <c r="B2505">
        <v>4</v>
      </c>
      <c r="C2505" t="s">
        <v>8</v>
      </c>
      <c r="D2505">
        <v>197</v>
      </c>
      <c r="E2505">
        <v>3136.82</v>
      </c>
    </row>
    <row r="2506" spans="1:5" x14ac:dyDescent="0.25">
      <c r="A2506" s="1">
        <v>45238</v>
      </c>
      <c r="B2506">
        <v>4</v>
      </c>
      <c r="C2506" t="s">
        <v>8</v>
      </c>
      <c r="D2506">
        <v>217</v>
      </c>
      <c r="E2506">
        <v>3333.43</v>
      </c>
    </row>
    <row r="2507" spans="1:5" x14ac:dyDescent="0.25">
      <c r="A2507" s="1">
        <v>45239</v>
      </c>
      <c r="B2507">
        <v>4</v>
      </c>
      <c r="C2507" t="s">
        <v>8</v>
      </c>
      <c r="D2507">
        <v>238</v>
      </c>
      <c r="E2507">
        <v>3755.19</v>
      </c>
    </row>
    <row r="2508" spans="1:5" x14ac:dyDescent="0.25">
      <c r="A2508" s="1">
        <v>45240</v>
      </c>
      <c r="B2508">
        <v>4</v>
      </c>
      <c r="C2508" t="s">
        <v>8</v>
      </c>
      <c r="D2508">
        <v>205</v>
      </c>
      <c r="E2508">
        <v>3178.99</v>
      </c>
    </row>
    <row r="2509" spans="1:5" x14ac:dyDescent="0.25">
      <c r="A2509" s="1">
        <v>45241</v>
      </c>
      <c r="B2509">
        <v>4</v>
      </c>
      <c r="C2509" t="s">
        <v>8</v>
      </c>
      <c r="D2509">
        <v>274</v>
      </c>
      <c r="E2509">
        <v>4085.01</v>
      </c>
    </row>
    <row r="2510" spans="1:5" x14ac:dyDescent="0.25">
      <c r="A2510" s="1">
        <v>45242</v>
      </c>
      <c r="B2510">
        <v>4</v>
      </c>
      <c r="C2510" t="s">
        <v>8</v>
      </c>
      <c r="D2510">
        <v>246</v>
      </c>
      <c r="E2510">
        <v>3925.83</v>
      </c>
    </row>
    <row r="2511" spans="1:5" x14ac:dyDescent="0.25">
      <c r="A2511" s="1">
        <v>45243</v>
      </c>
      <c r="B2511">
        <v>4</v>
      </c>
      <c r="C2511" t="s">
        <v>8</v>
      </c>
      <c r="D2511">
        <v>190</v>
      </c>
      <c r="E2511">
        <v>2824.28</v>
      </c>
    </row>
    <row r="2512" spans="1:5" x14ac:dyDescent="0.25">
      <c r="A2512" s="1">
        <v>45244</v>
      </c>
      <c r="B2512">
        <v>4</v>
      </c>
      <c r="C2512" t="s">
        <v>8</v>
      </c>
      <c r="D2512">
        <v>229</v>
      </c>
      <c r="E2512">
        <v>3675.57</v>
      </c>
    </row>
    <row r="2513" spans="1:5" x14ac:dyDescent="0.25">
      <c r="A2513" s="1">
        <v>45245</v>
      </c>
      <c r="B2513">
        <v>4</v>
      </c>
      <c r="C2513" t="s">
        <v>8</v>
      </c>
      <c r="D2513">
        <v>225</v>
      </c>
      <c r="E2513">
        <v>3794.04</v>
      </c>
    </row>
    <row r="2514" spans="1:5" x14ac:dyDescent="0.25">
      <c r="A2514" s="1">
        <v>45246</v>
      </c>
      <c r="B2514">
        <v>4</v>
      </c>
      <c r="C2514" t="s">
        <v>8</v>
      </c>
      <c r="D2514">
        <v>207</v>
      </c>
      <c r="E2514">
        <v>2882.02</v>
      </c>
    </row>
    <row r="2515" spans="1:5" x14ac:dyDescent="0.25">
      <c r="A2515" s="1">
        <v>45247</v>
      </c>
      <c r="B2515">
        <v>4</v>
      </c>
      <c r="C2515" t="s">
        <v>8</v>
      </c>
      <c r="D2515">
        <v>198</v>
      </c>
      <c r="E2515">
        <v>3350.62</v>
      </c>
    </row>
    <row r="2516" spans="1:5" x14ac:dyDescent="0.25">
      <c r="A2516" s="1">
        <v>45248</v>
      </c>
      <c r="B2516">
        <v>4</v>
      </c>
      <c r="C2516" t="s">
        <v>8</v>
      </c>
      <c r="D2516">
        <v>242</v>
      </c>
      <c r="E2516">
        <v>4043.6</v>
      </c>
    </row>
    <row r="2517" spans="1:5" x14ac:dyDescent="0.25">
      <c r="A2517" s="1">
        <v>45249</v>
      </c>
      <c r="B2517">
        <v>4</v>
      </c>
      <c r="C2517" t="s">
        <v>8</v>
      </c>
      <c r="D2517">
        <v>235</v>
      </c>
      <c r="E2517">
        <v>3242.32</v>
      </c>
    </row>
    <row r="2518" spans="1:5" x14ac:dyDescent="0.25">
      <c r="A2518" s="1">
        <v>45250</v>
      </c>
      <c r="B2518">
        <v>4</v>
      </c>
      <c r="C2518" t="s">
        <v>8</v>
      </c>
      <c r="D2518">
        <v>206</v>
      </c>
      <c r="E2518">
        <v>3358.62</v>
      </c>
    </row>
    <row r="2519" spans="1:5" x14ac:dyDescent="0.25">
      <c r="A2519" s="1">
        <v>45251</v>
      </c>
      <c r="B2519">
        <v>4</v>
      </c>
      <c r="C2519" t="s">
        <v>8</v>
      </c>
      <c r="D2519">
        <v>188</v>
      </c>
      <c r="E2519">
        <v>2949.73</v>
      </c>
    </row>
    <row r="2520" spans="1:5" x14ac:dyDescent="0.25">
      <c r="A2520" s="1">
        <v>45252</v>
      </c>
      <c r="B2520">
        <v>4</v>
      </c>
      <c r="C2520" t="s">
        <v>8</v>
      </c>
      <c r="D2520">
        <v>203</v>
      </c>
      <c r="E2520">
        <v>2835.58</v>
      </c>
    </row>
    <row r="2521" spans="1:5" x14ac:dyDescent="0.25">
      <c r="A2521" s="1">
        <v>45253</v>
      </c>
      <c r="B2521">
        <v>4</v>
      </c>
      <c r="C2521" t="s">
        <v>8</v>
      </c>
      <c r="D2521">
        <v>207</v>
      </c>
      <c r="E2521">
        <v>3172.98</v>
      </c>
    </row>
    <row r="2522" spans="1:5" x14ac:dyDescent="0.25">
      <c r="A2522" s="1">
        <v>45254</v>
      </c>
      <c r="B2522">
        <v>4</v>
      </c>
      <c r="C2522" t="s">
        <v>8</v>
      </c>
      <c r="D2522">
        <v>205</v>
      </c>
      <c r="E2522">
        <v>3322.02</v>
      </c>
    </row>
    <row r="2523" spans="1:5" x14ac:dyDescent="0.25">
      <c r="A2523" s="1">
        <v>45255</v>
      </c>
      <c r="B2523">
        <v>4</v>
      </c>
      <c r="C2523" t="s">
        <v>8</v>
      </c>
      <c r="D2523">
        <v>231</v>
      </c>
      <c r="E2523">
        <v>3858.58</v>
      </c>
    </row>
    <row r="2524" spans="1:5" x14ac:dyDescent="0.25">
      <c r="A2524" s="1">
        <v>45256</v>
      </c>
      <c r="B2524">
        <v>4</v>
      </c>
      <c r="C2524" t="s">
        <v>8</v>
      </c>
      <c r="D2524">
        <v>232</v>
      </c>
      <c r="E2524">
        <v>3695.62</v>
      </c>
    </row>
    <row r="2525" spans="1:5" x14ac:dyDescent="0.25">
      <c r="A2525" s="1">
        <v>45257</v>
      </c>
      <c r="B2525">
        <v>4</v>
      </c>
      <c r="C2525" t="s">
        <v>8</v>
      </c>
      <c r="D2525">
        <v>203</v>
      </c>
      <c r="E2525">
        <v>3213.52</v>
      </c>
    </row>
    <row r="2526" spans="1:5" x14ac:dyDescent="0.25">
      <c r="A2526" s="1">
        <v>45258</v>
      </c>
      <c r="B2526">
        <v>4</v>
      </c>
      <c r="C2526" t="s">
        <v>8</v>
      </c>
      <c r="D2526">
        <v>229</v>
      </c>
      <c r="E2526">
        <v>3671.61</v>
      </c>
    </row>
    <row r="2527" spans="1:5" x14ac:dyDescent="0.25">
      <c r="A2527" s="1">
        <v>45259</v>
      </c>
      <c r="B2527">
        <v>4</v>
      </c>
      <c r="C2527" t="s">
        <v>8</v>
      </c>
      <c r="D2527">
        <v>221</v>
      </c>
      <c r="E2527">
        <v>3637.52</v>
      </c>
    </row>
    <row r="2528" spans="1:5" x14ac:dyDescent="0.25">
      <c r="A2528" s="1">
        <v>45260</v>
      </c>
      <c r="B2528">
        <v>4</v>
      </c>
      <c r="C2528" t="s">
        <v>8</v>
      </c>
      <c r="D2528">
        <v>180</v>
      </c>
      <c r="E2528">
        <v>2633.3</v>
      </c>
    </row>
    <row r="2529" spans="1:5" x14ac:dyDescent="0.25">
      <c r="A2529" s="1">
        <v>45261</v>
      </c>
      <c r="B2529">
        <v>4</v>
      </c>
      <c r="C2529" t="s">
        <v>8</v>
      </c>
      <c r="D2529">
        <v>176</v>
      </c>
      <c r="E2529">
        <v>2801.02</v>
      </c>
    </row>
    <row r="2530" spans="1:5" x14ac:dyDescent="0.25">
      <c r="A2530" s="1">
        <v>45262</v>
      </c>
      <c r="B2530">
        <v>4</v>
      </c>
      <c r="C2530" t="s">
        <v>8</v>
      </c>
      <c r="D2530">
        <v>248</v>
      </c>
      <c r="E2530">
        <v>4101.1400000000003</v>
      </c>
    </row>
    <row r="2531" spans="1:5" x14ac:dyDescent="0.25">
      <c r="A2531" s="1">
        <v>45263</v>
      </c>
      <c r="B2531">
        <v>4</v>
      </c>
      <c r="C2531" t="s">
        <v>8</v>
      </c>
      <c r="D2531">
        <v>230</v>
      </c>
      <c r="E2531">
        <v>3682.72</v>
      </c>
    </row>
    <row r="2532" spans="1:5" x14ac:dyDescent="0.25">
      <c r="A2532" s="1">
        <v>45264</v>
      </c>
      <c r="B2532">
        <v>4</v>
      </c>
      <c r="C2532" t="s">
        <v>8</v>
      </c>
      <c r="D2532">
        <v>184</v>
      </c>
      <c r="E2532">
        <v>2848.73</v>
      </c>
    </row>
    <row r="2533" spans="1:5" x14ac:dyDescent="0.25">
      <c r="A2533" s="1">
        <v>45265</v>
      </c>
      <c r="B2533">
        <v>4</v>
      </c>
      <c r="C2533" t="s">
        <v>8</v>
      </c>
      <c r="D2533">
        <v>217</v>
      </c>
      <c r="E2533">
        <v>3233.29</v>
      </c>
    </row>
    <row r="2534" spans="1:5" x14ac:dyDescent="0.25">
      <c r="A2534" s="1">
        <v>45266</v>
      </c>
      <c r="B2534">
        <v>4</v>
      </c>
      <c r="C2534" t="s">
        <v>8</v>
      </c>
      <c r="D2534">
        <v>189</v>
      </c>
      <c r="E2534">
        <v>3343.9</v>
      </c>
    </row>
    <row r="2535" spans="1:5" x14ac:dyDescent="0.25">
      <c r="A2535" s="1">
        <v>45267</v>
      </c>
      <c r="B2535">
        <v>4</v>
      </c>
      <c r="C2535" t="s">
        <v>8</v>
      </c>
      <c r="D2535">
        <v>192</v>
      </c>
      <c r="E2535">
        <v>2971.39</v>
      </c>
    </row>
    <row r="2536" spans="1:5" x14ac:dyDescent="0.25">
      <c r="A2536" s="1">
        <v>45268</v>
      </c>
      <c r="B2536">
        <v>4</v>
      </c>
      <c r="C2536" t="s">
        <v>8</v>
      </c>
      <c r="D2536">
        <v>198</v>
      </c>
      <c r="E2536">
        <v>3001.76</v>
      </c>
    </row>
    <row r="2537" spans="1:5" x14ac:dyDescent="0.25">
      <c r="A2537" s="1">
        <v>45269</v>
      </c>
      <c r="B2537">
        <v>4</v>
      </c>
      <c r="C2537" t="s">
        <v>8</v>
      </c>
      <c r="D2537">
        <v>205</v>
      </c>
      <c r="E2537">
        <v>2964.89</v>
      </c>
    </row>
    <row r="2538" spans="1:5" x14ac:dyDescent="0.25">
      <c r="A2538" s="1">
        <v>45270</v>
      </c>
      <c r="B2538">
        <v>4</v>
      </c>
      <c r="C2538" t="s">
        <v>8</v>
      </c>
      <c r="D2538">
        <v>237</v>
      </c>
      <c r="E2538">
        <v>3633.92</v>
      </c>
    </row>
    <row r="2539" spans="1:5" x14ac:dyDescent="0.25">
      <c r="A2539" s="1">
        <v>45271</v>
      </c>
      <c r="B2539">
        <v>4</v>
      </c>
      <c r="C2539" t="s">
        <v>8</v>
      </c>
      <c r="D2539">
        <v>197</v>
      </c>
      <c r="E2539">
        <v>3033.97</v>
      </c>
    </row>
    <row r="2540" spans="1:5" x14ac:dyDescent="0.25">
      <c r="A2540" s="1">
        <v>45272</v>
      </c>
      <c r="B2540">
        <v>4</v>
      </c>
      <c r="C2540" t="s">
        <v>8</v>
      </c>
      <c r="D2540">
        <v>197</v>
      </c>
      <c r="E2540">
        <v>3074.6</v>
      </c>
    </row>
    <row r="2541" spans="1:5" x14ac:dyDescent="0.25">
      <c r="A2541" s="1">
        <v>45273</v>
      </c>
      <c r="B2541">
        <v>4</v>
      </c>
      <c r="C2541" t="s">
        <v>8</v>
      </c>
      <c r="D2541">
        <v>195</v>
      </c>
      <c r="E2541">
        <v>3147.09</v>
      </c>
    </row>
    <row r="2542" spans="1:5" x14ac:dyDescent="0.25">
      <c r="A2542" s="1">
        <v>45274</v>
      </c>
      <c r="B2542">
        <v>4</v>
      </c>
      <c r="C2542" t="s">
        <v>8</v>
      </c>
      <c r="D2542">
        <v>204</v>
      </c>
      <c r="E2542">
        <v>3467.11</v>
      </c>
    </row>
    <row r="2543" spans="1:5" x14ac:dyDescent="0.25">
      <c r="A2543" s="1">
        <v>45275</v>
      </c>
      <c r="B2543">
        <v>4</v>
      </c>
      <c r="C2543" t="s">
        <v>8</v>
      </c>
      <c r="D2543">
        <v>172</v>
      </c>
      <c r="E2543">
        <v>2518.88</v>
      </c>
    </row>
    <row r="2544" spans="1:5" x14ac:dyDescent="0.25">
      <c r="A2544" s="1">
        <v>45276</v>
      </c>
      <c r="B2544">
        <v>4</v>
      </c>
      <c r="C2544" t="s">
        <v>8</v>
      </c>
      <c r="D2544">
        <v>223</v>
      </c>
      <c r="E2544">
        <v>3440.79</v>
      </c>
    </row>
    <row r="2545" spans="1:5" x14ac:dyDescent="0.25">
      <c r="A2545" s="1">
        <v>45277</v>
      </c>
      <c r="B2545">
        <v>4</v>
      </c>
      <c r="C2545" t="s">
        <v>8</v>
      </c>
      <c r="D2545">
        <v>189</v>
      </c>
      <c r="E2545">
        <v>2958.51</v>
      </c>
    </row>
    <row r="2546" spans="1:5" x14ac:dyDescent="0.25">
      <c r="A2546" s="1">
        <v>45278</v>
      </c>
      <c r="B2546">
        <v>4</v>
      </c>
      <c r="C2546" t="s">
        <v>8</v>
      </c>
      <c r="D2546">
        <v>170</v>
      </c>
      <c r="E2546">
        <v>2638.63</v>
      </c>
    </row>
    <row r="2547" spans="1:5" x14ac:dyDescent="0.25">
      <c r="A2547" s="1">
        <v>45279</v>
      </c>
      <c r="B2547">
        <v>4</v>
      </c>
      <c r="C2547" t="s">
        <v>8</v>
      </c>
      <c r="D2547">
        <v>180</v>
      </c>
      <c r="E2547">
        <v>2460.9899999999998</v>
      </c>
    </row>
    <row r="2548" spans="1:5" x14ac:dyDescent="0.25">
      <c r="A2548" s="1">
        <v>45280</v>
      </c>
      <c r="B2548">
        <v>4</v>
      </c>
      <c r="C2548" t="s">
        <v>8</v>
      </c>
      <c r="D2548">
        <v>203</v>
      </c>
      <c r="E2548">
        <v>3235.99</v>
      </c>
    </row>
    <row r="2549" spans="1:5" x14ac:dyDescent="0.25">
      <c r="A2549" s="1">
        <v>45281</v>
      </c>
      <c r="B2549">
        <v>4</v>
      </c>
      <c r="C2549" t="s">
        <v>8</v>
      </c>
      <c r="D2549">
        <v>196</v>
      </c>
      <c r="E2549">
        <v>3259.17</v>
      </c>
    </row>
    <row r="2550" spans="1:5" x14ac:dyDescent="0.25">
      <c r="A2550" s="1">
        <v>45282</v>
      </c>
      <c r="B2550">
        <v>4</v>
      </c>
      <c r="C2550" t="s">
        <v>8</v>
      </c>
      <c r="D2550">
        <v>182</v>
      </c>
      <c r="E2550">
        <v>2817.04</v>
      </c>
    </row>
    <row r="2551" spans="1:5" x14ac:dyDescent="0.25">
      <c r="A2551" s="1">
        <v>45283</v>
      </c>
      <c r="B2551">
        <v>4</v>
      </c>
      <c r="C2551" t="s">
        <v>8</v>
      </c>
      <c r="D2551">
        <v>232</v>
      </c>
      <c r="E2551">
        <v>3240.33</v>
      </c>
    </row>
    <row r="2552" spans="1:5" x14ac:dyDescent="0.25">
      <c r="A2552" s="1">
        <v>45284</v>
      </c>
      <c r="B2552">
        <v>4</v>
      </c>
      <c r="C2552" t="s">
        <v>8</v>
      </c>
      <c r="D2552">
        <v>206</v>
      </c>
      <c r="E2552">
        <v>3391.43</v>
      </c>
    </row>
    <row r="2553" spans="1:5" x14ac:dyDescent="0.25">
      <c r="A2553" s="1">
        <v>45285</v>
      </c>
      <c r="B2553">
        <v>4</v>
      </c>
      <c r="C2553" t="s">
        <v>8</v>
      </c>
      <c r="D2553">
        <v>187</v>
      </c>
      <c r="E2553">
        <v>2881.98</v>
      </c>
    </row>
    <row r="2554" spans="1:5" x14ac:dyDescent="0.25">
      <c r="A2554" s="1">
        <v>45286</v>
      </c>
      <c r="B2554">
        <v>4</v>
      </c>
      <c r="C2554" t="s">
        <v>8</v>
      </c>
      <c r="D2554">
        <v>153</v>
      </c>
      <c r="E2554">
        <v>2249.65</v>
      </c>
    </row>
    <row r="2555" spans="1:5" x14ac:dyDescent="0.25">
      <c r="A2555" s="1">
        <v>45287</v>
      </c>
      <c r="B2555">
        <v>4</v>
      </c>
      <c r="C2555" t="s">
        <v>8</v>
      </c>
      <c r="D2555">
        <v>220</v>
      </c>
      <c r="E2555">
        <v>3418.68</v>
      </c>
    </row>
    <row r="2556" spans="1:5" x14ac:dyDescent="0.25">
      <c r="A2556" s="1">
        <v>45288</v>
      </c>
      <c r="B2556">
        <v>4</v>
      </c>
      <c r="C2556" t="s">
        <v>8</v>
      </c>
      <c r="D2556">
        <v>164</v>
      </c>
      <c r="E2556">
        <v>2467.6999999999998</v>
      </c>
    </row>
    <row r="2557" spans="1:5" x14ac:dyDescent="0.25">
      <c r="A2557" s="1">
        <v>45289</v>
      </c>
      <c r="B2557">
        <v>4</v>
      </c>
      <c r="C2557" t="s">
        <v>8</v>
      </c>
      <c r="D2557">
        <v>207</v>
      </c>
      <c r="E2557">
        <v>3136.81</v>
      </c>
    </row>
    <row r="2558" spans="1:5" x14ac:dyDescent="0.25">
      <c r="A2558" s="1">
        <v>45290</v>
      </c>
      <c r="B2558">
        <v>4</v>
      </c>
      <c r="C2558" t="s">
        <v>8</v>
      </c>
      <c r="D2558">
        <v>161</v>
      </c>
      <c r="E2558">
        <v>2783.26</v>
      </c>
    </row>
    <row r="2559" spans="1:5" x14ac:dyDescent="0.25">
      <c r="A2559" s="1">
        <v>45291</v>
      </c>
      <c r="B2559">
        <v>4</v>
      </c>
      <c r="C2559" t="s">
        <v>8</v>
      </c>
      <c r="D2559">
        <v>229</v>
      </c>
      <c r="E2559">
        <v>3734.14</v>
      </c>
    </row>
    <row r="2560" spans="1:5" x14ac:dyDescent="0.25">
      <c r="A2560" s="1">
        <v>45292</v>
      </c>
      <c r="B2560">
        <v>4</v>
      </c>
      <c r="C2560" t="s">
        <v>8</v>
      </c>
      <c r="D2560">
        <v>170</v>
      </c>
      <c r="E2560">
        <v>2557.33</v>
      </c>
    </row>
    <row r="2561" spans="1:5" x14ac:dyDescent="0.25">
      <c r="A2561" s="1">
        <v>45293</v>
      </c>
      <c r="B2561">
        <v>4</v>
      </c>
      <c r="C2561" t="s">
        <v>8</v>
      </c>
      <c r="D2561">
        <v>170</v>
      </c>
      <c r="E2561">
        <v>2640.27</v>
      </c>
    </row>
    <row r="2562" spans="1:5" x14ac:dyDescent="0.25">
      <c r="A2562" s="1">
        <v>45294</v>
      </c>
      <c r="B2562">
        <v>4</v>
      </c>
      <c r="C2562" t="s">
        <v>8</v>
      </c>
      <c r="D2562">
        <v>186</v>
      </c>
      <c r="E2562">
        <v>2941.56</v>
      </c>
    </row>
    <row r="2563" spans="1:5" x14ac:dyDescent="0.25">
      <c r="A2563" s="1">
        <v>45295</v>
      </c>
      <c r="B2563">
        <v>4</v>
      </c>
      <c r="C2563" t="s">
        <v>8</v>
      </c>
      <c r="D2563">
        <v>173</v>
      </c>
      <c r="E2563">
        <v>2875.97</v>
      </c>
    </row>
    <row r="2564" spans="1:5" x14ac:dyDescent="0.25">
      <c r="A2564" s="1">
        <v>45296</v>
      </c>
      <c r="B2564">
        <v>4</v>
      </c>
      <c r="C2564" t="s">
        <v>8</v>
      </c>
      <c r="D2564">
        <v>149</v>
      </c>
      <c r="E2564">
        <v>2481.15</v>
      </c>
    </row>
    <row r="2565" spans="1:5" x14ac:dyDescent="0.25">
      <c r="A2565" s="1">
        <v>45297</v>
      </c>
      <c r="B2565">
        <v>4</v>
      </c>
      <c r="C2565" t="s">
        <v>8</v>
      </c>
      <c r="D2565">
        <v>226</v>
      </c>
      <c r="E2565">
        <v>3331.8</v>
      </c>
    </row>
    <row r="2566" spans="1:5" x14ac:dyDescent="0.25">
      <c r="A2566" s="1">
        <v>45298</v>
      </c>
      <c r="B2566">
        <v>4</v>
      </c>
      <c r="C2566" t="s">
        <v>8</v>
      </c>
      <c r="D2566">
        <v>270</v>
      </c>
      <c r="E2566">
        <v>4007.03</v>
      </c>
    </row>
    <row r="2567" spans="1:5" x14ac:dyDescent="0.25">
      <c r="A2567" s="1">
        <v>45299</v>
      </c>
      <c r="B2567">
        <v>4</v>
      </c>
      <c r="C2567" t="s">
        <v>8</v>
      </c>
      <c r="D2567">
        <v>186</v>
      </c>
      <c r="E2567">
        <v>3067.31</v>
      </c>
    </row>
    <row r="2568" spans="1:5" x14ac:dyDescent="0.25">
      <c r="A2568" s="1">
        <v>45300</v>
      </c>
      <c r="B2568">
        <v>4</v>
      </c>
      <c r="C2568" t="s">
        <v>8</v>
      </c>
      <c r="D2568">
        <v>161</v>
      </c>
      <c r="E2568">
        <v>2334.86</v>
      </c>
    </row>
    <row r="2569" spans="1:5" x14ac:dyDescent="0.25">
      <c r="A2569" s="1">
        <v>45301</v>
      </c>
      <c r="B2569">
        <v>4</v>
      </c>
      <c r="C2569" t="s">
        <v>8</v>
      </c>
      <c r="D2569">
        <v>181</v>
      </c>
      <c r="E2569">
        <v>2949.78</v>
      </c>
    </row>
    <row r="2570" spans="1:5" x14ac:dyDescent="0.25">
      <c r="A2570" s="1">
        <v>45302</v>
      </c>
      <c r="B2570">
        <v>4</v>
      </c>
      <c r="C2570" t="s">
        <v>8</v>
      </c>
      <c r="D2570">
        <v>175</v>
      </c>
      <c r="E2570">
        <v>2797.88</v>
      </c>
    </row>
    <row r="2571" spans="1:5" x14ac:dyDescent="0.25">
      <c r="A2571" s="1">
        <v>45303</v>
      </c>
      <c r="B2571">
        <v>4</v>
      </c>
      <c r="C2571" t="s">
        <v>8</v>
      </c>
      <c r="D2571">
        <v>193</v>
      </c>
      <c r="E2571">
        <v>3062.77</v>
      </c>
    </row>
    <row r="2572" spans="1:5" x14ac:dyDescent="0.25">
      <c r="A2572" s="1">
        <v>45304</v>
      </c>
      <c r="B2572">
        <v>4</v>
      </c>
      <c r="C2572" t="s">
        <v>8</v>
      </c>
      <c r="D2572">
        <v>185</v>
      </c>
      <c r="E2572">
        <v>2908.26</v>
      </c>
    </row>
    <row r="2573" spans="1:5" x14ac:dyDescent="0.25">
      <c r="A2573" s="1">
        <v>45305</v>
      </c>
      <c r="B2573">
        <v>4</v>
      </c>
      <c r="C2573" t="s">
        <v>8</v>
      </c>
      <c r="D2573">
        <v>190</v>
      </c>
      <c r="E2573">
        <v>2930.7</v>
      </c>
    </row>
    <row r="2574" spans="1:5" x14ac:dyDescent="0.25">
      <c r="A2574" s="1">
        <v>45306</v>
      </c>
      <c r="B2574">
        <v>4</v>
      </c>
      <c r="C2574" t="s">
        <v>8</v>
      </c>
      <c r="D2574">
        <v>182</v>
      </c>
      <c r="E2574">
        <v>2728.43</v>
      </c>
    </row>
    <row r="2575" spans="1:5" x14ac:dyDescent="0.25">
      <c r="A2575" s="1">
        <v>45307</v>
      </c>
      <c r="B2575">
        <v>4</v>
      </c>
      <c r="C2575" t="s">
        <v>8</v>
      </c>
      <c r="D2575">
        <v>183</v>
      </c>
      <c r="E2575">
        <v>2630.55</v>
      </c>
    </row>
    <row r="2576" spans="1:5" x14ac:dyDescent="0.25">
      <c r="A2576" s="1">
        <v>45308</v>
      </c>
      <c r="B2576">
        <v>4</v>
      </c>
      <c r="C2576" t="s">
        <v>8</v>
      </c>
      <c r="D2576">
        <v>201</v>
      </c>
      <c r="E2576">
        <v>3106.97</v>
      </c>
    </row>
    <row r="2577" spans="1:5" x14ac:dyDescent="0.25">
      <c r="A2577" s="1">
        <v>45309</v>
      </c>
      <c r="B2577">
        <v>4</v>
      </c>
      <c r="C2577" t="s">
        <v>8</v>
      </c>
      <c r="D2577">
        <v>180</v>
      </c>
      <c r="E2577">
        <v>2737.94</v>
      </c>
    </row>
    <row r="2578" spans="1:5" x14ac:dyDescent="0.25">
      <c r="A2578" s="1">
        <v>45310</v>
      </c>
      <c r="B2578">
        <v>4</v>
      </c>
      <c r="C2578" t="s">
        <v>8</v>
      </c>
      <c r="D2578">
        <v>154</v>
      </c>
      <c r="E2578">
        <v>2105.2600000000002</v>
      </c>
    </row>
    <row r="2579" spans="1:5" x14ac:dyDescent="0.25">
      <c r="A2579" s="1">
        <v>45311</v>
      </c>
      <c r="B2579">
        <v>4</v>
      </c>
      <c r="C2579" t="s">
        <v>8</v>
      </c>
      <c r="D2579">
        <v>221</v>
      </c>
      <c r="E2579">
        <v>3312.03</v>
      </c>
    </row>
    <row r="2580" spans="1:5" x14ac:dyDescent="0.25">
      <c r="A2580" s="1">
        <v>45312</v>
      </c>
      <c r="B2580">
        <v>4</v>
      </c>
      <c r="C2580" t="s">
        <v>8</v>
      </c>
      <c r="D2580">
        <v>235</v>
      </c>
      <c r="E2580">
        <v>3514.07</v>
      </c>
    </row>
    <row r="2581" spans="1:5" x14ac:dyDescent="0.25">
      <c r="A2581" s="1">
        <v>45313</v>
      </c>
      <c r="B2581">
        <v>4</v>
      </c>
      <c r="C2581" t="s">
        <v>8</v>
      </c>
      <c r="D2581">
        <v>170</v>
      </c>
      <c r="E2581">
        <v>2489.48</v>
      </c>
    </row>
    <row r="2582" spans="1:5" x14ac:dyDescent="0.25">
      <c r="A2582" s="1">
        <v>45314</v>
      </c>
      <c r="B2582">
        <v>4</v>
      </c>
      <c r="C2582" t="s">
        <v>8</v>
      </c>
      <c r="D2582">
        <v>162</v>
      </c>
      <c r="E2582">
        <v>2538.5</v>
      </c>
    </row>
    <row r="2583" spans="1:5" x14ac:dyDescent="0.25">
      <c r="A2583" s="1">
        <v>45315</v>
      </c>
      <c r="B2583">
        <v>4</v>
      </c>
      <c r="C2583" t="s">
        <v>8</v>
      </c>
      <c r="D2583">
        <v>160</v>
      </c>
      <c r="E2583">
        <v>2381.7800000000002</v>
      </c>
    </row>
    <row r="2584" spans="1:5" x14ac:dyDescent="0.25">
      <c r="A2584" s="1">
        <v>45316</v>
      </c>
      <c r="B2584">
        <v>4</v>
      </c>
      <c r="C2584" t="s">
        <v>8</v>
      </c>
      <c r="D2584">
        <v>203</v>
      </c>
      <c r="E2584">
        <v>3269.15</v>
      </c>
    </row>
    <row r="2585" spans="1:5" x14ac:dyDescent="0.25">
      <c r="A2585" s="1">
        <v>45317</v>
      </c>
      <c r="B2585">
        <v>4</v>
      </c>
      <c r="C2585" t="s">
        <v>8</v>
      </c>
      <c r="D2585">
        <v>186</v>
      </c>
      <c r="E2585">
        <v>3016.15</v>
      </c>
    </row>
    <row r="2586" spans="1:5" x14ac:dyDescent="0.25">
      <c r="A2586" s="1">
        <v>45318</v>
      </c>
      <c r="B2586">
        <v>4</v>
      </c>
      <c r="C2586" t="s">
        <v>8</v>
      </c>
      <c r="D2586">
        <v>187</v>
      </c>
      <c r="E2586">
        <v>2905.79</v>
      </c>
    </row>
    <row r="2587" spans="1:5" x14ac:dyDescent="0.25">
      <c r="A2587" s="1">
        <v>45319</v>
      </c>
      <c r="B2587">
        <v>4</v>
      </c>
      <c r="C2587" t="s">
        <v>8</v>
      </c>
      <c r="D2587">
        <v>188</v>
      </c>
      <c r="E2587">
        <v>2931.37</v>
      </c>
    </row>
    <row r="2588" spans="1:5" x14ac:dyDescent="0.25">
      <c r="A2588" s="1">
        <v>45320</v>
      </c>
      <c r="B2588">
        <v>4</v>
      </c>
      <c r="C2588" t="s">
        <v>8</v>
      </c>
      <c r="D2588">
        <v>208</v>
      </c>
      <c r="E2588">
        <v>2906.94</v>
      </c>
    </row>
    <row r="2589" spans="1:5" x14ac:dyDescent="0.25">
      <c r="A2589" s="1">
        <v>45321</v>
      </c>
      <c r="B2589">
        <v>4</v>
      </c>
      <c r="C2589" t="s">
        <v>8</v>
      </c>
      <c r="D2589">
        <v>170</v>
      </c>
      <c r="E2589">
        <v>2539.56</v>
      </c>
    </row>
    <row r="2590" spans="1:5" x14ac:dyDescent="0.25">
      <c r="A2590" s="1">
        <v>45322</v>
      </c>
      <c r="B2590">
        <v>4</v>
      </c>
      <c r="C2590" t="s">
        <v>8</v>
      </c>
      <c r="D2590">
        <v>157</v>
      </c>
      <c r="E2590">
        <v>2312.59</v>
      </c>
    </row>
    <row r="2591" spans="1:5" x14ac:dyDescent="0.25">
      <c r="A2591" s="1">
        <v>45323</v>
      </c>
      <c r="B2591">
        <v>4</v>
      </c>
      <c r="C2591" t="s">
        <v>8</v>
      </c>
      <c r="D2591">
        <v>139</v>
      </c>
      <c r="E2591">
        <v>2173.7199999999998</v>
      </c>
    </row>
    <row r="2592" spans="1:5" x14ac:dyDescent="0.25">
      <c r="A2592" s="1">
        <v>45324</v>
      </c>
      <c r="B2592">
        <v>4</v>
      </c>
      <c r="C2592" t="s">
        <v>8</v>
      </c>
      <c r="D2592">
        <v>221</v>
      </c>
      <c r="E2592">
        <v>3378.75</v>
      </c>
    </row>
    <row r="2593" spans="1:5" x14ac:dyDescent="0.25">
      <c r="A2593" s="1">
        <v>45325</v>
      </c>
      <c r="B2593">
        <v>4</v>
      </c>
      <c r="C2593" t="s">
        <v>8</v>
      </c>
      <c r="D2593">
        <v>177</v>
      </c>
      <c r="E2593">
        <v>2647.05</v>
      </c>
    </row>
    <row r="2594" spans="1:5" x14ac:dyDescent="0.25">
      <c r="A2594" s="1">
        <v>45326</v>
      </c>
      <c r="B2594">
        <v>4</v>
      </c>
      <c r="C2594" t="s">
        <v>8</v>
      </c>
      <c r="D2594">
        <v>184</v>
      </c>
      <c r="E2594">
        <v>2839.83</v>
      </c>
    </row>
    <row r="2595" spans="1:5" x14ac:dyDescent="0.25">
      <c r="A2595" s="1">
        <v>45327</v>
      </c>
      <c r="B2595">
        <v>4</v>
      </c>
      <c r="C2595" t="s">
        <v>8</v>
      </c>
      <c r="D2595">
        <v>166</v>
      </c>
      <c r="E2595">
        <v>2659.57</v>
      </c>
    </row>
    <row r="2596" spans="1:5" x14ac:dyDescent="0.25">
      <c r="A2596" s="1">
        <v>45328</v>
      </c>
      <c r="B2596">
        <v>4</v>
      </c>
      <c r="C2596" t="s">
        <v>8</v>
      </c>
      <c r="D2596">
        <v>189</v>
      </c>
      <c r="E2596">
        <v>2884.51</v>
      </c>
    </row>
    <row r="2597" spans="1:5" x14ac:dyDescent="0.25">
      <c r="A2597" s="1">
        <v>45329</v>
      </c>
      <c r="B2597">
        <v>4</v>
      </c>
      <c r="C2597" t="s">
        <v>8</v>
      </c>
      <c r="D2597">
        <v>172</v>
      </c>
      <c r="E2597">
        <v>2647.36</v>
      </c>
    </row>
    <row r="2598" spans="1:5" x14ac:dyDescent="0.25">
      <c r="A2598" s="1">
        <v>45330</v>
      </c>
      <c r="B2598">
        <v>4</v>
      </c>
      <c r="C2598" t="s">
        <v>8</v>
      </c>
      <c r="D2598">
        <v>191</v>
      </c>
      <c r="E2598">
        <v>2961.74</v>
      </c>
    </row>
    <row r="2599" spans="1:5" x14ac:dyDescent="0.25">
      <c r="A2599" s="1">
        <v>45331</v>
      </c>
      <c r="B2599">
        <v>4</v>
      </c>
      <c r="C2599" t="s">
        <v>8</v>
      </c>
      <c r="D2599">
        <v>175</v>
      </c>
      <c r="E2599">
        <v>2403.89</v>
      </c>
    </row>
    <row r="2600" spans="1:5" x14ac:dyDescent="0.25">
      <c r="A2600" s="1">
        <v>45332</v>
      </c>
      <c r="B2600">
        <v>4</v>
      </c>
      <c r="C2600" t="s">
        <v>8</v>
      </c>
      <c r="D2600">
        <v>214</v>
      </c>
      <c r="E2600">
        <v>3210.63</v>
      </c>
    </row>
    <row r="2601" spans="1:5" x14ac:dyDescent="0.25">
      <c r="A2601" s="1">
        <v>45333</v>
      </c>
      <c r="B2601">
        <v>4</v>
      </c>
      <c r="C2601" t="s">
        <v>8</v>
      </c>
      <c r="D2601">
        <v>208</v>
      </c>
      <c r="E2601">
        <v>3220.57</v>
      </c>
    </row>
    <row r="2602" spans="1:5" x14ac:dyDescent="0.25">
      <c r="A2602" s="1">
        <v>45334</v>
      </c>
      <c r="B2602">
        <v>4</v>
      </c>
      <c r="C2602" t="s">
        <v>8</v>
      </c>
      <c r="D2602">
        <v>147</v>
      </c>
      <c r="E2602">
        <v>2254.44</v>
      </c>
    </row>
    <row r="2603" spans="1:5" x14ac:dyDescent="0.25">
      <c r="A2603" s="1">
        <v>45335</v>
      </c>
      <c r="B2603">
        <v>4</v>
      </c>
      <c r="C2603" t="s">
        <v>8</v>
      </c>
      <c r="D2603">
        <v>179</v>
      </c>
      <c r="E2603">
        <v>2720.73</v>
      </c>
    </row>
    <row r="2604" spans="1:5" x14ac:dyDescent="0.25">
      <c r="A2604" s="1">
        <v>45336</v>
      </c>
      <c r="B2604">
        <v>4</v>
      </c>
      <c r="C2604" t="s">
        <v>8</v>
      </c>
      <c r="D2604">
        <v>140</v>
      </c>
      <c r="E2604">
        <v>2101.0100000000002</v>
      </c>
    </row>
    <row r="2605" spans="1:5" x14ac:dyDescent="0.25">
      <c r="A2605" s="1">
        <v>45337</v>
      </c>
      <c r="B2605">
        <v>4</v>
      </c>
      <c r="C2605" t="s">
        <v>8</v>
      </c>
      <c r="D2605">
        <v>177</v>
      </c>
      <c r="E2605">
        <v>2707.9</v>
      </c>
    </row>
    <row r="2606" spans="1:5" x14ac:dyDescent="0.25">
      <c r="A2606" s="1">
        <v>45338</v>
      </c>
      <c r="B2606">
        <v>4</v>
      </c>
      <c r="C2606" t="s">
        <v>8</v>
      </c>
      <c r="D2606">
        <v>179</v>
      </c>
      <c r="E2606">
        <v>2760.01</v>
      </c>
    </row>
    <row r="2607" spans="1:5" x14ac:dyDescent="0.25">
      <c r="A2607" s="1">
        <v>45339</v>
      </c>
      <c r="B2607">
        <v>4</v>
      </c>
      <c r="C2607" t="s">
        <v>8</v>
      </c>
      <c r="D2607">
        <v>213</v>
      </c>
      <c r="E2607">
        <v>3468</v>
      </c>
    </row>
    <row r="2608" spans="1:5" x14ac:dyDescent="0.25">
      <c r="A2608" s="1">
        <v>45340</v>
      </c>
      <c r="B2608">
        <v>4</v>
      </c>
      <c r="C2608" t="s">
        <v>8</v>
      </c>
      <c r="D2608">
        <v>180</v>
      </c>
      <c r="E2608">
        <v>2723.3</v>
      </c>
    </row>
    <row r="2609" spans="1:5" x14ac:dyDescent="0.25">
      <c r="A2609" s="1">
        <v>45341</v>
      </c>
      <c r="B2609">
        <v>4</v>
      </c>
      <c r="C2609" t="s">
        <v>8</v>
      </c>
      <c r="D2609">
        <v>152</v>
      </c>
      <c r="E2609">
        <v>2388.77</v>
      </c>
    </row>
    <row r="2610" spans="1:5" x14ac:dyDescent="0.25">
      <c r="A2610" s="1">
        <v>45342</v>
      </c>
      <c r="B2610">
        <v>4</v>
      </c>
      <c r="C2610" t="s">
        <v>8</v>
      </c>
      <c r="D2610">
        <v>185</v>
      </c>
      <c r="E2610">
        <v>2769.95</v>
      </c>
    </row>
    <row r="2611" spans="1:5" x14ac:dyDescent="0.25">
      <c r="A2611" s="1">
        <v>45343</v>
      </c>
      <c r="B2611">
        <v>4</v>
      </c>
      <c r="C2611" t="s">
        <v>8</v>
      </c>
      <c r="D2611">
        <v>158</v>
      </c>
      <c r="E2611">
        <v>2535.4699999999998</v>
      </c>
    </row>
    <row r="2612" spans="1:5" x14ac:dyDescent="0.25">
      <c r="A2612" s="1">
        <v>45344</v>
      </c>
      <c r="B2612">
        <v>4</v>
      </c>
      <c r="C2612" t="s">
        <v>8</v>
      </c>
      <c r="D2612">
        <v>186</v>
      </c>
      <c r="E2612">
        <v>2823.1</v>
      </c>
    </row>
    <row r="2613" spans="1:5" x14ac:dyDescent="0.25">
      <c r="A2613" s="1">
        <v>45345</v>
      </c>
      <c r="B2613">
        <v>4</v>
      </c>
      <c r="C2613" t="s">
        <v>8</v>
      </c>
      <c r="D2613">
        <v>171</v>
      </c>
      <c r="E2613">
        <v>2787.33</v>
      </c>
    </row>
    <row r="2614" spans="1:5" x14ac:dyDescent="0.25">
      <c r="A2614" s="1">
        <v>45346</v>
      </c>
      <c r="B2614">
        <v>4</v>
      </c>
      <c r="C2614" t="s">
        <v>8</v>
      </c>
      <c r="D2614">
        <v>209</v>
      </c>
      <c r="E2614">
        <v>3211.03</v>
      </c>
    </row>
    <row r="2615" spans="1:5" x14ac:dyDescent="0.25">
      <c r="A2615" s="1">
        <v>45347</v>
      </c>
      <c r="B2615">
        <v>4</v>
      </c>
      <c r="C2615" t="s">
        <v>8</v>
      </c>
      <c r="D2615">
        <v>195</v>
      </c>
      <c r="E2615">
        <v>3074.35</v>
      </c>
    </row>
    <row r="2616" spans="1:5" x14ac:dyDescent="0.25">
      <c r="A2616" s="1">
        <v>45348</v>
      </c>
      <c r="B2616">
        <v>4</v>
      </c>
      <c r="C2616" t="s">
        <v>8</v>
      </c>
      <c r="D2616">
        <v>158</v>
      </c>
      <c r="E2616">
        <v>2366.23</v>
      </c>
    </row>
    <row r="2617" spans="1:5" x14ac:dyDescent="0.25">
      <c r="A2617" s="1">
        <v>45349</v>
      </c>
      <c r="B2617">
        <v>4</v>
      </c>
      <c r="C2617" t="s">
        <v>8</v>
      </c>
      <c r="D2617">
        <v>168</v>
      </c>
      <c r="E2617">
        <v>2802.95</v>
      </c>
    </row>
    <row r="2618" spans="1:5" x14ac:dyDescent="0.25">
      <c r="A2618" s="1">
        <v>45350</v>
      </c>
      <c r="B2618">
        <v>4</v>
      </c>
      <c r="C2618" t="s">
        <v>8</v>
      </c>
      <c r="D2618">
        <v>171</v>
      </c>
      <c r="E2618">
        <v>2547.37</v>
      </c>
    </row>
    <row r="2619" spans="1:5" x14ac:dyDescent="0.25">
      <c r="A2619" s="1">
        <v>45351</v>
      </c>
      <c r="B2619">
        <v>4</v>
      </c>
      <c r="C2619" t="s">
        <v>8</v>
      </c>
      <c r="D2619">
        <v>171</v>
      </c>
      <c r="E2619">
        <v>2555.7800000000002</v>
      </c>
    </row>
    <row r="2620" spans="1:5" x14ac:dyDescent="0.25">
      <c r="A2620" s="1">
        <v>45352</v>
      </c>
      <c r="B2620">
        <v>4</v>
      </c>
      <c r="C2620" t="s">
        <v>8</v>
      </c>
      <c r="D2620">
        <v>180</v>
      </c>
      <c r="E2620">
        <v>2893.6</v>
      </c>
    </row>
    <row r="2621" spans="1:5" x14ac:dyDescent="0.25">
      <c r="A2621" s="1">
        <v>45353</v>
      </c>
      <c r="B2621">
        <v>4</v>
      </c>
      <c r="C2621" t="s">
        <v>8</v>
      </c>
      <c r="D2621">
        <v>217</v>
      </c>
      <c r="E2621">
        <v>3291.68</v>
      </c>
    </row>
    <row r="2622" spans="1:5" x14ac:dyDescent="0.25">
      <c r="A2622" s="1">
        <v>45354</v>
      </c>
      <c r="B2622">
        <v>4</v>
      </c>
      <c r="C2622" t="s">
        <v>8</v>
      </c>
      <c r="D2622">
        <v>183</v>
      </c>
      <c r="E2622">
        <v>2577.48</v>
      </c>
    </row>
    <row r="2623" spans="1:5" x14ac:dyDescent="0.25">
      <c r="A2623" s="1">
        <v>45355</v>
      </c>
      <c r="B2623">
        <v>4</v>
      </c>
      <c r="C2623" t="s">
        <v>8</v>
      </c>
      <c r="D2623">
        <v>167</v>
      </c>
      <c r="E2623">
        <v>2605.16</v>
      </c>
    </row>
    <row r="2624" spans="1:5" x14ac:dyDescent="0.25">
      <c r="A2624" s="1">
        <v>45356</v>
      </c>
      <c r="B2624">
        <v>4</v>
      </c>
      <c r="C2624" t="s">
        <v>8</v>
      </c>
      <c r="D2624">
        <v>131</v>
      </c>
      <c r="E2624">
        <v>2065.83</v>
      </c>
    </row>
    <row r="2625" spans="1:5" x14ac:dyDescent="0.25">
      <c r="A2625" s="1">
        <v>45357</v>
      </c>
      <c r="B2625">
        <v>4</v>
      </c>
      <c r="C2625" t="s">
        <v>8</v>
      </c>
      <c r="D2625">
        <v>152</v>
      </c>
      <c r="E2625">
        <v>2275</v>
      </c>
    </row>
    <row r="2626" spans="1:5" x14ac:dyDescent="0.25">
      <c r="A2626" s="1">
        <v>45358</v>
      </c>
      <c r="B2626">
        <v>4</v>
      </c>
      <c r="C2626" t="s">
        <v>8</v>
      </c>
      <c r="D2626">
        <v>165</v>
      </c>
      <c r="E2626">
        <v>2576.9699999999998</v>
      </c>
    </row>
    <row r="2627" spans="1:5" x14ac:dyDescent="0.25">
      <c r="A2627" s="1">
        <v>45359</v>
      </c>
      <c r="B2627">
        <v>4</v>
      </c>
      <c r="C2627" t="s">
        <v>8</v>
      </c>
      <c r="D2627">
        <v>152</v>
      </c>
      <c r="E2627">
        <v>2409.48</v>
      </c>
    </row>
    <row r="2628" spans="1:5" x14ac:dyDescent="0.25">
      <c r="A2628" s="1">
        <v>45360</v>
      </c>
      <c r="B2628">
        <v>4</v>
      </c>
      <c r="C2628" t="s">
        <v>8</v>
      </c>
      <c r="D2628">
        <v>172</v>
      </c>
      <c r="E2628">
        <v>2878.49</v>
      </c>
    </row>
    <row r="2629" spans="1:5" x14ac:dyDescent="0.25">
      <c r="A2629" s="1">
        <v>45361</v>
      </c>
      <c r="B2629">
        <v>4</v>
      </c>
      <c r="C2629" t="s">
        <v>8</v>
      </c>
      <c r="D2629">
        <v>200</v>
      </c>
      <c r="E2629">
        <v>3319.02</v>
      </c>
    </row>
    <row r="2630" spans="1:5" x14ac:dyDescent="0.25">
      <c r="A2630" s="1">
        <v>45362</v>
      </c>
      <c r="B2630">
        <v>4</v>
      </c>
      <c r="C2630" t="s">
        <v>8</v>
      </c>
      <c r="D2630">
        <v>205</v>
      </c>
      <c r="E2630">
        <v>2933.94</v>
      </c>
    </row>
    <row r="2631" spans="1:5" x14ac:dyDescent="0.25">
      <c r="A2631" s="1">
        <v>45363</v>
      </c>
      <c r="B2631">
        <v>4</v>
      </c>
      <c r="C2631" t="s">
        <v>8</v>
      </c>
      <c r="D2631">
        <v>150</v>
      </c>
      <c r="E2631">
        <v>2270.96</v>
      </c>
    </row>
    <row r="2632" spans="1:5" x14ac:dyDescent="0.25">
      <c r="A2632" s="1">
        <v>45364</v>
      </c>
      <c r="B2632">
        <v>4</v>
      </c>
      <c r="C2632" t="s">
        <v>8</v>
      </c>
      <c r="D2632">
        <v>173</v>
      </c>
      <c r="E2632">
        <v>2675.82</v>
      </c>
    </row>
    <row r="2633" spans="1:5" x14ac:dyDescent="0.25">
      <c r="A2633" s="1">
        <v>45365</v>
      </c>
      <c r="B2633">
        <v>4</v>
      </c>
      <c r="C2633" t="s">
        <v>8</v>
      </c>
      <c r="D2633">
        <v>143</v>
      </c>
      <c r="E2633">
        <v>2271.41</v>
      </c>
    </row>
    <row r="2634" spans="1:5" x14ac:dyDescent="0.25">
      <c r="A2634" s="1">
        <v>45366</v>
      </c>
      <c r="B2634">
        <v>4</v>
      </c>
      <c r="C2634" t="s">
        <v>8</v>
      </c>
      <c r="D2634">
        <v>178</v>
      </c>
      <c r="E2634">
        <v>2686.62</v>
      </c>
    </row>
    <row r="2635" spans="1:5" x14ac:dyDescent="0.25">
      <c r="A2635" s="1">
        <v>45367</v>
      </c>
      <c r="B2635">
        <v>4</v>
      </c>
      <c r="C2635" t="s">
        <v>8</v>
      </c>
      <c r="D2635">
        <v>187</v>
      </c>
      <c r="E2635">
        <v>3038.56</v>
      </c>
    </row>
    <row r="2636" spans="1:5" x14ac:dyDescent="0.25">
      <c r="A2636" s="1">
        <v>45368</v>
      </c>
      <c r="B2636">
        <v>4</v>
      </c>
      <c r="C2636" t="s">
        <v>8</v>
      </c>
      <c r="D2636">
        <v>205</v>
      </c>
      <c r="E2636">
        <v>2843.18</v>
      </c>
    </row>
    <row r="2637" spans="1:5" x14ac:dyDescent="0.25">
      <c r="A2637" s="1">
        <v>45369</v>
      </c>
      <c r="B2637">
        <v>4</v>
      </c>
      <c r="C2637" t="s">
        <v>8</v>
      </c>
      <c r="D2637">
        <v>164</v>
      </c>
      <c r="E2637">
        <v>2576.69</v>
      </c>
    </row>
    <row r="2638" spans="1:5" x14ac:dyDescent="0.25">
      <c r="A2638" s="1">
        <v>45370</v>
      </c>
      <c r="B2638">
        <v>4</v>
      </c>
      <c r="C2638" t="s">
        <v>8</v>
      </c>
      <c r="D2638">
        <v>170</v>
      </c>
      <c r="E2638">
        <v>2710.89</v>
      </c>
    </row>
    <row r="2639" spans="1:5" x14ac:dyDescent="0.25">
      <c r="A2639" s="1">
        <v>45371</v>
      </c>
      <c r="B2639">
        <v>4</v>
      </c>
      <c r="C2639" t="s">
        <v>8</v>
      </c>
      <c r="D2639">
        <v>147</v>
      </c>
      <c r="E2639">
        <v>2310.66</v>
      </c>
    </row>
    <row r="2640" spans="1:5" x14ac:dyDescent="0.25">
      <c r="A2640" s="1">
        <v>45372</v>
      </c>
      <c r="B2640">
        <v>4</v>
      </c>
      <c r="C2640" t="s">
        <v>8</v>
      </c>
      <c r="D2640">
        <v>179</v>
      </c>
      <c r="E2640">
        <v>2810.81</v>
      </c>
    </row>
    <row r="2641" spans="1:5" x14ac:dyDescent="0.25">
      <c r="A2641" s="1">
        <v>45373</v>
      </c>
      <c r="B2641">
        <v>4</v>
      </c>
      <c r="C2641" t="s">
        <v>8</v>
      </c>
      <c r="D2641">
        <v>169</v>
      </c>
      <c r="E2641">
        <v>2752.87</v>
      </c>
    </row>
    <row r="2642" spans="1:5" x14ac:dyDescent="0.25">
      <c r="A2642" s="1">
        <v>45374</v>
      </c>
      <c r="B2642">
        <v>4</v>
      </c>
      <c r="C2642" t="s">
        <v>8</v>
      </c>
      <c r="D2642">
        <v>210</v>
      </c>
      <c r="E2642">
        <v>3407.22</v>
      </c>
    </row>
    <row r="2643" spans="1:5" x14ac:dyDescent="0.25">
      <c r="A2643" s="1">
        <v>45375</v>
      </c>
      <c r="B2643">
        <v>4</v>
      </c>
      <c r="C2643" t="s">
        <v>8</v>
      </c>
      <c r="D2643">
        <v>209</v>
      </c>
      <c r="E2643">
        <v>3269.63</v>
      </c>
    </row>
    <row r="2644" spans="1:5" x14ac:dyDescent="0.25">
      <c r="A2644" s="1">
        <v>45376</v>
      </c>
      <c r="B2644">
        <v>4</v>
      </c>
      <c r="C2644" t="s">
        <v>8</v>
      </c>
      <c r="D2644">
        <v>161</v>
      </c>
      <c r="E2644">
        <v>2774.55</v>
      </c>
    </row>
    <row r="2645" spans="1:5" x14ac:dyDescent="0.25">
      <c r="A2645" s="1">
        <v>45377</v>
      </c>
      <c r="B2645">
        <v>4</v>
      </c>
      <c r="C2645" t="s">
        <v>8</v>
      </c>
      <c r="D2645">
        <v>180</v>
      </c>
      <c r="E2645">
        <v>2709.8</v>
      </c>
    </row>
    <row r="2646" spans="1:5" x14ac:dyDescent="0.25">
      <c r="A2646" s="1">
        <v>45378</v>
      </c>
      <c r="B2646">
        <v>4</v>
      </c>
      <c r="C2646" t="s">
        <v>8</v>
      </c>
      <c r="D2646">
        <v>162</v>
      </c>
      <c r="E2646">
        <v>2506.77</v>
      </c>
    </row>
    <row r="2647" spans="1:5" x14ac:dyDescent="0.25">
      <c r="A2647" s="1">
        <v>45379</v>
      </c>
      <c r="B2647">
        <v>4</v>
      </c>
      <c r="C2647" t="s">
        <v>8</v>
      </c>
      <c r="D2647">
        <v>179</v>
      </c>
      <c r="E2647">
        <v>2509.27</v>
      </c>
    </row>
    <row r="2648" spans="1:5" x14ac:dyDescent="0.25">
      <c r="A2648" s="1">
        <v>45380</v>
      </c>
      <c r="B2648">
        <v>4</v>
      </c>
      <c r="C2648" t="s">
        <v>8</v>
      </c>
      <c r="D2648">
        <v>191</v>
      </c>
      <c r="E2648">
        <v>3044.19</v>
      </c>
    </row>
    <row r="2649" spans="1:5" x14ac:dyDescent="0.25">
      <c r="A2649" s="1">
        <v>45381</v>
      </c>
      <c r="B2649">
        <v>4</v>
      </c>
      <c r="C2649" t="s">
        <v>8</v>
      </c>
      <c r="D2649">
        <v>173</v>
      </c>
      <c r="E2649">
        <v>2916.21</v>
      </c>
    </row>
    <row r="2650" spans="1:5" x14ac:dyDescent="0.25">
      <c r="A2650" s="1">
        <v>45382</v>
      </c>
      <c r="B2650">
        <v>4</v>
      </c>
      <c r="C2650" t="s">
        <v>8</v>
      </c>
      <c r="D2650">
        <v>172</v>
      </c>
      <c r="E2650">
        <v>2805.49</v>
      </c>
    </row>
    <row r="2651" spans="1:5" x14ac:dyDescent="0.25">
      <c r="A2651" s="1">
        <v>45383</v>
      </c>
      <c r="B2651">
        <v>4</v>
      </c>
      <c r="C2651" t="s">
        <v>8</v>
      </c>
      <c r="D2651">
        <v>165</v>
      </c>
      <c r="E2651">
        <v>2512.87</v>
      </c>
    </row>
    <row r="2652" spans="1:5" x14ac:dyDescent="0.25">
      <c r="A2652" s="1">
        <v>45384</v>
      </c>
      <c r="B2652">
        <v>4</v>
      </c>
      <c r="C2652" t="s">
        <v>8</v>
      </c>
      <c r="D2652">
        <v>167</v>
      </c>
      <c r="E2652">
        <v>2687.3</v>
      </c>
    </row>
    <row r="2653" spans="1:5" x14ac:dyDescent="0.25">
      <c r="A2653" s="1">
        <v>45385</v>
      </c>
      <c r="B2653">
        <v>4</v>
      </c>
      <c r="C2653" t="s">
        <v>8</v>
      </c>
      <c r="D2653">
        <v>181</v>
      </c>
      <c r="E2653">
        <v>3010.01</v>
      </c>
    </row>
    <row r="2654" spans="1:5" x14ac:dyDescent="0.25">
      <c r="A2654" s="1">
        <v>45386</v>
      </c>
      <c r="B2654">
        <v>4</v>
      </c>
      <c r="C2654" t="s">
        <v>8</v>
      </c>
      <c r="D2654">
        <v>188</v>
      </c>
      <c r="E2654">
        <v>3092.99</v>
      </c>
    </row>
    <row r="2655" spans="1:5" x14ac:dyDescent="0.25">
      <c r="A2655" s="1">
        <v>45387</v>
      </c>
      <c r="B2655">
        <v>4</v>
      </c>
      <c r="C2655" t="s">
        <v>8</v>
      </c>
      <c r="D2655">
        <v>162</v>
      </c>
      <c r="E2655">
        <v>2413.6999999999998</v>
      </c>
    </row>
    <row r="2656" spans="1:5" x14ac:dyDescent="0.25">
      <c r="A2656" s="1">
        <v>45388</v>
      </c>
      <c r="B2656">
        <v>4</v>
      </c>
      <c r="C2656" t="s">
        <v>8</v>
      </c>
      <c r="D2656">
        <v>189</v>
      </c>
      <c r="E2656">
        <v>2947.45</v>
      </c>
    </row>
    <row r="2657" spans="1:5" x14ac:dyDescent="0.25">
      <c r="A2657" s="1">
        <v>45389</v>
      </c>
      <c r="B2657">
        <v>4</v>
      </c>
      <c r="C2657" t="s">
        <v>8</v>
      </c>
      <c r="D2657">
        <v>190</v>
      </c>
      <c r="E2657">
        <v>2923.16</v>
      </c>
    </row>
    <row r="2658" spans="1:5" x14ac:dyDescent="0.25">
      <c r="A2658" s="1">
        <v>45390</v>
      </c>
      <c r="B2658">
        <v>4</v>
      </c>
      <c r="C2658" t="s">
        <v>8</v>
      </c>
      <c r="D2658">
        <v>169</v>
      </c>
      <c r="E2658">
        <v>2677.2</v>
      </c>
    </row>
    <row r="2659" spans="1:5" x14ac:dyDescent="0.25">
      <c r="A2659" s="1">
        <v>45391</v>
      </c>
      <c r="B2659">
        <v>4</v>
      </c>
      <c r="C2659" t="s">
        <v>8</v>
      </c>
      <c r="D2659">
        <v>169</v>
      </c>
      <c r="E2659">
        <v>2488.16</v>
      </c>
    </row>
    <row r="2660" spans="1:5" x14ac:dyDescent="0.25">
      <c r="A2660" s="1">
        <v>45392</v>
      </c>
      <c r="B2660">
        <v>4</v>
      </c>
      <c r="C2660" t="s">
        <v>8</v>
      </c>
      <c r="D2660">
        <v>161</v>
      </c>
      <c r="E2660">
        <v>2465.7800000000002</v>
      </c>
    </row>
    <row r="2661" spans="1:5" x14ac:dyDescent="0.25">
      <c r="A2661" s="1">
        <v>45393</v>
      </c>
      <c r="B2661">
        <v>4</v>
      </c>
      <c r="C2661" t="s">
        <v>8</v>
      </c>
      <c r="D2661">
        <v>170</v>
      </c>
      <c r="E2661">
        <v>2540.8000000000002</v>
      </c>
    </row>
    <row r="2662" spans="1:5" x14ac:dyDescent="0.25">
      <c r="A2662" s="1">
        <v>45394</v>
      </c>
      <c r="B2662">
        <v>4</v>
      </c>
      <c r="C2662" t="s">
        <v>8</v>
      </c>
      <c r="D2662">
        <v>168</v>
      </c>
      <c r="E2662">
        <v>2617.7399999999998</v>
      </c>
    </row>
    <row r="2663" spans="1:5" x14ac:dyDescent="0.25">
      <c r="A2663" s="1">
        <v>45395</v>
      </c>
      <c r="B2663">
        <v>4</v>
      </c>
      <c r="C2663" t="s">
        <v>8</v>
      </c>
      <c r="D2663">
        <v>224</v>
      </c>
      <c r="E2663">
        <v>3238.45</v>
      </c>
    </row>
    <row r="2664" spans="1:5" x14ac:dyDescent="0.25">
      <c r="A2664" s="1">
        <v>45396</v>
      </c>
      <c r="B2664">
        <v>4</v>
      </c>
      <c r="C2664" t="s">
        <v>8</v>
      </c>
      <c r="D2664">
        <v>186</v>
      </c>
      <c r="E2664">
        <v>2594.17</v>
      </c>
    </row>
    <row r="2665" spans="1:5" x14ac:dyDescent="0.25">
      <c r="A2665" s="1">
        <v>45397</v>
      </c>
      <c r="B2665">
        <v>4</v>
      </c>
      <c r="C2665" t="s">
        <v>8</v>
      </c>
      <c r="D2665">
        <v>158</v>
      </c>
      <c r="E2665">
        <v>2377.42</v>
      </c>
    </row>
    <row r="2666" spans="1:5" x14ac:dyDescent="0.25">
      <c r="A2666" s="1">
        <v>45398</v>
      </c>
      <c r="B2666">
        <v>4</v>
      </c>
      <c r="C2666" t="s">
        <v>8</v>
      </c>
      <c r="D2666">
        <v>175</v>
      </c>
      <c r="E2666">
        <v>2754.98</v>
      </c>
    </row>
    <row r="2667" spans="1:5" x14ac:dyDescent="0.25">
      <c r="A2667" s="1">
        <v>45399</v>
      </c>
      <c r="B2667">
        <v>4</v>
      </c>
      <c r="C2667" t="s">
        <v>8</v>
      </c>
      <c r="D2667">
        <v>149</v>
      </c>
      <c r="E2667">
        <v>2273.19</v>
      </c>
    </row>
    <row r="2668" spans="1:5" x14ac:dyDescent="0.25">
      <c r="A2668" s="1">
        <v>45400</v>
      </c>
      <c r="B2668">
        <v>4</v>
      </c>
      <c r="C2668" t="s">
        <v>8</v>
      </c>
      <c r="D2668">
        <v>169</v>
      </c>
      <c r="E2668">
        <v>2778.83</v>
      </c>
    </row>
    <row r="2669" spans="1:5" x14ac:dyDescent="0.25">
      <c r="A2669" s="1">
        <v>45401</v>
      </c>
      <c r="B2669">
        <v>4</v>
      </c>
      <c r="C2669" t="s">
        <v>8</v>
      </c>
      <c r="D2669">
        <v>150</v>
      </c>
      <c r="E2669">
        <v>2463.4</v>
      </c>
    </row>
    <row r="2670" spans="1:5" x14ac:dyDescent="0.25">
      <c r="A2670" s="1">
        <v>45402</v>
      </c>
      <c r="B2670">
        <v>4</v>
      </c>
      <c r="C2670" t="s">
        <v>8</v>
      </c>
      <c r="D2670">
        <v>202</v>
      </c>
      <c r="E2670">
        <v>3193.84</v>
      </c>
    </row>
    <row r="2671" spans="1:5" x14ac:dyDescent="0.25">
      <c r="A2671" s="1">
        <v>45403</v>
      </c>
      <c r="B2671">
        <v>4</v>
      </c>
      <c r="C2671" t="s">
        <v>8</v>
      </c>
      <c r="D2671">
        <v>180</v>
      </c>
      <c r="E2671">
        <v>3026.81</v>
      </c>
    </row>
    <row r="2672" spans="1:5" x14ac:dyDescent="0.25">
      <c r="A2672" s="1">
        <v>45404</v>
      </c>
      <c r="B2672">
        <v>4</v>
      </c>
      <c r="C2672" t="s">
        <v>8</v>
      </c>
      <c r="D2672">
        <v>138</v>
      </c>
      <c r="E2672">
        <v>1891.19</v>
      </c>
    </row>
    <row r="2673" spans="1:5" x14ac:dyDescent="0.25">
      <c r="A2673" s="1">
        <v>45405</v>
      </c>
      <c r="B2673">
        <v>4</v>
      </c>
      <c r="C2673" t="s">
        <v>8</v>
      </c>
      <c r="D2673">
        <v>159</v>
      </c>
      <c r="E2673">
        <v>2662.11</v>
      </c>
    </row>
    <row r="2674" spans="1:5" x14ac:dyDescent="0.25">
      <c r="A2674" s="1">
        <v>45406</v>
      </c>
      <c r="B2674">
        <v>4</v>
      </c>
      <c r="C2674" t="s">
        <v>8</v>
      </c>
      <c r="D2674">
        <v>160</v>
      </c>
      <c r="E2674">
        <v>2616.46</v>
      </c>
    </row>
    <row r="2675" spans="1:5" x14ac:dyDescent="0.25">
      <c r="A2675" s="1">
        <v>45407</v>
      </c>
      <c r="B2675">
        <v>4</v>
      </c>
      <c r="C2675" t="s">
        <v>8</v>
      </c>
      <c r="D2675">
        <v>104</v>
      </c>
      <c r="E2675">
        <v>1588.04</v>
      </c>
    </row>
    <row r="2676" spans="1:5" x14ac:dyDescent="0.25">
      <c r="A2676" s="1">
        <v>45408</v>
      </c>
      <c r="B2676">
        <v>4</v>
      </c>
      <c r="C2676" t="s">
        <v>8</v>
      </c>
      <c r="D2676">
        <v>136</v>
      </c>
      <c r="E2676">
        <v>2269.69</v>
      </c>
    </row>
    <row r="2677" spans="1:5" x14ac:dyDescent="0.25">
      <c r="A2677" s="1">
        <v>45409</v>
      </c>
      <c r="B2677">
        <v>4</v>
      </c>
      <c r="C2677" t="s">
        <v>8</v>
      </c>
      <c r="D2677">
        <v>161</v>
      </c>
      <c r="E2677">
        <v>2485.64</v>
      </c>
    </row>
    <row r="2678" spans="1:5" x14ac:dyDescent="0.25">
      <c r="A2678" s="1">
        <v>45410</v>
      </c>
      <c r="B2678">
        <v>4</v>
      </c>
      <c r="C2678" t="s">
        <v>8</v>
      </c>
      <c r="D2678">
        <v>205</v>
      </c>
      <c r="E2678">
        <v>3214.82</v>
      </c>
    </row>
    <row r="2679" spans="1:5" x14ac:dyDescent="0.25">
      <c r="A2679" s="1">
        <v>45411</v>
      </c>
      <c r="B2679">
        <v>4</v>
      </c>
      <c r="C2679" t="s">
        <v>8</v>
      </c>
      <c r="D2679">
        <v>194</v>
      </c>
      <c r="E2679">
        <v>2818.37</v>
      </c>
    </row>
    <row r="2680" spans="1:5" x14ac:dyDescent="0.25">
      <c r="A2680" s="1">
        <v>45412</v>
      </c>
      <c r="B2680">
        <v>4</v>
      </c>
      <c r="C2680" t="s">
        <v>8</v>
      </c>
      <c r="D2680">
        <v>165</v>
      </c>
      <c r="E2680">
        <v>2362.7199999999998</v>
      </c>
    </row>
    <row r="2681" spans="1:5" x14ac:dyDescent="0.25">
      <c r="A2681" s="1">
        <v>45413</v>
      </c>
      <c r="B2681">
        <v>4</v>
      </c>
      <c r="C2681" t="s">
        <v>8</v>
      </c>
      <c r="D2681">
        <v>169</v>
      </c>
      <c r="E2681">
        <v>2745.64</v>
      </c>
    </row>
    <row r="2682" spans="1:5" x14ac:dyDescent="0.25">
      <c r="A2682" s="1">
        <v>45414</v>
      </c>
      <c r="B2682">
        <v>4</v>
      </c>
      <c r="C2682" t="s">
        <v>8</v>
      </c>
      <c r="D2682">
        <v>177</v>
      </c>
      <c r="E2682">
        <v>2960.49</v>
      </c>
    </row>
    <row r="2683" spans="1:5" x14ac:dyDescent="0.25">
      <c r="A2683" s="1">
        <v>45415</v>
      </c>
      <c r="B2683">
        <v>4</v>
      </c>
      <c r="C2683" t="s">
        <v>8</v>
      </c>
      <c r="D2683">
        <v>153</v>
      </c>
      <c r="E2683">
        <v>2272.6</v>
      </c>
    </row>
    <row r="2684" spans="1:5" x14ac:dyDescent="0.25">
      <c r="A2684" s="1">
        <v>45416</v>
      </c>
      <c r="B2684">
        <v>4</v>
      </c>
      <c r="C2684" t="s">
        <v>8</v>
      </c>
      <c r="D2684">
        <v>199</v>
      </c>
      <c r="E2684">
        <v>3166.55</v>
      </c>
    </row>
    <row r="2685" spans="1:5" x14ac:dyDescent="0.25">
      <c r="A2685" s="1">
        <v>45417</v>
      </c>
      <c r="B2685">
        <v>4</v>
      </c>
      <c r="C2685" t="s">
        <v>8</v>
      </c>
      <c r="D2685">
        <v>191</v>
      </c>
      <c r="E2685">
        <v>2794.36</v>
      </c>
    </row>
    <row r="2686" spans="1:5" x14ac:dyDescent="0.25">
      <c r="A2686" s="1">
        <v>45418</v>
      </c>
      <c r="B2686">
        <v>4</v>
      </c>
      <c r="C2686" t="s">
        <v>8</v>
      </c>
      <c r="D2686">
        <v>155</v>
      </c>
      <c r="E2686">
        <v>2513.67</v>
      </c>
    </row>
    <row r="2687" spans="1:5" x14ac:dyDescent="0.25">
      <c r="A2687" s="1">
        <v>45419</v>
      </c>
      <c r="B2687">
        <v>4</v>
      </c>
      <c r="C2687" t="s">
        <v>8</v>
      </c>
      <c r="D2687">
        <v>171</v>
      </c>
      <c r="E2687">
        <v>2730.66</v>
      </c>
    </row>
    <row r="2688" spans="1:5" x14ac:dyDescent="0.25">
      <c r="A2688" s="1">
        <v>45420</v>
      </c>
      <c r="B2688">
        <v>4</v>
      </c>
      <c r="C2688" t="s">
        <v>8</v>
      </c>
      <c r="D2688">
        <v>146</v>
      </c>
      <c r="E2688">
        <v>2271.4</v>
      </c>
    </row>
    <row r="2689" spans="1:5" x14ac:dyDescent="0.25">
      <c r="A2689" s="1">
        <v>45421</v>
      </c>
      <c r="B2689">
        <v>4</v>
      </c>
      <c r="C2689" t="s">
        <v>8</v>
      </c>
      <c r="D2689">
        <v>197</v>
      </c>
      <c r="E2689">
        <v>3054.54</v>
      </c>
    </row>
    <row r="2690" spans="1:5" x14ac:dyDescent="0.25">
      <c r="A2690" s="1">
        <v>45422</v>
      </c>
      <c r="B2690">
        <v>4</v>
      </c>
      <c r="C2690" t="s">
        <v>8</v>
      </c>
      <c r="D2690">
        <v>164</v>
      </c>
      <c r="E2690">
        <v>2755.86</v>
      </c>
    </row>
    <row r="2691" spans="1:5" x14ac:dyDescent="0.25">
      <c r="A2691" s="1">
        <v>45423</v>
      </c>
      <c r="B2691">
        <v>4</v>
      </c>
      <c r="C2691" t="s">
        <v>8</v>
      </c>
      <c r="D2691">
        <v>193</v>
      </c>
      <c r="E2691">
        <v>3069.17</v>
      </c>
    </row>
    <row r="2692" spans="1:5" x14ac:dyDescent="0.25">
      <c r="A2692" s="1">
        <v>45424</v>
      </c>
      <c r="B2692">
        <v>4</v>
      </c>
      <c r="C2692" t="s">
        <v>8</v>
      </c>
      <c r="D2692">
        <v>174</v>
      </c>
      <c r="E2692">
        <v>2976.39</v>
      </c>
    </row>
    <row r="2693" spans="1:5" x14ac:dyDescent="0.25">
      <c r="A2693" s="1">
        <v>45425</v>
      </c>
      <c r="B2693">
        <v>4</v>
      </c>
      <c r="C2693" t="s">
        <v>8</v>
      </c>
      <c r="D2693">
        <v>135</v>
      </c>
      <c r="E2693">
        <v>2285.64</v>
      </c>
    </row>
    <row r="2694" spans="1:5" x14ac:dyDescent="0.25">
      <c r="A2694" s="1">
        <v>45426</v>
      </c>
      <c r="B2694">
        <v>4</v>
      </c>
      <c r="C2694" t="s">
        <v>8</v>
      </c>
      <c r="D2694">
        <v>216</v>
      </c>
      <c r="E2694">
        <v>3455.55</v>
      </c>
    </row>
    <row r="2695" spans="1:5" x14ac:dyDescent="0.25">
      <c r="A2695" s="1">
        <v>45427</v>
      </c>
      <c r="B2695">
        <v>4</v>
      </c>
      <c r="C2695" t="s">
        <v>8</v>
      </c>
      <c r="D2695">
        <v>163</v>
      </c>
      <c r="E2695">
        <v>2689.45</v>
      </c>
    </row>
    <row r="2696" spans="1:5" x14ac:dyDescent="0.25">
      <c r="A2696" s="1">
        <v>45428</v>
      </c>
      <c r="B2696">
        <v>4</v>
      </c>
      <c r="C2696" t="s">
        <v>8</v>
      </c>
      <c r="D2696">
        <v>201</v>
      </c>
      <c r="E2696">
        <v>3189.06</v>
      </c>
    </row>
    <row r="2697" spans="1:5" x14ac:dyDescent="0.25">
      <c r="A2697" s="1">
        <v>45429</v>
      </c>
      <c r="B2697">
        <v>4</v>
      </c>
      <c r="C2697" t="s">
        <v>8</v>
      </c>
      <c r="D2697">
        <v>184</v>
      </c>
      <c r="E2697">
        <v>2895.38</v>
      </c>
    </row>
    <row r="2698" spans="1:5" x14ac:dyDescent="0.25">
      <c r="A2698" s="1">
        <v>45430</v>
      </c>
      <c r="B2698">
        <v>4</v>
      </c>
      <c r="C2698" t="s">
        <v>8</v>
      </c>
      <c r="D2698">
        <v>183</v>
      </c>
      <c r="E2698">
        <v>2614.5500000000002</v>
      </c>
    </row>
    <row r="2699" spans="1:5" x14ac:dyDescent="0.25">
      <c r="A2699" s="1">
        <v>45431</v>
      </c>
      <c r="B2699">
        <v>4</v>
      </c>
      <c r="C2699" t="s">
        <v>8</v>
      </c>
      <c r="D2699">
        <v>209</v>
      </c>
      <c r="E2699">
        <v>2969.64</v>
      </c>
    </row>
    <row r="2700" spans="1:5" x14ac:dyDescent="0.25">
      <c r="A2700" s="1">
        <v>45432</v>
      </c>
      <c r="B2700">
        <v>4</v>
      </c>
      <c r="C2700" t="s">
        <v>8</v>
      </c>
      <c r="D2700">
        <v>149</v>
      </c>
      <c r="E2700">
        <v>2036.06</v>
      </c>
    </row>
    <row r="2701" spans="1:5" x14ac:dyDescent="0.25">
      <c r="A2701" s="1">
        <v>45433</v>
      </c>
      <c r="B2701">
        <v>4</v>
      </c>
      <c r="C2701" t="s">
        <v>8</v>
      </c>
      <c r="D2701">
        <v>168</v>
      </c>
      <c r="E2701">
        <v>2701.03</v>
      </c>
    </row>
    <row r="2702" spans="1:5" x14ac:dyDescent="0.25">
      <c r="A2702" s="1">
        <v>45434</v>
      </c>
      <c r="B2702">
        <v>4</v>
      </c>
      <c r="C2702" t="s">
        <v>8</v>
      </c>
      <c r="D2702">
        <v>185</v>
      </c>
      <c r="E2702">
        <v>3019.43</v>
      </c>
    </row>
    <row r="2703" spans="1:5" x14ac:dyDescent="0.25">
      <c r="A2703" s="1">
        <v>45435</v>
      </c>
      <c r="B2703">
        <v>4</v>
      </c>
      <c r="C2703" t="s">
        <v>8</v>
      </c>
      <c r="D2703">
        <v>171</v>
      </c>
      <c r="E2703">
        <v>2570</v>
      </c>
    </row>
    <row r="2704" spans="1:5" x14ac:dyDescent="0.25">
      <c r="A2704" s="1">
        <v>45436</v>
      </c>
      <c r="B2704">
        <v>4</v>
      </c>
      <c r="C2704" t="s">
        <v>8</v>
      </c>
      <c r="D2704">
        <v>168</v>
      </c>
      <c r="E2704">
        <v>2509.08</v>
      </c>
    </row>
    <row r="2705" spans="1:5" x14ac:dyDescent="0.25">
      <c r="A2705" s="1">
        <v>45437</v>
      </c>
      <c r="B2705">
        <v>4</v>
      </c>
      <c r="C2705" t="s">
        <v>8</v>
      </c>
      <c r="D2705">
        <v>219</v>
      </c>
      <c r="E2705">
        <v>3181.14</v>
      </c>
    </row>
    <row r="2706" spans="1:5" x14ac:dyDescent="0.25">
      <c r="A2706" s="1">
        <v>45438</v>
      </c>
      <c r="B2706">
        <v>4</v>
      </c>
      <c r="C2706" t="s">
        <v>8</v>
      </c>
      <c r="D2706">
        <v>192</v>
      </c>
      <c r="E2706">
        <v>2954.14</v>
      </c>
    </row>
    <row r="2707" spans="1:5" x14ac:dyDescent="0.25">
      <c r="A2707" s="1">
        <v>45439</v>
      </c>
      <c r="B2707">
        <v>4</v>
      </c>
      <c r="C2707" t="s">
        <v>8</v>
      </c>
      <c r="D2707">
        <v>202</v>
      </c>
      <c r="E2707">
        <v>3353.43</v>
      </c>
    </row>
    <row r="2708" spans="1:5" x14ac:dyDescent="0.25">
      <c r="A2708" s="1">
        <v>45440</v>
      </c>
      <c r="B2708">
        <v>4</v>
      </c>
      <c r="C2708" t="s">
        <v>8</v>
      </c>
      <c r="D2708">
        <v>169</v>
      </c>
      <c r="E2708">
        <v>2515.9899999999998</v>
      </c>
    </row>
    <row r="2709" spans="1:5" x14ac:dyDescent="0.25">
      <c r="A2709" s="1">
        <v>45441</v>
      </c>
      <c r="B2709">
        <v>4</v>
      </c>
      <c r="C2709" t="s">
        <v>8</v>
      </c>
      <c r="D2709">
        <v>172</v>
      </c>
      <c r="E2709">
        <v>2502.13</v>
      </c>
    </row>
    <row r="2710" spans="1:5" x14ac:dyDescent="0.25">
      <c r="A2710" s="1">
        <v>45442</v>
      </c>
      <c r="B2710">
        <v>4</v>
      </c>
      <c r="C2710" t="s">
        <v>8</v>
      </c>
      <c r="D2710">
        <v>224</v>
      </c>
      <c r="E2710">
        <v>3426.7</v>
      </c>
    </row>
    <row r="2711" spans="1:5" x14ac:dyDescent="0.25">
      <c r="A2711" s="1">
        <v>45443</v>
      </c>
      <c r="B2711">
        <v>4</v>
      </c>
      <c r="C2711" t="s">
        <v>8</v>
      </c>
      <c r="D2711">
        <v>230</v>
      </c>
      <c r="E2711">
        <v>2950.94</v>
      </c>
    </row>
    <row r="2712" spans="1:5" x14ac:dyDescent="0.25">
      <c r="A2712" s="1">
        <v>45444</v>
      </c>
      <c r="B2712">
        <v>4</v>
      </c>
      <c r="C2712" t="s">
        <v>8</v>
      </c>
      <c r="D2712">
        <v>201</v>
      </c>
      <c r="E2712">
        <v>3179.91</v>
      </c>
    </row>
    <row r="2713" spans="1:5" x14ac:dyDescent="0.25">
      <c r="A2713" s="1">
        <v>45445</v>
      </c>
      <c r="B2713">
        <v>4</v>
      </c>
      <c r="C2713" t="s">
        <v>8</v>
      </c>
      <c r="D2713">
        <v>156</v>
      </c>
      <c r="E2713">
        <v>2295.64</v>
      </c>
    </row>
    <row r="2714" spans="1:5" x14ac:dyDescent="0.25">
      <c r="A2714" s="1">
        <v>45446</v>
      </c>
      <c r="B2714">
        <v>4</v>
      </c>
      <c r="C2714" t="s">
        <v>8</v>
      </c>
      <c r="D2714">
        <v>230</v>
      </c>
      <c r="E2714">
        <v>3232.09</v>
      </c>
    </row>
    <row r="2715" spans="1:5" x14ac:dyDescent="0.25">
      <c r="A2715" s="1">
        <v>45447</v>
      </c>
      <c r="B2715">
        <v>4</v>
      </c>
      <c r="C2715" t="s">
        <v>8</v>
      </c>
      <c r="D2715">
        <v>188</v>
      </c>
      <c r="E2715">
        <v>2756.1</v>
      </c>
    </row>
    <row r="2716" spans="1:5" x14ac:dyDescent="0.25">
      <c r="A2716" s="1">
        <v>45448</v>
      </c>
      <c r="B2716">
        <v>4</v>
      </c>
      <c r="C2716" t="s">
        <v>8</v>
      </c>
      <c r="D2716">
        <v>176</v>
      </c>
      <c r="E2716">
        <v>2656.95</v>
      </c>
    </row>
    <row r="2717" spans="1:5" x14ac:dyDescent="0.25">
      <c r="A2717" s="1">
        <v>45449</v>
      </c>
      <c r="B2717">
        <v>4</v>
      </c>
      <c r="C2717" t="s">
        <v>8</v>
      </c>
      <c r="D2717">
        <v>236</v>
      </c>
      <c r="E2717">
        <v>3759.48</v>
      </c>
    </row>
    <row r="2718" spans="1:5" x14ac:dyDescent="0.25">
      <c r="A2718" s="1">
        <v>45450</v>
      </c>
      <c r="B2718">
        <v>4</v>
      </c>
      <c r="C2718" t="s">
        <v>8</v>
      </c>
      <c r="D2718">
        <v>141</v>
      </c>
      <c r="E2718">
        <v>2258.84</v>
      </c>
    </row>
    <row r="2719" spans="1:5" x14ac:dyDescent="0.25">
      <c r="A2719" s="1">
        <v>45451</v>
      </c>
      <c r="B2719">
        <v>4</v>
      </c>
      <c r="C2719" t="s">
        <v>8</v>
      </c>
      <c r="D2719">
        <v>206</v>
      </c>
      <c r="E2719">
        <v>3094.46</v>
      </c>
    </row>
    <row r="2720" spans="1:5" x14ac:dyDescent="0.25">
      <c r="A2720" s="1">
        <v>45452</v>
      </c>
      <c r="B2720">
        <v>4</v>
      </c>
      <c r="C2720" t="s">
        <v>8</v>
      </c>
      <c r="D2720">
        <v>200</v>
      </c>
      <c r="E2720">
        <v>2970.2</v>
      </c>
    </row>
    <row r="2721" spans="1:5" x14ac:dyDescent="0.25">
      <c r="A2721" s="1">
        <v>45453</v>
      </c>
      <c r="B2721">
        <v>4</v>
      </c>
      <c r="C2721" t="s">
        <v>8</v>
      </c>
      <c r="D2721">
        <v>190</v>
      </c>
      <c r="E2721">
        <v>2977.65</v>
      </c>
    </row>
    <row r="2722" spans="1:5" x14ac:dyDescent="0.25">
      <c r="A2722" s="1">
        <v>45454</v>
      </c>
      <c r="B2722">
        <v>4</v>
      </c>
      <c r="C2722" t="s">
        <v>8</v>
      </c>
      <c r="D2722">
        <v>181</v>
      </c>
      <c r="E2722">
        <v>2975.62</v>
      </c>
    </row>
    <row r="2723" spans="1:5" x14ac:dyDescent="0.25">
      <c r="A2723" s="1">
        <v>45455</v>
      </c>
      <c r="B2723">
        <v>4</v>
      </c>
      <c r="C2723" t="s">
        <v>8</v>
      </c>
      <c r="D2723">
        <v>208</v>
      </c>
      <c r="E2723">
        <v>3143.96</v>
      </c>
    </row>
    <row r="2724" spans="1:5" x14ac:dyDescent="0.25">
      <c r="A2724" s="1">
        <v>45456</v>
      </c>
      <c r="B2724">
        <v>4</v>
      </c>
      <c r="C2724" t="s">
        <v>8</v>
      </c>
      <c r="D2724">
        <v>194</v>
      </c>
      <c r="E2724">
        <v>3065.33</v>
      </c>
    </row>
    <row r="2725" spans="1:5" x14ac:dyDescent="0.25">
      <c r="A2725" s="1">
        <v>45457</v>
      </c>
      <c r="B2725">
        <v>4</v>
      </c>
      <c r="C2725" t="s">
        <v>8</v>
      </c>
      <c r="D2725">
        <v>211</v>
      </c>
      <c r="E2725">
        <v>3283.04</v>
      </c>
    </row>
    <row r="2726" spans="1:5" x14ac:dyDescent="0.25">
      <c r="A2726" s="1">
        <v>45458</v>
      </c>
      <c r="B2726">
        <v>4</v>
      </c>
      <c r="C2726" t="s">
        <v>8</v>
      </c>
      <c r="D2726">
        <v>238</v>
      </c>
      <c r="E2726">
        <v>3799.64</v>
      </c>
    </row>
    <row r="2727" spans="1:5" x14ac:dyDescent="0.25">
      <c r="A2727" s="1">
        <v>45459</v>
      </c>
      <c r="B2727">
        <v>4</v>
      </c>
      <c r="C2727" t="s">
        <v>8</v>
      </c>
      <c r="D2727">
        <v>210</v>
      </c>
      <c r="E2727">
        <v>3221.27</v>
      </c>
    </row>
    <row r="2728" spans="1:5" x14ac:dyDescent="0.25">
      <c r="A2728" s="1">
        <v>45460</v>
      </c>
      <c r="B2728">
        <v>4</v>
      </c>
      <c r="C2728" t="s">
        <v>8</v>
      </c>
      <c r="D2728">
        <v>247</v>
      </c>
      <c r="E2728">
        <v>4072</v>
      </c>
    </row>
    <row r="2729" spans="1:5" x14ac:dyDescent="0.25">
      <c r="A2729" s="1">
        <v>45461</v>
      </c>
      <c r="B2729">
        <v>4</v>
      </c>
      <c r="C2729" t="s">
        <v>8</v>
      </c>
      <c r="D2729">
        <v>181</v>
      </c>
      <c r="E2729">
        <v>2863.2</v>
      </c>
    </row>
    <row r="2730" spans="1:5" x14ac:dyDescent="0.25">
      <c r="A2730" s="1">
        <v>45462</v>
      </c>
      <c r="B2730">
        <v>4</v>
      </c>
      <c r="C2730" t="s">
        <v>8</v>
      </c>
      <c r="D2730">
        <v>197</v>
      </c>
      <c r="E2730">
        <v>2905.75</v>
      </c>
    </row>
    <row r="2731" spans="1:5" x14ac:dyDescent="0.25">
      <c r="A2731" s="1">
        <v>45463</v>
      </c>
      <c r="B2731">
        <v>4</v>
      </c>
      <c r="C2731" t="s">
        <v>8</v>
      </c>
      <c r="D2731">
        <v>149</v>
      </c>
      <c r="E2731">
        <v>2396.9899999999998</v>
      </c>
    </row>
    <row r="2732" spans="1:5" x14ac:dyDescent="0.25">
      <c r="A2732" s="1">
        <v>45464</v>
      </c>
      <c r="B2732">
        <v>4</v>
      </c>
      <c r="C2732" t="s">
        <v>8</v>
      </c>
      <c r="D2732">
        <v>191</v>
      </c>
      <c r="E2732">
        <v>3043.28</v>
      </c>
    </row>
    <row r="2733" spans="1:5" x14ac:dyDescent="0.25">
      <c r="A2733" s="1">
        <v>45465</v>
      </c>
      <c r="B2733">
        <v>4</v>
      </c>
      <c r="C2733" t="s">
        <v>8</v>
      </c>
      <c r="D2733">
        <v>227</v>
      </c>
      <c r="E2733">
        <v>3402.42</v>
      </c>
    </row>
    <row r="2734" spans="1:5" x14ac:dyDescent="0.25">
      <c r="A2734" s="1">
        <v>45466</v>
      </c>
      <c r="B2734">
        <v>4</v>
      </c>
      <c r="C2734" t="s">
        <v>8</v>
      </c>
      <c r="D2734">
        <v>203</v>
      </c>
      <c r="E2734">
        <v>3216.51</v>
      </c>
    </row>
    <row r="2735" spans="1:5" x14ac:dyDescent="0.25">
      <c r="A2735" s="1">
        <v>45467</v>
      </c>
      <c r="B2735">
        <v>4</v>
      </c>
      <c r="C2735" t="s">
        <v>8</v>
      </c>
      <c r="D2735">
        <v>219</v>
      </c>
      <c r="E2735">
        <v>3107.94</v>
      </c>
    </row>
    <row r="2736" spans="1:5" x14ac:dyDescent="0.25">
      <c r="A2736" s="1">
        <v>45468</v>
      </c>
      <c r="B2736">
        <v>4</v>
      </c>
      <c r="C2736" t="s">
        <v>8</v>
      </c>
      <c r="D2736">
        <v>220</v>
      </c>
      <c r="E2736">
        <v>3271.47</v>
      </c>
    </row>
    <row r="2737" spans="1:5" x14ac:dyDescent="0.25">
      <c r="A2737" s="1">
        <v>45469</v>
      </c>
      <c r="B2737">
        <v>4</v>
      </c>
      <c r="C2737" t="s">
        <v>8</v>
      </c>
      <c r="D2737">
        <v>212</v>
      </c>
      <c r="E2737">
        <v>3339.75</v>
      </c>
    </row>
    <row r="2738" spans="1:5" x14ac:dyDescent="0.25">
      <c r="A2738" s="1">
        <v>45470</v>
      </c>
      <c r="B2738">
        <v>4</v>
      </c>
      <c r="C2738" t="s">
        <v>8</v>
      </c>
      <c r="D2738">
        <v>212</v>
      </c>
      <c r="E2738">
        <v>3409.59</v>
      </c>
    </row>
    <row r="2739" spans="1:5" x14ac:dyDescent="0.25">
      <c r="A2739" s="1">
        <v>45471</v>
      </c>
      <c r="B2739">
        <v>4</v>
      </c>
      <c r="C2739" t="s">
        <v>8</v>
      </c>
      <c r="D2739">
        <v>197</v>
      </c>
      <c r="E2739">
        <v>2957.67</v>
      </c>
    </row>
    <row r="2740" spans="1:5" x14ac:dyDescent="0.25">
      <c r="A2740" s="1">
        <v>45472</v>
      </c>
      <c r="B2740">
        <v>4</v>
      </c>
      <c r="C2740" t="s">
        <v>8</v>
      </c>
      <c r="D2740">
        <v>248</v>
      </c>
      <c r="E2740">
        <v>4167.33</v>
      </c>
    </row>
    <row r="2741" spans="1:5" x14ac:dyDescent="0.25">
      <c r="A2741" s="1">
        <v>45473</v>
      </c>
      <c r="B2741">
        <v>4</v>
      </c>
      <c r="C2741" t="s">
        <v>8</v>
      </c>
      <c r="D2741">
        <v>259</v>
      </c>
      <c r="E2741">
        <v>4172.3599999999997</v>
      </c>
    </row>
    <row r="2742" spans="1:5" x14ac:dyDescent="0.25">
      <c r="A2742" s="1">
        <v>45474</v>
      </c>
      <c r="B2742">
        <v>4</v>
      </c>
      <c r="C2742" t="s">
        <v>8</v>
      </c>
      <c r="D2742">
        <v>201</v>
      </c>
      <c r="E2742">
        <v>3177.12</v>
      </c>
    </row>
    <row r="2743" spans="1:5" x14ac:dyDescent="0.25">
      <c r="A2743" s="1">
        <v>45475</v>
      </c>
      <c r="B2743">
        <v>4</v>
      </c>
      <c r="C2743" t="s">
        <v>8</v>
      </c>
      <c r="D2743">
        <v>232</v>
      </c>
      <c r="E2743">
        <v>3570.94</v>
      </c>
    </row>
    <row r="2744" spans="1:5" x14ac:dyDescent="0.25">
      <c r="A2744" s="1">
        <v>45476</v>
      </c>
      <c r="B2744">
        <v>4</v>
      </c>
      <c r="C2744" t="s">
        <v>8</v>
      </c>
      <c r="D2744">
        <v>258</v>
      </c>
      <c r="E2744">
        <v>4156.83</v>
      </c>
    </row>
    <row r="2745" spans="1:5" x14ac:dyDescent="0.25">
      <c r="A2745" s="1">
        <v>45477</v>
      </c>
      <c r="B2745">
        <v>4</v>
      </c>
      <c r="C2745" t="s">
        <v>8</v>
      </c>
      <c r="D2745">
        <v>222</v>
      </c>
      <c r="E2745">
        <v>3053.27</v>
      </c>
    </row>
    <row r="2746" spans="1:5" x14ac:dyDescent="0.25">
      <c r="A2746" s="1">
        <v>45478</v>
      </c>
      <c r="B2746">
        <v>4</v>
      </c>
      <c r="C2746" t="s">
        <v>8</v>
      </c>
      <c r="D2746">
        <v>183</v>
      </c>
      <c r="E2746">
        <v>2800.87</v>
      </c>
    </row>
    <row r="2747" spans="1:5" x14ac:dyDescent="0.25">
      <c r="A2747" s="1">
        <v>45479</v>
      </c>
      <c r="B2747">
        <v>4</v>
      </c>
      <c r="C2747" t="s">
        <v>8</v>
      </c>
      <c r="D2747">
        <v>247</v>
      </c>
      <c r="E2747">
        <v>3572.71</v>
      </c>
    </row>
    <row r="2748" spans="1:5" x14ac:dyDescent="0.25">
      <c r="A2748" s="1">
        <v>45480</v>
      </c>
      <c r="B2748">
        <v>4</v>
      </c>
      <c r="C2748" t="s">
        <v>8</v>
      </c>
      <c r="D2748">
        <v>237</v>
      </c>
      <c r="E2748">
        <v>4194.51</v>
      </c>
    </row>
    <row r="2749" spans="1:5" x14ac:dyDescent="0.25">
      <c r="A2749" s="1">
        <v>45481</v>
      </c>
      <c r="B2749">
        <v>4</v>
      </c>
      <c r="C2749" t="s">
        <v>8</v>
      </c>
      <c r="D2749">
        <v>197</v>
      </c>
      <c r="E2749">
        <v>2860.84</v>
      </c>
    </row>
    <row r="2750" spans="1:5" x14ac:dyDescent="0.25">
      <c r="A2750" s="1">
        <v>45482</v>
      </c>
      <c r="B2750">
        <v>4</v>
      </c>
      <c r="C2750" t="s">
        <v>8</v>
      </c>
      <c r="D2750">
        <v>231</v>
      </c>
      <c r="E2750">
        <v>3416.97</v>
      </c>
    </row>
    <row r="2751" spans="1:5" x14ac:dyDescent="0.25">
      <c r="A2751" s="1">
        <v>45483</v>
      </c>
      <c r="B2751">
        <v>4</v>
      </c>
      <c r="C2751" t="s">
        <v>8</v>
      </c>
      <c r="D2751">
        <v>202</v>
      </c>
      <c r="E2751">
        <v>3214.86</v>
      </c>
    </row>
    <row r="2752" spans="1:5" x14ac:dyDescent="0.25">
      <c r="A2752" s="1">
        <v>45484</v>
      </c>
      <c r="B2752">
        <v>4</v>
      </c>
      <c r="C2752" t="s">
        <v>8</v>
      </c>
      <c r="D2752">
        <v>208</v>
      </c>
      <c r="E2752">
        <v>3052.85</v>
      </c>
    </row>
    <row r="2753" spans="1:5" x14ac:dyDescent="0.25">
      <c r="A2753" s="1">
        <v>45485</v>
      </c>
      <c r="B2753">
        <v>4</v>
      </c>
      <c r="C2753" t="s">
        <v>8</v>
      </c>
      <c r="D2753">
        <v>196</v>
      </c>
      <c r="E2753">
        <v>2911.26</v>
      </c>
    </row>
    <row r="2754" spans="1:5" x14ac:dyDescent="0.25">
      <c r="A2754" s="1">
        <v>45486</v>
      </c>
      <c r="B2754">
        <v>4</v>
      </c>
      <c r="C2754" t="s">
        <v>8</v>
      </c>
      <c r="D2754">
        <v>254</v>
      </c>
      <c r="E2754">
        <v>3906.51</v>
      </c>
    </row>
    <row r="2755" spans="1:5" x14ac:dyDescent="0.25">
      <c r="A2755" s="1">
        <v>45487</v>
      </c>
      <c r="B2755">
        <v>4</v>
      </c>
      <c r="C2755" t="s">
        <v>8</v>
      </c>
      <c r="D2755">
        <v>229</v>
      </c>
      <c r="E2755">
        <v>3628.47</v>
      </c>
    </row>
    <row r="2756" spans="1:5" x14ac:dyDescent="0.25">
      <c r="A2756" s="1">
        <v>45488</v>
      </c>
      <c r="B2756">
        <v>4</v>
      </c>
      <c r="C2756" t="s">
        <v>8</v>
      </c>
      <c r="D2756">
        <v>223</v>
      </c>
      <c r="E2756">
        <v>3462.08</v>
      </c>
    </row>
    <row r="2757" spans="1:5" x14ac:dyDescent="0.25">
      <c r="A2757" s="1">
        <v>45489</v>
      </c>
      <c r="B2757">
        <v>4</v>
      </c>
      <c r="C2757" t="s">
        <v>8</v>
      </c>
      <c r="D2757">
        <v>222</v>
      </c>
      <c r="E2757">
        <v>3351.84</v>
      </c>
    </row>
    <row r="2758" spans="1:5" x14ac:dyDescent="0.25">
      <c r="A2758" s="1">
        <v>45490</v>
      </c>
      <c r="B2758">
        <v>4</v>
      </c>
      <c r="C2758" t="s">
        <v>8</v>
      </c>
      <c r="D2758">
        <v>195</v>
      </c>
      <c r="E2758">
        <v>2936.38</v>
      </c>
    </row>
    <row r="2759" spans="1:5" x14ac:dyDescent="0.25">
      <c r="A2759" s="1">
        <v>45491</v>
      </c>
      <c r="B2759">
        <v>4</v>
      </c>
      <c r="C2759" t="s">
        <v>8</v>
      </c>
      <c r="D2759">
        <v>213</v>
      </c>
      <c r="E2759">
        <v>3519.13</v>
      </c>
    </row>
    <row r="2760" spans="1:5" x14ac:dyDescent="0.25">
      <c r="A2760" s="1">
        <v>45492</v>
      </c>
      <c r="B2760">
        <v>4</v>
      </c>
      <c r="C2760" t="s">
        <v>8</v>
      </c>
      <c r="D2760">
        <v>229</v>
      </c>
      <c r="E2760">
        <v>3614.43</v>
      </c>
    </row>
    <row r="2761" spans="1:5" x14ac:dyDescent="0.25">
      <c r="A2761" s="1">
        <v>45493</v>
      </c>
      <c r="B2761">
        <v>4</v>
      </c>
      <c r="C2761" t="s">
        <v>8</v>
      </c>
      <c r="D2761">
        <v>249</v>
      </c>
      <c r="E2761">
        <v>3735.42</v>
      </c>
    </row>
    <row r="2762" spans="1:5" x14ac:dyDescent="0.25">
      <c r="A2762" s="1">
        <v>45494</v>
      </c>
      <c r="B2762">
        <v>4</v>
      </c>
      <c r="C2762" t="s">
        <v>8</v>
      </c>
      <c r="D2762">
        <v>205</v>
      </c>
      <c r="E2762">
        <v>3108.54</v>
      </c>
    </row>
    <row r="2763" spans="1:5" x14ac:dyDescent="0.25">
      <c r="A2763" s="1">
        <v>45495</v>
      </c>
      <c r="B2763">
        <v>4</v>
      </c>
      <c r="C2763" t="s">
        <v>8</v>
      </c>
      <c r="D2763">
        <v>248</v>
      </c>
      <c r="E2763">
        <v>3895.44</v>
      </c>
    </row>
    <row r="2764" spans="1:5" x14ac:dyDescent="0.25">
      <c r="A2764" s="1">
        <v>45496</v>
      </c>
      <c r="B2764">
        <v>4</v>
      </c>
      <c r="C2764" t="s">
        <v>8</v>
      </c>
      <c r="D2764">
        <v>242</v>
      </c>
      <c r="E2764">
        <v>3514.65</v>
      </c>
    </row>
    <row r="2765" spans="1:5" x14ac:dyDescent="0.25">
      <c r="A2765" s="1">
        <v>45497</v>
      </c>
      <c r="B2765">
        <v>4</v>
      </c>
      <c r="C2765" t="s">
        <v>8</v>
      </c>
      <c r="D2765">
        <v>217</v>
      </c>
      <c r="E2765">
        <v>3474.93</v>
      </c>
    </row>
    <row r="2766" spans="1:5" x14ac:dyDescent="0.25">
      <c r="A2766" s="1">
        <v>45498</v>
      </c>
      <c r="B2766">
        <v>4</v>
      </c>
      <c r="C2766" t="s">
        <v>8</v>
      </c>
      <c r="D2766">
        <v>244</v>
      </c>
      <c r="E2766">
        <v>3599.98</v>
      </c>
    </row>
    <row r="2767" spans="1:5" x14ac:dyDescent="0.25">
      <c r="A2767" s="1">
        <v>45499</v>
      </c>
      <c r="B2767">
        <v>4</v>
      </c>
      <c r="C2767" t="s">
        <v>8</v>
      </c>
      <c r="D2767">
        <v>217</v>
      </c>
      <c r="E2767">
        <v>3467.06</v>
      </c>
    </row>
    <row r="2768" spans="1:5" x14ac:dyDescent="0.25">
      <c r="A2768" s="1">
        <v>45500</v>
      </c>
      <c r="B2768">
        <v>4</v>
      </c>
      <c r="C2768" t="s">
        <v>8</v>
      </c>
      <c r="D2768">
        <v>195</v>
      </c>
      <c r="E2768">
        <v>3165.78</v>
      </c>
    </row>
    <row r="2769" spans="1:5" x14ac:dyDescent="0.25">
      <c r="A2769" s="1">
        <v>45501</v>
      </c>
      <c r="B2769">
        <v>4</v>
      </c>
      <c r="C2769" t="s">
        <v>8</v>
      </c>
      <c r="D2769">
        <v>244</v>
      </c>
      <c r="E2769">
        <v>3730.61</v>
      </c>
    </row>
    <row r="2770" spans="1:5" x14ac:dyDescent="0.25">
      <c r="A2770" s="1">
        <v>45502</v>
      </c>
      <c r="B2770">
        <v>4</v>
      </c>
      <c r="C2770" t="s">
        <v>8</v>
      </c>
      <c r="D2770">
        <v>244</v>
      </c>
      <c r="E2770">
        <v>3572.41</v>
      </c>
    </row>
    <row r="2771" spans="1:5" x14ac:dyDescent="0.25">
      <c r="A2771" s="1">
        <v>45503</v>
      </c>
      <c r="B2771">
        <v>4</v>
      </c>
      <c r="C2771" t="s">
        <v>8</v>
      </c>
      <c r="D2771">
        <v>221</v>
      </c>
      <c r="E2771">
        <v>4058.86</v>
      </c>
    </row>
    <row r="2772" spans="1:5" x14ac:dyDescent="0.25">
      <c r="A2772" s="1">
        <v>45504</v>
      </c>
      <c r="B2772">
        <v>4</v>
      </c>
      <c r="C2772" t="s">
        <v>8</v>
      </c>
      <c r="D2772">
        <v>226</v>
      </c>
      <c r="E2772">
        <v>3272.65</v>
      </c>
    </row>
    <row r="2773" spans="1:5" x14ac:dyDescent="0.25">
      <c r="A2773" s="1">
        <v>45505</v>
      </c>
      <c r="B2773">
        <v>4</v>
      </c>
      <c r="C2773" t="s">
        <v>8</v>
      </c>
      <c r="D2773">
        <v>221</v>
      </c>
      <c r="E2773">
        <v>3684.14</v>
      </c>
    </row>
    <row r="2774" spans="1:5" x14ac:dyDescent="0.25">
      <c r="A2774" s="1">
        <v>45506</v>
      </c>
      <c r="B2774">
        <v>4</v>
      </c>
      <c r="C2774" t="s">
        <v>8</v>
      </c>
      <c r="D2774">
        <v>234</v>
      </c>
      <c r="E2774">
        <v>3849.57</v>
      </c>
    </row>
    <row r="2775" spans="1:5" x14ac:dyDescent="0.25">
      <c r="A2775" s="1">
        <v>45507</v>
      </c>
      <c r="B2775">
        <v>4</v>
      </c>
      <c r="C2775" t="s">
        <v>8</v>
      </c>
      <c r="D2775">
        <v>292</v>
      </c>
      <c r="E2775">
        <v>4124.17</v>
      </c>
    </row>
    <row r="2776" spans="1:5" x14ac:dyDescent="0.25">
      <c r="A2776" s="1">
        <v>45508</v>
      </c>
      <c r="B2776">
        <v>4</v>
      </c>
      <c r="C2776" t="s">
        <v>8</v>
      </c>
      <c r="D2776">
        <v>269</v>
      </c>
      <c r="E2776">
        <v>4282.8</v>
      </c>
    </row>
    <row r="2777" spans="1:5" x14ac:dyDescent="0.25">
      <c r="A2777" s="1">
        <v>45509</v>
      </c>
      <c r="B2777">
        <v>4</v>
      </c>
      <c r="C2777" t="s">
        <v>8</v>
      </c>
      <c r="D2777">
        <v>268</v>
      </c>
      <c r="E2777">
        <v>4085.02</v>
      </c>
    </row>
    <row r="2778" spans="1:5" x14ac:dyDescent="0.25">
      <c r="A2778" s="1">
        <v>45510</v>
      </c>
      <c r="B2778">
        <v>4</v>
      </c>
      <c r="C2778" t="s">
        <v>8</v>
      </c>
      <c r="D2778">
        <v>214</v>
      </c>
      <c r="E2778">
        <v>3368.49</v>
      </c>
    </row>
    <row r="2779" spans="1:5" x14ac:dyDescent="0.25">
      <c r="A2779" s="1">
        <v>45511</v>
      </c>
      <c r="B2779">
        <v>4</v>
      </c>
      <c r="C2779" t="s">
        <v>8</v>
      </c>
      <c r="D2779">
        <v>208</v>
      </c>
      <c r="E2779">
        <v>3471.68</v>
      </c>
    </row>
    <row r="2780" spans="1:5" x14ac:dyDescent="0.25">
      <c r="A2780" s="1">
        <v>45512</v>
      </c>
      <c r="B2780">
        <v>4</v>
      </c>
      <c r="C2780" t="s">
        <v>8</v>
      </c>
      <c r="D2780">
        <v>231</v>
      </c>
      <c r="E2780">
        <v>3504.26</v>
      </c>
    </row>
    <row r="2781" spans="1:5" x14ac:dyDescent="0.25">
      <c r="A2781" s="1">
        <v>45513</v>
      </c>
      <c r="B2781">
        <v>4</v>
      </c>
      <c r="C2781" t="s">
        <v>8</v>
      </c>
      <c r="D2781">
        <v>217</v>
      </c>
      <c r="E2781">
        <v>3015.08</v>
      </c>
    </row>
    <row r="2782" spans="1:5" x14ac:dyDescent="0.25">
      <c r="A2782" s="1">
        <v>45514</v>
      </c>
      <c r="B2782">
        <v>4</v>
      </c>
      <c r="C2782" t="s">
        <v>8</v>
      </c>
      <c r="D2782">
        <v>258</v>
      </c>
      <c r="E2782">
        <v>3902.42</v>
      </c>
    </row>
    <row r="2783" spans="1:5" x14ac:dyDescent="0.25">
      <c r="A2783" s="1">
        <v>45515</v>
      </c>
      <c r="B2783">
        <v>4</v>
      </c>
      <c r="C2783" t="s">
        <v>8</v>
      </c>
      <c r="D2783">
        <v>261</v>
      </c>
      <c r="E2783">
        <v>4313.7700000000004</v>
      </c>
    </row>
    <row r="2784" spans="1:5" x14ac:dyDescent="0.25">
      <c r="A2784" s="1">
        <v>45516</v>
      </c>
      <c r="B2784">
        <v>4</v>
      </c>
      <c r="C2784" t="s">
        <v>8</v>
      </c>
      <c r="D2784">
        <v>262</v>
      </c>
      <c r="E2784">
        <v>4108.53</v>
      </c>
    </row>
    <row r="2785" spans="1:5" x14ac:dyDescent="0.25">
      <c r="A2785" s="1">
        <v>45517</v>
      </c>
      <c r="B2785">
        <v>4</v>
      </c>
      <c r="C2785" t="s">
        <v>8</v>
      </c>
      <c r="D2785">
        <v>197</v>
      </c>
      <c r="E2785">
        <v>3094.25</v>
      </c>
    </row>
    <row r="2786" spans="1:5" x14ac:dyDescent="0.25">
      <c r="A2786" s="1">
        <v>45518</v>
      </c>
      <c r="B2786">
        <v>4</v>
      </c>
      <c r="C2786" t="s">
        <v>8</v>
      </c>
      <c r="D2786">
        <v>209</v>
      </c>
      <c r="E2786">
        <v>3305.4</v>
      </c>
    </row>
    <row r="2787" spans="1:5" x14ac:dyDescent="0.25">
      <c r="A2787" s="1">
        <v>45519</v>
      </c>
      <c r="B2787">
        <v>4</v>
      </c>
      <c r="C2787" t="s">
        <v>8</v>
      </c>
      <c r="D2787">
        <v>241</v>
      </c>
      <c r="E2787">
        <v>3711</v>
      </c>
    </row>
    <row r="2788" spans="1:5" x14ac:dyDescent="0.25">
      <c r="A2788" s="1">
        <v>45520</v>
      </c>
      <c r="B2788">
        <v>4</v>
      </c>
      <c r="C2788" t="s">
        <v>8</v>
      </c>
      <c r="D2788">
        <v>243</v>
      </c>
      <c r="E2788">
        <v>3949.06</v>
      </c>
    </row>
    <row r="2789" spans="1:5" x14ac:dyDescent="0.25">
      <c r="A2789" s="1">
        <v>45521</v>
      </c>
      <c r="B2789">
        <v>4</v>
      </c>
      <c r="C2789" t="s">
        <v>8</v>
      </c>
      <c r="D2789">
        <v>221</v>
      </c>
      <c r="E2789">
        <v>3987.23</v>
      </c>
    </row>
    <row r="2790" spans="1:5" x14ac:dyDescent="0.25">
      <c r="A2790" s="1">
        <v>45522</v>
      </c>
      <c r="B2790">
        <v>4</v>
      </c>
      <c r="C2790" t="s">
        <v>8</v>
      </c>
      <c r="D2790">
        <v>252</v>
      </c>
      <c r="E2790">
        <v>3879.64</v>
      </c>
    </row>
    <row r="2791" spans="1:5" x14ac:dyDescent="0.25">
      <c r="A2791" s="1">
        <v>45523</v>
      </c>
      <c r="B2791">
        <v>4</v>
      </c>
      <c r="C2791" t="s">
        <v>8</v>
      </c>
      <c r="D2791">
        <v>217</v>
      </c>
      <c r="E2791">
        <v>3295.25</v>
      </c>
    </row>
    <row r="2792" spans="1:5" x14ac:dyDescent="0.25">
      <c r="A2792" s="1">
        <v>45524</v>
      </c>
      <c r="B2792">
        <v>4</v>
      </c>
      <c r="C2792" t="s">
        <v>8</v>
      </c>
      <c r="D2792">
        <v>245</v>
      </c>
      <c r="E2792">
        <v>3902.57</v>
      </c>
    </row>
    <row r="2793" spans="1:5" x14ac:dyDescent="0.25">
      <c r="A2793" s="1">
        <v>45525</v>
      </c>
      <c r="B2793">
        <v>4</v>
      </c>
      <c r="C2793" t="s">
        <v>8</v>
      </c>
      <c r="D2793">
        <v>228</v>
      </c>
      <c r="E2793">
        <v>3673.13</v>
      </c>
    </row>
    <row r="2794" spans="1:5" x14ac:dyDescent="0.25">
      <c r="A2794" s="1">
        <v>45526</v>
      </c>
      <c r="B2794">
        <v>4</v>
      </c>
      <c r="C2794" t="s">
        <v>8</v>
      </c>
      <c r="D2794">
        <v>241</v>
      </c>
      <c r="E2794">
        <v>3582.58</v>
      </c>
    </row>
    <row r="2795" spans="1:5" x14ac:dyDescent="0.25">
      <c r="A2795" s="1">
        <v>45527</v>
      </c>
      <c r="B2795">
        <v>4</v>
      </c>
      <c r="C2795" t="s">
        <v>8</v>
      </c>
      <c r="D2795">
        <v>235</v>
      </c>
      <c r="E2795">
        <v>3808.17</v>
      </c>
    </row>
    <row r="2796" spans="1:5" x14ac:dyDescent="0.25">
      <c r="A2796" s="1">
        <v>45528</v>
      </c>
      <c r="B2796">
        <v>4</v>
      </c>
      <c r="C2796" t="s">
        <v>8</v>
      </c>
      <c r="D2796">
        <v>269</v>
      </c>
      <c r="E2796">
        <v>4121.41</v>
      </c>
    </row>
    <row r="2797" spans="1:5" x14ac:dyDescent="0.25">
      <c r="A2797" s="1">
        <v>45529</v>
      </c>
      <c r="B2797">
        <v>4</v>
      </c>
      <c r="C2797" t="s">
        <v>8</v>
      </c>
      <c r="D2797">
        <v>263</v>
      </c>
      <c r="E2797">
        <v>3708.43</v>
      </c>
    </row>
    <row r="2798" spans="1:5" x14ac:dyDescent="0.25">
      <c r="A2798" s="1">
        <v>45530</v>
      </c>
      <c r="B2798">
        <v>4</v>
      </c>
      <c r="C2798" t="s">
        <v>8</v>
      </c>
      <c r="D2798">
        <v>271</v>
      </c>
      <c r="E2798">
        <v>3887.52</v>
      </c>
    </row>
    <row r="2799" spans="1:5" x14ac:dyDescent="0.25">
      <c r="A2799" s="1">
        <v>45531</v>
      </c>
      <c r="B2799">
        <v>4</v>
      </c>
      <c r="C2799" t="s">
        <v>8</v>
      </c>
      <c r="D2799">
        <v>231</v>
      </c>
      <c r="E2799">
        <v>3517.04</v>
      </c>
    </row>
    <row r="2800" spans="1:5" x14ac:dyDescent="0.25">
      <c r="A2800" s="1">
        <v>45532</v>
      </c>
      <c r="B2800">
        <v>4</v>
      </c>
      <c r="C2800" t="s">
        <v>8</v>
      </c>
      <c r="D2800">
        <v>221</v>
      </c>
      <c r="E2800">
        <v>3225.02</v>
      </c>
    </row>
    <row r="2801" spans="1:5" x14ac:dyDescent="0.25">
      <c r="A2801" s="1">
        <v>45533</v>
      </c>
      <c r="B2801">
        <v>4</v>
      </c>
      <c r="C2801" t="s">
        <v>8</v>
      </c>
      <c r="D2801">
        <v>231</v>
      </c>
      <c r="E2801">
        <v>3827.55</v>
      </c>
    </row>
    <row r="2802" spans="1:5" x14ac:dyDescent="0.25">
      <c r="A2802" s="1">
        <v>45534</v>
      </c>
      <c r="B2802">
        <v>4</v>
      </c>
      <c r="C2802" t="s">
        <v>8</v>
      </c>
      <c r="D2802">
        <v>259</v>
      </c>
      <c r="E2802">
        <v>4069.09</v>
      </c>
    </row>
    <row r="2803" spans="1:5" x14ac:dyDescent="0.25">
      <c r="A2803" s="1">
        <v>45535</v>
      </c>
      <c r="B2803">
        <v>4</v>
      </c>
      <c r="C2803" t="s">
        <v>8</v>
      </c>
      <c r="D2803">
        <v>249</v>
      </c>
      <c r="E2803">
        <v>3849.58</v>
      </c>
    </row>
    <row r="2804" spans="1:5" x14ac:dyDescent="0.25">
      <c r="A2804" s="1">
        <v>45536</v>
      </c>
      <c r="B2804">
        <v>4</v>
      </c>
      <c r="C2804" t="s">
        <v>8</v>
      </c>
      <c r="D2804">
        <v>270</v>
      </c>
      <c r="E2804">
        <v>4020.87</v>
      </c>
    </row>
    <row r="2805" spans="1:5" x14ac:dyDescent="0.25">
      <c r="A2805" s="1">
        <v>45537</v>
      </c>
      <c r="B2805">
        <v>4</v>
      </c>
      <c r="C2805" t="s">
        <v>8</v>
      </c>
      <c r="D2805">
        <v>213</v>
      </c>
      <c r="E2805">
        <v>3152.58</v>
      </c>
    </row>
    <row r="2806" spans="1:5" x14ac:dyDescent="0.25">
      <c r="A2806" s="1">
        <v>45538</v>
      </c>
      <c r="B2806">
        <v>4</v>
      </c>
      <c r="C2806" t="s">
        <v>8</v>
      </c>
      <c r="D2806">
        <v>219</v>
      </c>
      <c r="E2806">
        <v>3361.69</v>
      </c>
    </row>
    <row r="2807" spans="1:5" x14ac:dyDescent="0.25">
      <c r="A2807" s="1">
        <v>45539</v>
      </c>
      <c r="B2807">
        <v>4</v>
      </c>
      <c r="C2807" t="s">
        <v>8</v>
      </c>
      <c r="D2807">
        <v>232</v>
      </c>
      <c r="E2807">
        <v>3341.3</v>
      </c>
    </row>
    <row r="2808" spans="1:5" x14ac:dyDescent="0.25">
      <c r="A2808" s="1">
        <v>45540</v>
      </c>
      <c r="B2808">
        <v>4</v>
      </c>
      <c r="C2808" t="s">
        <v>8</v>
      </c>
      <c r="D2808">
        <v>203</v>
      </c>
      <c r="E2808">
        <v>3025.16</v>
      </c>
    </row>
    <row r="2809" spans="1:5" x14ac:dyDescent="0.25">
      <c r="A2809" s="1">
        <v>45541</v>
      </c>
      <c r="B2809">
        <v>4</v>
      </c>
      <c r="C2809" t="s">
        <v>8</v>
      </c>
      <c r="D2809">
        <v>278</v>
      </c>
      <c r="E2809">
        <v>4478.22</v>
      </c>
    </row>
    <row r="2810" spans="1:5" x14ac:dyDescent="0.25">
      <c r="A2810" s="1">
        <v>45542</v>
      </c>
      <c r="B2810">
        <v>4</v>
      </c>
      <c r="C2810" t="s">
        <v>8</v>
      </c>
      <c r="D2810">
        <v>262</v>
      </c>
      <c r="E2810">
        <v>3882.74</v>
      </c>
    </row>
    <row r="2811" spans="1:5" x14ac:dyDescent="0.25">
      <c r="A2811" s="1">
        <v>45543</v>
      </c>
      <c r="B2811">
        <v>4</v>
      </c>
      <c r="C2811" t="s">
        <v>8</v>
      </c>
      <c r="D2811">
        <v>242</v>
      </c>
      <c r="E2811">
        <v>3738.75</v>
      </c>
    </row>
    <row r="2812" spans="1:5" x14ac:dyDescent="0.25">
      <c r="A2812" s="1">
        <v>45544</v>
      </c>
      <c r="B2812">
        <v>4</v>
      </c>
      <c r="C2812" t="s">
        <v>8</v>
      </c>
      <c r="D2812">
        <v>246</v>
      </c>
      <c r="E2812">
        <v>3837.94</v>
      </c>
    </row>
    <row r="2813" spans="1:5" x14ac:dyDescent="0.25">
      <c r="A2813" s="1">
        <v>45545</v>
      </c>
      <c r="B2813">
        <v>4</v>
      </c>
      <c r="C2813" t="s">
        <v>8</v>
      </c>
      <c r="D2813">
        <v>234</v>
      </c>
      <c r="E2813">
        <v>3464.3</v>
      </c>
    </row>
    <row r="2814" spans="1:5" x14ac:dyDescent="0.25">
      <c r="A2814" s="1">
        <v>45546</v>
      </c>
      <c r="B2814">
        <v>4</v>
      </c>
      <c r="C2814" t="s">
        <v>8</v>
      </c>
      <c r="D2814">
        <v>180</v>
      </c>
      <c r="E2814">
        <v>2969.03</v>
      </c>
    </row>
    <row r="2815" spans="1:5" x14ac:dyDescent="0.25">
      <c r="A2815" s="1">
        <v>45547</v>
      </c>
      <c r="B2815">
        <v>4</v>
      </c>
      <c r="C2815" t="s">
        <v>8</v>
      </c>
      <c r="D2815">
        <v>250</v>
      </c>
      <c r="E2815">
        <v>3718.41</v>
      </c>
    </row>
    <row r="2816" spans="1:5" x14ac:dyDescent="0.25">
      <c r="A2816" s="1">
        <v>45548</v>
      </c>
      <c r="B2816">
        <v>4</v>
      </c>
      <c r="C2816" t="s">
        <v>8</v>
      </c>
      <c r="D2816">
        <v>217</v>
      </c>
      <c r="E2816">
        <v>3534.9</v>
      </c>
    </row>
    <row r="2817" spans="1:5" x14ac:dyDescent="0.25">
      <c r="A2817" s="1">
        <v>45549</v>
      </c>
      <c r="B2817">
        <v>4</v>
      </c>
      <c r="C2817" t="s">
        <v>8</v>
      </c>
      <c r="D2817">
        <v>276</v>
      </c>
      <c r="E2817">
        <v>4239.9399999999996</v>
      </c>
    </row>
    <row r="2818" spans="1:5" x14ac:dyDescent="0.25">
      <c r="A2818" s="1">
        <v>45550</v>
      </c>
      <c r="B2818">
        <v>4</v>
      </c>
      <c r="C2818" t="s">
        <v>8</v>
      </c>
      <c r="D2818">
        <v>278</v>
      </c>
      <c r="E2818">
        <v>4326.9799999999996</v>
      </c>
    </row>
    <row r="2819" spans="1:5" x14ac:dyDescent="0.25">
      <c r="A2819" s="1">
        <v>45551</v>
      </c>
      <c r="B2819">
        <v>4</v>
      </c>
      <c r="C2819" t="s">
        <v>8</v>
      </c>
      <c r="D2819">
        <v>231</v>
      </c>
      <c r="E2819">
        <v>3426.64</v>
      </c>
    </row>
    <row r="2820" spans="1:5" x14ac:dyDescent="0.25">
      <c r="A2820" s="1">
        <v>45552</v>
      </c>
      <c r="B2820">
        <v>4</v>
      </c>
      <c r="C2820" t="s">
        <v>8</v>
      </c>
      <c r="D2820">
        <v>232</v>
      </c>
      <c r="E2820">
        <v>3279.61</v>
      </c>
    </row>
    <row r="2821" spans="1:5" x14ac:dyDescent="0.25">
      <c r="A2821" s="1">
        <v>45553</v>
      </c>
      <c r="B2821">
        <v>4</v>
      </c>
      <c r="C2821" t="s">
        <v>8</v>
      </c>
      <c r="D2821">
        <v>214</v>
      </c>
      <c r="E2821">
        <v>3238.37</v>
      </c>
    </row>
    <row r="2822" spans="1:5" x14ac:dyDescent="0.25">
      <c r="A2822" s="1">
        <v>45554</v>
      </c>
      <c r="B2822">
        <v>4</v>
      </c>
      <c r="C2822" t="s">
        <v>8</v>
      </c>
      <c r="D2822">
        <v>232</v>
      </c>
      <c r="E2822">
        <v>3759.66</v>
      </c>
    </row>
    <row r="2823" spans="1:5" x14ac:dyDescent="0.25">
      <c r="A2823" s="1">
        <v>45555</v>
      </c>
      <c r="B2823">
        <v>4</v>
      </c>
      <c r="C2823" t="s">
        <v>8</v>
      </c>
      <c r="D2823">
        <v>193</v>
      </c>
      <c r="E2823">
        <v>3075.93</v>
      </c>
    </row>
    <row r="2824" spans="1:5" x14ac:dyDescent="0.25">
      <c r="A2824" s="1">
        <v>45556</v>
      </c>
      <c r="B2824">
        <v>4</v>
      </c>
      <c r="C2824" t="s">
        <v>8</v>
      </c>
      <c r="D2824">
        <v>220</v>
      </c>
      <c r="E2824">
        <v>3268.12</v>
      </c>
    </row>
    <row r="2825" spans="1:5" x14ac:dyDescent="0.25">
      <c r="A2825" s="1">
        <v>45557</v>
      </c>
      <c r="B2825">
        <v>4</v>
      </c>
      <c r="C2825" t="s">
        <v>8</v>
      </c>
      <c r="D2825">
        <v>247</v>
      </c>
      <c r="E2825">
        <v>3952.16</v>
      </c>
    </row>
    <row r="2826" spans="1:5" x14ac:dyDescent="0.25">
      <c r="A2826" s="1">
        <v>45558</v>
      </c>
      <c r="B2826">
        <v>4</v>
      </c>
      <c r="C2826" t="s">
        <v>8</v>
      </c>
      <c r="D2826">
        <v>193</v>
      </c>
      <c r="E2826">
        <v>2907.8</v>
      </c>
    </row>
    <row r="2827" spans="1:5" x14ac:dyDescent="0.25">
      <c r="A2827" s="1">
        <v>45559</v>
      </c>
      <c r="B2827">
        <v>4</v>
      </c>
      <c r="C2827" t="s">
        <v>8</v>
      </c>
      <c r="D2827">
        <v>223</v>
      </c>
      <c r="E2827">
        <v>3808.73</v>
      </c>
    </row>
    <row r="2828" spans="1:5" x14ac:dyDescent="0.25">
      <c r="A2828" s="1">
        <v>45560</v>
      </c>
      <c r="B2828">
        <v>4</v>
      </c>
      <c r="C2828" t="s">
        <v>8</v>
      </c>
      <c r="D2828">
        <v>222</v>
      </c>
      <c r="E2828">
        <v>3200.93</v>
      </c>
    </row>
    <row r="2829" spans="1:5" x14ac:dyDescent="0.25">
      <c r="A2829" s="1">
        <v>45561</v>
      </c>
      <c r="B2829">
        <v>4</v>
      </c>
      <c r="C2829" t="s">
        <v>8</v>
      </c>
      <c r="D2829">
        <v>228</v>
      </c>
      <c r="E2829">
        <v>3246.07</v>
      </c>
    </row>
    <row r="2830" spans="1:5" x14ac:dyDescent="0.25">
      <c r="A2830" s="1">
        <v>45562</v>
      </c>
      <c r="B2830">
        <v>4</v>
      </c>
      <c r="C2830" t="s">
        <v>8</v>
      </c>
      <c r="D2830">
        <v>215</v>
      </c>
      <c r="E2830">
        <v>3326.94</v>
      </c>
    </row>
    <row r="2831" spans="1:5" x14ac:dyDescent="0.25">
      <c r="A2831" s="1">
        <v>45563</v>
      </c>
      <c r="B2831">
        <v>4</v>
      </c>
      <c r="C2831" t="s">
        <v>8</v>
      </c>
      <c r="D2831">
        <v>282</v>
      </c>
      <c r="E2831">
        <v>4265.09</v>
      </c>
    </row>
    <row r="2832" spans="1:5" x14ac:dyDescent="0.25">
      <c r="A2832" s="1">
        <v>45564</v>
      </c>
      <c r="B2832">
        <v>4</v>
      </c>
      <c r="C2832" t="s">
        <v>8</v>
      </c>
      <c r="D2832">
        <v>249</v>
      </c>
      <c r="E2832">
        <v>3796.5</v>
      </c>
    </row>
    <row r="2833" spans="1:5" x14ac:dyDescent="0.25">
      <c r="A2833" s="1">
        <v>45565</v>
      </c>
      <c r="B2833">
        <v>4</v>
      </c>
      <c r="C2833" t="s">
        <v>8</v>
      </c>
      <c r="D2833">
        <v>246</v>
      </c>
      <c r="E2833">
        <v>3745.83</v>
      </c>
    </row>
    <row r="2834" spans="1:5" x14ac:dyDescent="0.25">
      <c r="A2834" s="1">
        <v>45566</v>
      </c>
      <c r="B2834">
        <v>4</v>
      </c>
      <c r="C2834" t="s">
        <v>8</v>
      </c>
      <c r="D2834">
        <v>248</v>
      </c>
      <c r="E2834">
        <v>3992.59</v>
      </c>
    </row>
    <row r="2835" spans="1:5" x14ac:dyDescent="0.25">
      <c r="A2835" s="1">
        <v>45567</v>
      </c>
      <c r="B2835">
        <v>4</v>
      </c>
      <c r="C2835" t="s">
        <v>8</v>
      </c>
      <c r="D2835">
        <v>202</v>
      </c>
      <c r="E2835">
        <v>3327.75</v>
      </c>
    </row>
    <row r="2836" spans="1:5" x14ac:dyDescent="0.25">
      <c r="A2836" s="1">
        <v>45568</v>
      </c>
      <c r="B2836">
        <v>4</v>
      </c>
      <c r="C2836" t="s">
        <v>8</v>
      </c>
      <c r="D2836">
        <v>262</v>
      </c>
      <c r="E2836">
        <v>4045.15</v>
      </c>
    </row>
    <row r="2837" spans="1:5" x14ac:dyDescent="0.25">
      <c r="A2837" s="1">
        <v>45569</v>
      </c>
      <c r="B2837">
        <v>4</v>
      </c>
      <c r="C2837" t="s">
        <v>8</v>
      </c>
      <c r="D2837">
        <v>212</v>
      </c>
      <c r="E2837">
        <v>3199.39</v>
      </c>
    </row>
    <row r="2838" spans="1:5" x14ac:dyDescent="0.25">
      <c r="A2838" s="1">
        <v>45570</v>
      </c>
      <c r="B2838">
        <v>4</v>
      </c>
      <c r="C2838" t="s">
        <v>8</v>
      </c>
      <c r="D2838">
        <v>269</v>
      </c>
      <c r="E2838">
        <v>4017.98</v>
      </c>
    </row>
    <row r="2839" spans="1:5" x14ac:dyDescent="0.25">
      <c r="A2839" s="1">
        <v>45571</v>
      </c>
      <c r="B2839">
        <v>4</v>
      </c>
      <c r="C2839" t="s">
        <v>8</v>
      </c>
      <c r="D2839">
        <v>267</v>
      </c>
      <c r="E2839">
        <v>3996.86</v>
      </c>
    </row>
    <row r="2840" spans="1:5" x14ac:dyDescent="0.25">
      <c r="A2840" s="1">
        <v>45572</v>
      </c>
      <c r="B2840">
        <v>4</v>
      </c>
      <c r="C2840" t="s">
        <v>8</v>
      </c>
      <c r="D2840">
        <v>214</v>
      </c>
      <c r="E2840">
        <v>3546.35</v>
      </c>
    </row>
    <row r="2841" spans="1:5" x14ac:dyDescent="0.25">
      <c r="A2841" s="1">
        <v>45573</v>
      </c>
      <c r="B2841">
        <v>4</v>
      </c>
      <c r="C2841" t="s">
        <v>8</v>
      </c>
      <c r="D2841">
        <v>204</v>
      </c>
      <c r="E2841">
        <v>3302.48</v>
      </c>
    </row>
    <row r="2842" spans="1:5" x14ac:dyDescent="0.25">
      <c r="A2842" s="1">
        <v>45574</v>
      </c>
      <c r="B2842">
        <v>4</v>
      </c>
      <c r="C2842" t="s">
        <v>8</v>
      </c>
      <c r="D2842">
        <v>213</v>
      </c>
      <c r="E2842">
        <v>3238.89</v>
      </c>
    </row>
    <row r="2843" spans="1:5" x14ac:dyDescent="0.25">
      <c r="A2843" s="1">
        <v>45575</v>
      </c>
      <c r="B2843">
        <v>4</v>
      </c>
      <c r="C2843" t="s">
        <v>8</v>
      </c>
      <c r="D2843">
        <v>238</v>
      </c>
      <c r="E2843">
        <v>3819.84</v>
      </c>
    </row>
    <row r="2844" spans="1:5" x14ac:dyDescent="0.25">
      <c r="A2844" s="1">
        <v>45576</v>
      </c>
      <c r="B2844">
        <v>4</v>
      </c>
      <c r="C2844" t="s">
        <v>8</v>
      </c>
      <c r="D2844">
        <v>193</v>
      </c>
      <c r="E2844">
        <v>2851.83</v>
      </c>
    </row>
    <row r="2845" spans="1:5" x14ac:dyDescent="0.25">
      <c r="A2845" s="1">
        <v>45577</v>
      </c>
      <c r="B2845">
        <v>4</v>
      </c>
      <c r="C2845" t="s">
        <v>8</v>
      </c>
      <c r="D2845">
        <v>229</v>
      </c>
      <c r="E2845">
        <v>3541.23</v>
      </c>
    </row>
    <row r="2846" spans="1:5" x14ac:dyDescent="0.25">
      <c r="A2846" s="1">
        <v>45578</v>
      </c>
      <c r="B2846">
        <v>4</v>
      </c>
      <c r="C2846" t="s">
        <v>8</v>
      </c>
      <c r="D2846">
        <v>226</v>
      </c>
      <c r="E2846">
        <v>3490.94</v>
      </c>
    </row>
    <row r="2847" spans="1:5" x14ac:dyDescent="0.25">
      <c r="A2847" s="1">
        <v>45579</v>
      </c>
      <c r="B2847">
        <v>4</v>
      </c>
      <c r="C2847" t="s">
        <v>8</v>
      </c>
      <c r="D2847">
        <v>227</v>
      </c>
      <c r="E2847">
        <v>3594.81</v>
      </c>
    </row>
    <row r="2848" spans="1:5" x14ac:dyDescent="0.25">
      <c r="A2848" s="1">
        <v>45580</v>
      </c>
      <c r="B2848">
        <v>4</v>
      </c>
      <c r="C2848" t="s">
        <v>8</v>
      </c>
      <c r="D2848">
        <v>241</v>
      </c>
      <c r="E2848">
        <v>4091.29</v>
      </c>
    </row>
    <row r="2849" spans="1:5" x14ac:dyDescent="0.25">
      <c r="A2849" s="1">
        <v>45581</v>
      </c>
      <c r="B2849">
        <v>4</v>
      </c>
      <c r="C2849" t="s">
        <v>8</v>
      </c>
      <c r="D2849">
        <v>264</v>
      </c>
      <c r="E2849">
        <v>4280.8999999999996</v>
      </c>
    </row>
    <row r="2850" spans="1:5" x14ac:dyDescent="0.25">
      <c r="A2850" s="1">
        <v>45582</v>
      </c>
      <c r="B2850">
        <v>4</v>
      </c>
      <c r="C2850" t="s">
        <v>8</v>
      </c>
      <c r="D2850">
        <v>234</v>
      </c>
      <c r="E2850">
        <v>3683.26</v>
      </c>
    </row>
    <row r="2851" spans="1:5" x14ac:dyDescent="0.25">
      <c r="A2851" s="1">
        <v>45583</v>
      </c>
      <c r="B2851">
        <v>4</v>
      </c>
      <c r="C2851" t="s">
        <v>8</v>
      </c>
      <c r="D2851">
        <v>233</v>
      </c>
      <c r="E2851">
        <v>3837.42</v>
      </c>
    </row>
    <row r="2852" spans="1:5" x14ac:dyDescent="0.25">
      <c r="A2852" s="1">
        <v>45584</v>
      </c>
      <c r="B2852">
        <v>4</v>
      </c>
      <c r="C2852" t="s">
        <v>8</v>
      </c>
      <c r="D2852">
        <v>244</v>
      </c>
      <c r="E2852">
        <v>3868.96</v>
      </c>
    </row>
    <row r="2853" spans="1:5" x14ac:dyDescent="0.25">
      <c r="A2853" s="1">
        <v>45585</v>
      </c>
      <c r="B2853">
        <v>4</v>
      </c>
      <c r="C2853" t="s">
        <v>8</v>
      </c>
      <c r="D2853">
        <v>256</v>
      </c>
      <c r="E2853">
        <v>3761.86</v>
      </c>
    </row>
    <row r="2854" spans="1:5" x14ac:dyDescent="0.25">
      <c r="A2854" s="1">
        <v>45586</v>
      </c>
      <c r="B2854">
        <v>4</v>
      </c>
      <c r="C2854" t="s">
        <v>8</v>
      </c>
      <c r="D2854">
        <v>235</v>
      </c>
      <c r="E2854">
        <v>3484.11</v>
      </c>
    </row>
    <row r="2855" spans="1:5" x14ac:dyDescent="0.25">
      <c r="A2855" s="1">
        <v>45587</v>
      </c>
      <c r="B2855">
        <v>4</v>
      </c>
      <c r="C2855" t="s">
        <v>8</v>
      </c>
      <c r="D2855">
        <v>215</v>
      </c>
      <c r="E2855">
        <v>3430.67</v>
      </c>
    </row>
    <row r="2856" spans="1:5" x14ac:dyDescent="0.25">
      <c r="A2856" s="1">
        <v>45588</v>
      </c>
      <c r="B2856">
        <v>4</v>
      </c>
      <c r="C2856" t="s">
        <v>8</v>
      </c>
      <c r="D2856">
        <v>224</v>
      </c>
      <c r="E2856">
        <v>3726.19</v>
      </c>
    </row>
    <row r="2857" spans="1:5" x14ac:dyDescent="0.25">
      <c r="A2857" s="1">
        <v>45589</v>
      </c>
      <c r="B2857">
        <v>4</v>
      </c>
      <c r="C2857" t="s">
        <v>8</v>
      </c>
      <c r="D2857">
        <v>246</v>
      </c>
      <c r="E2857">
        <v>3934.19</v>
      </c>
    </row>
    <row r="2858" spans="1:5" x14ac:dyDescent="0.25">
      <c r="A2858" s="1">
        <v>45590</v>
      </c>
      <c r="B2858">
        <v>4</v>
      </c>
      <c r="C2858" t="s">
        <v>8</v>
      </c>
      <c r="D2858">
        <v>254</v>
      </c>
      <c r="E2858">
        <v>4014.75</v>
      </c>
    </row>
    <row r="2859" spans="1:5" x14ac:dyDescent="0.25">
      <c r="A2859" s="1">
        <v>45591</v>
      </c>
      <c r="B2859">
        <v>4</v>
      </c>
      <c r="C2859" t="s">
        <v>8</v>
      </c>
      <c r="D2859">
        <v>248</v>
      </c>
      <c r="E2859">
        <v>4342.1899999999996</v>
      </c>
    </row>
    <row r="2860" spans="1:5" x14ac:dyDescent="0.25">
      <c r="A2860" s="1">
        <v>45592</v>
      </c>
      <c r="B2860">
        <v>4</v>
      </c>
      <c r="C2860" t="s">
        <v>8</v>
      </c>
      <c r="D2860">
        <v>250</v>
      </c>
      <c r="E2860">
        <v>3625.22</v>
      </c>
    </row>
    <row r="2861" spans="1:5" x14ac:dyDescent="0.25">
      <c r="A2861" s="1">
        <v>45593</v>
      </c>
      <c r="B2861">
        <v>4</v>
      </c>
      <c r="C2861" t="s">
        <v>8</v>
      </c>
      <c r="D2861">
        <v>205</v>
      </c>
      <c r="E2861">
        <v>3119.47</v>
      </c>
    </row>
    <row r="2862" spans="1:5" x14ac:dyDescent="0.25">
      <c r="A2862" s="1">
        <v>45594</v>
      </c>
      <c r="B2862">
        <v>4</v>
      </c>
      <c r="C2862" t="s">
        <v>8</v>
      </c>
      <c r="D2862">
        <v>268</v>
      </c>
      <c r="E2862">
        <v>3897.11</v>
      </c>
    </row>
    <row r="2863" spans="1:5" x14ac:dyDescent="0.25">
      <c r="A2863" s="1">
        <v>45595</v>
      </c>
      <c r="B2863">
        <v>4</v>
      </c>
      <c r="C2863" t="s">
        <v>8</v>
      </c>
      <c r="D2863">
        <v>179</v>
      </c>
      <c r="E2863">
        <v>2911.85</v>
      </c>
    </row>
    <row r="2864" spans="1:5" x14ac:dyDescent="0.25">
      <c r="A2864" s="1">
        <v>45596</v>
      </c>
      <c r="B2864">
        <v>4</v>
      </c>
      <c r="C2864" t="s">
        <v>8</v>
      </c>
      <c r="D2864">
        <v>237</v>
      </c>
      <c r="E2864">
        <v>3883.98</v>
      </c>
    </row>
    <row r="2865" spans="1:5" x14ac:dyDescent="0.25">
      <c r="A2865" s="1">
        <v>45597</v>
      </c>
      <c r="B2865">
        <v>4</v>
      </c>
      <c r="C2865" t="s">
        <v>8</v>
      </c>
      <c r="D2865">
        <v>178</v>
      </c>
      <c r="E2865">
        <v>2925.46</v>
      </c>
    </row>
    <row r="2866" spans="1:5" x14ac:dyDescent="0.25">
      <c r="A2866" s="1">
        <v>45598</v>
      </c>
      <c r="B2866">
        <v>4</v>
      </c>
      <c r="C2866" t="s">
        <v>8</v>
      </c>
      <c r="D2866">
        <v>243</v>
      </c>
      <c r="E2866">
        <v>3886.57</v>
      </c>
    </row>
    <row r="2867" spans="1:5" x14ac:dyDescent="0.25">
      <c r="A2867" s="1">
        <v>45599</v>
      </c>
      <c r="B2867">
        <v>4</v>
      </c>
      <c r="C2867" t="s">
        <v>8</v>
      </c>
      <c r="D2867">
        <v>234</v>
      </c>
      <c r="E2867">
        <v>3508.02</v>
      </c>
    </row>
    <row r="2868" spans="1:5" x14ac:dyDescent="0.25">
      <c r="A2868" s="1">
        <v>45600</v>
      </c>
      <c r="B2868">
        <v>4</v>
      </c>
      <c r="C2868" t="s">
        <v>8</v>
      </c>
      <c r="D2868">
        <v>223</v>
      </c>
      <c r="E2868">
        <v>3627.73</v>
      </c>
    </row>
    <row r="2869" spans="1:5" x14ac:dyDescent="0.25">
      <c r="A2869" s="1">
        <v>45601</v>
      </c>
      <c r="B2869">
        <v>4</v>
      </c>
      <c r="C2869" t="s">
        <v>8</v>
      </c>
      <c r="D2869">
        <v>220</v>
      </c>
      <c r="E2869">
        <v>3288.58</v>
      </c>
    </row>
    <row r="2870" spans="1:5" x14ac:dyDescent="0.25">
      <c r="A2870" s="1">
        <v>45602</v>
      </c>
      <c r="B2870">
        <v>4</v>
      </c>
      <c r="C2870" t="s">
        <v>8</v>
      </c>
      <c r="D2870">
        <v>228</v>
      </c>
      <c r="E2870">
        <v>3351.66</v>
      </c>
    </row>
    <row r="2871" spans="1:5" x14ac:dyDescent="0.25">
      <c r="A2871" s="1">
        <v>45603</v>
      </c>
      <c r="B2871">
        <v>4</v>
      </c>
      <c r="C2871" t="s">
        <v>8</v>
      </c>
      <c r="D2871">
        <v>209</v>
      </c>
      <c r="E2871">
        <v>3113.24</v>
      </c>
    </row>
    <row r="2872" spans="1:5" x14ac:dyDescent="0.25">
      <c r="A2872" s="1">
        <v>45604</v>
      </c>
      <c r="B2872">
        <v>4</v>
      </c>
      <c r="C2872" t="s">
        <v>8</v>
      </c>
      <c r="D2872">
        <v>172</v>
      </c>
      <c r="E2872">
        <v>2766.72</v>
      </c>
    </row>
    <row r="2873" spans="1:5" x14ac:dyDescent="0.25">
      <c r="A2873" s="1">
        <v>45605</v>
      </c>
      <c r="B2873">
        <v>4</v>
      </c>
      <c r="C2873" t="s">
        <v>8</v>
      </c>
      <c r="D2873">
        <v>262</v>
      </c>
      <c r="E2873">
        <v>4182.63</v>
      </c>
    </row>
    <row r="2874" spans="1:5" x14ac:dyDescent="0.25">
      <c r="A2874" s="1">
        <v>45606</v>
      </c>
      <c r="B2874">
        <v>4</v>
      </c>
      <c r="C2874" t="s">
        <v>8</v>
      </c>
      <c r="D2874">
        <v>226</v>
      </c>
      <c r="E2874">
        <v>3538.14</v>
      </c>
    </row>
    <row r="2875" spans="1:5" x14ac:dyDescent="0.25">
      <c r="A2875" s="1">
        <v>45607</v>
      </c>
      <c r="B2875">
        <v>4</v>
      </c>
      <c r="C2875" t="s">
        <v>8</v>
      </c>
      <c r="D2875">
        <v>225</v>
      </c>
      <c r="E2875">
        <v>3815.35</v>
      </c>
    </row>
    <row r="2876" spans="1:5" x14ac:dyDescent="0.25">
      <c r="A2876" s="1">
        <v>45608</v>
      </c>
      <c r="B2876">
        <v>4</v>
      </c>
      <c r="C2876" t="s">
        <v>8</v>
      </c>
      <c r="D2876">
        <v>230</v>
      </c>
      <c r="E2876">
        <v>3527.8</v>
      </c>
    </row>
    <row r="2877" spans="1:5" x14ac:dyDescent="0.25">
      <c r="A2877" s="1">
        <v>45609</v>
      </c>
      <c r="B2877">
        <v>4</v>
      </c>
      <c r="C2877" t="s">
        <v>8</v>
      </c>
      <c r="D2877">
        <v>207</v>
      </c>
      <c r="E2877">
        <v>3519.92</v>
      </c>
    </row>
    <row r="2878" spans="1:5" x14ac:dyDescent="0.25">
      <c r="A2878" s="1">
        <v>45610</v>
      </c>
      <c r="B2878">
        <v>4</v>
      </c>
      <c r="C2878" t="s">
        <v>8</v>
      </c>
      <c r="D2878">
        <v>216</v>
      </c>
      <c r="E2878">
        <v>3298.72</v>
      </c>
    </row>
    <row r="2879" spans="1:5" x14ac:dyDescent="0.25">
      <c r="A2879" s="1">
        <v>45611</v>
      </c>
      <c r="B2879">
        <v>4</v>
      </c>
      <c r="C2879" t="s">
        <v>8</v>
      </c>
      <c r="D2879">
        <v>200</v>
      </c>
      <c r="E2879">
        <v>2733.75</v>
      </c>
    </row>
    <row r="2880" spans="1:5" x14ac:dyDescent="0.25">
      <c r="A2880" s="1">
        <v>45612</v>
      </c>
      <c r="B2880">
        <v>4</v>
      </c>
      <c r="C2880" t="s">
        <v>8</v>
      </c>
      <c r="D2880">
        <v>256</v>
      </c>
      <c r="E2880">
        <v>3753.53</v>
      </c>
    </row>
    <row r="2881" spans="1:5" x14ac:dyDescent="0.25">
      <c r="A2881" s="1">
        <v>45613</v>
      </c>
      <c r="B2881">
        <v>4</v>
      </c>
      <c r="C2881" t="s">
        <v>8</v>
      </c>
      <c r="D2881">
        <v>235</v>
      </c>
      <c r="E2881">
        <v>3515.25</v>
      </c>
    </row>
    <row r="2882" spans="1:5" x14ac:dyDescent="0.25">
      <c r="A2882" s="1">
        <v>45614</v>
      </c>
      <c r="B2882">
        <v>4</v>
      </c>
      <c r="C2882" t="s">
        <v>8</v>
      </c>
      <c r="D2882">
        <v>221</v>
      </c>
      <c r="E2882">
        <v>3221.39</v>
      </c>
    </row>
    <row r="2883" spans="1:5" x14ac:dyDescent="0.25">
      <c r="A2883" s="1">
        <v>45615</v>
      </c>
      <c r="B2883">
        <v>4</v>
      </c>
      <c r="C2883" t="s">
        <v>8</v>
      </c>
      <c r="D2883">
        <v>227</v>
      </c>
      <c r="E2883">
        <v>3526.62</v>
      </c>
    </row>
    <row r="2884" spans="1:5" x14ac:dyDescent="0.25">
      <c r="A2884" s="1">
        <v>45616</v>
      </c>
      <c r="B2884">
        <v>4</v>
      </c>
      <c r="C2884" t="s">
        <v>8</v>
      </c>
      <c r="D2884">
        <v>233</v>
      </c>
      <c r="E2884">
        <v>3734.02</v>
      </c>
    </row>
    <row r="2885" spans="1:5" x14ac:dyDescent="0.25">
      <c r="A2885" s="1">
        <v>45617</v>
      </c>
      <c r="B2885">
        <v>4</v>
      </c>
      <c r="C2885" t="s">
        <v>8</v>
      </c>
      <c r="D2885">
        <v>198</v>
      </c>
      <c r="E2885">
        <v>3155.35</v>
      </c>
    </row>
    <row r="2886" spans="1:5" x14ac:dyDescent="0.25">
      <c r="A2886" s="1">
        <v>45618</v>
      </c>
      <c r="B2886">
        <v>4</v>
      </c>
      <c r="C2886" t="s">
        <v>8</v>
      </c>
      <c r="D2886">
        <v>174</v>
      </c>
      <c r="E2886">
        <v>2676.17</v>
      </c>
    </row>
    <row r="2887" spans="1:5" x14ac:dyDescent="0.25">
      <c r="A2887" s="1">
        <v>45619</v>
      </c>
      <c r="B2887">
        <v>4</v>
      </c>
      <c r="C2887" t="s">
        <v>8</v>
      </c>
      <c r="D2887">
        <v>242</v>
      </c>
      <c r="E2887">
        <v>4151.97</v>
      </c>
    </row>
    <row r="2888" spans="1:5" x14ac:dyDescent="0.25">
      <c r="A2888" s="1">
        <v>45620</v>
      </c>
      <c r="B2888">
        <v>4</v>
      </c>
      <c r="C2888" t="s">
        <v>8</v>
      </c>
      <c r="D2888">
        <v>250</v>
      </c>
      <c r="E2888">
        <v>4110.51</v>
      </c>
    </row>
    <row r="2889" spans="1:5" x14ac:dyDescent="0.25">
      <c r="A2889" s="1">
        <v>45621</v>
      </c>
      <c r="B2889">
        <v>4</v>
      </c>
      <c r="C2889" t="s">
        <v>8</v>
      </c>
      <c r="D2889">
        <v>190</v>
      </c>
      <c r="E2889">
        <v>2757.07</v>
      </c>
    </row>
    <row r="2890" spans="1:5" x14ac:dyDescent="0.25">
      <c r="A2890" s="1">
        <v>45622</v>
      </c>
      <c r="B2890">
        <v>4</v>
      </c>
      <c r="C2890" t="s">
        <v>8</v>
      </c>
      <c r="D2890">
        <v>223</v>
      </c>
      <c r="E2890">
        <v>3549.07</v>
      </c>
    </row>
    <row r="2891" spans="1:5" x14ac:dyDescent="0.25">
      <c r="A2891" s="1">
        <v>45623</v>
      </c>
      <c r="B2891">
        <v>4</v>
      </c>
      <c r="C2891" t="s">
        <v>8</v>
      </c>
      <c r="D2891">
        <v>243</v>
      </c>
      <c r="E2891">
        <v>4139.92</v>
      </c>
    </row>
    <row r="2892" spans="1:5" x14ac:dyDescent="0.25">
      <c r="A2892" s="1">
        <v>45624</v>
      </c>
      <c r="B2892">
        <v>4</v>
      </c>
      <c r="C2892" t="s">
        <v>8</v>
      </c>
      <c r="D2892">
        <v>186</v>
      </c>
      <c r="E2892">
        <v>2949.49</v>
      </c>
    </row>
    <row r="2893" spans="1:5" x14ac:dyDescent="0.25">
      <c r="A2893" s="1">
        <v>45625</v>
      </c>
      <c r="B2893">
        <v>4</v>
      </c>
      <c r="C2893" t="s">
        <v>8</v>
      </c>
      <c r="D2893">
        <v>181</v>
      </c>
      <c r="E2893">
        <v>3029.73</v>
      </c>
    </row>
    <row r="2894" spans="1:5" x14ac:dyDescent="0.25">
      <c r="A2894" s="1">
        <v>45626</v>
      </c>
      <c r="B2894">
        <v>4</v>
      </c>
      <c r="C2894" t="s">
        <v>8</v>
      </c>
      <c r="D2894">
        <v>251</v>
      </c>
      <c r="E2894">
        <v>3912.49</v>
      </c>
    </row>
    <row r="2895" spans="1:5" x14ac:dyDescent="0.25">
      <c r="A2895" s="1">
        <v>45627</v>
      </c>
      <c r="B2895">
        <v>4</v>
      </c>
      <c r="C2895" t="s">
        <v>8</v>
      </c>
      <c r="D2895">
        <v>235</v>
      </c>
      <c r="E2895">
        <v>3723.93</v>
      </c>
    </row>
    <row r="2896" spans="1:5" x14ac:dyDescent="0.25">
      <c r="A2896" s="1">
        <v>45628</v>
      </c>
      <c r="B2896">
        <v>4</v>
      </c>
      <c r="C2896" t="s">
        <v>8</v>
      </c>
      <c r="D2896">
        <v>235</v>
      </c>
      <c r="E2896">
        <v>3835.02</v>
      </c>
    </row>
    <row r="2897" spans="1:5" x14ac:dyDescent="0.25">
      <c r="A2897" s="1">
        <v>45629</v>
      </c>
      <c r="B2897">
        <v>4</v>
      </c>
      <c r="C2897" t="s">
        <v>8</v>
      </c>
      <c r="D2897">
        <v>200</v>
      </c>
      <c r="E2897">
        <v>2903.98</v>
      </c>
    </row>
    <row r="2898" spans="1:5" x14ac:dyDescent="0.25">
      <c r="A2898" s="1">
        <v>45630</v>
      </c>
      <c r="B2898">
        <v>4</v>
      </c>
      <c r="C2898" t="s">
        <v>8</v>
      </c>
      <c r="D2898">
        <v>191</v>
      </c>
      <c r="E2898">
        <v>3143.49</v>
      </c>
    </row>
    <row r="2899" spans="1:5" x14ac:dyDescent="0.25">
      <c r="A2899" s="1">
        <v>45631</v>
      </c>
      <c r="B2899">
        <v>4</v>
      </c>
      <c r="C2899" t="s">
        <v>8</v>
      </c>
      <c r="D2899">
        <v>198</v>
      </c>
      <c r="E2899">
        <v>3172.05</v>
      </c>
    </row>
    <row r="2900" spans="1:5" x14ac:dyDescent="0.25">
      <c r="A2900" s="1">
        <v>45632</v>
      </c>
      <c r="B2900">
        <v>4</v>
      </c>
      <c r="C2900" t="s">
        <v>8</v>
      </c>
      <c r="D2900">
        <v>167</v>
      </c>
      <c r="E2900">
        <v>2456.38</v>
      </c>
    </row>
    <row r="2901" spans="1:5" x14ac:dyDescent="0.25">
      <c r="A2901" s="1">
        <v>45633</v>
      </c>
      <c r="B2901">
        <v>4</v>
      </c>
      <c r="C2901" t="s">
        <v>8</v>
      </c>
      <c r="D2901">
        <v>230</v>
      </c>
      <c r="E2901">
        <v>3289.28</v>
      </c>
    </row>
    <row r="2902" spans="1:5" x14ac:dyDescent="0.25">
      <c r="A2902" s="1">
        <v>45634</v>
      </c>
      <c r="B2902">
        <v>4</v>
      </c>
      <c r="C2902" t="s">
        <v>8</v>
      </c>
      <c r="D2902">
        <v>217</v>
      </c>
      <c r="E2902">
        <v>3414.91</v>
      </c>
    </row>
    <row r="2903" spans="1:5" x14ac:dyDescent="0.25">
      <c r="A2903" s="1">
        <v>45635</v>
      </c>
      <c r="B2903">
        <v>4</v>
      </c>
      <c r="C2903" t="s">
        <v>8</v>
      </c>
      <c r="D2903">
        <v>213</v>
      </c>
      <c r="E2903">
        <v>3153.48</v>
      </c>
    </row>
    <row r="2904" spans="1:5" x14ac:dyDescent="0.25">
      <c r="A2904" s="1">
        <v>45636</v>
      </c>
      <c r="B2904">
        <v>4</v>
      </c>
      <c r="C2904" t="s">
        <v>8</v>
      </c>
      <c r="D2904">
        <v>181</v>
      </c>
      <c r="E2904">
        <v>2958.83</v>
      </c>
    </row>
    <row r="2905" spans="1:5" x14ac:dyDescent="0.25">
      <c r="A2905" s="1">
        <v>45637</v>
      </c>
      <c r="B2905">
        <v>4</v>
      </c>
      <c r="C2905" t="s">
        <v>8</v>
      </c>
      <c r="D2905">
        <v>211</v>
      </c>
      <c r="E2905">
        <v>3174.62</v>
      </c>
    </row>
    <row r="2906" spans="1:5" x14ac:dyDescent="0.25">
      <c r="A2906" s="1">
        <v>45638</v>
      </c>
      <c r="B2906">
        <v>4</v>
      </c>
      <c r="C2906" t="s">
        <v>8</v>
      </c>
      <c r="D2906">
        <v>213</v>
      </c>
      <c r="E2906">
        <v>3283.98</v>
      </c>
    </row>
    <row r="2907" spans="1:5" x14ac:dyDescent="0.25">
      <c r="A2907" s="1">
        <v>45639</v>
      </c>
      <c r="B2907">
        <v>4</v>
      </c>
      <c r="C2907" t="s">
        <v>8</v>
      </c>
      <c r="D2907">
        <v>188</v>
      </c>
      <c r="E2907">
        <v>2828.17</v>
      </c>
    </row>
    <row r="2908" spans="1:5" x14ac:dyDescent="0.25">
      <c r="A2908" s="1">
        <v>45640</v>
      </c>
      <c r="B2908">
        <v>4</v>
      </c>
      <c r="C2908" t="s">
        <v>8</v>
      </c>
      <c r="D2908">
        <v>231</v>
      </c>
      <c r="E2908">
        <v>3725.25</v>
      </c>
    </row>
    <row r="2909" spans="1:5" x14ac:dyDescent="0.25">
      <c r="A2909" s="1">
        <v>45641</v>
      </c>
      <c r="B2909">
        <v>4</v>
      </c>
      <c r="C2909" t="s">
        <v>8</v>
      </c>
      <c r="D2909">
        <v>175</v>
      </c>
      <c r="E2909">
        <v>2654.25</v>
      </c>
    </row>
    <row r="2910" spans="1:5" x14ac:dyDescent="0.25">
      <c r="A2910" s="1">
        <v>45642</v>
      </c>
      <c r="B2910">
        <v>4</v>
      </c>
      <c r="C2910" t="s">
        <v>8</v>
      </c>
      <c r="D2910">
        <v>221</v>
      </c>
      <c r="E2910">
        <v>3220.29</v>
      </c>
    </row>
    <row r="2911" spans="1:5" x14ac:dyDescent="0.25">
      <c r="A2911" s="1">
        <v>45643</v>
      </c>
      <c r="B2911">
        <v>4</v>
      </c>
      <c r="C2911" t="s">
        <v>8</v>
      </c>
      <c r="D2911">
        <v>185</v>
      </c>
      <c r="E2911">
        <v>2637.3</v>
      </c>
    </row>
    <row r="2912" spans="1:5" x14ac:dyDescent="0.25">
      <c r="A2912" s="1">
        <v>45644</v>
      </c>
      <c r="B2912">
        <v>4</v>
      </c>
      <c r="C2912" t="s">
        <v>8</v>
      </c>
      <c r="D2912">
        <v>184</v>
      </c>
      <c r="E2912">
        <v>2788.88</v>
      </c>
    </row>
    <row r="2913" spans="1:5" x14ac:dyDescent="0.25">
      <c r="A2913" s="1">
        <v>45645</v>
      </c>
      <c r="B2913">
        <v>4</v>
      </c>
      <c r="C2913" t="s">
        <v>8</v>
      </c>
      <c r="D2913">
        <v>152</v>
      </c>
      <c r="E2913">
        <v>2236.36</v>
      </c>
    </row>
    <row r="2914" spans="1:5" x14ac:dyDescent="0.25">
      <c r="A2914" s="1">
        <v>45646</v>
      </c>
      <c r="B2914">
        <v>4</v>
      </c>
      <c r="C2914" t="s">
        <v>8</v>
      </c>
      <c r="D2914">
        <v>174</v>
      </c>
      <c r="E2914">
        <v>2736.11</v>
      </c>
    </row>
    <row r="2915" spans="1:5" x14ac:dyDescent="0.25">
      <c r="A2915" s="1">
        <v>45647</v>
      </c>
      <c r="B2915">
        <v>4</v>
      </c>
      <c r="C2915" t="s">
        <v>8</v>
      </c>
      <c r="D2915">
        <v>191</v>
      </c>
      <c r="E2915">
        <v>2898.94</v>
      </c>
    </row>
    <row r="2916" spans="1:5" x14ac:dyDescent="0.25">
      <c r="A2916" s="1">
        <v>45648</v>
      </c>
      <c r="B2916">
        <v>4</v>
      </c>
      <c r="C2916" t="s">
        <v>8</v>
      </c>
      <c r="D2916">
        <v>204</v>
      </c>
      <c r="E2916">
        <v>3019.52</v>
      </c>
    </row>
    <row r="2917" spans="1:5" x14ac:dyDescent="0.25">
      <c r="A2917" s="1">
        <v>45649</v>
      </c>
      <c r="B2917">
        <v>4</v>
      </c>
      <c r="C2917" t="s">
        <v>8</v>
      </c>
      <c r="D2917">
        <v>172</v>
      </c>
      <c r="E2917">
        <v>2631.35</v>
      </c>
    </row>
    <row r="2918" spans="1:5" x14ac:dyDescent="0.25">
      <c r="A2918" s="1">
        <v>45650</v>
      </c>
      <c r="B2918">
        <v>4</v>
      </c>
      <c r="C2918" t="s">
        <v>8</v>
      </c>
      <c r="D2918">
        <v>205</v>
      </c>
      <c r="E2918">
        <v>3173.03</v>
      </c>
    </row>
    <row r="2919" spans="1:5" x14ac:dyDescent="0.25">
      <c r="A2919" s="1">
        <v>45651</v>
      </c>
      <c r="B2919">
        <v>4</v>
      </c>
      <c r="C2919" t="s">
        <v>8</v>
      </c>
      <c r="D2919">
        <v>178</v>
      </c>
      <c r="E2919">
        <v>2752.92</v>
      </c>
    </row>
    <row r="2920" spans="1:5" x14ac:dyDescent="0.25">
      <c r="A2920" s="1">
        <v>45652</v>
      </c>
      <c r="B2920">
        <v>4</v>
      </c>
      <c r="C2920" t="s">
        <v>8</v>
      </c>
      <c r="D2920">
        <v>179</v>
      </c>
      <c r="E2920">
        <v>2607.4499999999998</v>
      </c>
    </row>
    <row r="2921" spans="1:5" x14ac:dyDescent="0.25">
      <c r="A2921" s="1">
        <v>45653</v>
      </c>
      <c r="B2921">
        <v>4</v>
      </c>
      <c r="C2921" t="s">
        <v>8</v>
      </c>
      <c r="D2921">
        <v>212</v>
      </c>
      <c r="E2921">
        <v>3213.08</v>
      </c>
    </row>
    <row r="2922" spans="1:5" x14ac:dyDescent="0.25">
      <c r="A2922" s="1">
        <v>45654</v>
      </c>
      <c r="B2922">
        <v>4</v>
      </c>
      <c r="C2922" t="s">
        <v>8</v>
      </c>
      <c r="D2922">
        <v>231</v>
      </c>
      <c r="E2922">
        <v>3509.83</v>
      </c>
    </row>
    <row r="2923" spans="1:5" x14ac:dyDescent="0.25">
      <c r="A2923" s="1">
        <v>45655</v>
      </c>
      <c r="B2923">
        <v>4</v>
      </c>
      <c r="C2923" t="s">
        <v>8</v>
      </c>
      <c r="D2923">
        <v>232</v>
      </c>
      <c r="E2923">
        <v>3794.38</v>
      </c>
    </row>
    <row r="2924" spans="1:5" x14ac:dyDescent="0.25">
      <c r="A2924" s="1">
        <v>45656</v>
      </c>
      <c r="B2924">
        <v>4</v>
      </c>
      <c r="C2924" t="s">
        <v>8</v>
      </c>
      <c r="D2924">
        <v>184</v>
      </c>
      <c r="E2924">
        <v>2818.5</v>
      </c>
    </row>
    <row r="2925" spans="1:5" x14ac:dyDescent="0.25">
      <c r="A2925" s="1">
        <v>45657</v>
      </c>
      <c r="B2925">
        <v>4</v>
      </c>
      <c r="C2925" t="s">
        <v>8</v>
      </c>
      <c r="D2925">
        <v>166</v>
      </c>
      <c r="E2925">
        <v>2603.5500000000002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A03D-450C-4DD4-BC22-006ABFF16F04}">
  <dimension ref="A1:S732"/>
  <sheetViews>
    <sheetView tabSelected="1" workbookViewId="0">
      <selection activeCell="L11" sqref="L11"/>
    </sheetView>
  </sheetViews>
  <sheetFormatPr defaultRowHeight="15" x14ac:dyDescent="0.25"/>
  <cols>
    <col min="1" max="1" width="10.42578125" bestFit="1" customWidth="1"/>
    <col min="2" max="3" width="10.42578125" customWidth="1"/>
    <col min="4" max="4" width="8.7109375" bestFit="1" customWidth="1"/>
    <col min="5" max="5" width="9" bestFit="1" customWidth="1"/>
    <col min="6" max="6" width="8.85546875" bestFit="1" customWidth="1"/>
    <col min="7" max="7" width="8.28515625" bestFit="1" customWidth="1"/>
    <col min="8" max="8" width="7.85546875" bestFit="1" customWidth="1"/>
    <col min="10" max="10" width="7.7109375" bestFit="1" customWidth="1"/>
    <col min="11" max="11" width="8.42578125" bestFit="1" customWidth="1"/>
    <col min="12" max="12" width="9" bestFit="1" customWidth="1"/>
    <col min="13" max="13" width="12.42578125" bestFit="1" customWidth="1"/>
    <col min="14" max="14" width="8.28515625" bestFit="1" customWidth="1"/>
    <col min="15" max="15" width="8.7109375" bestFit="1" customWidth="1"/>
  </cols>
  <sheetData>
    <row r="1" spans="1:19" ht="45.75" thickBot="1" x14ac:dyDescent="0.3">
      <c r="A1" s="2" t="s">
        <v>0</v>
      </c>
      <c r="B1" s="2" t="s">
        <v>17</v>
      </c>
      <c r="C1" s="2" t="s">
        <v>18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</v>
      </c>
      <c r="M1" s="2" t="s">
        <v>2</v>
      </c>
      <c r="N1" s="2" t="s">
        <v>3</v>
      </c>
      <c r="O1" s="2" t="s">
        <v>4</v>
      </c>
      <c r="P1" s="3" t="s">
        <v>19</v>
      </c>
    </row>
    <row r="2" spans="1:19" x14ac:dyDescent="0.25">
      <c r="A2" s="1">
        <v>44927</v>
      </c>
      <c r="B2" s="1" t="str">
        <f>TEXT(A2, "dddd")</f>
        <v>Sunday</v>
      </c>
      <c r="C2" s="1" t="b">
        <f>IF(WEEKDAY(A2,2)&gt;5,TRUE,FALSE)</f>
        <v>1</v>
      </c>
      <c r="D2">
        <f>VLOOKUP($A2,survey_2yrs!A:B, 2)</f>
        <v>47.9</v>
      </c>
      <c r="E2">
        <f>VLOOKUP($A2,survey_2yrs!$A:C, 3)</f>
        <v>52.1</v>
      </c>
      <c r="F2">
        <f>VLOOKUP($A2,survey_2yrs!$A:D, 4)</f>
        <v>49.4</v>
      </c>
      <c r="G2">
        <f>_xlfn.XLOOKUP($A2,survey_2yrs!A:A,survey_2yrs!E:E)</f>
        <v>50.6</v>
      </c>
      <c r="H2">
        <f>_xlfn.XLOOKUP($A2,weather_2yrs!$A:$A,weather_2yrs!B:B)</f>
        <v>77.900000000000006</v>
      </c>
      <c r="I2">
        <f>_xlfn.XLOOKUP($A2,weather_2yrs!$A:$A,weather_2yrs!C:C)</f>
        <v>0</v>
      </c>
      <c r="J2">
        <f>_xlfn.XLOOKUP($A2,weather_2yrs!$A:$A,weather_2yrs!D:D)</f>
        <v>0</v>
      </c>
      <c r="K2">
        <f>_xlfn.XLOOKUP($A2,weather_2yrs!$A:$A,weather_2yrs!E:E)</f>
        <v>46.3</v>
      </c>
      <c r="L2">
        <f>_xlfn.XLOOKUP($A2,sales!$A:$A,sales!B:B)</f>
        <v>1</v>
      </c>
      <c r="M2" t="str">
        <f>_xlfn.XLOOKUP($A2,sales!$A:$A,sales!C:C)</f>
        <v>Miami Beach</v>
      </c>
      <c r="N2">
        <f>_xlfn.XLOOKUP($A2,sales!$A:$A,sales!D:D)</f>
        <v>296</v>
      </c>
      <c r="O2">
        <f>_xlfn.XLOOKUP($A2,sales!$A:$A,sales!E:E)</f>
        <v>5440.48</v>
      </c>
      <c r="P2" s="4">
        <f>O2/N2</f>
        <v>18.38</v>
      </c>
      <c r="R2" t="s">
        <v>20</v>
      </c>
      <c r="S2">
        <f>COUNTBLANK(A2:P732)</f>
        <v>0</v>
      </c>
    </row>
    <row r="3" spans="1:19" x14ac:dyDescent="0.25">
      <c r="A3" s="1">
        <v>44928</v>
      </c>
      <c r="B3" s="1" t="str">
        <f t="shared" ref="B3:B66" si="0">TEXT(A3, "dddd")</f>
        <v>Monday</v>
      </c>
      <c r="C3" s="1" t="b">
        <f t="shared" ref="C3:C66" si="1">IF(WEEKDAY(A3,2)&gt;5,TRUE,FALSE)</f>
        <v>0</v>
      </c>
      <c r="D3">
        <f>VLOOKUP($A3,survey_2yrs!A:B, 2)</f>
        <v>47.4</v>
      </c>
      <c r="E3">
        <f>VLOOKUP($A3,survey_2yrs!$A:C, 3)</f>
        <v>52.6</v>
      </c>
      <c r="F3">
        <f>VLOOKUP($A3,survey_2yrs!$A:D, 4)</f>
        <v>45.6</v>
      </c>
      <c r="G3">
        <f>_xlfn.XLOOKUP(A3,survey_2yrs!A:A,survey_2yrs!E:E)</f>
        <v>54.4</v>
      </c>
      <c r="H3">
        <f>_xlfn.XLOOKUP($A3,weather_2yrs!$A:$A,weather_2yrs!B:B)</f>
        <v>73.900000000000006</v>
      </c>
      <c r="I3">
        <f>_xlfn.XLOOKUP($A3,weather_2yrs!$A:$A,weather_2yrs!C:C)</f>
        <v>0.31</v>
      </c>
      <c r="J3">
        <f>_xlfn.XLOOKUP($A3,weather_2yrs!$A:$A,weather_2yrs!D:D)</f>
        <v>1</v>
      </c>
      <c r="K3">
        <f>_xlfn.XLOOKUP($A3,weather_2yrs!$A:$A,weather_2yrs!E:E)</f>
        <v>51.1</v>
      </c>
      <c r="L3">
        <f>_xlfn.XLOOKUP($A3,sales!$A:$A,sales!B:B)</f>
        <v>1</v>
      </c>
      <c r="M3" t="str">
        <f>_xlfn.XLOOKUP($A3,sales!$A:$A,sales!C:C)</f>
        <v>Miami Beach</v>
      </c>
      <c r="N3">
        <f>_xlfn.XLOOKUP($A3,sales!$A:$A,sales!D:D)</f>
        <v>253</v>
      </c>
      <c r="O3">
        <f>_xlfn.XLOOKUP($A3,sales!$A:$A,sales!E:E)</f>
        <v>4754.25</v>
      </c>
      <c r="P3" s="4">
        <f t="shared" ref="P3:P66" si="2">O3/N3</f>
        <v>18.791501976284586</v>
      </c>
    </row>
    <row r="4" spans="1:19" x14ac:dyDescent="0.25">
      <c r="A4" s="1">
        <v>44929</v>
      </c>
      <c r="B4" s="1" t="str">
        <f t="shared" si="0"/>
        <v>Tuesday</v>
      </c>
      <c r="C4" s="1" t="b">
        <f t="shared" si="1"/>
        <v>0</v>
      </c>
      <c r="D4">
        <f>VLOOKUP($A4,survey_2yrs!A:B, 2)</f>
        <v>50.3</v>
      </c>
      <c r="E4">
        <f>VLOOKUP($A4,survey_2yrs!$A:C, 3)</f>
        <v>49.7</v>
      </c>
      <c r="F4">
        <f>VLOOKUP($A4,survey_2yrs!$A:D, 4)</f>
        <v>43.9</v>
      </c>
      <c r="G4">
        <f>_xlfn.XLOOKUP(A4,survey_2yrs!A:A,survey_2yrs!E:E)</f>
        <v>56.1</v>
      </c>
      <c r="H4">
        <f>_xlfn.XLOOKUP($A4,weather_2yrs!$A:$A,weather_2yrs!B:B)</f>
        <v>76.3</v>
      </c>
      <c r="I4">
        <f>_xlfn.XLOOKUP($A4,weather_2yrs!$A:$A,weather_2yrs!C:C)</f>
        <v>0</v>
      </c>
      <c r="J4">
        <f>_xlfn.XLOOKUP($A4,weather_2yrs!$A:$A,weather_2yrs!D:D)</f>
        <v>0</v>
      </c>
      <c r="K4">
        <f>_xlfn.XLOOKUP($A4,weather_2yrs!$A:$A,weather_2yrs!E:E)</f>
        <v>51.6</v>
      </c>
      <c r="L4">
        <f>_xlfn.XLOOKUP($A4,sales!$A:$A,sales!B:B)</f>
        <v>1</v>
      </c>
      <c r="M4" t="str">
        <f>_xlfn.XLOOKUP($A4,sales!$A:$A,sales!C:C)</f>
        <v>Miami Beach</v>
      </c>
      <c r="N4">
        <f>_xlfn.XLOOKUP($A4,sales!$A:$A,sales!D:D)</f>
        <v>225</v>
      </c>
      <c r="O4">
        <f>_xlfn.XLOOKUP($A4,sales!$A:$A,sales!E:E)</f>
        <v>4326.42</v>
      </c>
      <c r="P4" s="4">
        <f t="shared" si="2"/>
        <v>19.228533333333335</v>
      </c>
    </row>
    <row r="5" spans="1:19" x14ac:dyDescent="0.25">
      <c r="A5" s="1">
        <v>44930</v>
      </c>
      <c r="B5" s="1" t="str">
        <f t="shared" si="0"/>
        <v>Wednesday</v>
      </c>
      <c r="C5" s="1" t="b">
        <f t="shared" si="1"/>
        <v>0</v>
      </c>
      <c r="D5">
        <f>VLOOKUP($A5,survey_2yrs!A:B, 2)</f>
        <v>48.6</v>
      </c>
      <c r="E5">
        <f>VLOOKUP($A5,survey_2yrs!$A:C, 3)</f>
        <v>51.4</v>
      </c>
      <c r="F5">
        <f>VLOOKUP($A5,survey_2yrs!$A:D, 4)</f>
        <v>44.8</v>
      </c>
      <c r="G5">
        <f>_xlfn.XLOOKUP(A5,survey_2yrs!A:A,survey_2yrs!E:E)</f>
        <v>55.2</v>
      </c>
      <c r="H5">
        <f>_xlfn.XLOOKUP($A5,weather_2yrs!$A:$A,weather_2yrs!B:B)</f>
        <v>74.2</v>
      </c>
      <c r="I5">
        <f>_xlfn.XLOOKUP($A5,weather_2yrs!$A:$A,weather_2yrs!C:C)</f>
        <v>0</v>
      </c>
      <c r="J5">
        <f>_xlfn.XLOOKUP($A5,weather_2yrs!$A:$A,weather_2yrs!D:D)</f>
        <v>0</v>
      </c>
      <c r="K5">
        <f>_xlfn.XLOOKUP($A5,weather_2yrs!$A:$A,weather_2yrs!E:E)</f>
        <v>51.6</v>
      </c>
      <c r="L5">
        <f>_xlfn.XLOOKUP($A5,sales!$A:$A,sales!B:B)</f>
        <v>1</v>
      </c>
      <c r="M5" t="str">
        <f>_xlfn.XLOOKUP($A5,sales!$A:$A,sales!C:C)</f>
        <v>Miami Beach</v>
      </c>
      <c r="N5">
        <f>_xlfn.XLOOKUP($A5,sales!$A:$A,sales!D:D)</f>
        <v>246</v>
      </c>
      <c r="O5">
        <f>_xlfn.XLOOKUP($A5,sales!$A:$A,sales!E:E)</f>
        <v>4570.1099999999997</v>
      </c>
      <c r="P5" s="4">
        <f t="shared" si="2"/>
        <v>18.577682926829269</v>
      </c>
    </row>
    <row r="6" spans="1:19" x14ac:dyDescent="0.25">
      <c r="A6" s="1">
        <v>44931</v>
      </c>
      <c r="B6" s="1" t="str">
        <f t="shared" si="0"/>
        <v>Thursday</v>
      </c>
      <c r="C6" s="1" t="b">
        <f t="shared" si="1"/>
        <v>0</v>
      </c>
      <c r="D6">
        <f>VLOOKUP($A6,survey_2yrs!A:B, 2)</f>
        <v>50.4</v>
      </c>
      <c r="E6">
        <f>VLOOKUP($A6,survey_2yrs!$A:C, 3)</f>
        <v>49.6</v>
      </c>
      <c r="F6">
        <f>VLOOKUP($A6,survey_2yrs!$A:D, 4)</f>
        <v>43.6</v>
      </c>
      <c r="G6">
        <f>_xlfn.XLOOKUP(A6,survey_2yrs!A:A,survey_2yrs!E:E)</f>
        <v>56.4</v>
      </c>
      <c r="H6">
        <f>_xlfn.XLOOKUP($A6,weather_2yrs!$A:$A,weather_2yrs!B:B)</f>
        <v>72.7</v>
      </c>
      <c r="I6">
        <f>_xlfn.XLOOKUP($A6,weather_2yrs!$A:$A,weather_2yrs!C:C)</f>
        <v>0</v>
      </c>
      <c r="J6">
        <f>_xlfn.XLOOKUP($A6,weather_2yrs!$A:$A,weather_2yrs!D:D)</f>
        <v>0</v>
      </c>
      <c r="K6">
        <f>_xlfn.XLOOKUP($A6,weather_2yrs!$A:$A,weather_2yrs!E:E)</f>
        <v>54.8</v>
      </c>
      <c r="L6">
        <f>_xlfn.XLOOKUP($A6,sales!$A:$A,sales!B:B)</f>
        <v>1</v>
      </c>
      <c r="M6" t="str">
        <f>_xlfn.XLOOKUP($A6,sales!$A:$A,sales!C:C)</f>
        <v>Miami Beach</v>
      </c>
      <c r="N6">
        <f>_xlfn.XLOOKUP($A6,sales!$A:$A,sales!D:D)</f>
        <v>235</v>
      </c>
      <c r="O6">
        <f>_xlfn.XLOOKUP($A6,sales!$A:$A,sales!E:E)</f>
        <v>4202.1099999999997</v>
      </c>
      <c r="P6" s="4">
        <f t="shared" si="2"/>
        <v>17.881319148936168</v>
      </c>
    </row>
    <row r="7" spans="1:19" x14ac:dyDescent="0.25">
      <c r="A7" s="1">
        <v>44932</v>
      </c>
      <c r="B7" s="1" t="str">
        <f t="shared" si="0"/>
        <v>Friday</v>
      </c>
      <c r="C7" s="1" t="b">
        <f t="shared" si="1"/>
        <v>0</v>
      </c>
      <c r="D7">
        <f>VLOOKUP($A7,survey_2yrs!A:B, 2)</f>
        <v>50.7</v>
      </c>
      <c r="E7">
        <f>VLOOKUP($A7,survey_2yrs!$A:C, 3)</f>
        <v>49.3</v>
      </c>
      <c r="F7">
        <f>VLOOKUP($A7,survey_2yrs!$A:D, 4)</f>
        <v>45.3</v>
      </c>
      <c r="G7">
        <f>_xlfn.XLOOKUP(A7,survey_2yrs!A:A,survey_2yrs!E:E)</f>
        <v>54.7</v>
      </c>
      <c r="H7">
        <f>_xlfn.XLOOKUP($A7,weather_2yrs!$A:$A,weather_2yrs!B:B)</f>
        <v>73.099999999999994</v>
      </c>
      <c r="I7">
        <f>_xlfn.XLOOKUP($A7,weather_2yrs!$A:$A,weather_2yrs!C:C)</f>
        <v>0.33</v>
      </c>
      <c r="J7">
        <f>_xlfn.XLOOKUP($A7,weather_2yrs!$A:$A,weather_2yrs!D:D)</f>
        <v>1</v>
      </c>
      <c r="K7">
        <f>_xlfn.XLOOKUP($A7,weather_2yrs!$A:$A,weather_2yrs!E:E)</f>
        <v>44.1</v>
      </c>
      <c r="L7">
        <f>_xlfn.XLOOKUP($A7,sales!$A:$A,sales!B:B)</f>
        <v>1</v>
      </c>
      <c r="M7" t="str">
        <f>_xlfn.XLOOKUP($A7,sales!$A:$A,sales!C:C)</f>
        <v>Miami Beach</v>
      </c>
      <c r="N7">
        <f>_xlfn.XLOOKUP($A7,sales!$A:$A,sales!D:D)</f>
        <v>223</v>
      </c>
      <c r="O7">
        <f>_xlfn.XLOOKUP($A7,sales!$A:$A,sales!E:E)</f>
        <v>4067.3</v>
      </c>
      <c r="P7" s="4">
        <f t="shared" si="2"/>
        <v>18.239013452914801</v>
      </c>
    </row>
    <row r="8" spans="1:19" x14ac:dyDescent="0.25">
      <c r="A8" s="1">
        <v>44933</v>
      </c>
      <c r="B8" s="1" t="str">
        <f t="shared" si="0"/>
        <v>Saturday</v>
      </c>
      <c r="C8" s="1" t="b">
        <f t="shared" si="1"/>
        <v>1</v>
      </c>
      <c r="D8">
        <f>VLOOKUP($A8,survey_2yrs!A:B, 2)</f>
        <v>49</v>
      </c>
      <c r="E8">
        <f>VLOOKUP($A8,survey_2yrs!$A:C, 3)</f>
        <v>51</v>
      </c>
      <c r="F8">
        <f>VLOOKUP($A8,survey_2yrs!$A:D, 4)</f>
        <v>52.5</v>
      </c>
      <c r="G8">
        <f>_xlfn.XLOOKUP(A8,survey_2yrs!A:A,survey_2yrs!E:E)</f>
        <v>47.5</v>
      </c>
      <c r="H8">
        <f>_xlfn.XLOOKUP($A8,weather_2yrs!$A:$A,weather_2yrs!B:B)</f>
        <v>74.900000000000006</v>
      </c>
      <c r="I8">
        <f>_xlfn.XLOOKUP($A8,weather_2yrs!$A:$A,weather_2yrs!C:C)</f>
        <v>0</v>
      </c>
      <c r="J8">
        <f>_xlfn.XLOOKUP($A8,weather_2yrs!$A:$A,weather_2yrs!D:D)</f>
        <v>0</v>
      </c>
      <c r="K8">
        <f>_xlfn.XLOOKUP($A8,weather_2yrs!$A:$A,weather_2yrs!E:E)</f>
        <v>48.3</v>
      </c>
      <c r="L8">
        <f>_xlfn.XLOOKUP($A8,sales!$A:$A,sales!B:B)</f>
        <v>1</v>
      </c>
      <c r="M8" t="str">
        <f>_xlfn.XLOOKUP($A8,sales!$A:$A,sales!C:C)</f>
        <v>Miami Beach</v>
      </c>
      <c r="N8">
        <f>_xlfn.XLOOKUP($A8,sales!$A:$A,sales!D:D)</f>
        <v>304</v>
      </c>
      <c r="O8">
        <f>_xlfn.XLOOKUP($A8,sales!$A:$A,sales!E:E)</f>
        <v>5141.29</v>
      </c>
      <c r="P8" s="4">
        <f t="shared" si="2"/>
        <v>16.912138157894738</v>
      </c>
    </row>
    <row r="9" spans="1:19" x14ac:dyDescent="0.25">
      <c r="A9" s="1">
        <v>44934</v>
      </c>
      <c r="B9" s="1" t="str">
        <f t="shared" si="0"/>
        <v>Sunday</v>
      </c>
      <c r="C9" s="1" t="b">
        <f t="shared" si="1"/>
        <v>1</v>
      </c>
      <c r="D9">
        <f>VLOOKUP($A9,survey_2yrs!A:B, 2)</f>
        <v>49.1</v>
      </c>
      <c r="E9">
        <f>VLOOKUP($A9,survey_2yrs!$A:C, 3)</f>
        <v>50.9</v>
      </c>
      <c r="F9">
        <f>VLOOKUP($A9,survey_2yrs!$A:D, 4)</f>
        <v>50.9</v>
      </c>
      <c r="G9">
        <f>_xlfn.XLOOKUP(A9,survey_2yrs!A:A,survey_2yrs!E:E)</f>
        <v>49.1</v>
      </c>
      <c r="H9">
        <f>_xlfn.XLOOKUP($A9,weather_2yrs!$A:$A,weather_2yrs!B:B)</f>
        <v>68.400000000000006</v>
      </c>
      <c r="I9">
        <f>_xlfn.XLOOKUP($A9,weather_2yrs!$A:$A,weather_2yrs!C:C)</f>
        <v>0.48</v>
      </c>
      <c r="J9">
        <f>_xlfn.XLOOKUP($A9,weather_2yrs!$A:$A,weather_2yrs!D:D)</f>
        <v>1</v>
      </c>
      <c r="K9">
        <f>_xlfn.XLOOKUP($A9,weather_2yrs!$A:$A,weather_2yrs!E:E)</f>
        <v>39.700000000000003</v>
      </c>
      <c r="L9">
        <f>_xlfn.XLOOKUP($A9,sales!$A:$A,sales!B:B)</f>
        <v>1</v>
      </c>
      <c r="M9" t="str">
        <f>_xlfn.XLOOKUP($A9,sales!$A:$A,sales!C:C)</f>
        <v>Miami Beach</v>
      </c>
      <c r="N9">
        <f>_xlfn.XLOOKUP($A9,sales!$A:$A,sales!D:D)</f>
        <v>235</v>
      </c>
      <c r="O9">
        <f>_xlfn.XLOOKUP($A9,sales!$A:$A,sales!E:E)</f>
        <v>4270.28</v>
      </c>
      <c r="P9" s="4">
        <f t="shared" si="2"/>
        <v>18.171404255319146</v>
      </c>
    </row>
    <row r="10" spans="1:19" x14ac:dyDescent="0.25">
      <c r="A10" s="1">
        <v>44935</v>
      </c>
      <c r="B10" s="1" t="str">
        <f t="shared" si="0"/>
        <v>Monday</v>
      </c>
      <c r="C10" s="1" t="b">
        <f t="shared" si="1"/>
        <v>0</v>
      </c>
      <c r="D10">
        <f>VLOOKUP($A10,survey_2yrs!A:B, 2)</f>
        <v>49.2</v>
      </c>
      <c r="E10">
        <f>VLOOKUP($A10,survey_2yrs!$A:C, 3)</f>
        <v>50.8</v>
      </c>
      <c r="F10">
        <f>VLOOKUP($A10,survey_2yrs!$A:D, 4)</f>
        <v>45.9</v>
      </c>
      <c r="G10">
        <f>_xlfn.XLOOKUP(A10,survey_2yrs!A:A,survey_2yrs!E:E)</f>
        <v>54.1</v>
      </c>
      <c r="H10">
        <f>_xlfn.XLOOKUP($A10,weather_2yrs!$A:$A,weather_2yrs!B:B)</f>
        <v>74.3</v>
      </c>
      <c r="I10">
        <f>_xlfn.XLOOKUP($A10,weather_2yrs!$A:$A,weather_2yrs!C:C)</f>
        <v>0</v>
      </c>
      <c r="J10">
        <f>_xlfn.XLOOKUP($A10,weather_2yrs!$A:$A,weather_2yrs!D:D)</f>
        <v>0</v>
      </c>
      <c r="K10">
        <f>_xlfn.XLOOKUP($A10,weather_2yrs!$A:$A,weather_2yrs!E:E)</f>
        <v>49.8</v>
      </c>
      <c r="L10">
        <f>_xlfn.XLOOKUP($A10,sales!$A:$A,sales!B:B)</f>
        <v>1</v>
      </c>
      <c r="M10" t="str">
        <f>_xlfn.XLOOKUP($A10,sales!$A:$A,sales!C:C)</f>
        <v>Miami Beach</v>
      </c>
      <c r="N10">
        <f>_xlfn.XLOOKUP($A10,sales!$A:$A,sales!D:D)</f>
        <v>251</v>
      </c>
      <c r="O10">
        <f>_xlfn.XLOOKUP($A10,sales!$A:$A,sales!E:E)</f>
        <v>4431.6400000000003</v>
      </c>
      <c r="P10" s="4">
        <f t="shared" si="2"/>
        <v>17.65593625498008</v>
      </c>
    </row>
    <row r="11" spans="1:19" x14ac:dyDescent="0.25">
      <c r="A11" s="1">
        <v>44936</v>
      </c>
      <c r="B11" s="1" t="str">
        <f t="shared" si="0"/>
        <v>Tuesday</v>
      </c>
      <c r="C11" s="1" t="b">
        <f t="shared" si="1"/>
        <v>0</v>
      </c>
      <c r="D11">
        <f>VLOOKUP($A11,survey_2yrs!A:B, 2)</f>
        <v>48.5</v>
      </c>
      <c r="E11">
        <f>VLOOKUP($A11,survey_2yrs!$A:C, 3)</f>
        <v>51.5</v>
      </c>
      <c r="F11">
        <f>VLOOKUP($A11,survey_2yrs!$A:D, 4)</f>
        <v>42.5</v>
      </c>
      <c r="G11">
        <f>_xlfn.XLOOKUP(A11,survey_2yrs!A:A,survey_2yrs!E:E)</f>
        <v>57.5</v>
      </c>
      <c r="H11">
        <f>_xlfn.XLOOKUP($A11,weather_2yrs!$A:$A,weather_2yrs!B:B)</f>
        <v>70.3</v>
      </c>
      <c r="I11">
        <f>_xlfn.XLOOKUP($A11,weather_2yrs!$A:$A,weather_2yrs!C:C)</f>
        <v>0</v>
      </c>
      <c r="J11">
        <f>_xlfn.XLOOKUP($A11,weather_2yrs!$A:$A,weather_2yrs!D:D)</f>
        <v>0</v>
      </c>
      <c r="K11">
        <f>_xlfn.XLOOKUP($A11,weather_2yrs!$A:$A,weather_2yrs!E:E)</f>
        <v>37.1</v>
      </c>
      <c r="L11">
        <f>_xlfn.XLOOKUP($A11,sales!$A:$A,sales!B:B)</f>
        <v>1</v>
      </c>
      <c r="M11" t="str">
        <f>_xlfn.XLOOKUP($A11,sales!$A:$A,sales!C:C)</f>
        <v>Miami Beach</v>
      </c>
      <c r="N11">
        <f>_xlfn.XLOOKUP($A11,sales!$A:$A,sales!D:D)</f>
        <v>215</v>
      </c>
      <c r="O11">
        <f>_xlfn.XLOOKUP($A11,sales!$A:$A,sales!E:E)</f>
        <v>3918.9</v>
      </c>
      <c r="P11" s="4">
        <f t="shared" si="2"/>
        <v>18.227441860465117</v>
      </c>
    </row>
    <row r="12" spans="1:19" x14ac:dyDescent="0.25">
      <c r="A12" s="1">
        <v>44937</v>
      </c>
      <c r="B12" s="1" t="str">
        <f t="shared" si="0"/>
        <v>Wednesday</v>
      </c>
      <c r="C12" s="1" t="b">
        <f t="shared" si="1"/>
        <v>0</v>
      </c>
      <c r="D12">
        <f>VLOOKUP($A12,survey_2yrs!A:B, 2)</f>
        <v>50.6</v>
      </c>
      <c r="E12">
        <f>VLOOKUP($A12,survey_2yrs!$A:C, 3)</f>
        <v>49.4</v>
      </c>
      <c r="F12">
        <f>VLOOKUP($A12,survey_2yrs!$A:D, 4)</f>
        <v>44.1</v>
      </c>
      <c r="G12">
        <f>_xlfn.XLOOKUP(A12,survey_2yrs!A:A,survey_2yrs!E:E)</f>
        <v>55.9</v>
      </c>
      <c r="H12">
        <f>_xlfn.XLOOKUP($A12,weather_2yrs!$A:$A,weather_2yrs!B:B)</f>
        <v>71.900000000000006</v>
      </c>
      <c r="I12">
        <f>_xlfn.XLOOKUP($A12,weather_2yrs!$A:$A,weather_2yrs!C:C)</f>
        <v>0</v>
      </c>
      <c r="J12">
        <f>_xlfn.XLOOKUP($A12,weather_2yrs!$A:$A,weather_2yrs!D:D)</f>
        <v>0</v>
      </c>
      <c r="K12">
        <f>_xlfn.XLOOKUP($A12,weather_2yrs!$A:$A,weather_2yrs!E:E)</f>
        <v>44.6</v>
      </c>
      <c r="L12">
        <f>_xlfn.XLOOKUP($A12,sales!$A:$A,sales!B:B)</f>
        <v>1</v>
      </c>
      <c r="M12" t="str">
        <f>_xlfn.XLOOKUP($A12,sales!$A:$A,sales!C:C)</f>
        <v>Miami Beach</v>
      </c>
      <c r="N12">
        <f>_xlfn.XLOOKUP($A12,sales!$A:$A,sales!D:D)</f>
        <v>219</v>
      </c>
      <c r="O12">
        <f>_xlfn.XLOOKUP($A12,sales!$A:$A,sales!E:E)</f>
        <v>4151.6400000000003</v>
      </c>
      <c r="P12" s="4">
        <f t="shared" si="2"/>
        <v>18.957260273972604</v>
      </c>
    </row>
    <row r="13" spans="1:19" x14ac:dyDescent="0.25">
      <c r="A13" s="1">
        <v>44938</v>
      </c>
      <c r="B13" s="1" t="str">
        <f t="shared" si="0"/>
        <v>Thursday</v>
      </c>
      <c r="C13" s="1" t="b">
        <f t="shared" si="1"/>
        <v>0</v>
      </c>
      <c r="D13">
        <f>VLOOKUP($A13,survey_2yrs!A:B, 2)</f>
        <v>49.7</v>
      </c>
      <c r="E13">
        <f>VLOOKUP($A13,survey_2yrs!$A:C, 3)</f>
        <v>50.3</v>
      </c>
      <c r="F13">
        <f>VLOOKUP($A13,survey_2yrs!$A:D, 4)</f>
        <v>45.6</v>
      </c>
      <c r="G13">
        <f>_xlfn.XLOOKUP(A13,survey_2yrs!A:A,survey_2yrs!E:E)</f>
        <v>54.4</v>
      </c>
      <c r="H13">
        <f>_xlfn.XLOOKUP($A13,weather_2yrs!$A:$A,weather_2yrs!B:B)</f>
        <v>72</v>
      </c>
      <c r="I13">
        <f>_xlfn.XLOOKUP($A13,weather_2yrs!$A:$A,weather_2yrs!C:C)</f>
        <v>0</v>
      </c>
      <c r="J13">
        <f>_xlfn.XLOOKUP($A13,weather_2yrs!$A:$A,weather_2yrs!D:D)</f>
        <v>0</v>
      </c>
      <c r="K13">
        <f>_xlfn.XLOOKUP($A13,weather_2yrs!$A:$A,weather_2yrs!E:E)</f>
        <v>42.7</v>
      </c>
      <c r="L13">
        <f>_xlfn.XLOOKUP($A13,sales!$A:$A,sales!B:B)</f>
        <v>1</v>
      </c>
      <c r="M13" t="str">
        <f>_xlfn.XLOOKUP($A13,sales!$A:$A,sales!C:C)</f>
        <v>Miami Beach</v>
      </c>
      <c r="N13">
        <f>_xlfn.XLOOKUP($A13,sales!$A:$A,sales!D:D)</f>
        <v>211</v>
      </c>
      <c r="O13">
        <f>_xlfn.XLOOKUP($A13,sales!$A:$A,sales!E:E)</f>
        <v>3894.75</v>
      </c>
      <c r="P13" s="4">
        <f t="shared" si="2"/>
        <v>18.458530805687204</v>
      </c>
    </row>
    <row r="14" spans="1:19" x14ac:dyDescent="0.25">
      <c r="A14" s="1">
        <v>44939</v>
      </c>
      <c r="B14" s="1" t="str">
        <f t="shared" si="0"/>
        <v>Friday</v>
      </c>
      <c r="C14" s="1" t="b">
        <f t="shared" si="1"/>
        <v>0</v>
      </c>
      <c r="D14">
        <f>VLOOKUP($A14,survey_2yrs!A:B, 2)</f>
        <v>49.5</v>
      </c>
      <c r="E14">
        <f>VLOOKUP($A14,survey_2yrs!$A:C, 3)</f>
        <v>50.5</v>
      </c>
      <c r="F14">
        <f>VLOOKUP($A14,survey_2yrs!$A:D, 4)</f>
        <v>47.3</v>
      </c>
      <c r="G14">
        <f>_xlfn.XLOOKUP(A14,survey_2yrs!A:A,survey_2yrs!E:E)</f>
        <v>52.7</v>
      </c>
      <c r="H14">
        <f>_xlfn.XLOOKUP($A14,weather_2yrs!$A:$A,weather_2yrs!B:B)</f>
        <v>76.2</v>
      </c>
      <c r="I14">
        <f>_xlfn.XLOOKUP($A14,weather_2yrs!$A:$A,weather_2yrs!C:C)</f>
        <v>0</v>
      </c>
      <c r="J14">
        <f>_xlfn.XLOOKUP($A14,weather_2yrs!$A:$A,weather_2yrs!D:D)</f>
        <v>0</v>
      </c>
      <c r="K14">
        <f>_xlfn.XLOOKUP($A14,weather_2yrs!$A:$A,weather_2yrs!E:E)</f>
        <v>40.200000000000003</v>
      </c>
      <c r="L14">
        <f>_xlfn.XLOOKUP($A14,sales!$A:$A,sales!B:B)</f>
        <v>1</v>
      </c>
      <c r="M14" t="str">
        <f>_xlfn.XLOOKUP($A14,sales!$A:$A,sales!C:C)</f>
        <v>Miami Beach</v>
      </c>
      <c r="N14">
        <f>_xlfn.XLOOKUP($A14,sales!$A:$A,sales!D:D)</f>
        <v>237</v>
      </c>
      <c r="O14">
        <f>_xlfn.XLOOKUP($A14,sales!$A:$A,sales!E:E)</f>
        <v>4477.8500000000004</v>
      </c>
      <c r="P14" s="4">
        <f t="shared" si="2"/>
        <v>18.893881856540087</v>
      </c>
    </row>
    <row r="15" spans="1:19" x14ac:dyDescent="0.25">
      <c r="A15" s="1">
        <v>44940</v>
      </c>
      <c r="B15" s="1" t="str">
        <f t="shared" si="0"/>
        <v>Saturday</v>
      </c>
      <c r="C15" s="1" t="b">
        <f t="shared" si="1"/>
        <v>1</v>
      </c>
      <c r="D15">
        <f>VLOOKUP($A15,survey_2yrs!A:B, 2)</f>
        <v>50.4</v>
      </c>
      <c r="E15">
        <f>VLOOKUP($A15,survey_2yrs!$A:C, 3)</f>
        <v>49.6</v>
      </c>
      <c r="F15">
        <f>VLOOKUP($A15,survey_2yrs!$A:D, 4)</f>
        <v>50.6</v>
      </c>
      <c r="G15">
        <f>_xlfn.XLOOKUP(A15,survey_2yrs!A:A,survey_2yrs!E:E)</f>
        <v>49.4</v>
      </c>
      <c r="H15">
        <f>_xlfn.XLOOKUP($A15,weather_2yrs!$A:$A,weather_2yrs!B:B)</f>
        <v>71.2</v>
      </c>
      <c r="I15">
        <f>_xlfn.XLOOKUP($A15,weather_2yrs!$A:$A,weather_2yrs!C:C)</f>
        <v>0</v>
      </c>
      <c r="J15">
        <f>_xlfn.XLOOKUP($A15,weather_2yrs!$A:$A,weather_2yrs!D:D)</f>
        <v>0</v>
      </c>
      <c r="K15">
        <f>_xlfn.XLOOKUP($A15,weather_2yrs!$A:$A,weather_2yrs!E:E)</f>
        <v>38.4</v>
      </c>
      <c r="L15">
        <f>_xlfn.XLOOKUP($A15,sales!$A:$A,sales!B:B)</f>
        <v>1</v>
      </c>
      <c r="M15" t="str">
        <f>_xlfn.XLOOKUP($A15,sales!$A:$A,sales!C:C)</f>
        <v>Miami Beach</v>
      </c>
      <c r="N15">
        <f>_xlfn.XLOOKUP($A15,sales!$A:$A,sales!D:D)</f>
        <v>263</v>
      </c>
      <c r="O15">
        <f>_xlfn.XLOOKUP($A15,sales!$A:$A,sales!E:E)</f>
        <v>5073.2299999999996</v>
      </c>
      <c r="P15" s="4">
        <f t="shared" si="2"/>
        <v>19.289847908745244</v>
      </c>
    </row>
    <row r="16" spans="1:19" x14ac:dyDescent="0.25">
      <c r="A16" s="1">
        <v>44941</v>
      </c>
      <c r="B16" s="1" t="str">
        <f t="shared" si="0"/>
        <v>Sunday</v>
      </c>
      <c r="C16" s="1" t="b">
        <f t="shared" si="1"/>
        <v>1</v>
      </c>
      <c r="D16">
        <f>VLOOKUP($A16,survey_2yrs!A:B, 2)</f>
        <v>49</v>
      </c>
      <c r="E16">
        <f>VLOOKUP($A16,survey_2yrs!$A:C, 3)</f>
        <v>51</v>
      </c>
      <c r="F16">
        <f>VLOOKUP($A16,survey_2yrs!$A:D, 4)</f>
        <v>51.5</v>
      </c>
      <c r="G16">
        <f>_xlfn.XLOOKUP(A16,survey_2yrs!A:A,survey_2yrs!E:E)</f>
        <v>48.5</v>
      </c>
      <c r="H16">
        <f>_xlfn.XLOOKUP($A16,weather_2yrs!$A:$A,weather_2yrs!B:B)</f>
        <v>69.2</v>
      </c>
      <c r="I16">
        <f>_xlfn.XLOOKUP($A16,weather_2yrs!$A:$A,weather_2yrs!C:C)</f>
        <v>0</v>
      </c>
      <c r="J16">
        <f>_xlfn.XLOOKUP($A16,weather_2yrs!$A:$A,weather_2yrs!D:D)</f>
        <v>0</v>
      </c>
      <c r="K16">
        <f>_xlfn.XLOOKUP($A16,weather_2yrs!$A:$A,weather_2yrs!E:E)</f>
        <v>39.700000000000003</v>
      </c>
      <c r="L16">
        <f>_xlfn.XLOOKUP($A16,sales!$A:$A,sales!B:B)</f>
        <v>1</v>
      </c>
      <c r="M16" t="str">
        <f>_xlfn.XLOOKUP($A16,sales!$A:$A,sales!C:C)</f>
        <v>Miami Beach</v>
      </c>
      <c r="N16">
        <f>_xlfn.XLOOKUP($A16,sales!$A:$A,sales!D:D)</f>
        <v>270</v>
      </c>
      <c r="O16">
        <f>_xlfn.XLOOKUP($A16,sales!$A:$A,sales!E:E)</f>
        <v>4512.7700000000004</v>
      </c>
      <c r="P16" s="4">
        <f t="shared" si="2"/>
        <v>16.713962962962963</v>
      </c>
    </row>
    <row r="17" spans="1:16" x14ac:dyDescent="0.25">
      <c r="A17" s="1">
        <v>44942</v>
      </c>
      <c r="B17" s="1" t="str">
        <f t="shared" si="0"/>
        <v>Monday</v>
      </c>
      <c r="C17" s="1" t="b">
        <f t="shared" si="1"/>
        <v>0</v>
      </c>
      <c r="D17">
        <f>VLOOKUP($A17,survey_2yrs!A:B, 2)</f>
        <v>50.9</v>
      </c>
      <c r="E17">
        <f>VLOOKUP($A17,survey_2yrs!$A:C, 3)</f>
        <v>49.1</v>
      </c>
      <c r="F17">
        <f>VLOOKUP($A17,survey_2yrs!$A:D, 4)</f>
        <v>45.1</v>
      </c>
      <c r="G17">
        <f>_xlfn.XLOOKUP(A17,survey_2yrs!A:A,survey_2yrs!E:E)</f>
        <v>54.9</v>
      </c>
      <c r="H17">
        <f>_xlfn.XLOOKUP($A17,weather_2yrs!$A:$A,weather_2yrs!B:B)</f>
        <v>72.5</v>
      </c>
      <c r="I17">
        <f>_xlfn.XLOOKUP($A17,weather_2yrs!$A:$A,weather_2yrs!C:C)</f>
        <v>0</v>
      </c>
      <c r="J17">
        <f>_xlfn.XLOOKUP($A17,weather_2yrs!$A:$A,weather_2yrs!D:D)</f>
        <v>0</v>
      </c>
      <c r="K17">
        <f>_xlfn.XLOOKUP($A17,weather_2yrs!$A:$A,weather_2yrs!E:E)</f>
        <v>42.2</v>
      </c>
      <c r="L17">
        <f>_xlfn.XLOOKUP($A17,sales!$A:$A,sales!B:B)</f>
        <v>1</v>
      </c>
      <c r="M17" t="str">
        <f>_xlfn.XLOOKUP($A17,sales!$A:$A,sales!C:C)</f>
        <v>Miami Beach</v>
      </c>
      <c r="N17">
        <f>_xlfn.XLOOKUP($A17,sales!$A:$A,sales!D:D)</f>
        <v>230</v>
      </c>
      <c r="O17">
        <f>_xlfn.XLOOKUP($A17,sales!$A:$A,sales!E:E)</f>
        <v>4276.97</v>
      </c>
      <c r="P17" s="4">
        <f t="shared" si="2"/>
        <v>18.595521739130437</v>
      </c>
    </row>
    <row r="18" spans="1:16" x14ac:dyDescent="0.25">
      <c r="A18" s="1">
        <v>44943</v>
      </c>
      <c r="B18" s="1" t="str">
        <f t="shared" si="0"/>
        <v>Tuesday</v>
      </c>
      <c r="C18" s="1" t="b">
        <f t="shared" si="1"/>
        <v>0</v>
      </c>
      <c r="D18">
        <f>VLOOKUP($A18,survey_2yrs!A:B, 2)</f>
        <v>48.3</v>
      </c>
      <c r="E18">
        <f>VLOOKUP($A18,survey_2yrs!$A:C, 3)</f>
        <v>51.7</v>
      </c>
      <c r="F18">
        <f>VLOOKUP($A18,survey_2yrs!$A:D, 4)</f>
        <v>43</v>
      </c>
      <c r="G18">
        <f>_xlfn.XLOOKUP(A18,survey_2yrs!A:A,survey_2yrs!E:E)</f>
        <v>57</v>
      </c>
      <c r="H18">
        <f>_xlfn.XLOOKUP($A18,weather_2yrs!$A:$A,weather_2yrs!B:B)</f>
        <v>75.2</v>
      </c>
      <c r="I18">
        <f>_xlfn.XLOOKUP($A18,weather_2yrs!$A:$A,weather_2yrs!C:C)</f>
        <v>0</v>
      </c>
      <c r="J18">
        <f>_xlfn.XLOOKUP($A18,weather_2yrs!$A:$A,weather_2yrs!D:D)</f>
        <v>0</v>
      </c>
      <c r="K18">
        <f>_xlfn.XLOOKUP($A18,weather_2yrs!$A:$A,weather_2yrs!E:E)</f>
        <v>40.9</v>
      </c>
      <c r="L18">
        <f>_xlfn.XLOOKUP($A18,sales!$A:$A,sales!B:B)</f>
        <v>1</v>
      </c>
      <c r="M18" t="str">
        <f>_xlfn.XLOOKUP($A18,sales!$A:$A,sales!C:C)</f>
        <v>Miami Beach</v>
      </c>
      <c r="N18">
        <f>_xlfn.XLOOKUP($A18,sales!$A:$A,sales!D:D)</f>
        <v>254</v>
      </c>
      <c r="O18">
        <f>_xlfn.XLOOKUP($A18,sales!$A:$A,sales!E:E)</f>
        <v>4594.63</v>
      </c>
      <c r="P18" s="4">
        <f t="shared" si="2"/>
        <v>18.089094488188977</v>
      </c>
    </row>
    <row r="19" spans="1:16" x14ac:dyDescent="0.25">
      <c r="A19" s="1">
        <v>44944</v>
      </c>
      <c r="B19" s="1" t="str">
        <f t="shared" si="0"/>
        <v>Wednesday</v>
      </c>
      <c r="C19" s="1" t="b">
        <f t="shared" si="1"/>
        <v>0</v>
      </c>
      <c r="D19">
        <f>VLOOKUP($A19,survey_2yrs!A:B, 2)</f>
        <v>49.7</v>
      </c>
      <c r="E19">
        <f>VLOOKUP($A19,survey_2yrs!$A:C, 3)</f>
        <v>50.3</v>
      </c>
      <c r="F19">
        <f>VLOOKUP($A19,survey_2yrs!$A:D, 4)</f>
        <v>44.7</v>
      </c>
      <c r="G19">
        <f>_xlfn.XLOOKUP(A19,survey_2yrs!A:A,survey_2yrs!E:E)</f>
        <v>55.3</v>
      </c>
      <c r="H19">
        <f>_xlfn.XLOOKUP($A19,weather_2yrs!$A:$A,weather_2yrs!B:B)</f>
        <v>69.2</v>
      </c>
      <c r="I19">
        <f>_xlfn.XLOOKUP($A19,weather_2yrs!$A:$A,weather_2yrs!C:C)</f>
        <v>2.5099999999999998</v>
      </c>
      <c r="J19">
        <f>_xlfn.XLOOKUP($A19,weather_2yrs!$A:$A,weather_2yrs!D:D)</f>
        <v>1</v>
      </c>
      <c r="K19">
        <f>_xlfn.XLOOKUP($A19,weather_2yrs!$A:$A,weather_2yrs!E:E)</f>
        <v>44.2</v>
      </c>
      <c r="L19">
        <f>_xlfn.XLOOKUP($A19,sales!$A:$A,sales!B:B)</f>
        <v>1</v>
      </c>
      <c r="M19" t="str">
        <f>_xlfn.XLOOKUP($A19,sales!$A:$A,sales!C:C)</f>
        <v>Miami Beach</v>
      </c>
      <c r="N19">
        <f>_xlfn.XLOOKUP($A19,sales!$A:$A,sales!D:D)</f>
        <v>216</v>
      </c>
      <c r="O19">
        <f>_xlfn.XLOOKUP($A19,sales!$A:$A,sales!E:E)</f>
        <v>3603.99</v>
      </c>
      <c r="P19" s="4">
        <f t="shared" si="2"/>
        <v>16.685138888888886</v>
      </c>
    </row>
    <row r="20" spans="1:16" x14ac:dyDescent="0.25">
      <c r="A20" s="1">
        <v>44945</v>
      </c>
      <c r="B20" s="1" t="str">
        <f t="shared" si="0"/>
        <v>Thursday</v>
      </c>
      <c r="C20" s="1" t="b">
        <f t="shared" si="1"/>
        <v>0</v>
      </c>
      <c r="D20">
        <f>VLOOKUP($A20,survey_2yrs!A:B, 2)</f>
        <v>49.4</v>
      </c>
      <c r="E20">
        <f>VLOOKUP($A20,survey_2yrs!$A:C, 3)</f>
        <v>50.6</v>
      </c>
      <c r="F20">
        <f>VLOOKUP($A20,survey_2yrs!$A:D, 4)</f>
        <v>45.5</v>
      </c>
      <c r="G20">
        <f>_xlfn.XLOOKUP(A20,survey_2yrs!A:A,survey_2yrs!E:E)</f>
        <v>54.5</v>
      </c>
      <c r="H20">
        <f>_xlfn.XLOOKUP($A20,weather_2yrs!$A:$A,weather_2yrs!B:B)</f>
        <v>77.599999999999994</v>
      </c>
      <c r="I20">
        <f>_xlfn.XLOOKUP($A20,weather_2yrs!$A:$A,weather_2yrs!C:C)</f>
        <v>0</v>
      </c>
      <c r="J20">
        <f>_xlfn.XLOOKUP($A20,weather_2yrs!$A:$A,weather_2yrs!D:D)</f>
        <v>0</v>
      </c>
      <c r="K20">
        <f>_xlfn.XLOOKUP($A20,weather_2yrs!$A:$A,weather_2yrs!E:E)</f>
        <v>49.8</v>
      </c>
      <c r="L20">
        <f>_xlfn.XLOOKUP($A20,sales!$A:$A,sales!B:B)</f>
        <v>1</v>
      </c>
      <c r="M20" t="str">
        <f>_xlfn.XLOOKUP($A20,sales!$A:$A,sales!C:C)</f>
        <v>Miami Beach</v>
      </c>
      <c r="N20">
        <f>_xlfn.XLOOKUP($A20,sales!$A:$A,sales!D:D)</f>
        <v>288</v>
      </c>
      <c r="O20">
        <f>_xlfn.XLOOKUP($A20,sales!$A:$A,sales!E:E)</f>
        <v>5246.91</v>
      </c>
      <c r="P20" s="4">
        <f t="shared" si="2"/>
        <v>18.2184375</v>
      </c>
    </row>
    <row r="21" spans="1:16" x14ac:dyDescent="0.25">
      <c r="A21" s="1">
        <v>44946</v>
      </c>
      <c r="B21" s="1" t="str">
        <f t="shared" si="0"/>
        <v>Friday</v>
      </c>
      <c r="C21" s="1" t="b">
        <f t="shared" si="1"/>
        <v>0</v>
      </c>
      <c r="D21">
        <f>VLOOKUP($A21,survey_2yrs!A:B, 2)</f>
        <v>50.2</v>
      </c>
      <c r="E21">
        <f>VLOOKUP($A21,survey_2yrs!$A:C, 3)</f>
        <v>49.8</v>
      </c>
      <c r="F21">
        <f>VLOOKUP($A21,survey_2yrs!$A:D, 4)</f>
        <v>43.6</v>
      </c>
      <c r="G21">
        <f>_xlfn.XLOOKUP(A21,survey_2yrs!A:A,survey_2yrs!E:E)</f>
        <v>56.4</v>
      </c>
      <c r="H21">
        <f>_xlfn.XLOOKUP($A21,weather_2yrs!$A:$A,weather_2yrs!B:B)</f>
        <v>72</v>
      </c>
      <c r="I21">
        <f>_xlfn.XLOOKUP($A21,weather_2yrs!$A:$A,weather_2yrs!C:C)</f>
        <v>0</v>
      </c>
      <c r="J21">
        <f>_xlfn.XLOOKUP($A21,weather_2yrs!$A:$A,weather_2yrs!D:D)</f>
        <v>0</v>
      </c>
      <c r="K21">
        <f>_xlfn.XLOOKUP($A21,weather_2yrs!$A:$A,weather_2yrs!E:E)</f>
        <v>45.2</v>
      </c>
      <c r="L21">
        <f>_xlfn.XLOOKUP($A21,sales!$A:$A,sales!B:B)</f>
        <v>1</v>
      </c>
      <c r="M21" t="str">
        <f>_xlfn.XLOOKUP($A21,sales!$A:$A,sales!C:C)</f>
        <v>Miami Beach</v>
      </c>
      <c r="N21">
        <f>_xlfn.XLOOKUP($A21,sales!$A:$A,sales!D:D)</f>
        <v>232</v>
      </c>
      <c r="O21">
        <f>_xlfn.XLOOKUP($A21,sales!$A:$A,sales!E:E)</f>
        <v>4301.6400000000003</v>
      </c>
      <c r="P21" s="4">
        <f t="shared" si="2"/>
        <v>18.541551724137932</v>
      </c>
    </row>
    <row r="22" spans="1:16" x14ac:dyDescent="0.25">
      <c r="A22" s="1">
        <v>44947</v>
      </c>
      <c r="B22" s="1" t="str">
        <f t="shared" si="0"/>
        <v>Saturday</v>
      </c>
      <c r="C22" s="1" t="b">
        <f t="shared" si="1"/>
        <v>1</v>
      </c>
      <c r="D22">
        <f>VLOOKUP($A22,survey_2yrs!A:B, 2)</f>
        <v>51.2</v>
      </c>
      <c r="E22">
        <f>VLOOKUP($A22,survey_2yrs!$A:C, 3)</f>
        <v>48.8</v>
      </c>
      <c r="F22">
        <f>VLOOKUP($A22,survey_2yrs!$A:D, 4)</f>
        <v>50.4</v>
      </c>
      <c r="G22">
        <f>_xlfn.XLOOKUP(A22,survey_2yrs!A:A,survey_2yrs!E:E)</f>
        <v>49.6</v>
      </c>
      <c r="H22">
        <f>_xlfn.XLOOKUP($A22,weather_2yrs!$A:$A,weather_2yrs!B:B)</f>
        <v>70.7</v>
      </c>
      <c r="I22">
        <f>_xlfn.XLOOKUP($A22,weather_2yrs!$A:$A,weather_2yrs!C:C)</f>
        <v>0</v>
      </c>
      <c r="J22">
        <f>_xlfn.XLOOKUP($A22,weather_2yrs!$A:$A,weather_2yrs!D:D)</f>
        <v>0</v>
      </c>
      <c r="K22">
        <f>_xlfn.XLOOKUP($A22,weather_2yrs!$A:$A,weather_2yrs!E:E)</f>
        <v>36.700000000000003</v>
      </c>
      <c r="L22">
        <f>_xlfn.XLOOKUP($A22,sales!$A:$A,sales!B:B)</f>
        <v>1</v>
      </c>
      <c r="M22" t="str">
        <f>_xlfn.XLOOKUP($A22,sales!$A:$A,sales!C:C)</f>
        <v>Miami Beach</v>
      </c>
      <c r="N22">
        <f>_xlfn.XLOOKUP($A22,sales!$A:$A,sales!D:D)</f>
        <v>300</v>
      </c>
      <c r="O22">
        <f>_xlfn.XLOOKUP($A22,sales!$A:$A,sales!E:E)</f>
        <v>5584.36</v>
      </c>
      <c r="P22" s="4">
        <f t="shared" si="2"/>
        <v>18.61453333333333</v>
      </c>
    </row>
    <row r="23" spans="1:16" x14ac:dyDescent="0.25">
      <c r="A23" s="1">
        <v>44948</v>
      </c>
      <c r="B23" s="1" t="str">
        <f t="shared" si="0"/>
        <v>Sunday</v>
      </c>
      <c r="C23" s="1" t="b">
        <f t="shared" si="1"/>
        <v>1</v>
      </c>
      <c r="D23">
        <f>VLOOKUP($A23,survey_2yrs!A:B, 2)</f>
        <v>49.7</v>
      </c>
      <c r="E23">
        <f>VLOOKUP($A23,survey_2yrs!$A:C, 3)</f>
        <v>50.3</v>
      </c>
      <c r="F23">
        <f>VLOOKUP($A23,survey_2yrs!$A:D, 4)</f>
        <v>50.7</v>
      </c>
      <c r="G23">
        <f>_xlfn.XLOOKUP(A23,survey_2yrs!A:A,survey_2yrs!E:E)</f>
        <v>49.3</v>
      </c>
      <c r="H23">
        <f>_xlfn.XLOOKUP($A23,weather_2yrs!$A:$A,weather_2yrs!B:B)</f>
        <v>69.8</v>
      </c>
      <c r="I23">
        <f>_xlfn.XLOOKUP($A23,weather_2yrs!$A:$A,weather_2yrs!C:C)</f>
        <v>0</v>
      </c>
      <c r="J23">
        <f>_xlfn.XLOOKUP($A23,weather_2yrs!$A:$A,weather_2yrs!D:D)</f>
        <v>0</v>
      </c>
      <c r="K23">
        <f>_xlfn.XLOOKUP($A23,weather_2yrs!$A:$A,weather_2yrs!E:E)</f>
        <v>42.4</v>
      </c>
      <c r="L23">
        <f>_xlfn.XLOOKUP($A23,sales!$A:$A,sales!B:B)</f>
        <v>1</v>
      </c>
      <c r="M23" t="str">
        <f>_xlfn.XLOOKUP($A23,sales!$A:$A,sales!C:C)</f>
        <v>Miami Beach</v>
      </c>
      <c r="N23">
        <f>_xlfn.XLOOKUP($A23,sales!$A:$A,sales!D:D)</f>
        <v>294</v>
      </c>
      <c r="O23">
        <f>_xlfn.XLOOKUP($A23,sales!$A:$A,sales!E:E)</f>
        <v>5686.73</v>
      </c>
      <c r="P23" s="4">
        <f t="shared" si="2"/>
        <v>19.342619047619046</v>
      </c>
    </row>
    <row r="24" spans="1:16" x14ac:dyDescent="0.25">
      <c r="A24" s="1">
        <v>44949</v>
      </c>
      <c r="B24" s="1" t="str">
        <f t="shared" si="0"/>
        <v>Monday</v>
      </c>
      <c r="C24" s="1" t="b">
        <f t="shared" si="1"/>
        <v>0</v>
      </c>
      <c r="D24">
        <f>VLOOKUP($A24,survey_2yrs!A:B, 2)</f>
        <v>49.9</v>
      </c>
      <c r="E24">
        <f>VLOOKUP($A24,survey_2yrs!$A:C, 3)</f>
        <v>50.1</v>
      </c>
      <c r="F24">
        <f>VLOOKUP($A24,survey_2yrs!$A:D, 4)</f>
        <v>44.1</v>
      </c>
      <c r="G24">
        <f>_xlfn.XLOOKUP(A24,survey_2yrs!A:A,survey_2yrs!E:E)</f>
        <v>55.9</v>
      </c>
      <c r="H24">
        <f>_xlfn.XLOOKUP($A24,weather_2yrs!$A:$A,weather_2yrs!B:B)</f>
        <v>72</v>
      </c>
      <c r="I24">
        <f>_xlfn.XLOOKUP($A24,weather_2yrs!$A:$A,weather_2yrs!C:C)</f>
        <v>0</v>
      </c>
      <c r="J24">
        <f>_xlfn.XLOOKUP($A24,weather_2yrs!$A:$A,weather_2yrs!D:D)</f>
        <v>0</v>
      </c>
      <c r="K24">
        <f>_xlfn.XLOOKUP($A24,weather_2yrs!$A:$A,weather_2yrs!E:E)</f>
        <v>42.4</v>
      </c>
      <c r="L24">
        <f>_xlfn.XLOOKUP($A24,sales!$A:$A,sales!B:B)</f>
        <v>1</v>
      </c>
      <c r="M24" t="str">
        <f>_xlfn.XLOOKUP($A24,sales!$A:$A,sales!C:C)</f>
        <v>Miami Beach</v>
      </c>
      <c r="N24">
        <f>_xlfn.XLOOKUP($A24,sales!$A:$A,sales!D:D)</f>
        <v>243</v>
      </c>
      <c r="O24">
        <f>_xlfn.XLOOKUP($A24,sales!$A:$A,sales!E:E)</f>
        <v>4434.38</v>
      </c>
      <c r="P24" s="4">
        <f t="shared" si="2"/>
        <v>18.248477366255145</v>
      </c>
    </row>
    <row r="25" spans="1:16" x14ac:dyDescent="0.25">
      <c r="A25" s="1">
        <v>44950</v>
      </c>
      <c r="B25" s="1" t="str">
        <f t="shared" si="0"/>
        <v>Tuesday</v>
      </c>
      <c r="C25" s="1" t="b">
        <f t="shared" si="1"/>
        <v>0</v>
      </c>
      <c r="D25">
        <f>VLOOKUP($A25,survey_2yrs!A:B, 2)</f>
        <v>49.9</v>
      </c>
      <c r="E25">
        <f>VLOOKUP($A25,survey_2yrs!$A:C, 3)</f>
        <v>50.1</v>
      </c>
      <c r="F25">
        <f>VLOOKUP($A25,survey_2yrs!$A:D, 4)</f>
        <v>45.2</v>
      </c>
      <c r="G25">
        <f>_xlfn.XLOOKUP(A25,survey_2yrs!A:A,survey_2yrs!E:E)</f>
        <v>54.8</v>
      </c>
      <c r="H25">
        <f>_xlfn.XLOOKUP($A25,weather_2yrs!$A:$A,weather_2yrs!B:B)</f>
        <v>69.099999999999994</v>
      </c>
      <c r="I25">
        <f>_xlfn.XLOOKUP($A25,weather_2yrs!$A:$A,weather_2yrs!C:C)</f>
        <v>0</v>
      </c>
      <c r="J25">
        <f>_xlfn.XLOOKUP($A25,weather_2yrs!$A:$A,weather_2yrs!D:D)</f>
        <v>0</v>
      </c>
      <c r="K25">
        <f>_xlfn.XLOOKUP($A25,weather_2yrs!$A:$A,weather_2yrs!E:E)</f>
        <v>46.4</v>
      </c>
      <c r="L25">
        <f>_xlfn.XLOOKUP($A25,sales!$A:$A,sales!B:B)</f>
        <v>1</v>
      </c>
      <c r="M25" t="str">
        <f>_xlfn.XLOOKUP($A25,sales!$A:$A,sales!C:C)</f>
        <v>Miami Beach</v>
      </c>
      <c r="N25">
        <f>_xlfn.XLOOKUP($A25,sales!$A:$A,sales!D:D)</f>
        <v>206</v>
      </c>
      <c r="O25">
        <f>_xlfn.XLOOKUP($A25,sales!$A:$A,sales!E:E)</f>
        <v>3820.07</v>
      </c>
      <c r="P25" s="4">
        <f t="shared" si="2"/>
        <v>18.544029126213594</v>
      </c>
    </row>
    <row r="26" spans="1:16" x14ac:dyDescent="0.25">
      <c r="A26" s="1">
        <v>44951</v>
      </c>
      <c r="B26" s="1" t="str">
        <f t="shared" si="0"/>
        <v>Wednesday</v>
      </c>
      <c r="C26" s="1" t="b">
        <f t="shared" si="1"/>
        <v>0</v>
      </c>
      <c r="D26">
        <f>VLOOKUP($A26,survey_2yrs!A:B, 2)</f>
        <v>48.7</v>
      </c>
      <c r="E26">
        <f>VLOOKUP($A26,survey_2yrs!$A:C, 3)</f>
        <v>51.3</v>
      </c>
      <c r="F26">
        <f>VLOOKUP($A26,survey_2yrs!$A:D, 4)</f>
        <v>46</v>
      </c>
      <c r="G26">
        <f>_xlfn.XLOOKUP(A26,survey_2yrs!A:A,survey_2yrs!E:E)</f>
        <v>54</v>
      </c>
      <c r="H26">
        <f>_xlfn.XLOOKUP($A26,weather_2yrs!$A:$A,weather_2yrs!B:B)</f>
        <v>65.8</v>
      </c>
      <c r="I26">
        <f>_xlfn.XLOOKUP($A26,weather_2yrs!$A:$A,weather_2yrs!C:C)</f>
        <v>3.11</v>
      </c>
      <c r="J26">
        <f>_xlfn.XLOOKUP($A26,weather_2yrs!$A:$A,weather_2yrs!D:D)</f>
        <v>1</v>
      </c>
      <c r="K26">
        <f>_xlfn.XLOOKUP($A26,weather_2yrs!$A:$A,weather_2yrs!E:E)</f>
        <v>46.7</v>
      </c>
      <c r="L26">
        <f>_xlfn.XLOOKUP($A26,sales!$A:$A,sales!B:B)</f>
        <v>1</v>
      </c>
      <c r="M26" t="str">
        <f>_xlfn.XLOOKUP($A26,sales!$A:$A,sales!C:C)</f>
        <v>Miami Beach</v>
      </c>
      <c r="N26">
        <f>_xlfn.XLOOKUP($A26,sales!$A:$A,sales!D:D)</f>
        <v>181</v>
      </c>
      <c r="O26">
        <f>_xlfn.XLOOKUP($A26,sales!$A:$A,sales!E:E)</f>
        <v>3660.64</v>
      </c>
      <c r="P26" s="4">
        <f t="shared" si="2"/>
        <v>20.22453038674033</v>
      </c>
    </row>
    <row r="27" spans="1:16" x14ac:dyDescent="0.25">
      <c r="A27" s="1">
        <v>44952</v>
      </c>
      <c r="B27" s="1" t="str">
        <f t="shared" si="0"/>
        <v>Thursday</v>
      </c>
      <c r="C27" s="1" t="b">
        <f t="shared" si="1"/>
        <v>0</v>
      </c>
      <c r="D27">
        <f>VLOOKUP($A27,survey_2yrs!A:B, 2)</f>
        <v>51</v>
      </c>
      <c r="E27">
        <f>VLOOKUP($A27,survey_2yrs!$A:C, 3)</f>
        <v>49</v>
      </c>
      <c r="F27">
        <f>VLOOKUP($A27,survey_2yrs!$A:D, 4)</f>
        <v>46.8</v>
      </c>
      <c r="G27">
        <f>_xlfn.XLOOKUP(A27,survey_2yrs!A:A,survey_2yrs!E:E)</f>
        <v>53.2</v>
      </c>
      <c r="H27">
        <f>_xlfn.XLOOKUP($A27,weather_2yrs!$A:$A,weather_2yrs!B:B)</f>
        <v>68.5</v>
      </c>
      <c r="I27">
        <f>_xlfn.XLOOKUP($A27,weather_2yrs!$A:$A,weather_2yrs!C:C)</f>
        <v>0</v>
      </c>
      <c r="J27">
        <f>_xlfn.XLOOKUP($A27,weather_2yrs!$A:$A,weather_2yrs!D:D)</f>
        <v>0</v>
      </c>
      <c r="K27">
        <f>_xlfn.XLOOKUP($A27,weather_2yrs!$A:$A,weather_2yrs!E:E)</f>
        <v>35</v>
      </c>
      <c r="L27">
        <f>_xlfn.XLOOKUP($A27,sales!$A:$A,sales!B:B)</f>
        <v>1</v>
      </c>
      <c r="M27" t="str">
        <f>_xlfn.XLOOKUP($A27,sales!$A:$A,sales!C:C)</f>
        <v>Miami Beach</v>
      </c>
      <c r="N27">
        <f>_xlfn.XLOOKUP($A27,sales!$A:$A,sales!D:D)</f>
        <v>206</v>
      </c>
      <c r="O27">
        <f>_xlfn.XLOOKUP($A27,sales!$A:$A,sales!E:E)</f>
        <v>3913.96</v>
      </c>
      <c r="P27" s="4">
        <f t="shared" si="2"/>
        <v>18.999805825242717</v>
      </c>
    </row>
    <row r="28" spans="1:16" x14ac:dyDescent="0.25">
      <c r="A28" s="1">
        <v>44953</v>
      </c>
      <c r="B28" s="1" t="str">
        <f t="shared" si="0"/>
        <v>Friday</v>
      </c>
      <c r="C28" s="1" t="b">
        <f t="shared" si="1"/>
        <v>0</v>
      </c>
      <c r="D28">
        <f>VLOOKUP($A28,survey_2yrs!A:B, 2)</f>
        <v>50.2</v>
      </c>
      <c r="E28">
        <f>VLOOKUP($A28,survey_2yrs!$A:C, 3)</f>
        <v>49.8</v>
      </c>
      <c r="F28">
        <f>VLOOKUP($A28,survey_2yrs!$A:D, 4)</f>
        <v>46.3</v>
      </c>
      <c r="G28">
        <f>_xlfn.XLOOKUP(A28,survey_2yrs!A:A,survey_2yrs!E:E)</f>
        <v>53.7</v>
      </c>
      <c r="H28">
        <f>_xlfn.XLOOKUP($A28,weather_2yrs!$A:$A,weather_2yrs!B:B)</f>
        <v>67.400000000000006</v>
      </c>
      <c r="I28">
        <f>_xlfn.XLOOKUP($A28,weather_2yrs!$A:$A,weather_2yrs!C:C)</f>
        <v>1.5</v>
      </c>
      <c r="J28">
        <f>_xlfn.XLOOKUP($A28,weather_2yrs!$A:$A,weather_2yrs!D:D)</f>
        <v>1</v>
      </c>
      <c r="K28">
        <f>_xlfn.XLOOKUP($A28,weather_2yrs!$A:$A,weather_2yrs!E:E)</f>
        <v>42.3</v>
      </c>
      <c r="L28">
        <f>_xlfn.XLOOKUP($A28,sales!$A:$A,sales!B:B)</f>
        <v>1</v>
      </c>
      <c r="M28" t="str">
        <f>_xlfn.XLOOKUP($A28,sales!$A:$A,sales!C:C)</f>
        <v>Miami Beach</v>
      </c>
      <c r="N28">
        <f>_xlfn.XLOOKUP($A28,sales!$A:$A,sales!D:D)</f>
        <v>216</v>
      </c>
      <c r="O28">
        <f>_xlfn.XLOOKUP($A28,sales!$A:$A,sales!E:E)</f>
        <v>4253.25</v>
      </c>
      <c r="P28" s="4">
        <f t="shared" si="2"/>
        <v>19.690972222222221</v>
      </c>
    </row>
    <row r="29" spans="1:16" x14ac:dyDescent="0.25">
      <c r="A29" s="1">
        <v>44954</v>
      </c>
      <c r="B29" s="1" t="str">
        <f t="shared" si="0"/>
        <v>Saturday</v>
      </c>
      <c r="C29" s="1" t="b">
        <f t="shared" si="1"/>
        <v>1</v>
      </c>
      <c r="D29">
        <f>VLOOKUP($A29,survey_2yrs!A:B, 2)</f>
        <v>51.1</v>
      </c>
      <c r="E29">
        <f>VLOOKUP($A29,survey_2yrs!$A:C, 3)</f>
        <v>48.9</v>
      </c>
      <c r="F29">
        <f>VLOOKUP($A29,survey_2yrs!$A:D, 4)</f>
        <v>51.5</v>
      </c>
      <c r="G29">
        <f>_xlfn.XLOOKUP(A29,survey_2yrs!A:A,survey_2yrs!E:E)</f>
        <v>48.5</v>
      </c>
      <c r="H29">
        <f>_xlfn.XLOOKUP($A29,weather_2yrs!$A:$A,weather_2yrs!B:B)</f>
        <v>70.3</v>
      </c>
      <c r="I29">
        <f>_xlfn.XLOOKUP($A29,weather_2yrs!$A:$A,weather_2yrs!C:C)</f>
        <v>0</v>
      </c>
      <c r="J29">
        <f>_xlfn.XLOOKUP($A29,weather_2yrs!$A:$A,weather_2yrs!D:D)</f>
        <v>0</v>
      </c>
      <c r="K29">
        <f>_xlfn.XLOOKUP($A29,weather_2yrs!$A:$A,weather_2yrs!E:E)</f>
        <v>44</v>
      </c>
      <c r="L29">
        <f>_xlfn.XLOOKUP($A29,sales!$A:$A,sales!B:B)</f>
        <v>1</v>
      </c>
      <c r="M29" t="str">
        <f>_xlfn.XLOOKUP($A29,sales!$A:$A,sales!C:C)</f>
        <v>Miami Beach</v>
      </c>
      <c r="N29">
        <f>_xlfn.XLOOKUP($A29,sales!$A:$A,sales!D:D)</f>
        <v>207</v>
      </c>
      <c r="O29">
        <f>_xlfn.XLOOKUP($A29,sales!$A:$A,sales!E:E)</f>
        <v>3817.82</v>
      </c>
      <c r="P29" s="4">
        <f t="shared" si="2"/>
        <v>18.443574879227054</v>
      </c>
    </row>
    <row r="30" spans="1:16" x14ac:dyDescent="0.25">
      <c r="A30" s="1">
        <v>44955</v>
      </c>
      <c r="B30" s="1" t="str">
        <f t="shared" si="0"/>
        <v>Sunday</v>
      </c>
      <c r="C30" s="1" t="b">
        <f t="shared" si="1"/>
        <v>1</v>
      </c>
      <c r="D30">
        <f>VLOOKUP($A30,survey_2yrs!A:B, 2)</f>
        <v>51.1</v>
      </c>
      <c r="E30">
        <f>VLOOKUP($A30,survey_2yrs!$A:C, 3)</f>
        <v>48.9</v>
      </c>
      <c r="F30">
        <f>VLOOKUP($A30,survey_2yrs!$A:D, 4)</f>
        <v>52.8</v>
      </c>
      <c r="G30">
        <f>_xlfn.XLOOKUP(A30,survey_2yrs!A:A,survey_2yrs!E:E)</f>
        <v>47.2</v>
      </c>
      <c r="H30">
        <f>_xlfn.XLOOKUP($A30,weather_2yrs!$A:$A,weather_2yrs!B:B)</f>
        <v>75.099999999999994</v>
      </c>
      <c r="I30">
        <f>_xlfn.XLOOKUP($A30,weather_2yrs!$A:$A,weather_2yrs!C:C)</f>
        <v>0</v>
      </c>
      <c r="J30">
        <f>_xlfn.XLOOKUP($A30,weather_2yrs!$A:$A,weather_2yrs!D:D)</f>
        <v>0</v>
      </c>
      <c r="K30">
        <f>_xlfn.XLOOKUP($A30,weather_2yrs!$A:$A,weather_2yrs!E:E)</f>
        <v>35</v>
      </c>
      <c r="L30">
        <f>_xlfn.XLOOKUP($A30,sales!$A:$A,sales!B:B)</f>
        <v>1</v>
      </c>
      <c r="M30" t="str">
        <f>_xlfn.XLOOKUP($A30,sales!$A:$A,sales!C:C)</f>
        <v>Miami Beach</v>
      </c>
      <c r="N30">
        <f>_xlfn.XLOOKUP($A30,sales!$A:$A,sales!D:D)</f>
        <v>278</v>
      </c>
      <c r="O30">
        <f>_xlfn.XLOOKUP($A30,sales!$A:$A,sales!E:E)</f>
        <v>5762.8</v>
      </c>
      <c r="P30" s="4">
        <f t="shared" si="2"/>
        <v>20.7294964028777</v>
      </c>
    </row>
    <row r="31" spans="1:16" x14ac:dyDescent="0.25">
      <c r="A31" s="1">
        <v>44956</v>
      </c>
      <c r="B31" s="1" t="str">
        <f t="shared" si="0"/>
        <v>Monday</v>
      </c>
      <c r="C31" s="1" t="b">
        <f t="shared" si="1"/>
        <v>0</v>
      </c>
      <c r="D31">
        <f>VLOOKUP($A31,survey_2yrs!A:B, 2)</f>
        <v>49.6</v>
      </c>
      <c r="E31">
        <f>VLOOKUP($A31,survey_2yrs!$A:C, 3)</f>
        <v>50.4</v>
      </c>
      <c r="F31">
        <f>VLOOKUP($A31,survey_2yrs!$A:D, 4)</f>
        <v>45.8</v>
      </c>
      <c r="G31">
        <f>_xlfn.XLOOKUP(A31,survey_2yrs!A:A,survey_2yrs!E:E)</f>
        <v>54.2</v>
      </c>
      <c r="H31">
        <f>_xlfn.XLOOKUP($A31,weather_2yrs!$A:$A,weather_2yrs!B:B)</f>
        <v>75.5</v>
      </c>
      <c r="I31">
        <f>_xlfn.XLOOKUP($A31,weather_2yrs!$A:$A,weather_2yrs!C:C)</f>
        <v>0</v>
      </c>
      <c r="J31">
        <f>_xlfn.XLOOKUP($A31,weather_2yrs!$A:$A,weather_2yrs!D:D)</f>
        <v>0</v>
      </c>
      <c r="K31">
        <f>_xlfn.XLOOKUP($A31,weather_2yrs!$A:$A,weather_2yrs!E:E)</f>
        <v>38.700000000000003</v>
      </c>
      <c r="L31">
        <f>_xlfn.XLOOKUP($A31,sales!$A:$A,sales!B:B)</f>
        <v>1</v>
      </c>
      <c r="M31" t="str">
        <f>_xlfn.XLOOKUP($A31,sales!$A:$A,sales!C:C)</f>
        <v>Miami Beach</v>
      </c>
      <c r="N31">
        <f>_xlfn.XLOOKUP($A31,sales!$A:$A,sales!D:D)</f>
        <v>268</v>
      </c>
      <c r="O31">
        <f>_xlfn.XLOOKUP($A31,sales!$A:$A,sales!E:E)</f>
        <v>4885.71</v>
      </c>
      <c r="P31" s="4">
        <f t="shared" si="2"/>
        <v>18.23026119402985</v>
      </c>
    </row>
    <row r="32" spans="1:16" x14ac:dyDescent="0.25">
      <c r="A32" s="1">
        <v>44957</v>
      </c>
      <c r="B32" s="1" t="str">
        <f t="shared" si="0"/>
        <v>Tuesday</v>
      </c>
      <c r="C32" s="1" t="b">
        <f t="shared" si="1"/>
        <v>0</v>
      </c>
      <c r="D32">
        <f>VLOOKUP($A32,survey_2yrs!A:B, 2)</f>
        <v>49.5</v>
      </c>
      <c r="E32">
        <f>VLOOKUP($A32,survey_2yrs!$A:C, 3)</f>
        <v>50.5</v>
      </c>
      <c r="F32">
        <f>VLOOKUP($A32,survey_2yrs!$A:D, 4)</f>
        <v>45.4</v>
      </c>
      <c r="G32">
        <f>_xlfn.XLOOKUP(A32,survey_2yrs!A:A,survey_2yrs!E:E)</f>
        <v>54.6</v>
      </c>
      <c r="H32">
        <f>_xlfn.XLOOKUP($A32,weather_2yrs!$A:$A,weather_2yrs!B:B)</f>
        <v>69.2</v>
      </c>
      <c r="I32">
        <f>_xlfn.XLOOKUP($A32,weather_2yrs!$A:$A,weather_2yrs!C:C)</f>
        <v>0</v>
      </c>
      <c r="J32">
        <f>_xlfn.XLOOKUP($A32,weather_2yrs!$A:$A,weather_2yrs!D:D)</f>
        <v>0</v>
      </c>
      <c r="K32">
        <f>_xlfn.XLOOKUP($A32,weather_2yrs!$A:$A,weather_2yrs!E:E)</f>
        <v>35</v>
      </c>
      <c r="L32">
        <f>_xlfn.XLOOKUP($A32,sales!$A:$A,sales!B:B)</f>
        <v>1</v>
      </c>
      <c r="M32" t="str">
        <f>_xlfn.XLOOKUP($A32,sales!$A:$A,sales!C:C)</f>
        <v>Miami Beach</v>
      </c>
      <c r="N32">
        <f>_xlfn.XLOOKUP($A32,sales!$A:$A,sales!D:D)</f>
        <v>214</v>
      </c>
      <c r="O32">
        <f>_xlfn.XLOOKUP($A32,sales!$A:$A,sales!E:E)</f>
        <v>3882.07</v>
      </c>
      <c r="P32" s="4">
        <f t="shared" si="2"/>
        <v>18.14051401869159</v>
      </c>
    </row>
    <row r="33" spans="1:16" x14ac:dyDescent="0.25">
      <c r="A33" s="1">
        <v>44958</v>
      </c>
      <c r="B33" s="1" t="str">
        <f t="shared" si="0"/>
        <v>Wednesday</v>
      </c>
      <c r="C33" s="1" t="b">
        <f t="shared" si="1"/>
        <v>0</v>
      </c>
      <c r="D33">
        <f>VLOOKUP($A33,survey_2yrs!A:B, 2)</f>
        <v>50.5</v>
      </c>
      <c r="E33">
        <f>VLOOKUP($A33,survey_2yrs!$A:C, 3)</f>
        <v>49.5</v>
      </c>
      <c r="F33">
        <f>VLOOKUP($A33,survey_2yrs!$A:D, 4)</f>
        <v>46.4</v>
      </c>
      <c r="G33">
        <f>_xlfn.XLOOKUP(A33,survey_2yrs!A:A,survey_2yrs!E:E)</f>
        <v>53.6</v>
      </c>
      <c r="H33">
        <f>_xlfn.XLOOKUP($A33,weather_2yrs!$A:$A,weather_2yrs!B:B)</f>
        <v>68.8</v>
      </c>
      <c r="I33">
        <f>_xlfn.XLOOKUP($A33,weather_2yrs!$A:$A,weather_2yrs!C:C)</f>
        <v>0</v>
      </c>
      <c r="J33">
        <f>_xlfn.XLOOKUP($A33,weather_2yrs!$A:$A,weather_2yrs!D:D)</f>
        <v>0</v>
      </c>
      <c r="K33">
        <f>_xlfn.XLOOKUP($A33,weather_2yrs!$A:$A,weather_2yrs!E:E)</f>
        <v>46.9</v>
      </c>
      <c r="L33">
        <f>_xlfn.XLOOKUP($A33,sales!$A:$A,sales!B:B)</f>
        <v>1</v>
      </c>
      <c r="M33" t="str">
        <f>_xlfn.XLOOKUP($A33,sales!$A:$A,sales!C:C)</f>
        <v>Miami Beach</v>
      </c>
      <c r="N33">
        <f>_xlfn.XLOOKUP($A33,sales!$A:$A,sales!D:D)</f>
        <v>226</v>
      </c>
      <c r="O33">
        <f>_xlfn.XLOOKUP($A33,sales!$A:$A,sales!E:E)</f>
        <v>4031.55</v>
      </c>
      <c r="P33" s="4">
        <f t="shared" si="2"/>
        <v>17.838716814159294</v>
      </c>
    </row>
    <row r="34" spans="1:16" x14ac:dyDescent="0.25">
      <c r="A34" s="1">
        <v>44959</v>
      </c>
      <c r="B34" s="1" t="str">
        <f t="shared" si="0"/>
        <v>Thursday</v>
      </c>
      <c r="C34" s="1" t="b">
        <f t="shared" si="1"/>
        <v>0</v>
      </c>
      <c r="D34">
        <f>VLOOKUP($A34,survey_2yrs!A:B, 2)</f>
        <v>50.3</v>
      </c>
      <c r="E34">
        <f>VLOOKUP($A34,survey_2yrs!$A:C, 3)</f>
        <v>49.7</v>
      </c>
      <c r="F34">
        <f>VLOOKUP($A34,survey_2yrs!$A:D, 4)</f>
        <v>45.2</v>
      </c>
      <c r="G34">
        <f>_xlfn.XLOOKUP(A34,survey_2yrs!A:A,survey_2yrs!E:E)</f>
        <v>54.8</v>
      </c>
      <c r="H34">
        <f>_xlfn.XLOOKUP($A34,weather_2yrs!$A:$A,weather_2yrs!B:B)</f>
        <v>73.400000000000006</v>
      </c>
      <c r="I34">
        <f>_xlfn.XLOOKUP($A34,weather_2yrs!$A:$A,weather_2yrs!C:C)</f>
        <v>0</v>
      </c>
      <c r="J34">
        <f>_xlfn.XLOOKUP($A34,weather_2yrs!$A:$A,weather_2yrs!D:D)</f>
        <v>0</v>
      </c>
      <c r="K34">
        <f>_xlfn.XLOOKUP($A34,weather_2yrs!$A:$A,weather_2yrs!E:E)</f>
        <v>42.2</v>
      </c>
      <c r="L34">
        <f>_xlfn.XLOOKUP($A34,sales!$A:$A,sales!B:B)</f>
        <v>1</v>
      </c>
      <c r="M34" t="str">
        <f>_xlfn.XLOOKUP($A34,sales!$A:$A,sales!C:C)</f>
        <v>Miami Beach</v>
      </c>
      <c r="N34">
        <f>_xlfn.XLOOKUP($A34,sales!$A:$A,sales!D:D)</f>
        <v>230</v>
      </c>
      <c r="O34">
        <f>_xlfn.XLOOKUP($A34,sales!$A:$A,sales!E:E)</f>
        <v>4403.41</v>
      </c>
      <c r="P34" s="4">
        <f t="shared" si="2"/>
        <v>19.145260869565217</v>
      </c>
    </row>
    <row r="35" spans="1:16" x14ac:dyDescent="0.25">
      <c r="A35" s="1">
        <v>44960</v>
      </c>
      <c r="B35" s="1" t="str">
        <f t="shared" si="0"/>
        <v>Friday</v>
      </c>
      <c r="C35" s="1" t="b">
        <f t="shared" si="1"/>
        <v>0</v>
      </c>
      <c r="D35">
        <f>VLOOKUP($A35,survey_2yrs!A:B, 2)</f>
        <v>51</v>
      </c>
      <c r="E35">
        <f>VLOOKUP($A35,survey_2yrs!$A:C, 3)</f>
        <v>49</v>
      </c>
      <c r="F35">
        <f>VLOOKUP($A35,survey_2yrs!$A:D, 4)</f>
        <v>46</v>
      </c>
      <c r="G35">
        <f>_xlfn.XLOOKUP(A35,survey_2yrs!A:A,survey_2yrs!E:E)</f>
        <v>54</v>
      </c>
      <c r="H35">
        <f>_xlfn.XLOOKUP($A35,weather_2yrs!$A:$A,weather_2yrs!B:B)</f>
        <v>74.7</v>
      </c>
      <c r="I35">
        <f>_xlfn.XLOOKUP($A35,weather_2yrs!$A:$A,weather_2yrs!C:C)</f>
        <v>0</v>
      </c>
      <c r="J35">
        <f>_xlfn.XLOOKUP($A35,weather_2yrs!$A:$A,weather_2yrs!D:D)</f>
        <v>0</v>
      </c>
      <c r="K35">
        <f>_xlfn.XLOOKUP($A35,weather_2yrs!$A:$A,weather_2yrs!E:E)</f>
        <v>35</v>
      </c>
      <c r="L35">
        <f>_xlfn.XLOOKUP($A35,sales!$A:$A,sales!B:B)</f>
        <v>1</v>
      </c>
      <c r="M35" t="str">
        <f>_xlfn.XLOOKUP($A35,sales!$A:$A,sales!C:C)</f>
        <v>Miami Beach</v>
      </c>
      <c r="N35">
        <f>_xlfn.XLOOKUP($A35,sales!$A:$A,sales!D:D)</f>
        <v>256</v>
      </c>
      <c r="O35">
        <f>_xlfn.XLOOKUP($A35,sales!$A:$A,sales!E:E)</f>
        <v>4474.51</v>
      </c>
      <c r="P35" s="4">
        <f t="shared" si="2"/>
        <v>17.478554687500001</v>
      </c>
    </row>
    <row r="36" spans="1:16" x14ac:dyDescent="0.25">
      <c r="A36" s="1">
        <v>44961</v>
      </c>
      <c r="B36" s="1" t="str">
        <f t="shared" si="0"/>
        <v>Saturday</v>
      </c>
      <c r="C36" s="1" t="b">
        <f t="shared" si="1"/>
        <v>1</v>
      </c>
      <c r="D36">
        <f>VLOOKUP($A36,survey_2yrs!A:B, 2)</f>
        <v>49.4</v>
      </c>
      <c r="E36">
        <f>VLOOKUP($A36,survey_2yrs!$A:C, 3)</f>
        <v>50.6</v>
      </c>
      <c r="F36">
        <f>VLOOKUP($A36,survey_2yrs!$A:D, 4)</f>
        <v>52.9</v>
      </c>
      <c r="G36">
        <f>_xlfn.XLOOKUP(A36,survey_2yrs!A:A,survey_2yrs!E:E)</f>
        <v>47.1</v>
      </c>
      <c r="H36">
        <f>_xlfn.XLOOKUP($A36,weather_2yrs!$A:$A,weather_2yrs!B:B)</f>
        <v>66.2</v>
      </c>
      <c r="I36">
        <f>_xlfn.XLOOKUP($A36,weather_2yrs!$A:$A,weather_2yrs!C:C)</f>
        <v>0</v>
      </c>
      <c r="J36">
        <f>_xlfn.XLOOKUP($A36,weather_2yrs!$A:$A,weather_2yrs!D:D)</f>
        <v>0</v>
      </c>
      <c r="K36">
        <f>_xlfn.XLOOKUP($A36,weather_2yrs!$A:$A,weather_2yrs!E:E)</f>
        <v>43.6</v>
      </c>
      <c r="L36">
        <f>_xlfn.XLOOKUP($A36,sales!$A:$A,sales!B:B)</f>
        <v>1</v>
      </c>
      <c r="M36" t="str">
        <f>_xlfn.XLOOKUP($A36,sales!$A:$A,sales!C:C)</f>
        <v>Miami Beach</v>
      </c>
      <c r="N36">
        <f>_xlfn.XLOOKUP($A36,sales!$A:$A,sales!D:D)</f>
        <v>260</v>
      </c>
      <c r="O36">
        <f>_xlfn.XLOOKUP($A36,sales!$A:$A,sales!E:E)</f>
        <v>4639.1099999999997</v>
      </c>
      <c r="P36" s="4">
        <f t="shared" si="2"/>
        <v>17.842730769230769</v>
      </c>
    </row>
    <row r="37" spans="1:16" x14ac:dyDescent="0.25">
      <c r="A37" s="1">
        <v>44962</v>
      </c>
      <c r="B37" s="1" t="str">
        <f t="shared" si="0"/>
        <v>Sunday</v>
      </c>
      <c r="C37" s="1" t="b">
        <f t="shared" si="1"/>
        <v>1</v>
      </c>
      <c r="D37">
        <f>VLOOKUP($A37,survey_2yrs!A:B, 2)</f>
        <v>50.2</v>
      </c>
      <c r="E37">
        <f>VLOOKUP($A37,survey_2yrs!$A:C, 3)</f>
        <v>49.8</v>
      </c>
      <c r="F37">
        <f>VLOOKUP($A37,survey_2yrs!$A:D, 4)</f>
        <v>51.7</v>
      </c>
      <c r="G37">
        <f>_xlfn.XLOOKUP(A37,survey_2yrs!A:A,survey_2yrs!E:E)</f>
        <v>48.3</v>
      </c>
      <c r="H37">
        <f>_xlfn.XLOOKUP($A37,weather_2yrs!$A:$A,weather_2yrs!B:B)</f>
        <v>66.8</v>
      </c>
      <c r="I37">
        <f>_xlfn.XLOOKUP($A37,weather_2yrs!$A:$A,weather_2yrs!C:C)</f>
        <v>0.79</v>
      </c>
      <c r="J37">
        <f>_xlfn.XLOOKUP($A37,weather_2yrs!$A:$A,weather_2yrs!D:D)</f>
        <v>1</v>
      </c>
      <c r="K37">
        <f>_xlfn.XLOOKUP($A37,weather_2yrs!$A:$A,weather_2yrs!E:E)</f>
        <v>36.9</v>
      </c>
      <c r="L37">
        <f>_xlfn.XLOOKUP($A37,sales!$A:$A,sales!B:B)</f>
        <v>1</v>
      </c>
      <c r="M37" t="str">
        <f>_xlfn.XLOOKUP($A37,sales!$A:$A,sales!C:C)</f>
        <v>Miami Beach</v>
      </c>
      <c r="N37">
        <f>_xlfn.XLOOKUP($A37,sales!$A:$A,sales!D:D)</f>
        <v>248</v>
      </c>
      <c r="O37">
        <f>_xlfn.XLOOKUP($A37,sales!$A:$A,sales!E:E)</f>
        <v>4864.28</v>
      </c>
      <c r="P37" s="4">
        <f t="shared" si="2"/>
        <v>19.614032258064515</v>
      </c>
    </row>
    <row r="38" spans="1:16" x14ac:dyDescent="0.25">
      <c r="A38" s="1">
        <v>44963</v>
      </c>
      <c r="B38" s="1" t="str">
        <f t="shared" si="0"/>
        <v>Monday</v>
      </c>
      <c r="C38" s="1" t="b">
        <f t="shared" si="1"/>
        <v>0</v>
      </c>
      <c r="D38">
        <f>VLOOKUP($A38,survey_2yrs!A:B, 2)</f>
        <v>51.2</v>
      </c>
      <c r="E38">
        <f>VLOOKUP($A38,survey_2yrs!$A:C, 3)</f>
        <v>48.8</v>
      </c>
      <c r="F38">
        <f>VLOOKUP($A38,survey_2yrs!$A:D, 4)</f>
        <v>44.9</v>
      </c>
      <c r="G38">
        <f>_xlfn.XLOOKUP(A38,survey_2yrs!A:A,survey_2yrs!E:E)</f>
        <v>55.1</v>
      </c>
      <c r="H38">
        <f>_xlfn.XLOOKUP($A38,weather_2yrs!$A:$A,weather_2yrs!B:B)</f>
        <v>62</v>
      </c>
      <c r="I38">
        <f>_xlfn.XLOOKUP($A38,weather_2yrs!$A:$A,weather_2yrs!C:C)</f>
        <v>0</v>
      </c>
      <c r="J38">
        <f>_xlfn.XLOOKUP($A38,weather_2yrs!$A:$A,weather_2yrs!D:D)</f>
        <v>0</v>
      </c>
      <c r="K38">
        <f>_xlfn.XLOOKUP($A38,weather_2yrs!$A:$A,weather_2yrs!E:E)</f>
        <v>42.5</v>
      </c>
      <c r="L38">
        <f>_xlfn.XLOOKUP($A38,sales!$A:$A,sales!B:B)</f>
        <v>1</v>
      </c>
      <c r="M38" t="str">
        <f>_xlfn.XLOOKUP($A38,sales!$A:$A,sales!C:C)</f>
        <v>Miami Beach</v>
      </c>
      <c r="N38">
        <f>_xlfn.XLOOKUP($A38,sales!$A:$A,sales!D:D)</f>
        <v>241</v>
      </c>
      <c r="O38">
        <f>_xlfn.XLOOKUP($A38,sales!$A:$A,sales!E:E)</f>
        <v>4425.4399999999996</v>
      </c>
      <c r="P38" s="4">
        <f t="shared" si="2"/>
        <v>18.362821576763483</v>
      </c>
    </row>
    <row r="39" spans="1:16" x14ac:dyDescent="0.25">
      <c r="A39" s="1">
        <v>44964</v>
      </c>
      <c r="B39" s="1" t="str">
        <f t="shared" si="0"/>
        <v>Tuesday</v>
      </c>
      <c r="C39" s="1" t="b">
        <f t="shared" si="1"/>
        <v>0</v>
      </c>
      <c r="D39">
        <f>VLOOKUP($A39,survey_2yrs!A:B, 2)</f>
        <v>50.6</v>
      </c>
      <c r="E39">
        <f>VLOOKUP($A39,survey_2yrs!$A:C, 3)</f>
        <v>49.4</v>
      </c>
      <c r="F39">
        <f>VLOOKUP($A39,survey_2yrs!$A:D, 4)</f>
        <v>46.9</v>
      </c>
      <c r="G39">
        <f>_xlfn.XLOOKUP(A39,survey_2yrs!A:A,survey_2yrs!E:E)</f>
        <v>53.1</v>
      </c>
      <c r="H39">
        <f>_xlfn.XLOOKUP($A39,weather_2yrs!$A:$A,weather_2yrs!B:B)</f>
        <v>66.099999999999994</v>
      </c>
      <c r="I39">
        <f>_xlfn.XLOOKUP($A39,weather_2yrs!$A:$A,weather_2yrs!C:C)</f>
        <v>0</v>
      </c>
      <c r="J39">
        <f>_xlfn.XLOOKUP($A39,weather_2yrs!$A:$A,weather_2yrs!D:D)</f>
        <v>0</v>
      </c>
      <c r="K39">
        <f>_xlfn.XLOOKUP($A39,weather_2yrs!$A:$A,weather_2yrs!E:E)</f>
        <v>35</v>
      </c>
      <c r="L39">
        <f>_xlfn.XLOOKUP($A39,sales!$A:$A,sales!B:B)</f>
        <v>1</v>
      </c>
      <c r="M39" t="str">
        <f>_xlfn.XLOOKUP($A39,sales!$A:$A,sales!C:C)</f>
        <v>Miami Beach</v>
      </c>
      <c r="N39">
        <f>_xlfn.XLOOKUP($A39,sales!$A:$A,sales!D:D)</f>
        <v>181</v>
      </c>
      <c r="O39">
        <f>_xlfn.XLOOKUP($A39,sales!$A:$A,sales!E:E)</f>
        <v>3606.07</v>
      </c>
      <c r="P39" s="4">
        <f t="shared" si="2"/>
        <v>19.923038674033151</v>
      </c>
    </row>
    <row r="40" spans="1:16" x14ac:dyDescent="0.25">
      <c r="A40" s="1">
        <v>44965</v>
      </c>
      <c r="B40" s="1" t="str">
        <f t="shared" si="0"/>
        <v>Wednesday</v>
      </c>
      <c r="C40" s="1" t="b">
        <f t="shared" si="1"/>
        <v>0</v>
      </c>
      <c r="D40">
        <f>VLOOKUP($A40,survey_2yrs!A:B, 2)</f>
        <v>51.8</v>
      </c>
      <c r="E40">
        <f>VLOOKUP($A40,survey_2yrs!$A:C, 3)</f>
        <v>48.2</v>
      </c>
      <c r="F40">
        <f>VLOOKUP($A40,survey_2yrs!$A:D, 4)</f>
        <v>45.3</v>
      </c>
      <c r="G40">
        <f>_xlfn.XLOOKUP(A40,survey_2yrs!A:A,survey_2yrs!E:E)</f>
        <v>54.7</v>
      </c>
      <c r="H40">
        <f>_xlfn.XLOOKUP($A40,weather_2yrs!$A:$A,weather_2yrs!B:B)</f>
        <v>65.5</v>
      </c>
      <c r="I40">
        <f>_xlfn.XLOOKUP($A40,weather_2yrs!$A:$A,weather_2yrs!C:C)</f>
        <v>3.29</v>
      </c>
      <c r="J40">
        <f>_xlfn.XLOOKUP($A40,weather_2yrs!$A:$A,weather_2yrs!D:D)</f>
        <v>1</v>
      </c>
      <c r="K40">
        <f>_xlfn.XLOOKUP($A40,weather_2yrs!$A:$A,weather_2yrs!E:E)</f>
        <v>41.9</v>
      </c>
      <c r="L40">
        <f>_xlfn.XLOOKUP($A40,sales!$A:$A,sales!B:B)</f>
        <v>1</v>
      </c>
      <c r="M40" t="str">
        <f>_xlfn.XLOOKUP($A40,sales!$A:$A,sales!C:C)</f>
        <v>Miami Beach</v>
      </c>
      <c r="N40">
        <f>_xlfn.XLOOKUP($A40,sales!$A:$A,sales!D:D)</f>
        <v>166</v>
      </c>
      <c r="O40">
        <f>_xlfn.XLOOKUP($A40,sales!$A:$A,sales!E:E)</f>
        <v>2871.62</v>
      </c>
      <c r="P40" s="4">
        <f t="shared" si="2"/>
        <v>17.2989156626506</v>
      </c>
    </row>
    <row r="41" spans="1:16" x14ac:dyDescent="0.25">
      <c r="A41" s="1">
        <v>44966</v>
      </c>
      <c r="B41" s="1" t="str">
        <f t="shared" si="0"/>
        <v>Thursday</v>
      </c>
      <c r="C41" s="1" t="b">
        <f t="shared" si="1"/>
        <v>0</v>
      </c>
      <c r="D41">
        <f>VLOOKUP($A41,survey_2yrs!A:B, 2)</f>
        <v>49.7</v>
      </c>
      <c r="E41">
        <f>VLOOKUP($A41,survey_2yrs!$A:C, 3)</f>
        <v>50.3</v>
      </c>
      <c r="F41">
        <f>VLOOKUP($A41,survey_2yrs!$A:D, 4)</f>
        <v>43.9</v>
      </c>
      <c r="G41">
        <f>_xlfn.XLOOKUP(A41,survey_2yrs!A:A,survey_2yrs!E:E)</f>
        <v>56.1</v>
      </c>
      <c r="H41">
        <f>_xlfn.XLOOKUP($A41,weather_2yrs!$A:$A,weather_2yrs!B:B)</f>
        <v>70.400000000000006</v>
      </c>
      <c r="I41">
        <f>_xlfn.XLOOKUP($A41,weather_2yrs!$A:$A,weather_2yrs!C:C)</f>
        <v>0</v>
      </c>
      <c r="J41">
        <f>_xlfn.XLOOKUP($A41,weather_2yrs!$A:$A,weather_2yrs!D:D)</f>
        <v>0</v>
      </c>
      <c r="K41">
        <f>_xlfn.XLOOKUP($A41,weather_2yrs!$A:$A,weather_2yrs!E:E)</f>
        <v>36.9</v>
      </c>
      <c r="L41">
        <f>_xlfn.XLOOKUP($A41,sales!$A:$A,sales!B:B)</f>
        <v>1</v>
      </c>
      <c r="M41" t="str">
        <f>_xlfn.XLOOKUP($A41,sales!$A:$A,sales!C:C)</f>
        <v>Miami Beach</v>
      </c>
      <c r="N41">
        <f>_xlfn.XLOOKUP($A41,sales!$A:$A,sales!D:D)</f>
        <v>218</v>
      </c>
      <c r="O41">
        <f>_xlfn.XLOOKUP($A41,sales!$A:$A,sales!E:E)</f>
        <v>3916.11</v>
      </c>
      <c r="P41" s="4">
        <f t="shared" si="2"/>
        <v>17.963807339449541</v>
      </c>
    </row>
    <row r="42" spans="1:16" x14ac:dyDescent="0.25">
      <c r="A42" s="1">
        <v>44967</v>
      </c>
      <c r="B42" s="1" t="str">
        <f t="shared" si="0"/>
        <v>Friday</v>
      </c>
      <c r="C42" s="1" t="b">
        <f t="shared" si="1"/>
        <v>0</v>
      </c>
      <c r="D42">
        <f>VLOOKUP($A42,survey_2yrs!A:B, 2)</f>
        <v>51.7</v>
      </c>
      <c r="E42">
        <f>VLOOKUP($A42,survey_2yrs!$A:C, 3)</f>
        <v>48.3</v>
      </c>
      <c r="F42">
        <f>VLOOKUP($A42,survey_2yrs!$A:D, 4)</f>
        <v>45.9</v>
      </c>
      <c r="G42">
        <f>_xlfn.XLOOKUP(A42,survey_2yrs!A:A,survey_2yrs!E:E)</f>
        <v>54.1</v>
      </c>
      <c r="H42">
        <f>_xlfn.XLOOKUP($A42,weather_2yrs!$A:$A,weather_2yrs!B:B)</f>
        <v>65.7</v>
      </c>
      <c r="I42">
        <f>_xlfn.XLOOKUP($A42,weather_2yrs!$A:$A,weather_2yrs!C:C)</f>
        <v>0</v>
      </c>
      <c r="J42">
        <f>_xlfn.XLOOKUP($A42,weather_2yrs!$A:$A,weather_2yrs!D:D)</f>
        <v>0</v>
      </c>
      <c r="K42">
        <f>_xlfn.XLOOKUP($A42,weather_2yrs!$A:$A,weather_2yrs!E:E)</f>
        <v>35</v>
      </c>
      <c r="L42">
        <f>_xlfn.XLOOKUP($A42,sales!$A:$A,sales!B:B)</f>
        <v>1</v>
      </c>
      <c r="M42" t="str">
        <f>_xlfn.XLOOKUP($A42,sales!$A:$A,sales!C:C)</f>
        <v>Miami Beach</v>
      </c>
      <c r="N42">
        <f>_xlfn.XLOOKUP($A42,sales!$A:$A,sales!D:D)</f>
        <v>210</v>
      </c>
      <c r="O42">
        <f>_xlfn.XLOOKUP($A42,sales!$A:$A,sales!E:E)</f>
        <v>4044.57</v>
      </c>
      <c r="P42" s="4">
        <f t="shared" si="2"/>
        <v>19.259857142857143</v>
      </c>
    </row>
    <row r="43" spans="1:16" x14ac:dyDescent="0.25">
      <c r="A43" s="1">
        <v>44968</v>
      </c>
      <c r="B43" s="1" t="str">
        <f t="shared" si="0"/>
        <v>Saturday</v>
      </c>
      <c r="C43" s="1" t="b">
        <f t="shared" si="1"/>
        <v>1</v>
      </c>
      <c r="D43">
        <f>VLOOKUP($A43,survey_2yrs!A:B, 2)</f>
        <v>50.1</v>
      </c>
      <c r="E43">
        <f>VLOOKUP($A43,survey_2yrs!$A:C, 3)</f>
        <v>49.9</v>
      </c>
      <c r="F43">
        <f>VLOOKUP($A43,survey_2yrs!$A:D, 4)</f>
        <v>50.7</v>
      </c>
      <c r="G43">
        <f>_xlfn.XLOOKUP(A43,survey_2yrs!A:A,survey_2yrs!E:E)</f>
        <v>49.3</v>
      </c>
      <c r="H43">
        <f>_xlfn.XLOOKUP($A43,weather_2yrs!$A:$A,weather_2yrs!B:B)</f>
        <v>64.7</v>
      </c>
      <c r="I43">
        <f>_xlfn.XLOOKUP($A43,weather_2yrs!$A:$A,weather_2yrs!C:C)</f>
        <v>2.4700000000000002</v>
      </c>
      <c r="J43">
        <f>_xlfn.XLOOKUP($A43,weather_2yrs!$A:$A,weather_2yrs!D:D)</f>
        <v>1</v>
      </c>
      <c r="K43">
        <f>_xlfn.XLOOKUP($A43,weather_2yrs!$A:$A,weather_2yrs!E:E)</f>
        <v>40.6</v>
      </c>
      <c r="L43">
        <f>_xlfn.XLOOKUP($A43,sales!$A:$A,sales!B:B)</f>
        <v>1</v>
      </c>
      <c r="M43" t="str">
        <f>_xlfn.XLOOKUP($A43,sales!$A:$A,sales!C:C)</f>
        <v>Miami Beach</v>
      </c>
      <c r="N43">
        <f>_xlfn.XLOOKUP($A43,sales!$A:$A,sales!D:D)</f>
        <v>225</v>
      </c>
      <c r="O43">
        <f>_xlfn.XLOOKUP($A43,sales!$A:$A,sales!E:E)</f>
        <v>3924.84</v>
      </c>
      <c r="P43" s="4">
        <f t="shared" si="2"/>
        <v>17.443733333333334</v>
      </c>
    </row>
    <row r="44" spans="1:16" x14ac:dyDescent="0.25">
      <c r="A44" s="1">
        <v>44969</v>
      </c>
      <c r="B44" s="1" t="str">
        <f t="shared" si="0"/>
        <v>Sunday</v>
      </c>
      <c r="C44" s="1" t="b">
        <f t="shared" si="1"/>
        <v>1</v>
      </c>
      <c r="D44">
        <f>VLOOKUP($A44,survey_2yrs!A:B, 2)</f>
        <v>51.2</v>
      </c>
      <c r="E44">
        <f>VLOOKUP($A44,survey_2yrs!$A:C, 3)</f>
        <v>48.8</v>
      </c>
      <c r="F44">
        <f>VLOOKUP($A44,survey_2yrs!$A:D, 4)</f>
        <v>52.1</v>
      </c>
      <c r="G44">
        <f>_xlfn.XLOOKUP(A44,survey_2yrs!A:A,survey_2yrs!E:E)</f>
        <v>47.9</v>
      </c>
      <c r="H44">
        <f>_xlfn.XLOOKUP($A44,weather_2yrs!$A:$A,weather_2yrs!B:B)</f>
        <v>68.099999999999994</v>
      </c>
      <c r="I44">
        <f>_xlfn.XLOOKUP($A44,weather_2yrs!$A:$A,weather_2yrs!C:C)</f>
        <v>0</v>
      </c>
      <c r="J44">
        <f>_xlfn.XLOOKUP($A44,weather_2yrs!$A:$A,weather_2yrs!D:D)</f>
        <v>0</v>
      </c>
      <c r="K44">
        <f>_xlfn.XLOOKUP($A44,weather_2yrs!$A:$A,weather_2yrs!E:E)</f>
        <v>35.700000000000003</v>
      </c>
      <c r="L44">
        <f>_xlfn.XLOOKUP($A44,sales!$A:$A,sales!B:B)</f>
        <v>1</v>
      </c>
      <c r="M44" t="str">
        <f>_xlfn.XLOOKUP($A44,sales!$A:$A,sales!C:C)</f>
        <v>Miami Beach</v>
      </c>
      <c r="N44">
        <f>_xlfn.XLOOKUP($A44,sales!$A:$A,sales!D:D)</f>
        <v>257</v>
      </c>
      <c r="O44">
        <f>_xlfn.XLOOKUP($A44,sales!$A:$A,sales!E:E)</f>
        <v>5156.3</v>
      </c>
      <c r="P44" s="4">
        <f t="shared" si="2"/>
        <v>20.06342412451362</v>
      </c>
    </row>
    <row r="45" spans="1:16" x14ac:dyDescent="0.25">
      <c r="A45" s="1">
        <v>44970</v>
      </c>
      <c r="B45" s="1" t="str">
        <f t="shared" si="0"/>
        <v>Monday</v>
      </c>
      <c r="C45" s="1" t="b">
        <f t="shared" si="1"/>
        <v>0</v>
      </c>
      <c r="D45">
        <f>VLOOKUP($A45,survey_2yrs!A:B, 2)</f>
        <v>52</v>
      </c>
      <c r="E45">
        <f>VLOOKUP($A45,survey_2yrs!$A:C, 3)</f>
        <v>48</v>
      </c>
      <c r="F45">
        <f>VLOOKUP($A45,survey_2yrs!$A:D, 4)</f>
        <v>47.6</v>
      </c>
      <c r="G45">
        <f>_xlfn.XLOOKUP(A45,survey_2yrs!A:A,survey_2yrs!E:E)</f>
        <v>52.4</v>
      </c>
      <c r="H45">
        <f>_xlfn.XLOOKUP($A45,weather_2yrs!$A:$A,weather_2yrs!B:B)</f>
        <v>69.7</v>
      </c>
      <c r="I45">
        <f>_xlfn.XLOOKUP($A45,weather_2yrs!$A:$A,weather_2yrs!C:C)</f>
        <v>0</v>
      </c>
      <c r="J45">
        <f>_xlfn.XLOOKUP($A45,weather_2yrs!$A:$A,weather_2yrs!D:D)</f>
        <v>0</v>
      </c>
      <c r="K45">
        <f>_xlfn.XLOOKUP($A45,weather_2yrs!$A:$A,weather_2yrs!E:E)</f>
        <v>35</v>
      </c>
      <c r="L45">
        <f>_xlfn.XLOOKUP($A45,sales!$A:$A,sales!B:B)</f>
        <v>1</v>
      </c>
      <c r="M45" t="str">
        <f>_xlfn.XLOOKUP($A45,sales!$A:$A,sales!C:C)</f>
        <v>Miami Beach</v>
      </c>
      <c r="N45">
        <f>_xlfn.XLOOKUP($A45,sales!$A:$A,sales!D:D)</f>
        <v>234</v>
      </c>
      <c r="O45">
        <f>_xlfn.XLOOKUP($A45,sales!$A:$A,sales!E:E)</f>
        <v>4036.07</v>
      </c>
      <c r="P45" s="4">
        <f t="shared" si="2"/>
        <v>17.248162393162392</v>
      </c>
    </row>
    <row r="46" spans="1:16" x14ac:dyDescent="0.25">
      <c r="A46" s="1">
        <v>44971</v>
      </c>
      <c r="B46" s="1" t="str">
        <f t="shared" si="0"/>
        <v>Tuesday</v>
      </c>
      <c r="C46" s="1" t="b">
        <f t="shared" si="1"/>
        <v>0</v>
      </c>
      <c r="D46">
        <f>VLOOKUP($A46,survey_2yrs!A:B, 2)</f>
        <v>51.4</v>
      </c>
      <c r="E46">
        <f>VLOOKUP($A46,survey_2yrs!$A:C, 3)</f>
        <v>48.6</v>
      </c>
      <c r="F46">
        <f>VLOOKUP($A46,survey_2yrs!$A:D, 4)</f>
        <v>45.8</v>
      </c>
      <c r="G46">
        <f>_xlfn.XLOOKUP(A46,survey_2yrs!A:A,survey_2yrs!E:E)</f>
        <v>54.2</v>
      </c>
      <c r="H46">
        <f>_xlfn.XLOOKUP($A46,weather_2yrs!$A:$A,weather_2yrs!B:B)</f>
        <v>63.7</v>
      </c>
      <c r="I46">
        <f>_xlfn.XLOOKUP($A46,weather_2yrs!$A:$A,weather_2yrs!C:C)</f>
        <v>0</v>
      </c>
      <c r="J46">
        <f>_xlfn.XLOOKUP($A46,weather_2yrs!$A:$A,weather_2yrs!D:D)</f>
        <v>0</v>
      </c>
      <c r="K46">
        <f>_xlfn.XLOOKUP($A46,weather_2yrs!$A:$A,weather_2yrs!E:E)</f>
        <v>35</v>
      </c>
      <c r="L46">
        <f>_xlfn.XLOOKUP($A46,sales!$A:$A,sales!B:B)</f>
        <v>1</v>
      </c>
      <c r="M46" t="str">
        <f>_xlfn.XLOOKUP($A46,sales!$A:$A,sales!C:C)</f>
        <v>Miami Beach</v>
      </c>
      <c r="N46">
        <f>_xlfn.XLOOKUP($A46,sales!$A:$A,sales!D:D)</f>
        <v>201</v>
      </c>
      <c r="O46">
        <f>_xlfn.XLOOKUP($A46,sales!$A:$A,sales!E:E)</f>
        <v>3978.71</v>
      </c>
      <c r="P46" s="4">
        <f t="shared" si="2"/>
        <v>19.794577114427859</v>
      </c>
    </row>
    <row r="47" spans="1:16" x14ac:dyDescent="0.25">
      <c r="A47" s="1">
        <v>44972</v>
      </c>
      <c r="B47" s="1" t="str">
        <f t="shared" si="0"/>
        <v>Wednesday</v>
      </c>
      <c r="C47" s="1" t="b">
        <f t="shared" si="1"/>
        <v>0</v>
      </c>
      <c r="D47">
        <f>VLOOKUP($A47,survey_2yrs!A:B, 2)</f>
        <v>52.4</v>
      </c>
      <c r="E47">
        <f>VLOOKUP($A47,survey_2yrs!$A:C, 3)</f>
        <v>47.6</v>
      </c>
      <c r="F47">
        <f>VLOOKUP($A47,survey_2yrs!$A:D, 4)</f>
        <v>47.6</v>
      </c>
      <c r="G47">
        <f>_xlfn.XLOOKUP(A47,survey_2yrs!A:A,survey_2yrs!E:E)</f>
        <v>52.4</v>
      </c>
      <c r="H47">
        <f>_xlfn.XLOOKUP($A47,weather_2yrs!$A:$A,weather_2yrs!B:B)</f>
        <v>59.8</v>
      </c>
      <c r="I47">
        <f>_xlfn.XLOOKUP($A47,weather_2yrs!$A:$A,weather_2yrs!C:C)</f>
        <v>0</v>
      </c>
      <c r="J47">
        <f>_xlfn.XLOOKUP($A47,weather_2yrs!$A:$A,weather_2yrs!D:D)</f>
        <v>0</v>
      </c>
      <c r="K47">
        <f>_xlfn.XLOOKUP($A47,weather_2yrs!$A:$A,weather_2yrs!E:E)</f>
        <v>35</v>
      </c>
      <c r="L47">
        <f>_xlfn.XLOOKUP($A47,sales!$A:$A,sales!B:B)</f>
        <v>1</v>
      </c>
      <c r="M47" t="str">
        <f>_xlfn.XLOOKUP($A47,sales!$A:$A,sales!C:C)</f>
        <v>Miami Beach</v>
      </c>
      <c r="N47">
        <f>_xlfn.XLOOKUP($A47,sales!$A:$A,sales!D:D)</f>
        <v>213</v>
      </c>
      <c r="O47">
        <f>_xlfn.XLOOKUP($A47,sales!$A:$A,sales!E:E)</f>
        <v>4020.09</v>
      </c>
      <c r="P47" s="4">
        <f t="shared" si="2"/>
        <v>18.873661971830987</v>
      </c>
    </row>
    <row r="48" spans="1:16" x14ac:dyDescent="0.25">
      <c r="A48" s="1">
        <v>44973</v>
      </c>
      <c r="B48" s="1" t="str">
        <f t="shared" si="0"/>
        <v>Thursday</v>
      </c>
      <c r="C48" s="1" t="b">
        <f t="shared" si="1"/>
        <v>0</v>
      </c>
      <c r="D48">
        <f>VLOOKUP($A48,survey_2yrs!A:B, 2)</f>
        <v>50.9</v>
      </c>
      <c r="E48">
        <f>VLOOKUP($A48,survey_2yrs!$A:C, 3)</f>
        <v>49.1</v>
      </c>
      <c r="F48">
        <f>VLOOKUP($A48,survey_2yrs!$A:D, 4)</f>
        <v>45.8</v>
      </c>
      <c r="G48">
        <f>_xlfn.XLOOKUP(A48,survey_2yrs!A:A,survey_2yrs!E:E)</f>
        <v>54.2</v>
      </c>
      <c r="H48">
        <f>_xlfn.XLOOKUP($A48,weather_2yrs!$A:$A,weather_2yrs!B:B)</f>
        <v>69.400000000000006</v>
      </c>
      <c r="I48">
        <f>_xlfn.XLOOKUP($A48,weather_2yrs!$A:$A,weather_2yrs!C:C)</f>
        <v>0.8</v>
      </c>
      <c r="J48">
        <f>_xlfn.XLOOKUP($A48,weather_2yrs!$A:$A,weather_2yrs!D:D)</f>
        <v>1</v>
      </c>
      <c r="K48">
        <f>_xlfn.XLOOKUP($A48,weather_2yrs!$A:$A,weather_2yrs!E:E)</f>
        <v>37.1</v>
      </c>
      <c r="L48">
        <f>_xlfn.XLOOKUP($A48,sales!$A:$A,sales!B:B)</f>
        <v>1</v>
      </c>
      <c r="M48" t="str">
        <f>_xlfn.XLOOKUP($A48,sales!$A:$A,sales!C:C)</f>
        <v>Miami Beach</v>
      </c>
      <c r="N48">
        <f>_xlfn.XLOOKUP($A48,sales!$A:$A,sales!D:D)</f>
        <v>229</v>
      </c>
      <c r="O48">
        <f>_xlfn.XLOOKUP($A48,sales!$A:$A,sales!E:E)</f>
        <v>4289.53</v>
      </c>
      <c r="P48" s="4">
        <f t="shared" si="2"/>
        <v>18.731572052401745</v>
      </c>
    </row>
    <row r="49" spans="1:16" x14ac:dyDescent="0.25">
      <c r="A49" s="1">
        <v>44974</v>
      </c>
      <c r="B49" s="1" t="str">
        <f t="shared" si="0"/>
        <v>Friday</v>
      </c>
      <c r="C49" s="1" t="b">
        <f t="shared" si="1"/>
        <v>0</v>
      </c>
      <c r="D49">
        <f>VLOOKUP($A49,survey_2yrs!A:B, 2)</f>
        <v>52.5</v>
      </c>
      <c r="E49">
        <f>VLOOKUP($A49,survey_2yrs!$A:C, 3)</f>
        <v>47.5</v>
      </c>
      <c r="F49">
        <f>VLOOKUP($A49,survey_2yrs!$A:D, 4)</f>
        <v>45.9</v>
      </c>
      <c r="G49">
        <f>_xlfn.XLOOKUP(A49,survey_2yrs!A:A,survey_2yrs!E:E)</f>
        <v>54.1</v>
      </c>
      <c r="H49">
        <f>_xlfn.XLOOKUP($A49,weather_2yrs!$A:$A,weather_2yrs!B:B)</f>
        <v>59.8</v>
      </c>
      <c r="I49">
        <f>_xlfn.XLOOKUP($A49,weather_2yrs!$A:$A,weather_2yrs!C:C)</f>
        <v>0</v>
      </c>
      <c r="J49">
        <f>_xlfn.XLOOKUP($A49,weather_2yrs!$A:$A,weather_2yrs!D:D)</f>
        <v>0</v>
      </c>
      <c r="K49">
        <f>_xlfn.XLOOKUP($A49,weather_2yrs!$A:$A,weather_2yrs!E:E)</f>
        <v>37.200000000000003</v>
      </c>
      <c r="L49">
        <f>_xlfn.XLOOKUP($A49,sales!$A:$A,sales!B:B)</f>
        <v>1</v>
      </c>
      <c r="M49" t="str">
        <f>_xlfn.XLOOKUP($A49,sales!$A:$A,sales!C:C)</f>
        <v>Miami Beach</v>
      </c>
      <c r="N49">
        <f>_xlfn.XLOOKUP($A49,sales!$A:$A,sales!D:D)</f>
        <v>219</v>
      </c>
      <c r="O49">
        <f>_xlfn.XLOOKUP($A49,sales!$A:$A,sales!E:E)</f>
        <v>4180.9399999999996</v>
      </c>
      <c r="P49" s="4">
        <f t="shared" si="2"/>
        <v>19.0910502283105</v>
      </c>
    </row>
    <row r="50" spans="1:16" x14ac:dyDescent="0.25">
      <c r="A50" s="1">
        <v>44975</v>
      </c>
      <c r="B50" s="1" t="str">
        <f t="shared" si="0"/>
        <v>Saturday</v>
      </c>
      <c r="C50" s="1" t="b">
        <f t="shared" si="1"/>
        <v>1</v>
      </c>
      <c r="D50">
        <f>VLOOKUP($A50,survey_2yrs!A:B, 2)</f>
        <v>52.4</v>
      </c>
      <c r="E50">
        <f>VLOOKUP($A50,survey_2yrs!$A:C, 3)</f>
        <v>47.6</v>
      </c>
      <c r="F50">
        <f>VLOOKUP($A50,survey_2yrs!$A:D, 4)</f>
        <v>52</v>
      </c>
      <c r="G50">
        <f>_xlfn.XLOOKUP(A50,survey_2yrs!A:A,survey_2yrs!E:E)</f>
        <v>48</v>
      </c>
      <c r="H50">
        <f>_xlfn.XLOOKUP($A50,weather_2yrs!$A:$A,weather_2yrs!B:B)</f>
        <v>73.5</v>
      </c>
      <c r="I50">
        <f>_xlfn.XLOOKUP($A50,weather_2yrs!$A:$A,weather_2yrs!C:C)</f>
        <v>0</v>
      </c>
      <c r="J50">
        <f>_xlfn.XLOOKUP($A50,weather_2yrs!$A:$A,weather_2yrs!D:D)</f>
        <v>0</v>
      </c>
      <c r="K50">
        <f>_xlfn.XLOOKUP($A50,weather_2yrs!$A:$A,weather_2yrs!E:E)</f>
        <v>35</v>
      </c>
      <c r="L50">
        <f>_xlfn.XLOOKUP($A50,sales!$A:$A,sales!B:B)</f>
        <v>1</v>
      </c>
      <c r="M50" t="str">
        <f>_xlfn.XLOOKUP($A50,sales!$A:$A,sales!C:C)</f>
        <v>Miami Beach</v>
      </c>
      <c r="N50">
        <f>_xlfn.XLOOKUP($A50,sales!$A:$A,sales!D:D)</f>
        <v>255</v>
      </c>
      <c r="O50">
        <f>_xlfn.XLOOKUP($A50,sales!$A:$A,sales!E:E)</f>
        <v>5175.76</v>
      </c>
      <c r="P50" s="4">
        <f t="shared" si="2"/>
        <v>20.297098039215687</v>
      </c>
    </row>
    <row r="51" spans="1:16" x14ac:dyDescent="0.25">
      <c r="A51" s="1">
        <v>44976</v>
      </c>
      <c r="B51" s="1" t="str">
        <f t="shared" si="0"/>
        <v>Sunday</v>
      </c>
      <c r="C51" s="1" t="b">
        <f t="shared" si="1"/>
        <v>1</v>
      </c>
      <c r="D51">
        <f>VLOOKUP($A51,survey_2yrs!A:B, 2)</f>
        <v>52.1</v>
      </c>
      <c r="E51">
        <f>VLOOKUP($A51,survey_2yrs!$A:C, 3)</f>
        <v>47.9</v>
      </c>
      <c r="F51">
        <f>VLOOKUP($A51,survey_2yrs!$A:D, 4)</f>
        <v>53.8</v>
      </c>
      <c r="G51">
        <f>_xlfn.XLOOKUP(A51,survey_2yrs!A:A,survey_2yrs!E:E)</f>
        <v>46.2</v>
      </c>
      <c r="H51">
        <f>_xlfn.XLOOKUP($A51,weather_2yrs!$A:$A,weather_2yrs!B:B)</f>
        <v>67.8</v>
      </c>
      <c r="I51">
        <f>_xlfn.XLOOKUP($A51,weather_2yrs!$A:$A,weather_2yrs!C:C)</f>
        <v>0</v>
      </c>
      <c r="J51">
        <f>_xlfn.XLOOKUP($A51,weather_2yrs!$A:$A,weather_2yrs!D:D)</f>
        <v>0</v>
      </c>
      <c r="K51">
        <f>_xlfn.XLOOKUP($A51,weather_2yrs!$A:$A,weather_2yrs!E:E)</f>
        <v>35.200000000000003</v>
      </c>
      <c r="L51">
        <f>_xlfn.XLOOKUP($A51,sales!$A:$A,sales!B:B)</f>
        <v>1</v>
      </c>
      <c r="M51" t="str">
        <f>_xlfn.XLOOKUP($A51,sales!$A:$A,sales!C:C)</f>
        <v>Miami Beach</v>
      </c>
      <c r="N51">
        <f>_xlfn.XLOOKUP($A51,sales!$A:$A,sales!D:D)</f>
        <v>252</v>
      </c>
      <c r="O51">
        <f>_xlfn.XLOOKUP($A51,sales!$A:$A,sales!E:E)</f>
        <v>4562.8599999999997</v>
      </c>
      <c r="P51" s="4">
        <f t="shared" si="2"/>
        <v>18.1065873015873</v>
      </c>
    </row>
    <row r="52" spans="1:16" x14ac:dyDescent="0.25">
      <c r="A52" s="1">
        <v>44977</v>
      </c>
      <c r="B52" s="1" t="str">
        <f t="shared" si="0"/>
        <v>Monday</v>
      </c>
      <c r="C52" s="1" t="b">
        <f t="shared" si="1"/>
        <v>0</v>
      </c>
      <c r="D52">
        <f>VLOOKUP($A52,survey_2yrs!A:B, 2)</f>
        <v>51.8</v>
      </c>
      <c r="E52">
        <f>VLOOKUP($A52,survey_2yrs!$A:C, 3)</f>
        <v>48.2</v>
      </c>
      <c r="F52">
        <f>VLOOKUP($A52,survey_2yrs!$A:D, 4)</f>
        <v>47.9</v>
      </c>
      <c r="G52">
        <f>_xlfn.XLOOKUP(A52,survey_2yrs!A:A,survey_2yrs!E:E)</f>
        <v>52.1</v>
      </c>
      <c r="H52">
        <f>_xlfn.XLOOKUP($A52,weather_2yrs!$A:$A,weather_2yrs!B:B)</f>
        <v>70.900000000000006</v>
      </c>
      <c r="I52">
        <f>_xlfn.XLOOKUP($A52,weather_2yrs!$A:$A,weather_2yrs!C:C)</f>
        <v>0.32</v>
      </c>
      <c r="J52">
        <f>_xlfn.XLOOKUP($A52,weather_2yrs!$A:$A,weather_2yrs!D:D)</f>
        <v>1</v>
      </c>
      <c r="K52">
        <f>_xlfn.XLOOKUP($A52,weather_2yrs!$A:$A,weather_2yrs!E:E)</f>
        <v>35.9</v>
      </c>
      <c r="L52">
        <f>_xlfn.XLOOKUP($A52,sales!$A:$A,sales!B:B)</f>
        <v>1</v>
      </c>
      <c r="M52" t="str">
        <f>_xlfn.XLOOKUP($A52,sales!$A:$A,sales!C:C)</f>
        <v>Miami Beach</v>
      </c>
      <c r="N52">
        <f>_xlfn.XLOOKUP($A52,sales!$A:$A,sales!D:D)</f>
        <v>213</v>
      </c>
      <c r="O52">
        <f>_xlfn.XLOOKUP($A52,sales!$A:$A,sales!E:E)</f>
        <v>4157.8999999999996</v>
      </c>
      <c r="P52" s="4">
        <f t="shared" si="2"/>
        <v>19.520657276995305</v>
      </c>
    </row>
    <row r="53" spans="1:16" x14ac:dyDescent="0.25">
      <c r="A53" s="1">
        <v>44978</v>
      </c>
      <c r="B53" s="1" t="str">
        <f t="shared" si="0"/>
        <v>Tuesday</v>
      </c>
      <c r="C53" s="1" t="b">
        <f t="shared" si="1"/>
        <v>0</v>
      </c>
      <c r="D53">
        <f>VLOOKUP($A53,survey_2yrs!A:B, 2)</f>
        <v>50.7</v>
      </c>
      <c r="E53">
        <f>VLOOKUP($A53,survey_2yrs!$A:C, 3)</f>
        <v>49.3</v>
      </c>
      <c r="F53">
        <f>VLOOKUP($A53,survey_2yrs!$A:D, 4)</f>
        <v>46.5</v>
      </c>
      <c r="G53">
        <f>_xlfn.XLOOKUP(A53,survey_2yrs!A:A,survey_2yrs!E:E)</f>
        <v>53.5</v>
      </c>
      <c r="H53">
        <f>_xlfn.XLOOKUP($A53,weather_2yrs!$A:$A,weather_2yrs!B:B)</f>
        <v>69.5</v>
      </c>
      <c r="I53">
        <f>_xlfn.XLOOKUP($A53,weather_2yrs!$A:$A,weather_2yrs!C:C)</f>
        <v>0.59</v>
      </c>
      <c r="J53">
        <f>_xlfn.XLOOKUP($A53,weather_2yrs!$A:$A,weather_2yrs!D:D)</f>
        <v>1</v>
      </c>
      <c r="K53">
        <f>_xlfn.XLOOKUP($A53,weather_2yrs!$A:$A,weather_2yrs!E:E)</f>
        <v>35</v>
      </c>
      <c r="L53">
        <f>_xlfn.XLOOKUP($A53,sales!$A:$A,sales!B:B)</f>
        <v>1</v>
      </c>
      <c r="M53" t="str">
        <f>_xlfn.XLOOKUP($A53,sales!$A:$A,sales!C:C)</f>
        <v>Miami Beach</v>
      </c>
      <c r="N53">
        <f>_xlfn.XLOOKUP($A53,sales!$A:$A,sales!D:D)</f>
        <v>193</v>
      </c>
      <c r="O53">
        <f>_xlfn.XLOOKUP($A53,sales!$A:$A,sales!E:E)</f>
        <v>3744.72</v>
      </c>
      <c r="P53" s="4">
        <f t="shared" si="2"/>
        <v>19.402694300518135</v>
      </c>
    </row>
    <row r="54" spans="1:16" x14ac:dyDescent="0.25">
      <c r="A54" s="1">
        <v>44979</v>
      </c>
      <c r="B54" s="1" t="str">
        <f t="shared" si="0"/>
        <v>Wednesday</v>
      </c>
      <c r="C54" s="1" t="b">
        <f t="shared" si="1"/>
        <v>0</v>
      </c>
      <c r="D54">
        <f>VLOOKUP($A54,survey_2yrs!A:B, 2)</f>
        <v>50.3</v>
      </c>
      <c r="E54">
        <f>VLOOKUP($A54,survey_2yrs!$A:C, 3)</f>
        <v>49.7</v>
      </c>
      <c r="F54">
        <f>VLOOKUP($A54,survey_2yrs!$A:D, 4)</f>
        <v>46.2</v>
      </c>
      <c r="G54">
        <f>_xlfn.XLOOKUP(A54,survey_2yrs!A:A,survey_2yrs!E:E)</f>
        <v>53.8</v>
      </c>
      <c r="H54">
        <f>_xlfn.XLOOKUP($A54,weather_2yrs!$A:$A,weather_2yrs!B:B)</f>
        <v>69.5</v>
      </c>
      <c r="I54">
        <f>_xlfn.XLOOKUP($A54,weather_2yrs!$A:$A,weather_2yrs!C:C)</f>
        <v>0</v>
      </c>
      <c r="J54">
        <f>_xlfn.XLOOKUP($A54,weather_2yrs!$A:$A,weather_2yrs!D:D)</f>
        <v>0</v>
      </c>
      <c r="K54">
        <f>_xlfn.XLOOKUP($A54,weather_2yrs!$A:$A,weather_2yrs!E:E)</f>
        <v>38.6</v>
      </c>
      <c r="L54">
        <f>_xlfn.XLOOKUP($A54,sales!$A:$A,sales!B:B)</f>
        <v>1</v>
      </c>
      <c r="M54" t="str">
        <f>_xlfn.XLOOKUP($A54,sales!$A:$A,sales!C:C)</f>
        <v>Miami Beach</v>
      </c>
      <c r="N54">
        <f>_xlfn.XLOOKUP($A54,sales!$A:$A,sales!D:D)</f>
        <v>253</v>
      </c>
      <c r="O54">
        <f>_xlfn.XLOOKUP($A54,sales!$A:$A,sales!E:E)</f>
        <v>4481.76</v>
      </c>
      <c r="P54" s="4">
        <f t="shared" si="2"/>
        <v>17.714466403162056</v>
      </c>
    </row>
    <row r="55" spans="1:16" x14ac:dyDescent="0.25">
      <c r="A55" s="1">
        <v>44980</v>
      </c>
      <c r="B55" s="1" t="str">
        <f t="shared" si="0"/>
        <v>Thursday</v>
      </c>
      <c r="C55" s="1" t="b">
        <f t="shared" si="1"/>
        <v>0</v>
      </c>
      <c r="D55">
        <f>VLOOKUP($A55,survey_2yrs!A:B, 2)</f>
        <v>50.8</v>
      </c>
      <c r="E55">
        <f>VLOOKUP($A55,survey_2yrs!$A:C, 3)</f>
        <v>49.2</v>
      </c>
      <c r="F55">
        <f>VLOOKUP($A55,survey_2yrs!$A:D, 4)</f>
        <v>46.6</v>
      </c>
      <c r="G55">
        <f>_xlfn.XLOOKUP(A55,survey_2yrs!A:A,survey_2yrs!E:E)</f>
        <v>53.4</v>
      </c>
      <c r="H55">
        <f>_xlfn.XLOOKUP($A55,weather_2yrs!$A:$A,weather_2yrs!B:B)</f>
        <v>67.8</v>
      </c>
      <c r="I55">
        <f>_xlfn.XLOOKUP($A55,weather_2yrs!$A:$A,weather_2yrs!C:C)</f>
        <v>0</v>
      </c>
      <c r="J55">
        <f>_xlfn.XLOOKUP($A55,weather_2yrs!$A:$A,weather_2yrs!D:D)</f>
        <v>0</v>
      </c>
      <c r="K55">
        <f>_xlfn.XLOOKUP($A55,weather_2yrs!$A:$A,weather_2yrs!E:E)</f>
        <v>35</v>
      </c>
      <c r="L55">
        <f>_xlfn.XLOOKUP($A55,sales!$A:$A,sales!B:B)</f>
        <v>1</v>
      </c>
      <c r="M55" t="str">
        <f>_xlfn.XLOOKUP($A55,sales!$A:$A,sales!C:C)</f>
        <v>Miami Beach</v>
      </c>
      <c r="N55">
        <f>_xlfn.XLOOKUP($A55,sales!$A:$A,sales!D:D)</f>
        <v>227</v>
      </c>
      <c r="O55">
        <f>_xlfn.XLOOKUP($A55,sales!$A:$A,sales!E:E)</f>
        <v>4303.09</v>
      </c>
      <c r="P55" s="4">
        <f t="shared" si="2"/>
        <v>18.956343612334802</v>
      </c>
    </row>
    <row r="56" spans="1:16" x14ac:dyDescent="0.25">
      <c r="A56" s="1">
        <v>44981</v>
      </c>
      <c r="B56" s="1" t="str">
        <f t="shared" si="0"/>
        <v>Friday</v>
      </c>
      <c r="C56" s="1" t="b">
        <f t="shared" si="1"/>
        <v>0</v>
      </c>
      <c r="D56">
        <f>VLOOKUP($A56,survey_2yrs!A:B, 2)</f>
        <v>52.5</v>
      </c>
      <c r="E56">
        <f>VLOOKUP($A56,survey_2yrs!$A:C, 3)</f>
        <v>47.5</v>
      </c>
      <c r="F56">
        <f>VLOOKUP($A56,survey_2yrs!$A:D, 4)</f>
        <v>46.6</v>
      </c>
      <c r="G56">
        <f>_xlfn.XLOOKUP(A56,survey_2yrs!A:A,survey_2yrs!E:E)</f>
        <v>53.4</v>
      </c>
      <c r="H56">
        <f>_xlfn.XLOOKUP($A56,weather_2yrs!$A:$A,weather_2yrs!B:B)</f>
        <v>55.5</v>
      </c>
      <c r="I56">
        <f>_xlfn.XLOOKUP($A56,weather_2yrs!$A:$A,weather_2yrs!C:C)</f>
        <v>0</v>
      </c>
      <c r="J56">
        <f>_xlfn.XLOOKUP($A56,weather_2yrs!$A:$A,weather_2yrs!D:D)</f>
        <v>0</v>
      </c>
      <c r="K56">
        <f>_xlfn.XLOOKUP($A56,weather_2yrs!$A:$A,weather_2yrs!E:E)</f>
        <v>37.6</v>
      </c>
      <c r="L56">
        <f>_xlfn.XLOOKUP($A56,sales!$A:$A,sales!B:B)</f>
        <v>1</v>
      </c>
      <c r="M56" t="str">
        <f>_xlfn.XLOOKUP($A56,sales!$A:$A,sales!C:C)</f>
        <v>Miami Beach</v>
      </c>
      <c r="N56">
        <f>_xlfn.XLOOKUP($A56,sales!$A:$A,sales!D:D)</f>
        <v>230</v>
      </c>
      <c r="O56">
        <f>_xlfn.XLOOKUP($A56,sales!$A:$A,sales!E:E)</f>
        <v>4161.1099999999997</v>
      </c>
      <c r="P56" s="4">
        <f t="shared" si="2"/>
        <v>18.091782608695652</v>
      </c>
    </row>
    <row r="57" spans="1:16" x14ac:dyDescent="0.25">
      <c r="A57" s="1">
        <v>44982</v>
      </c>
      <c r="B57" s="1" t="str">
        <f t="shared" si="0"/>
        <v>Saturday</v>
      </c>
      <c r="C57" s="1" t="b">
        <f t="shared" si="1"/>
        <v>1</v>
      </c>
      <c r="D57">
        <f>VLOOKUP($A57,survey_2yrs!A:B, 2)</f>
        <v>50.5</v>
      </c>
      <c r="E57">
        <f>VLOOKUP($A57,survey_2yrs!$A:C, 3)</f>
        <v>49.5</v>
      </c>
      <c r="F57">
        <f>VLOOKUP($A57,survey_2yrs!$A:D, 4)</f>
        <v>54.2</v>
      </c>
      <c r="G57">
        <f>_xlfn.XLOOKUP(A57,survey_2yrs!A:A,survey_2yrs!E:E)</f>
        <v>45.8</v>
      </c>
      <c r="H57">
        <f>_xlfn.XLOOKUP($A57,weather_2yrs!$A:$A,weather_2yrs!B:B)</f>
        <v>62.7</v>
      </c>
      <c r="I57">
        <f>_xlfn.XLOOKUP($A57,weather_2yrs!$A:$A,weather_2yrs!C:C)</f>
        <v>0.24</v>
      </c>
      <c r="J57">
        <f>_xlfn.XLOOKUP($A57,weather_2yrs!$A:$A,weather_2yrs!D:D)</f>
        <v>1</v>
      </c>
      <c r="K57">
        <f>_xlfn.XLOOKUP($A57,weather_2yrs!$A:$A,weather_2yrs!E:E)</f>
        <v>35.200000000000003</v>
      </c>
      <c r="L57">
        <f>_xlfn.XLOOKUP($A57,sales!$A:$A,sales!B:B)</f>
        <v>1</v>
      </c>
      <c r="M57" t="str">
        <f>_xlfn.XLOOKUP($A57,sales!$A:$A,sales!C:C)</f>
        <v>Miami Beach</v>
      </c>
      <c r="N57">
        <f>_xlfn.XLOOKUP($A57,sales!$A:$A,sales!D:D)</f>
        <v>249</v>
      </c>
      <c r="O57">
        <f>_xlfn.XLOOKUP($A57,sales!$A:$A,sales!E:E)</f>
        <v>4847.5600000000004</v>
      </c>
      <c r="P57" s="4">
        <f t="shared" si="2"/>
        <v>19.468112449799197</v>
      </c>
    </row>
    <row r="58" spans="1:16" x14ac:dyDescent="0.25">
      <c r="A58" s="1">
        <v>44983</v>
      </c>
      <c r="B58" s="1" t="str">
        <f t="shared" si="0"/>
        <v>Sunday</v>
      </c>
      <c r="C58" s="1" t="b">
        <f t="shared" si="1"/>
        <v>1</v>
      </c>
      <c r="D58">
        <f>VLOOKUP($A58,survey_2yrs!A:B, 2)</f>
        <v>50.6</v>
      </c>
      <c r="E58">
        <f>VLOOKUP($A58,survey_2yrs!$A:C, 3)</f>
        <v>49.4</v>
      </c>
      <c r="F58">
        <f>VLOOKUP($A58,survey_2yrs!$A:D, 4)</f>
        <v>51.7</v>
      </c>
      <c r="G58">
        <f>_xlfn.XLOOKUP(A58,survey_2yrs!A:A,survey_2yrs!E:E)</f>
        <v>48.3</v>
      </c>
      <c r="H58">
        <f>_xlfn.XLOOKUP($A58,weather_2yrs!$A:$A,weather_2yrs!B:B)</f>
        <v>71.8</v>
      </c>
      <c r="I58">
        <f>_xlfn.XLOOKUP($A58,weather_2yrs!$A:$A,weather_2yrs!C:C)</f>
        <v>0</v>
      </c>
      <c r="J58">
        <f>_xlfn.XLOOKUP($A58,weather_2yrs!$A:$A,weather_2yrs!D:D)</f>
        <v>0</v>
      </c>
      <c r="K58">
        <f>_xlfn.XLOOKUP($A58,weather_2yrs!$A:$A,weather_2yrs!E:E)</f>
        <v>41.9</v>
      </c>
      <c r="L58">
        <f>_xlfn.XLOOKUP($A58,sales!$A:$A,sales!B:B)</f>
        <v>1</v>
      </c>
      <c r="M58" t="str">
        <f>_xlfn.XLOOKUP($A58,sales!$A:$A,sales!C:C)</f>
        <v>Miami Beach</v>
      </c>
      <c r="N58">
        <f>_xlfn.XLOOKUP($A58,sales!$A:$A,sales!D:D)</f>
        <v>269</v>
      </c>
      <c r="O58">
        <f>_xlfn.XLOOKUP($A58,sales!$A:$A,sales!E:E)</f>
        <v>5138.28</v>
      </c>
      <c r="P58" s="4">
        <f t="shared" si="2"/>
        <v>19.101412639405204</v>
      </c>
    </row>
    <row r="59" spans="1:16" x14ac:dyDescent="0.25">
      <c r="A59" s="1">
        <v>44984</v>
      </c>
      <c r="B59" s="1" t="str">
        <f t="shared" si="0"/>
        <v>Monday</v>
      </c>
      <c r="C59" s="1" t="b">
        <f t="shared" si="1"/>
        <v>0</v>
      </c>
      <c r="D59">
        <f>VLOOKUP($A59,survey_2yrs!A:B, 2)</f>
        <v>53.1</v>
      </c>
      <c r="E59">
        <f>VLOOKUP($A59,survey_2yrs!$A:C, 3)</f>
        <v>46.9</v>
      </c>
      <c r="F59">
        <f>VLOOKUP($A59,survey_2yrs!$A:D, 4)</f>
        <v>48.7</v>
      </c>
      <c r="G59">
        <f>_xlfn.XLOOKUP(A59,survey_2yrs!A:A,survey_2yrs!E:E)</f>
        <v>51.3</v>
      </c>
      <c r="H59">
        <f>_xlfn.XLOOKUP($A59,weather_2yrs!$A:$A,weather_2yrs!B:B)</f>
        <v>61.3</v>
      </c>
      <c r="I59">
        <f>_xlfn.XLOOKUP($A59,weather_2yrs!$A:$A,weather_2yrs!C:C)</f>
        <v>0</v>
      </c>
      <c r="J59">
        <f>_xlfn.XLOOKUP($A59,weather_2yrs!$A:$A,weather_2yrs!D:D)</f>
        <v>0</v>
      </c>
      <c r="K59">
        <f>_xlfn.XLOOKUP($A59,weather_2yrs!$A:$A,weather_2yrs!E:E)</f>
        <v>39.1</v>
      </c>
      <c r="L59">
        <f>_xlfn.XLOOKUP($A59,sales!$A:$A,sales!B:B)</f>
        <v>1</v>
      </c>
      <c r="M59" t="str">
        <f>_xlfn.XLOOKUP($A59,sales!$A:$A,sales!C:C)</f>
        <v>Miami Beach</v>
      </c>
      <c r="N59">
        <f>_xlfn.XLOOKUP($A59,sales!$A:$A,sales!D:D)</f>
        <v>240</v>
      </c>
      <c r="O59">
        <f>_xlfn.XLOOKUP($A59,sales!$A:$A,sales!E:E)</f>
        <v>4782.3599999999997</v>
      </c>
      <c r="P59" s="4">
        <f t="shared" si="2"/>
        <v>19.926499999999997</v>
      </c>
    </row>
    <row r="60" spans="1:16" x14ac:dyDescent="0.25">
      <c r="A60" s="1">
        <v>44985</v>
      </c>
      <c r="B60" s="1" t="str">
        <f t="shared" si="0"/>
        <v>Tuesday</v>
      </c>
      <c r="C60" s="1" t="b">
        <f t="shared" si="1"/>
        <v>0</v>
      </c>
      <c r="D60">
        <f>VLOOKUP($A60,survey_2yrs!A:B, 2)</f>
        <v>50.3</v>
      </c>
      <c r="E60">
        <f>VLOOKUP($A60,survey_2yrs!$A:C, 3)</f>
        <v>49.7</v>
      </c>
      <c r="F60">
        <f>VLOOKUP($A60,survey_2yrs!$A:D, 4)</f>
        <v>47.1</v>
      </c>
      <c r="G60">
        <f>_xlfn.XLOOKUP(A60,survey_2yrs!A:A,survey_2yrs!E:E)</f>
        <v>52.9</v>
      </c>
      <c r="H60">
        <f>_xlfn.XLOOKUP($A60,weather_2yrs!$A:$A,weather_2yrs!B:B)</f>
        <v>65.8</v>
      </c>
      <c r="I60">
        <f>_xlfn.XLOOKUP($A60,weather_2yrs!$A:$A,weather_2yrs!C:C)</f>
        <v>0</v>
      </c>
      <c r="J60">
        <f>_xlfn.XLOOKUP($A60,weather_2yrs!$A:$A,weather_2yrs!D:D)</f>
        <v>0</v>
      </c>
      <c r="K60">
        <f>_xlfn.XLOOKUP($A60,weather_2yrs!$A:$A,weather_2yrs!E:E)</f>
        <v>35</v>
      </c>
      <c r="L60">
        <f>_xlfn.XLOOKUP($A60,sales!$A:$A,sales!B:B)</f>
        <v>1</v>
      </c>
      <c r="M60" t="str">
        <f>_xlfn.XLOOKUP($A60,sales!$A:$A,sales!C:C)</f>
        <v>Miami Beach</v>
      </c>
      <c r="N60">
        <f>_xlfn.XLOOKUP($A60,sales!$A:$A,sales!D:D)</f>
        <v>247</v>
      </c>
      <c r="O60">
        <f>_xlfn.XLOOKUP($A60,sales!$A:$A,sales!E:E)</f>
        <v>4942.8</v>
      </c>
      <c r="P60" s="4">
        <f t="shared" si="2"/>
        <v>20.011336032388666</v>
      </c>
    </row>
    <row r="61" spans="1:16" x14ac:dyDescent="0.25">
      <c r="A61" s="1">
        <v>44986</v>
      </c>
      <c r="B61" s="1" t="str">
        <f t="shared" si="0"/>
        <v>Wednesday</v>
      </c>
      <c r="C61" s="1" t="b">
        <f t="shared" si="1"/>
        <v>0</v>
      </c>
      <c r="D61">
        <f>VLOOKUP($A61,survey_2yrs!A:B, 2)</f>
        <v>52.8</v>
      </c>
      <c r="E61">
        <f>VLOOKUP($A61,survey_2yrs!$A:C, 3)</f>
        <v>47.2</v>
      </c>
      <c r="F61">
        <f>VLOOKUP($A61,survey_2yrs!$A:D, 4)</f>
        <v>45.3</v>
      </c>
      <c r="G61">
        <f>_xlfn.XLOOKUP(A61,survey_2yrs!A:A,survey_2yrs!E:E)</f>
        <v>54.7</v>
      </c>
      <c r="H61">
        <f>_xlfn.XLOOKUP($A61,weather_2yrs!$A:$A,weather_2yrs!B:B)</f>
        <v>71.3</v>
      </c>
      <c r="I61">
        <f>_xlfn.XLOOKUP($A61,weather_2yrs!$A:$A,weather_2yrs!C:C)</f>
        <v>0.09</v>
      </c>
      <c r="J61">
        <f>_xlfn.XLOOKUP($A61,weather_2yrs!$A:$A,weather_2yrs!D:D)</f>
        <v>1</v>
      </c>
      <c r="K61">
        <f>_xlfn.XLOOKUP($A61,weather_2yrs!$A:$A,weather_2yrs!E:E)</f>
        <v>35</v>
      </c>
      <c r="L61">
        <f>_xlfn.XLOOKUP($A61,sales!$A:$A,sales!B:B)</f>
        <v>1</v>
      </c>
      <c r="M61" t="str">
        <f>_xlfn.XLOOKUP($A61,sales!$A:$A,sales!C:C)</f>
        <v>Miami Beach</v>
      </c>
      <c r="N61">
        <f>_xlfn.XLOOKUP($A61,sales!$A:$A,sales!D:D)</f>
        <v>218</v>
      </c>
      <c r="O61">
        <f>_xlfn.XLOOKUP($A61,sales!$A:$A,sales!E:E)</f>
        <v>3964.72</v>
      </c>
      <c r="P61" s="4">
        <f t="shared" si="2"/>
        <v>18.186788990825686</v>
      </c>
    </row>
    <row r="62" spans="1:16" x14ac:dyDescent="0.25">
      <c r="A62" s="1">
        <v>44987</v>
      </c>
      <c r="B62" s="1" t="str">
        <f t="shared" si="0"/>
        <v>Thursday</v>
      </c>
      <c r="C62" s="1" t="b">
        <f t="shared" si="1"/>
        <v>0</v>
      </c>
      <c r="D62">
        <f>VLOOKUP($A62,survey_2yrs!A:B, 2)</f>
        <v>50.9</v>
      </c>
      <c r="E62">
        <f>VLOOKUP($A62,survey_2yrs!$A:C, 3)</f>
        <v>49.1</v>
      </c>
      <c r="F62">
        <f>VLOOKUP($A62,survey_2yrs!$A:D, 4)</f>
        <v>46.8</v>
      </c>
      <c r="G62">
        <f>_xlfn.XLOOKUP(A62,survey_2yrs!A:A,survey_2yrs!E:E)</f>
        <v>53.2</v>
      </c>
      <c r="H62">
        <f>_xlfn.XLOOKUP($A62,weather_2yrs!$A:$A,weather_2yrs!B:B)</f>
        <v>65.599999999999994</v>
      </c>
      <c r="I62">
        <f>_xlfn.XLOOKUP($A62,weather_2yrs!$A:$A,weather_2yrs!C:C)</f>
        <v>0</v>
      </c>
      <c r="J62">
        <f>_xlfn.XLOOKUP($A62,weather_2yrs!$A:$A,weather_2yrs!D:D)</f>
        <v>0</v>
      </c>
      <c r="K62">
        <f>_xlfn.XLOOKUP($A62,weather_2yrs!$A:$A,weather_2yrs!E:E)</f>
        <v>37.200000000000003</v>
      </c>
      <c r="L62">
        <f>_xlfn.XLOOKUP($A62,sales!$A:$A,sales!B:B)</f>
        <v>1</v>
      </c>
      <c r="M62" t="str">
        <f>_xlfn.XLOOKUP($A62,sales!$A:$A,sales!C:C)</f>
        <v>Miami Beach</v>
      </c>
      <c r="N62">
        <f>_xlfn.XLOOKUP($A62,sales!$A:$A,sales!D:D)</f>
        <v>186</v>
      </c>
      <c r="O62">
        <f>_xlfn.XLOOKUP($A62,sales!$A:$A,sales!E:E)</f>
        <v>3161.3</v>
      </c>
      <c r="P62" s="4">
        <f t="shared" si="2"/>
        <v>16.996236559139785</v>
      </c>
    </row>
    <row r="63" spans="1:16" x14ac:dyDescent="0.25">
      <c r="A63" s="1">
        <v>44988</v>
      </c>
      <c r="B63" s="1" t="str">
        <f t="shared" si="0"/>
        <v>Friday</v>
      </c>
      <c r="C63" s="1" t="b">
        <f t="shared" si="1"/>
        <v>0</v>
      </c>
      <c r="D63">
        <f>VLOOKUP($A63,survey_2yrs!A:B, 2)</f>
        <v>51</v>
      </c>
      <c r="E63">
        <f>VLOOKUP($A63,survey_2yrs!$A:C, 3)</f>
        <v>49</v>
      </c>
      <c r="F63">
        <f>VLOOKUP($A63,survey_2yrs!$A:D, 4)</f>
        <v>46.8</v>
      </c>
      <c r="G63">
        <f>_xlfn.XLOOKUP(A63,survey_2yrs!A:A,survey_2yrs!E:E)</f>
        <v>53.2</v>
      </c>
      <c r="H63">
        <f>_xlfn.XLOOKUP($A63,weather_2yrs!$A:$A,weather_2yrs!B:B)</f>
        <v>66.900000000000006</v>
      </c>
      <c r="I63">
        <f>_xlfn.XLOOKUP($A63,weather_2yrs!$A:$A,weather_2yrs!C:C)</f>
        <v>0</v>
      </c>
      <c r="J63">
        <f>_xlfn.XLOOKUP($A63,weather_2yrs!$A:$A,weather_2yrs!D:D)</f>
        <v>0</v>
      </c>
      <c r="K63">
        <f>_xlfn.XLOOKUP($A63,weather_2yrs!$A:$A,weather_2yrs!E:E)</f>
        <v>40.4</v>
      </c>
      <c r="L63">
        <f>_xlfn.XLOOKUP($A63,sales!$A:$A,sales!B:B)</f>
        <v>1</v>
      </c>
      <c r="M63" t="str">
        <f>_xlfn.XLOOKUP($A63,sales!$A:$A,sales!C:C)</f>
        <v>Miami Beach</v>
      </c>
      <c r="N63">
        <f>_xlfn.XLOOKUP($A63,sales!$A:$A,sales!D:D)</f>
        <v>207</v>
      </c>
      <c r="O63">
        <f>_xlfn.XLOOKUP($A63,sales!$A:$A,sales!E:E)</f>
        <v>3658.99</v>
      </c>
      <c r="P63" s="4">
        <f t="shared" si="2"/>
        <v>17.676280193236714</v>
      </c>
    </row>
    <row r="64" spans="1:16" x14ac:dyDescent="0.25">
      <c r="A64" s="1">
        <v>44989</v>
      </c>
      <c r="B64" s="1" t="str">
        <f t="shared" si="0"/>
        <v>Saturday</v>
      </c>
      <c r="C64" s="1" t="b">
        <f t="shared" si="1"/>
        <v>1</v>
      </c>
      <c r="D64">
        <f>VLOOKUP($A64,survey_2yrs!A:B, 2)</f>
        <v>51.1</v>
      </c>
      <c r="E64">
        <f>VLOOKUP($A64,survey_2yrs!$A:C, 3)</f>
        <v>48.9</v>
      </c>
      <c r="F64">
        <f>VLOOKUP($A64,survey_2yrs!$A:D, 4)</f>
        <v>51.9</v>
      </c>
      <c r="G64">
        <f>_xlfn.XLOOKUP(A64,survey_2yrs!A:A,survey_2yrs!E:E)</f>
        <v>48.1</v>
      </c>
      <c r="H64">
        <f>_xlfn.XLOOKUP($A64,weather_2yrs!$A:$A,weather_2yrs!B:B)</f>
        <v>67.5</v>
      </c>
      <c r="I64">
        <f>_xlfn.XLOOKUP($A64,weather_2yrs!$A:$A,weather_2yrs!C:C)</f>
        <v>0</v>
      </c>
      <c r="J64">
        <f>_xlfn.XLOOKUP($A64,weather_2yrs!$A:$A,weather_2yrs!D:D)</f>
        <v>0</v>
      </c>
      <c r="K64">
        <f>_xlfn.XLOOKUP($A64,weather_2yrs!$A:$A,weather_2yrs!E:E)</f>
        <v>35</v>
      </c>
      <c r="L64">
        <f>_xlfn.XLOOKUP($A64,sales!$A:$A,sales!B:B)</f>
        <v>1</v>
      </c>
      <c r="M64" t="str">
        <f>_xlfn.XLOOKUP($A64,sales!$A:$A,sales!C:C)</f>
        <v>Miami Beach</v>
      </c>
      <c r="N64">
        <f>_xlfn.XLOOKUP($A64,sales!$A:$A,sales!D:D)</f>
        <v>255</v>
      </c>
      <c r="O64">
        <f>_xlfn.XLOOKUP($A64,sales!$A:$A,sales!E:E)</f>
        <v>5310.23</v>
      </c>
      <c r="P64" s="4">
        <f t="shared" si="2"/>
        <v>20.824431372549018</v>
      </c>
    </row>
    <row r="65" spans="1:16" x14ac:dyDescent="0.25">
      <c r="A65" s="1">
        <v>44990</v>
      </c>
      <c r="B65" s="1" t="str">
        <f t="shared" si="0"/>
        <v>Sunday</v>
      </c>
      <c r="C65" s="1" t="b">
        <f t="shared" si="1"/>
        <v>1</v>
      </c>
      <c r="D65">
        <f>VLOOKUP($A65,survey_2yrs!A:B, 2)</f>
        <v>50.8</v>
      </c>
      <c r="E65">
        <f>VLOOKUP($A65,survey_2yrs!$A:C, 3)</f>
        <v>49.2</v>
      </c>
      <c r="F65">
        <f>VLOOKUP($A65,survey_2yrs!$A:D, 4)</f>
        <v>53.6</v>
      </c>
      <c r="G65">
        <f>_xlfn.XLOOKUP(A65,survey_2yrs!A:A,survey_2yrs!E:E)</f>
        <v>46.4</v>
      </c>
      <c r="H65">
        <f>_xlfn.XLOOKUP($A65,weather_2yrs!$A:$A,weather_2yrs!B:B)</f>
        <v>62.1</v>
      </c>
      <c r="I65">
        <f>_xlfn.XLOOKUP($A65,weather_2yrs!$A:$A,weather_2yrs!C:C)</f>
        <v>0</v>
      </c>
      <c r="J65">
        <f>_xlfn.XLOOKUP($A65,weather_2yrs!$A:$A,weather_2yrs!D:D)</f>
        <v>0</v>
      </c>
      <c r="K65">
        <f>_xlfn.XLOOKUP($A65,weather_2yrs!$A:$A,weather_2yrs!E:E)</f>
        <v>38</v>
      </c>
      <c r="L65">
        <f>_xlfn.XLOOKUP($A65,sales!$A:$A,sales!B:B)</f>
        <v>1</v>
      </c>
      <c r="M65" t="str">
        <f>_xlfn.XLOOKUP($A65,sales!$A:$A,sales!C:C)</f>
        <v>Miami Beach</v>
      </c>
      <c r="N65">
        <f>_xlfn.XLOOKUP($A65,sales!$A:$A,sales!D:D)</f>
        <v>277</v>
      </c>
      <c r="O65">
        <f>_xlfn.XLOOKUP($A65,sales!$A:$A,sales!E:E)</f>
        <v>4952.1899999999996</v>
      </c>
      <c r="P65" s="4">
        <f t="shared" si="2"/>
        <v>17.877942238267146</v>
      </c>
    </row>
    <row r="66" spans="1:16" x14ac:dyDescent="0.25">
      <c r="A66" s="1">
        <v>44991</v>
      </c>
      <c r="B66" s="1" t="str">
        <f t="shared" si="0"/>
        <v>Monday</v>
      </c>
      <c r="C66" s="1" t="b">
        <f t="shared" si="1"/>
        <v>0</v>
      </c>
      <c r="D66">
        <f>VLOOKUP($A66,survey_2yrs!A:B, 2)</f>
        <v>51.3</v>
      </c>
      <c r="E66">
        <f>VLOOKUP($A66,survey_2yrs!$A:C, 3)</f>
        <v>48.7</v>
      </c>
      <c r="F66">
        <f>VLOOKUP($A66,survey_2yrs!$A:D, 4)</f>
        <v>46.9</v>
      </c>
      <c r="G66">
        <f>_xlfn.XLOOKUP(A66,survey_2yrs!A:A,survey_2yrs!E:E)</f>
        <v>53.1</v>
      </c>
      <c r="H66">
        <f>_xlfn.XLOOKUP($A66,weather_2yrs!$A:$A,weather_2yrs!B:B)</f>
        <v>64.7</v>
      </c>
      <c r="I66">
        <f>_xlfn.XLOOKUP($A66,weather_2yrs!$A:$A,weather_2yrs!C:C)</f>
        <v>0.44</v>
      </c>
      <c r="J66">
        <f>_xlfn.XLOOKUP($A66,weather_2yrs!$A:$A,weather_2yrs!D:D)</f>
        <v>1</v>
      </c>
      <c r="K66">
        <f>_xlfn.XLOOKUP($A66,weather_2yrs!$A:$A,weather_2yrs!E:E)</f>
        <v>35</v>
      </c>
      <c r="L66">
        <f>_xlfn.XLOOKUP($A66,sales!$A:$A,sales!B:B)</f>
        <v>1</v>
      </c>
      <c r="M66" t="str">
        <f>_xlfn.XLOOKUP($A66,sales!$A:$A,sales!C:C)</f>
        <v>Miami Beach</v>
      </c>
      <c r="N66">
        <f>_xlfn.XLOOKUP($A66,sales!$A:$A,sales!D:D)</f>
        <v>222</v>
      </c>
      <c r="O66">
        <f>_xlfn.XLOOKUP($A66,sales!$A:$A,sales!E:E)</f>
        <v>3968.55</v>
      </c>
      <c r="P66" s="4">
        <f t="shared" si="2"/>
        <v>17.876351351351353</v>
      </c>
    </row>
    <row r="67" spans="1:16" x14ac:dyDescent="0.25">
      <c r="A67" s="1">
        <v>44992</v>
      </c>
      <c r="B67" s="1" t="str">
        <f t="shared" ref="B67:B130" si="3">TEXT(A67, "dddd")</f>
        <v>Tuesday</v>
      </c>
      <c r="C67" s="1" t="b">
        <f t="shared" ref="C67:C130" si="4">IF(WEEKDAY(A67,2)&gt;5,TRUE,FALSE)</f>
        <v>0</v>
      </c>
      <c r="D67">
        <f>VLOOKUP($A67,survey_2yrs!A:B, 2)</f>
        <v>51.4</v>
      </c>
      <c r="E67">
        <f>VLOOKUP($A67,survey_2yrs!$A:C, 3)</f>
        <v>48.6</v>
      </c>
      <c r="F67">
        <f>VLOOKUP($A67,survey_2yrs!$A:D, 4)</f>
        <v>46.6</v>
      </c>
      <c r="G67">
        <f>_xlfn.XLOOKUP(A67,survey_2yrs!A:A,survey_2yrs!E:E)</f>
        <v>53.4</v>
      </c>
      <c r="H67">
        <f>_xlfn.XLOOKUP($A67,weather_2yrs!$A:$A,weather_2yrs!B:B)</f>
        <v>61</v>
      </c>
      <c r="I67">
        <f>_xlfn.XLOOKUP($A67,weather_2yrs!$A:$A,weather_2yrs!C:C)</f>
        <v>0.65</v>
      </c>
      <c r="J67">
        <f>_xlfn.XLOOKUP($A67,weather_2yrs!$A:$A,weather_2yrs!D:D)</f>
        <v>1</v>
      </c>
      <c r="K67">
        <f>_xlfn.XLOOKUP($A67,weather_2yrs!$A:$A,weather_2yrs!E:E)</f>
        <v>37.200000000000003</v>
      </c>
      <c r="L67">
        <f>_xlfn.XLOOKUP($A67,sales!$A:$A,sales!B:B)</f>
        <v>1</v>
      </c>
      <c r="M67" t="str">
        <f>_xlfn.XLOOKUP($A67,sales!$A:$A,sales!C:C)</f>
        <v>Miami Beach</v>
      </c>
      <c r="N67">
        <f>_xlfn.XLOOKUP($A67,sales!$A:$A,sales!D:D)</f>
        <v>232</v>
      </c>
      <c r="O67">
        <f>_xlfn.XLOOKUP($A67,sales!$A:$A,sales!E:E)</f>
        <v>4224.66</v>
      </c>
      <c r="P67" s="4">
        <f t="shared" ref="P67:P130" si="5">O67/N67</f>
        <v>18.209741379310344</v>
      </c>
    </row>
    <row r="68" spans="1:16" x14ac:dyDescent="0.25">
      <c r="A68" s="1">
        <v>44993</v>
      </c>
      <c r="B68" s="1" t="str">
        <f t="shared" si="3"/>
        <v>Wednesday</v>
      </c>
      <c r="C68" s="1" t="b">
        <f t="shared" si="4"/>
        <v>0</v>
      </c>
      <c r="D68">
        <f>VLOOKUP($A68,survey_2yrs!A:B, 2)</f>
        <v>51.7</v>
      </c>
      <c r="E68">
        <f>VLOOKUP($A68,survey_2yrs!$A:C, 3)</f>
        <v>48.3</v>
      </c>
      <c r="F68">
        <f>VLOOKUP($A68,survey_2yrs!$A:D, 4)</f>
        <v>45.4</v>
      </c>
      <c r="G68">
        <f>_xlfn.XLOOKUP(A68,survey_2yrs!A:A,survey_2yrs!E:E)</f>
        <v>54.6</v>
      </c>
      <c r="H68">
        <f>_xlfn.XLOOKUP($A68,weather_2yrs!$A:$A,weather_2yrs!B:B)</f>
        <v>66.5</v>
      </c>
      <c r="I68">
        <f>_xlfn.XLOOKUP($A68,weather_2yrs!$A:$A,weather_2yrs!C:C)</f>
        <v>0</v>
      </c>
      <c r="J68">
        <f>_xlfn.XLOOKUP($A68,weather_2yrs!$A:$A,weather_2yrs!D:D)</f>
        <v>0</v>
      </c>
      <c r="K68">
        <f>_xlfn.XLOOKUP($A68,weather_2yrs!$A:$A,weather_2yrs!E:E)</f>
        <v>35</v>
      </c>
      <c r="L68">
        <f>_xlfn.XLOOKUP($A68,sales!$A:$A,sales!B:B)</f>
        <v>1</v>
      </c>
      <c r="M68" t="str">
        <f>_xlfn.XLOOKUP($A68,sales!$A:$A,sales!C:C)</f>
        <v>Miami Beach</v>
      </c>
      <c r="N68">
        <f>_xlfn.XLOOKUP($A68,sales!$A:$A,sales!D:D)</f>
        <v>225</v>
      </c>
      <c r="O68">
        <f>_xlfn.XLOOKUP($A68,sales!$A:$A,sales!E:E)</f>
        <v>4295.8500000000004</v>
      </c>
      <c r="P68" s="4">
        <f t="shared" si="5"/>
        <v>19.09266666666667</v>
      </c>
    </row>
    <row r="69" spans="1:16" x14ac:dyDescent="0.25">
      <c r="A69" s="1">
        <v>44994</v>
      </c>
      <c r="B69" s="1" t="str">
        <f t="shared" si="3"/>
        <v>Thursday</v>
      </c>
      <c r="C69" s="1" t="b">
        <f t="shared" si="4"/>
        <v>0</v>
      </c>
      <c r="D69">
        <f>VLOOKUP($A69,survey_2yrs!A:B, 2)</f>
        <v>53.2</v>
      </c>
      <c r="E69">
        <f>VLOOKUP($A69,survey_2yrs!$A:C, 3)</f>
        <v>46.8</v>
      </c>
      <c r="F69">
        <f>VLOOKUP($A69,survey_2yrs!$A:D, 4)</f>
        <v>47.9</v>
      </c>
      <c r="G69">
        <f>_xlfn.XLOOKUP(A69,survey_2yrs!A:A,survey_2yrs!E:E)</f>
        <v>52.1</v>
      </c>
      <c r="H69">
        <f>_xlfn.XLOOKUP($A69,weather_2yrs!$A:$A,weather_2yrs!B:B)</f>
        <v>63.7</v>
      </c>
      <c r="I69">
        <f>_xlfn.XLOOKUP($A69,weather_2yrs!$A:$A,weather_2yrs!C:C)</f>
        <v>0</v>
      </c>
      <c r="J69">
        <f>_xlfn.XLOOKUP($A69,weather_2yrs!$A:$A,weather_2yrs!D:D)</f>
        <v>0</v>
      </c>
      <c r="K69">
        <f>_xlfn.XLOOKUP($A69,weather_2yrs!$A:$A,weather_2yrs!E:E)</f>
        <v>36.9</v>
      </c>
      <c r="L69">
        <f>_xlfn.XLOOKUP($A69,sales!$A:$A,sales!B:B)</f>
        <v>1</v>
      </c>
      <c r="M69" t="str">
        <f>_xlfn.XLOOKUP($A69,sales!$A:$A,sales!C:C)</f>
        <v>Miami Beach</v>
      </c>
      <c r="N69">
        <f>_xlfn.XLOOKUP($A69,sales!$A:$A,sales!D:D)</f>
        <v>244</v>
      </c>
      <c r="O69">
        <f>_xlfn.XLOOKUP($A69,sales!$A:$A,sales!E:E)</f>
        <v>5123.26</v>
      </c>
      <c r="P69" s="4">
        <f t="shared" si="5"/>
        <v>20.996967213114754</v>
      </c>
    </row>
    <row r="70" spans="1:16" x14ac:dyDescent="0.25">
      <c r="A70" s="1">
        <v>44995</v>
      </c>
      <c r="B70" s="1" t="str">
        <f t="shared" si="3"/>
        <v>Friday</v>
      </c>
      <c r="C70" s="1" t="b">
        <f t="shared" si="4"/>
        <v>0</v>
      </c>
      <c r="D70">
        <f>VLOOKUP($A70,survey_2yrs!A:B, 2)</f>
        <v>50.5</v>
      </c>
      <c r="E70">
        <f>VLOOKUP($A70,survey_2yrs!$A:C, 3)</f>
        <v>49.5</v>
      </c>
      <c r="F70">
        <f>VLOOKUP($A70,survey_2yrs!$A:D, 4)</f>
        <v>47.2</v>
      </c>
      <c r="G70">
        <f>_xlfn.XLOOKUP(A70,survey_2yrs!A:A,survey_2yrs!E:E)</f>
        <v>52.8</v>
      </c>
      <c r="H70">
        <f>_xlfn.XLOOKUP($A70,weather_2yrs!$A:$A,weather_2yrs!B:B)</f>
        <v>63.4</v>
      </c>
      <c r="I70">
        <f>_xlfn.XLOOKUP($A70,weather_2yrs!$A:$A,weather_2yrs!C:C)</f>
        <v>0</v>
      </c>
      <c r="J70">
        <f>_xlfn.XLOOKUP($A70,weather_2yrs!$A:$A,weather_2yrs!D:D)</f>
        <v>0</v>
      </c>
      <c r="K70">
        <f>_xlfn.XLOOKUP($A70,weather_2yrs!$A:$A,weather_2yrs!E:E)</f>
        <v>35</v>
      </c>
      <c r="L70">
        <f>_xlfn.XLOOKUP($A70,sales!$A:$A,sales!B:B)</f>
        <v>1</v>
      </c>
      <c r="M70" t="str">
        <f>_xlfn.XLOOKUP($A70,sales!$A:$A,sales!C:C)</f>
        <v>Miami Beach</v>
      </c>
      <c r="N70">
        <f>_xlfn.XLOOKUP($A70,sales!$A:$A,sales!D:D)</f>
        <v>255</v>
      </c>
      <c r="O70">
        <f>_xlfn.XLOOKUP($A70,sales!$A:$A,sales!E:E)</f>
        <v>4625.37</v>
      </c>
      <c r="P70" s="4">
        <f t="shared" si="5"/>
        <v>18.138705882352941</v>
      </c>
    </row>
    <row r="71" spans="1:16" x14ac:dyDescent="0.25">
      <c r="A71" s="1">
        <v>44996</v>
      </c>
      <c r="B71" s="1" t="str">
        <f t="shared" si="3"/>
        <v>Saturday</v>
      </c>
      <c r="C71" s="1" t="b">
        <f t="shared" si="4"/>
        <v>1</v>
      </c>
      <c r="D71">
        <f>VLOOKUP($A71,survey_2yrs!A:B, 2)</f>
        <v>50.4</v>
      </c>
      <c r="E71">
        <f>VLOOKUP($A71,survey_2yrs!$A:C, 3)</f>
        <v>49.6</v>
      </c>
      <c r="F71">
        <f>VLOOKUP($A71,survey_2yrs!$A:D, 4)</f>
        <v>53.2</v>
      </c>
      <c r="G71">
        <f>_xlfn.XLOOKUP(A71,survey_2yrs!A:A,survey_2yrs!E:E)</f>
        <v>46.8</v>
      </c>
      <c r="H71">
        <f>_xlfn.XLOOKUP($A71,weather_2yrs!$A:$A,weather_2yrs!B:B)</f>
        <v>68.7</v>
      </c>
      <c r="I71">
        <f>_xlfn.XLOOKUP($A71,weather_2yrs!$A:$A,weather_2yrs!C:C)</f>
        <v>0.03</v>
      </c>
      <c r="J71">
        <f>_xlfn.XLOOKUP($A71,weather_2yrs!$A:$A,weather_2yrs!D:D)</f>
        <v>1</v>
      </c>
      <c r="K71">
        <f>_xlfn.XLOOKUP($A71,weather_2yrs!$A:$A,weather_2yrs!E:E)</f>
        <v>35</v>
      </c>
      <c r="L71">
        <f>_xlfn.XLOOKUP($A71,sales!$A:$A,sales!B:B)</f>
        <v>1</v>
      </c>
      <c r="M71" t="str">
        <f>_xlfn.XLOOKUP($A71,sales!$A:$A,sales!C:C)</f>
        <v>Miami Beach</v>
      </c>
      <c r="N71">
        <f>_xlfn.XLOOKUP($A71,sales!$A:$A,sales!D:D)</f>
        <v>253</v>
      </c>
      <c r="O71">
        <f>_xlfn.XLOOKUP($A71,sales!$A:$A,sales!E:E)</f>
        <v>4573.3500000000004</v>
      </c>
      <c r="P71" s="4">
        <f t="shared" si="5"/>
        <v>18.076482213438737</v>
      </c>
    </row>
    <row r="72" spans="1:16" x14ac:dyDescent="0.25">
      <c r="A72" s="1">
        <v>44997</v>
      </c>
      <c r="B72" s="1" t="str">
        <f t="shared" si="3"/>
        <v>Sunday</v>
      </c>
      <c r="C72" s="1" t="b">
        <f t="shared" si="4"/>
        <v>1</v>
      </c>
      <c r="D72">
        <f>VLOOKUP($A72,survey_2yrs!A:B, 2)</f>
        <v>51.7</v>
      </c>
      <c r="E72">
        <f>VLOOKUP($A72,survey_2yrs!$A:C, 3)</f>
        <v>48.3</v>
      </c>
      <c r="F72">
        <f>VLOOKUP($A72,survey_2yrs!$A:D, 4)</f>
        <v>53.2</v>
      </c>
      <c r="G72">
        <f>_xlfn.XLOOKUP(A72,survey_2yrs!A:A,survey_2yrs!E:E)</f>
        <v>46.8</v>
      </c>
      <c r="H72">
        <f>_xlfn.XLOOKUP($A72,weather_2yrs!$A:$A,weather_2yrs!B:B)</f>
        <v>71.900000000000006</v>
      </c>
      <c r="I72">
        <f>_xlfn.XLOOKUP($A72,weather_2yrs!$A:$A,weather_2yrs!C:C)</f>
        <v>0</v>
      </c>
      <c r="J72">
        <f>_xlfn.XLOOKUP($A72,weather_2yrs!$A:$A,weather_2yrs!D:D)</f>
        <v>0</v>
      </c>
      <c r="K72">
        <f>_xlfn.XLOOKUP($A72,weather_2yrs!$A:$A,weather_2yrs!E:E)</f>
        <v>35</v>
      </c>
      <c r="L72">
        <f>_xlfn.XLOOKUP($A72,sales!$A:$A,sales!B:B)</f>
        <v>1</v>
      </c>
      <c r="M72" t="str">
        <f>_xlfn.XLOOKUP($A72,sales!$A:$A,sales!C:C)</f>
        <v>Miami Beach</v>
      </c>
      <c r="N72">
        <f>_xlfn.XLOOKUP($A72,sales!$A:$A,sales!D:D)</f>
        <v>261</v>
      </c>
      <c r="O72">
        <f>_xlfn.XLOOKUP($A72,sales!$A:$A,sales!E:E)</f>
        <v>5209.2700000000004</v>
      </c>
      <c r="P72" s="4">
        <f t="shared" si="5"/>
        <v>19.95888888888889</v>
      </c>
    </row>
    <row r="73" spans="1:16" x14ac:dyDescent="0.25">
      <c r="A73" s="1">
        <v>44998</v>
      </c>
      <c r="B73" s="1" t="str">
        <f t="shared" si="3"/>
        <v>Monday</v>
      </c>
      <c r="C73" s="1" t="b">
        <f t="shared" si="4"/>
        <v>0</v>
      </c>
      <c r="D73">
        <f>VLOOKUP($A73,survey_2yrs!A:B, 2)</f>
        <v>52.4</v>
      </c>
      <c r="E73">
        <f>VLOOKUP($A73,survey_2yrs!$A:C, 3)</f>
        <v>47.6</v>
      </c>
      <c r="F73">
        <f>VLOOKUP($A73,survey_2yrs!$A:D, 4)</f>
        <v>49.2</v>
      </c>
      <c r="G73">
        <f>_xlfn.XLOOKUP(A73,survey_2yrs!A:A,survey_2yrs!E:E)</f>
        <v>50.8</v>
      </c>
      <c r="H73">
        <f>_xlfn.XLOOKUP($A73,weather_2yrs!$A:$A,weather_2yrs!B:B)</f>
        <v>66.5</v>
      </c>
      <c r="I73">
        <f>_xlfn.XLOOKUP($A73,weather_2yrs!$A:$A,weather_2yrs!C:C)</f>
        <v>0.21</v>
      </c>
      <c r="J73">
        <f>_xlfn.XLOOKUP($A73,weather_2yrs!$A:$A,weather_2yrs!D:D)</f>
        <v>1</v>
      </c>
      <c r="K73">
        <f>_xlfn.XLOOKUP($A73,weather_2yrs!$A:$A,weather_2yrs!E:E)</f>
        <v>43.3</v>
      </c>
      <c r="L73">
        <f>_xlfn.XLOOKUP($A73,sales!$A:$A,sales!B:B)</f>
        <v>1</v>
      </c>
      <c r="M73" t="str">
        <f>_xlfn.XLOOKUP($A73,sales!$A:$A,sales!C:C)</f>
        <v>Miami Beach</v>
      </c>
      <c r="N73">
        <f>_xlfn.XLOOKUP($A73,sales!$A:$A,sales!D:D)</f>
        <v>211</v>
      </c>
      <c r="O73">
        <f>_xlfn.XLOOKUP($A73,sales!$A:$A,sales!E:E)</f>
        <v>4085.64</v>
      </c>
      <c r="P73" s="4">
        <f t="shared" si="5"/>
        <v>19.363222748815165</v>
      </c>
    </row>
    <row r="74" spans="1:16" x14ac:dyDescent="0.25">
      <c r="A74" s="1">
        <v>44999</v>
      </c>
      <c r="B74" s="1" t="str">
        <f t="shared" si="3"/>
        <v>Tuesday</v>
      </c>
      <c r="C74" s="1" t="b">
        <f t="shared" si="4"/>
        <v>0</v>
      </c>
      <c r="D74">
        <f>VLOOKUP($A74,survey_2yrs!A:B, 2)</f>
        <v>52.5</v>
      </c>
      <c r="E74">
        <f>VLOOKUP($A74,survey_2yrs!$A:C, 3)</f>
        <v>47.5</v>
      </c>
      <c r="F74">
        <f>VLOOKUP($A74,survey_2yrs!$A:D, 4)</f>
        <v>46.5</v>
      </c>
      <c r="G74">
        <f>_xlfn.XLOOKUP(A74,survey_2yrs!A:A,survey_2yrs!E:E)</f>
        <v>53.5</v>
      </c>
      <c r="H74">
        <f>_xlfn.XLOOKUP($A74,weather_2yrs!$A:$A,weather_2yrs!B:B)</f>
        <v>65.400000000000006</v>
      </c>
      <c r="I74">
        <f>_xlfn.XLOOKUP($A74,weather_2yrs!$A:$A,weather_2yrs!C:C)</f>
        <v>0</v>
      </c>
      <c r="J74">
        <f>_xlfn.XLOOKUP($A74,weather_2yrs!$A:$A,weather_2yrs!D:D)</f>
        <v>0</v>
      </c>
      <c r="K74">
        <f>_xlfn.XLOOKUP($A74,weather_2yrs!$A:$A,weather_2yrs!E:E)</f>
        <v>38.799999999999997</v>
      </c>
      <c r="L74">
        <f>_xlfn.XLOOKUP($A74,sales!$A:$A,sales!B:B)</f>
        <v>1</v>
      </c>
      <c r="M74" t="str">
        <f>_xlfn.XLOOKUP($A74,sales!$A:$A,sales!C:C)</f>
        <v>Miami Beach</v>
      </c>
      <c r="N74">
        <f>_xlfn.XLOOKUP($A74,sales!$A:$A,sales!D:D)</f>
        <v>207</v>
      </c>
      <c r="O74">
        <f>_xlfn.XLOOKUP($A74,sales!$A:$A,sales!E:E)</f>
        <v>4017.57</v>
      </c>
      <c r="P74" s="4">
        <f t="shared" si="5"/>
        <v>19.408550724637681</v>
      </c>
    </row>
    <row r="75" spans="1:16" x14ac:dyDescent="0.25">
      <c r="A75" s="1">
        <v>45000</v>
      </c>
      <c r="B75" s="1" t="str">
        <f t="shared" si="3"/>
        <v>Wednesday</v>
      </c>
      <c r="C75" s="1" t="b">
        <f t="shared" si="4"/>
        <v>0</v>
      </c>
      <c r="D75">
        <f>VLOOKUP($A75,survey_2yrs!A:B, 2)</f>
        <v>50.5</v>
      </c>
      <c r="E75">
        <f>VLOOKUP($A75,survey_2yrs!$A:C, 3)</f>
        <v>49.5</v>
      </c>
      <c r="F75">
        <f>VLOOKUP($A75,survey_2yrs!$A:D, 4)</f>
        <v>47.9</v>
      </c>
      <c r="G75">
        <f>_xlfn.XLOOKUP(A75,survey_2yrs!A:A,survey_2yrs!E:E)</f>
        <v>52.1</v>
      </c>
      <c r="H75">
        <f>_xlfn.XLOOKUP($A75,weather_2yrs!$A:$A,weather_2yrs!B:B)</f>
        <v>66.900000000000006</v>
      </c>
      <c r="I75">
        <f>_xlfn.XLOOKUP($A75,weather_2yrs!$A:$A,weather_2yrs!C:C)</f>
        <v>0</v>
      </c>
      <c r="J75">
        <f>_xlfn.XLOOKUP($A75,weather_2yrs!$A:$A,weather_2yrs!D:D)</f>
        <v>0</v>
      </c>
      <c r="K75">
        <f>_xlfn.XLOOKUP($A75,weather_2yrs!$A:$A,weather_2yrs!E:E)</f>
        <v>35</v>
      </c>
      <c r="L75">
        <f>_xlfn.XLOOKUP($A75,sales!$A:$A,sales!B:B)</f>
        <v>1</v>
      </c>
      <c r="M75" t="str">
        <f>_xlfn.XLOOKUP($A75,sales!$A:$A,sales!C:C)</f>
        <v>Miami Beach</v>
      </c>
      <c r="N75">
        <f>_xlfn.XLOOKUP($A75,sales!$A:$A,sales!D:D)</f>
        <v>224</v>
      </c>
      <c r="O75">
        <f>_xlfn.XLOOKUP($A75,sales!$A:$A,sales!E:E)</f>
        <v>4171.95</v>
      </c>
      <c r="P75" s="4">
        <f t="shared" si="5"/>
        <v>18.624776785714285</v>
      </c>
    </row>
    <row r="76" spans="1:16" x14ac:dyDescent="0.25">
      <c r="A76" s="1">
        <v>45001</v>
      </c>
      <c r="B76" s="1" t="str">
        <f t="shared" si="3"/>
        <v>Thursday</v>
      </c>
      <c r="C76" s="1" t="b">
        <f t="shared" si="4"/>
        <v>0</v>
      </c>
      <c r="D76">
        <f>VLOOKUP($A76,survey_2yrs!A:B, 2)</f>
        <v>51.4</v>
      </c>
      <c r="E76">
        <f>VLOOKUP($A76,survey_2yrs!$A:C, 3)</f>
        <v>48.6</v>
      </c>
      <c r="F76">
        <f>VLOOKUP($A76,survey_2yrs!$A:D, 4)</f>
        <v>47.1</v>
      </c>
      <c r="G76">
        <f>_xlfn.XLOOKUP(A76,survey_2yrs!A:A,survey_2yrs!E:E)</f>
        <v>52.9</v>
      </c>
      <c r="H76">
        <f>_xlfn.XLOOKUP($A76,weather_2yrs!$A:$A,weather_2yrs!B:B)</f>
        <v>72.3</v>
      </c>
      <c r="I76">
        <f>_xlfn.XLOOKUP($A76,weather_2yrs!$A:$A,weather_2yrs!C:C)</f>
        <v>0</v>
      </c>
      <c r="J76">
        <f>_xlfn.XLOOKUP($A76,weather_2yrs!$A:$A,weather_2yrs!D:D)</f>
        <v>0</v>
      </c>
      <c r="K76">
        <f>_xlfn.XLOOKUP($A76,weather_2yrs!$A:$A,weather_2yrs!E:E)</f>
        <v>35</v>
      </c>
      <c r="L76">
        <f>_xlfn.XLOOKUP($A76,sales!$A:$A,sales!B:B)</f>
        <v>1</v>
      </c>
      <c r="M76" t="str">
        <f>_xlfn.XLOOKUP($A76,sales!$A:$A,sales!C:C)</f>
        <v>Miami Beach</v>
      </c>
      <c r="N76">
        <f>_xlfn.XLOOKUP($A76,sales!$A:$A,sales!D:D)</f>
        <v>217</v>
      </c>
      <c r="O76">
        <f>_xlfn.XLOOKUP($A76,sales!$A:$A,sales!E:E)</f>
        <v>3953.03</v>
      </c>
      <c r="P76" s="4">
        <f t="shared" si="5"/>
        <v>18.216728110599078</v>
      </c>
    </row>
    <row r="77" spans="1:16" x14ac:dyDescent="0.25">
      <c r="A77" s="1">
        <v>45002</v>
      </c>
      <c r="B77" s="1" t="str">
        <f t="shared" si="3"/>
        <v>Friday</v>
      </c>
      <c r="C77" s="1" t="b">
        <f t="shared" si="4"/>
        <v>0</v>
      </c>
      <c r="D77">
        <f>VLOOKUP($A77,survey_2yrs!A:B, 2)</f>
        <v>51.9</v>
      </c>
      <c r="E77">
        <f>VLOOKUP($A77,survey_2yrs!$A:C, 3)</f>
        <v>48.1</v>
      </c>
      <c r="F77">
        <f>VLOOKUP($A77,survey_2yrs!$A:D, 4)</f>
        <v>47.6</v>
      </c>
      <c r="G77">
        <f>_xlfn.XLOOKUP(A77,survey_2yrs!A:A,survey_2yrs!E:E)</f>
        <v>52.4</v>
      </c>
      <c r="H77">
        <f>_xlfn.XLOOKUP($A77,weather_2yrs!$A:$A,weather_2yrs!B:B)</f>
        <v>65</v>
      </c>
      <c r="I77">
        <f>_xlfn.XLOOKUP($A77,weather_2yrs!$A:$A,weather_2yrs!C:C)</f>
        <v>0</v>
      </c>
      <c r="J77">
        <f>_xlfn.XLOOKUP($A77,weather_2yrs!$A:$A,weather_2yrs!D:D)</f>
        <v>0</v>
      </c>
      <c r="K77">
        <f>_xlfn.XLOOKUP($A77,weather_2yrs!$A:$A,weather_2yrs!E:E)</f>
        <v>39.700000000000003</v>
      </c>
      <c r="L77">
        <f>_xlfn.XLOOKUP($A77,sales!$A:$A,sales!B:B)</f>
        <v>1</v>
      </c>
      <c r="M77" t="str">
        <f>_xlfn.XLOOKUP($A77,sales!$A:$A,sales!C:C)</f>
        <v>Miami Beach</v>
      </c>
      <c r="N77">
        <f>_xlfn.XLOOKUP($A77,sales!$A:$A,sales!D:D)</f>
        <v>201</v>
      </c>
      <c r="O77">
        <f>_xlfn.XLOOKUP($A77,sales!$A:$A,sales!E:E)</f>
        <v>3769.07</v>
      </c>
      <c r="P77" s="4">
        <f t="shared" si="5"/>
        <v>18.751592039800997</v>
      </c>
    </row>
    <row r="78" spans="1:16" x14ac:dyDescent="0.25">
      <c r="A78" s="1">
        <v>45003</v>
      </c>
      <c r="B78" s="1" t="str">
        <f t="shared" si="3"/>
        <v>Saturday</v>
      </c>
      <c r="C78" s="1" t="b">
        <f t="shared" si="4"/>
        <v>1</v>
      </c>
      <c r="D78">
        <f>VLOOKUP($A78,survey_2yrs!A:B, 2)</f>
        <v>53.2</v>
      </c>
      <c r="E78">
        <f>VLOOKUP($A78,survey_2yrs!$A:C, 3)</f>
        <v>46.8</v>
      </c>
      <c r="F78">
        <f>VLOOKUP($A78,survey_2yrs!$A:D, 4)</f>
        <v>52.2</v>
      </c>
      <c r="G78">
        <f>_xlfn.XLOOKUP(A78,survey_2yrs!A:A,survey_2yrs!E:E)</f>
        <v>47.8</v>
      </c>
      <c r="H78">
        <f>_xlfn.XLOOKUP($A78,weather_2yrs!$A:$A,weather_2yrs!B:B)</f>
        <v>62.4</v>
      </c>
      <c r="I78">
        <f>_xlfn.XLOOKUP($A78,weather_2yrs!$A:$A,weather_2yrs!C:C)</f>
        <v>2.29</v>
      </c>
      <c r="J78">
        <f>_xlfn.XLOOKUP($A78,weather_2yrs!$A:$A,weather_2yrs!D:D)</f>
        <v>1</v>
      </c>
      <c r="K78">
        <f>_xlfn.XLOOKUP($A78,weather_2yrs!$A:$A,weather_2yrs!E:E)</f>
        <v>35</v>
      </c>
      <c r="L78">
        <f>_xlfn.XLOOKUP($A78,sales!$A:$A,sales!B:B)</f>
        <v>1</v>
      </c>
      <c r="M78" t="str">
        <f>_xlfn.XLOOKUP($A78,sales!$A:$A,sales!C:C)</f>
        <v>Miami Beach</v>
      </c>
      <c r="N78">
        <f>_xlfn.XLOOKUP($A78,sales!$A:$A,sales!D:D)</f>
        <v>204</v>
      </c>
      <c r="O78">
        <f>_xlfn.XLOOKUP($A78,sales!$A:$A,sales!E:E)</f>
        <v>3940.3</v>
      </c>
      <c r="P78" s="4">
        <f t="shared" si="5"/>
        <v>19.315196078431374</v>
      </c>
    </row>
    <row r="79" spans="1:16" x14ac:dyDescent="0.25">
      <c r="A79" s="1">
        <v>45004</v>
      </c>
      <c r="B79" s="1" t="str">
        <f t="shared" si="3"/>
        <v>Sunday</v>
      </c>
      <c r="C79" s="1" t="b">
        <f t="shared" si="4"/>
        <v>1</v>
      </c>
      <c r="D79">
        <f>VLOOKUP($A79,survey_2yrs!A:B, 2)</f>
        <v>51.9</v>
      </c>
      <c r="E79">
        <f>VLOOKUP($A79,survey_2yrs!$A:C, 3)</f>
        <v>48.1</v>
      </c>
      <c r="F79">
        <f>VLOOKUP($A79,survey_2yrs!$A:D, 4)</f>
        <v>52.8</v>
      </c>
      <c r="G79">
        <f>_xlfn.XLOOKUP(A79,survey_2yrs!A:A,survey_2yrs!E:E)</f>
        <v>47.2</v>
      </c>
      <c r="H79">
        <f>_xlfn.XLOOKUP($A79,weather_2yrs!$A:$A,weather_2yrs!B:B)</f>
        <v>64.3</v>
      </c>
      <c r="I79">
        <f>_xlfn.XLOOKUP($A79,weather_2yrs!$A:$A,weather_2yrs!C:C)</f>
        <v>0</v>
      </c>
      <c r="J79">
        <f>_xlfn.XLOOKUP($A79,weather_2yrs!$A:$A,weather_2yrs!D:D)</f>
        <v>0</v>
      </c>
      <c r="K79">
        <f>_xlfn.XLOOKUP($A79,weather_2yrs!$A:$A,weather_2yrs!E:E)</f>
        <v>35</v>
      </c>
      <c r="L79">
        <f>_xlfn.XLOOKUP($A79,sales!$A:$A,sales!B:B)</f>
        <v>1</v>
      </c>
      <c r="M79" t="str">
        <f>_xlfn.XLOOKUP($A79,sales!$A:$A,sales!C:C)</f>
        <v>Miami Beach</v>
      </c>
      <c r="N79">
        <f>_xlfn.XLOOKUP($A79,sales!$A:$A,sales!D:D)</f>
        <v>279</v>
      </c>
      <c r="O79">
        <f>_xlfn.XLOOKUP($A79,sales!$A:$A,sales!E:E)</f>
        <v>5100.2700000000004</v>
      </c>
      <c r="P79" s="4">
        <f t="shared" si="5"/>
        <v>18.280537634408603</v>
      </c>
    </row>
    <row r="80" spans="1:16" x14ac:dyDescent="0.25">
      <c r="A80" s="1">
        <v>45005</v>
      </c>
      <c r="B80" s="1" t="str">
        <f t="shared" si="3"/>
        <v>Monday</v>
      </c>
      <c r="C80" s="1" t="b">
        <f t="shared" si="4"/>
        <v>0</v>
      </c>
      <c r="D80">
        <f>VLOOKUP($A80,survey_2yrs!A:B, 2)</f>
        <v>52.6</v>
      </c>
      <c r="E80">
        <f>VLOOKUP($A80,survey_2yrs!$A:C, 3)</f>
        <v>47.4</v>
      </c>
      <c r="F80">
        <f>VLOOKUP($A80,survey_2yrs!$A:D, 4)</f>
        <v>47.3</v>
      </c>
      <c r="G80">
        <f>_xlfn.XLOOKUP(A80,survey_2yrs!A:A,survey_2yrs!E:E)</f>
        <v>52.7</v>
      </c>
      <c r="H80">
        <f>_xlfn.XLOOKUP($A80,weather_2yrs!$A:$A,weather_2yrs!B:B)</f>
        <v>68.8</v>
      </c>
      <c r="I80">
        <f>_xlfn.XLOOKUP($A80,weather_2yrs!$A:$A,weather_2yrs!C:C)</f>
        <v>0.67</v>
      </c>
      <c r="J80">
        <f>_xlfn.XLOOKUP($A80,weather_2yrs!$A:$A,weather_2yrs!D:D)</f>
        <v>1</v>
      </c>
      <c r="K80">
        <f>_xlfn.XLOOKUP($A80,weather_2yrs!$A:$A,weather_2yrs!E:E)</f>
        <v>38.700000000000003</v>
      </c>
      <c r="L80">
        <f>_xlfn.XLOOKUP($A80,sales!$A:$A,sales!B:B)</f>
        <v>1</v>
      </c>
      <c r="M80" t="str">
        <f>_xlfn.XLOOKUP($A80,sales!$A:$A,sales!C:C)</f>
        <v>Miami Beach</v>
      </c>
      <c r="N80">
        <f>_xlfn.XLOOKUP($A80,sales!$A:$A,sales!D:D)</f>
        <v>219</v>
      </c>
      <c r="O80">
        <f>_xlfn.XLOOKUP($A80,sales!$A:$A,sales!E:E)</f>
        <v>4037.59</v>
      </c>
      <c r="P80" s="4">
        <f t="shared" si="5"/>
        <v>18.436484018264842</v>
      </c>
    </row>
    <row r="81" spans="1:16" x14ac:dyDescent="0.25">
      <c r="A81" s="1">
        <v>45006</v>
      </c>
      <c r="B81" s="1" t="str">
        <f t="shared" si="3"/>
        <v>Tuesday</v>
      </c>
      <c r="C81" s="1" t="b">
        <f t="shared" si="4"/>
        <v>0</v>
      </c>
      <c r="D81">
        <f>VLOOKUP($A81,survey_2yrs!A:B, 2)</f>
        <v>53.8</v>
      </c>
      <c r="E81">
        <f>VLOOKUP($A81,survey_2yrs!$A:C, 3)</f>
        <v>46.2</v>
      </c>
      <c r="F81">
        <f>VLOOKUP($A81,survey_2yrs!$A:D, 4)</f>
        <v>48.2</v>
      </c>
      <c r="G81">
        <f>_xlfn.XLOOKUP(A81,survey_2yrs!A:A,survey_2yrs!E:E)</f>
        <v>51.8</v>
      </c>
      <c r="H81">
        <f>_xlfn.XLOOKUP($A81,weather_2yrs!$A:$A,weather_2yrs!B:B)</f>
        <v>69.8</v>
      </c>
      <c r="I81">
        <f>_xlfn.XLOOKUP($A81,weather_2yrs!$A:$A,weather_2yrs!C:C)</f>
        <v>0</v>
      </c>
      <c r="J81">
        <f>_xlfn.XLOOKUP($A81,weather_2yrs!$A:$A,weather_2yrs!D:D)</f>
        <v>0</v>
      </c>
      <c r="K81">
        <f>_xlfn.XLOOKUP($A81,weather_2yrs!$A:$A,weather_2yrs!E:E)</f>
        <v>39.299999999999997</v>
      </c>
      <c r="L81">
        <f>_xlfn.XLOOKUP($A81,sales!$A:$A,sales!B:B)</f>
        <v>1</v>
      </c>
      <c r="M81" t="str">
        <f>_xlfn.XLOOKUP($A81,sales!$A:$A,sales!C:C)</f>
        <v>Miami Beach</v>
      </c>
      <c r="N81">
        <f>_xlfn.XLOOKUP($A81,sales!$A:$A,sales!D:D)</f>
        <v>225</v>
      </c>
      <c r="O81">
        <f>_xlfn.XLOOKUP($A81,sales!$A:$A,sales!E:E)</f>
        <v>4197.7299999999996</v>
      </c>
      <c r="P81" s="4">
        <f t="shared" si="5"/>
        <v>18.656577777777777</v>
      </c>
    </row>
    <row r="82" spans="1:16" x14ac:dyDescent="0.25">
      <c r="A82" s="1">
        <v>45007</v>
      </c>
      <c r="B82" s="1" t="str">
        <f t="shared" si="3"/>
        <v>Wednesday</v>
      </c>
      <c r="C82" s="1" t="b">
        <f t="shared" si="4"/>
        <v>0</v>
      </c>
      <c r="D82">
        <f>VLOOKUP($A82,survey_2yrs!A:B, 2)</f>
        <v>53.6</v>
      </c>
      <c r="E82">
        <f>VLOOKUP($A82,survey_2yrs!$A:C, 3)</f>
        <v>46.4</v>
      </c>
      <c r="F82">
        <f>VLOOKUP($A82,survey_2yrs!$A:D, 4)</f>
        <v>46.4</v>
      </c>
      <c r="G82">
        <f>_xlfn.XLOOKUP(A82,survey_2yrs!A:A,survey_2yrs!E:E)</f>
        <v>53.6</v>
      </c>
      <c r="H82">
        <f>_xlfn.XLOOKUP($A82,weather_2yrs!$A:$A,weather_2yrs!B:B)</f>
        <v>60.4</v>
      </c>
      <c r="I82">
        <f>_xlfn.XLOOKUP($A82,weather_2yrs!$A:$A,weather_2yrs!C:C)</f>
        <v>0</v>
      </c>
      <c r="J82">
        <f>_xlfn.XLOOKUP($A82,weather_2yrs!$A:$A,weather_2yrs!D:D)</f>
        <v>0</v>
      </c>
      <c r="K82">
        <f>_xlfn.XLOOKUP($A82,weather_2yrs!$A:$A,weather_2yrs!E:E)</f>
        <v>35</v>
      </c>
      <c r="L82">
        <f>_xlfn.XLOOKUP($A82,sales!$A:$A,sales!B:B)</f>
        <v>1</v>
      </c>
      <c r="M82" t="str">
        <f>_xlfn.XLOOKUP($A82,sales!$A:$A,sales!C:C)</f>
        <v>Miami Beach</v>
      </c>
      <c r="N82">
        <f>_xlfn.XLOOKUP($A82,sales!$A:$A,sales!D:D)</f>
        <v>246</v>
      </c>
      <c r="O82">
        <f>_xlfn.XLOOKUP($A82,sales!$A:$A,sales!E:E)</f>
        <v>4260.32</v>
      </c>
      <c r="P82" s="4">
        <f t="shared" si="5"/>
        <v>17.318373983739836</v>
      </c>
    </row>
    <row r="83" spans="1:16" x14ac:dyDescent="0.25">
      <c r="A83" s="1">
        <v>45008</v>
      </c>
      <c r="B83" s="1" t="str">
        <f t="shared" si="3"/>
        <v>Thursday</v>
      </c>
      <c r="C83" s="1" t="b">
        <f t="shared" si="4"/>
        <v>0</v>
      </c>
      <c r="D83">
        <f>VLOOKUP($A83,survey_2yrs!A:B, 2)</f>
        <v>52.9</v>
      </c>
      <c r="E83">
        <f>VLOOKUP($A83,survey_2yrs!$A:C, 3)</f>
        <v>47.1</v>
      </c>
      <c r="F83">
        <f>VLOOKUP($A83,survey_2yrs!$A:D, 4)</f>
        <v>48.6</v>
      </c>
      <c r="G83">
        <f>_xlfn.XLOOKUP(A83,survey_2yrs!A:A,survey_2yrs!E:E)</f>
        <v>51.4</v>
      </c>
      <c r="H83">
        <f>_xlfn.XLOOKUP($A83,weather_2yrs!$A:$A,weather_2yrs!B:B)</f>
        <v>67.900000000000006</v>
      </c>
      <c r="I83">
        <f>_xlfn.XLOOKUP($A83,weather_2yrs!$A:$A,weather_2yrs!C:C)</f>
        <v>0</v>
      </c>
      <c r="J83">
        <f>_xlfn.XLOOKUP($A83,weather_2yrs!$A:$A,weather_2yrs!D:D)</f>
        <v>0</v>
      </c>
      <c r="K83">
        <f>_xlfn.XLOOKUP($A83,weather_2yrs!$A:$A,weather_2yrs!E:E)</f>
        <v>38.200000000000003</v>
      </c>
      <c r="L83">
        <f>_xlfn.XLOOKUP($A83,sales!$A:$A,sales!B:B)</f>
        <v>1</v>
      </c>
      <c r="M83" t="str">
        <f>_xlfn.XLOOKUP($A83,sales!$A:$A,sales!C:C)</f>
        <v>Miami Beach</v>
      </c>
      <c r="N83">
        <f>_xlfn.XLOOKUP($A83,sales!$A:$A,sales!D:D)</f>
        <v>207</v>
      </c>
      <c r="O83">
        <f>_xlfn.XLOOKUP($A83,sales!$A:$A,sales!E:E)</f>
        <v>3756.61</v>
      </c>
      <c r="P83" s="4">
        <f t="shared" si="5"/>
        <v>18.147874396135265</v>
      </c>
    </row>
    <row r="84" spans="1:16" x14ac:dyDescent="0.25">
      <c r="A84" s="1">
        <v>45009</v>
      </c>
      <c r="B84" s="1" t="str">
        <f t="shared" si="3"/>
        <v>Friday</v>
      </c>
      <c r="C84" s="1" t="b">
        <f t="shared" si="4"/>
        <v>0</v>
      </c>
      <c r="D84">
        <f>VLOOKUP($A84,survey_2yrs!A:B, 2)</f>
        <v>53.2</v>
      </c>
      <c r="E84">
        <f>VLOOKUP($A84,survey_2yrs!$A:C, 3)</f>
        <v>46.8</v>
      </c>
      <c r="F84">
        <f>VLOOKUP($A84,survey_2yrs!$A:D, 4)</f>
        <v>47</v>
      </c>
      <c r="G84">
        <f>_xlfn.XLOOKUP(A84,survey_2yrs!A:A,survey_2yrs!E:E)</f>
        <v>53</v>
      </c>
      <c r="H84">
        <f>_xlfn.XLOOKUP($A84,weather_2yrs!$A:$A,weather_2yrs!B:B)</f>
        <v>63.6</v>
      </c>
      <c r="I84">
        <f>_xlfn.XLOOKUP($A84,weather_2yrs!$A:$A,weather_2yrs!C:C)</f>
        <v>0</v>
      </c>
      <c r="J84">
        <f>_xlfn.XLOOKUP($A84,weather_2yrs!$A:$A,weather_2yrs!D:D)</f>
        <v>0</v>
      </c>
      <c r="K84">
        <f>_xlfn.XLOOKUP($A84,weather_2yrs!$A:$A,weather_2yrs!E:E)</f>
        <v>39.299999999999997</v>
      </c>
      <c r="L84">
        <f>_xlfn.XLOOKUP($A84,sales!$A:$A,sales!B:B)</f>
        <v>1</v>
      </c>
      <c r="M84" t="str">
        <f>_xlfn.XLOOKUP($A84,sales!$A:$A,sales!C:C)</f>
        <v>Miami Beach</v>
      </c>
      <c r="N84">
        <f>_xlfn.XLOOKUP($A84,sales!$A:$A,sales!D:D)</f>
        <v>230</v>
      </c>
      <c r="O84">
        <f>_xlfn.XLOOKUP($A84,sales!$A:$A,sales!E:E)</f>
        <v>4240.55</v>
      </c>
      <c r="P84" s="4">
        <f t="shared" si="5"/>
        <v>18.43717391304348</v>
      </c>
    </row>
    <row r="85" spans="1:16" x14ac:dyDescent="0.25">
      <c r="A85" s="1">
        <v>45010</v>
      </c>
      <c r="B85" s="1" t="str">
        <f t="shared" si="3"/>
        <v>Saturday</v>
      </c>
      <c r="C85" s="1" t="b">
        <f t="shared" si="4"/>
        <v>1</v>
      </c>
      <c r="D85">
        <f>VLOOKUP($A85,survey_2yrs!A:B, 2)</f>
        <v>51</v>
      </c>
      <c r="E85">
        <f>VLOOKUP($A85,survey_2yrs!$A:C, 3)</f>
        <v>49</v>
      </c>
      <c r="F85">
        <f>VLOOKUP($A85,survey_2yrs!$A:D, 4)</f>
        <v>52.7</v>
      </c>
      <c r="G85">
        <f>_xlfn.XLOOKUP(A85,survey_2yrs!A:A,survey_2yrs!E:E)</f>
        <v>47.3</v>
      </c>
      <c r="H85">
        <f>_xlfn.XLOOKUP($A85,weather_2yrs!$A:$A,weather_2yrs!B:B)</f>
        <v>61.9</v>
      </c>
      <c r="I85">
        <f>_xlfn.XLOOKUP($A85,weather_2yrs!$A:$A,weather_2yrs!C:C)</f>
        <v>0</v>
      </c>
      <c r="J85">
        <f>_xlfn.XLOOKUP($A85,weather_2yrs!$A:$A,weather_2yrs!D:D)</f>
        <v>0</v>
      </c>
      <c r="K85">
        <f>_xlfn.XLOOKUP($A85,weather_2yrs!$A:$A,weather_2yrs!E:E)</f>
        <v>41.9</v>
      </c>
      <c r="L85">
        <f>_xlfn.XLOOKUP($A85,sales!$A:$A,sales!B:B)</f>
        <v>1</v>
      </c>
      <c r="M85" t="str">
        <f>_xlfn.XLOOKUP($A85,sales!$A:$A,sales!C:C)</f>
        <v>Miami Beach</v>
      </c>
      <c r="N85">
        <f>_xlfn.XLOOKUP($A85,sales!$A:$A,sales!D:D)</f>
        <v>273</v>
      </c>
      <c r="O85">
        <f>_xlfn.XLOOKUP($A85,sales!$A:$A,sales!E:E)</f>
        <v>5133.17</v>
      </c>
      <c r="P85" s="4">
        <f t="shared" si="5"/>
        <v>18.802820512820514</v>
      </c>
    </row>
    <row r="86" spans="1:16" x14ac:dyDescent="0.25">
      <c r="A86" s="1">
        <v>45011</v>
      </c>
      <c r="B86" s="1" t="str">
        <f t="shared" si="3"/>
        <v>Sunday</v>
      </c>
      <c r="C86" s="1" t="b">
        <f t="shared" si="4"/>
        <v>1</v>
      </c>
      <c r="D86">
        <f>VLOOKUP($A86,survey_2yrs!A:B, 2)</f>
        <v>52.6</v>
      </c>
      <c r="E86">
        <f>VLOOKUP($A86,survey_2yrs!$A:C, 3)</f>
        <v>47.4</v>
      </c>
      <c r="F86">
        <f>VLOOKUP($A86,survey_2yrs!$A:D, 4)</f>
        <v>53.1</v>
      </c>
      <c r="G86">
        <f>_xlfn.XLOOKUP(A86,survey_2yrs!A:A,survey_2yrs!E:E)</f>
        <v>46.9</v>
      </c>
      <c r="H86">
        <f>_xlfn.XLOOKUP($A86,weather_2yrs!$A:$A,weather_2yrs!B:B)</f>
        <v>66.5</v>
      </c>
      <c r="I86">
        <f>_xlfn.XLOOKUP($A86,weather_2yrs!$A:$A,weather_2yrs!C:C)</f>
        <v>0</v>
      </c>
      <c r="J86">
        <f>_xlfn.XLOOKUP($A86,weather_2yrs!$A:$A,weather_2yrs!D:D)</f>
        <v>0</v>
      </c>
      <c r="K86">
        <f>_xlfn.XLOOKUP($A86,weather_2yrs!$A:$A,weather_2yrs!E:E)</f>
        <v>35</v>
      </c>
      <c r="L86">
        <f>_xlfn.XLOOKUP($A86,sales!$A:$A,sales!B:B)</f>
        <v>1</v>
      </c>
      <c r="M86" t="str">
        <f>_xlfn.XLOOKUP($A86,sales!$A:$A,sales!C:C)</f>
        <v>Miami Beach</v>
      </c>
      <c r="N86">
        <f>_xlfn.XLOOKUP($A86,sales!$A:$A,sales!D:D)</f>
        <v>241</v>
      </c>
      <c r="O86">
        <f>_xlfn.XLOOKUP($A86,sales!$A:$A,sales!E:E)</f>
        <v>4677.63</v>
      </c>
      <c r="P86" s="4">
        <f t="shared" si="5"/>
        <v>19.409253112033195</v>
      </c>
    </row>
    <row r="87" spans="1:16" x14ac:dyDescent="0.25">
      <c r="A87" s="1">
        <v>45012</v>
      </c>
      <c r="B87" s="1" t="str">
        <f t="shared" si="3"/>
        <v>Monday</v>
      </c>
      <c r="C87" s="1" t="b">
        <f t="shared" si="4"/>
        <v>0</v>
      </c>
      <c r="D87">
        <f>VLOOKUP($A87,survey_2yrs!A:B, 2)</f>
        <v>53.3</v>
      </c>
      <c r="E87">
        <f>VLOOKUP($A87,survey_2yrs!$A:C, 3)</f>
        <v>46.7</v>
      </c>
      <c r="F87">
        <f>VLOOKUP($A87,survey_2yrs!$A:D, 4)</f>
        <v>47.5</v>
      </c>
      <c r="G87">
        <f>_xlfn.XLOOKUP(A87,survey_2yrs!A:A,survey_2yrs!E:E)</f>
        <v>52.5</v>
      </c>
      <c r="H87">
        <f>_xlfn.XLOOKUP($A87,weather_2yrs!$A:$A,weather_2yrs!B:B)</f>
        <v>67.8</v>
      </c>
      <c r="I87">
        <f>_xlfn.XLOOKUP($A87,weather_2yrs!$A:$A,weather_2yrs!C:C)</f>
        <v>0</v>
      </c>
      <c r="J87">
        <f>_xlfn.XLOOKUP($A87,weather_2yrs!$A:$A,weather_2yrs!D:D)</f>
        <v>0</v>
      </c>
      <c r="K87">
        <f>_xlfn.XLOOKUP($A87,weather_2yrs!$A:$A,weather_2yrs!E:E)</f>
        <v>38.299999999999997</v>
      </c>
      <c r="L87">
        <f>_xlfn.XLOOKUP($A87,sales!$A:$A,sales!B:B)</f>
        <v>1</v>
      </c>
      <c r="M87" t="str">
        <f>_xlfn.XLOOKUP($A87,sales!$A:$A,sales!C:C)</f>
        <v>Miami Beach</v>
      </c>
      <c r="N87">
        <f>_xlfn.XLOOKUP($A87,sales!$A:$A,sales!D:D)</f>
        <v>215</v>
      </c>
      <c r="O87">
        <f>_xlfn.XLOOKUP($A87,sales!$A:$A,sales!E:E)</f>
        <v>3672.85</v>
      </c>
      <c r="P87" s="4">
        <f t="shared" si="5"/>
        <v>17.083023255813952</v>
      </c>
    </row>
    <row r="88" spans="1:16" x14ac:dyDescent="0.25">
      <c r="A88" s="1">
        <v>45013</v>
      </c>
      <c r="B88" s="1" t="str">
        <f t="shared" si="3"/>
        <v>Tuesday</v>
      </c>
      <c r="C88" s="1" t="b">
        <f t="shared" si="4"/>
        <v>0</v>
      </c>
      <c r="D88">
        <f>VLOOKUP($A88,survey_2yrs!A:B, 2)</f>
        <v>52.2</v>
      </c>
      <c r="E88">
        <f>VLOOKUP($A88,survey_2yrs!$A:C, 3)</f>
        <v>47.8</v>
      </c>
      <c r="F88">
        <f>VLOOKUP($A88,survey_2yrs!$A:D, 4)</f>
        <v>47.7</v>
      </c>
      <c r="G88">
        <f>_xlfn.XLOOKUP(A88,survey_2yrs!A:A,survey_2yrs!E:E)</f>
        <v>52.3</v>
      </c>
      <c r="H88">
        <f>_xlfn.XLOOKUP($A88,weather_2yrs!$A:$A,weather_2yrs!B:B)</f>
        <v>62.2</v>
      </c>
      <c r="I88">
        <f>_xlfn.XLOOKUP($A88,weather_2yrs!$A:$A,weather_2yrs!C:C)</f>
        <v>0</v>
      </c>
      <c r="J88">
        <f>_xlfn.XLOOKUP($A88,weather_2yrs!$A:$A,weather_2yrs!D:D)</f>
        <v>0</v>
      </c>
      <c r="K88">
        <f>_xlfn.XLOOKUP($A88,weather_2yrs!$A:$A,weather_2yrs!E:E)</f>
        <v>43.5</v>
      </c>
      <c r="L88">
        <f>_xlfn.XLOOKUP($A88,sales!$A:$A,sales!B:B)</f>
        <v>1</v>
      </c>
      <c r="M88" t="str">
        <f>_xlfn.XLOOKUP($A88,sales!$A:$A,sales!C:C)</f>
        <v>Miami Beach</v>
      </c>
      <c r="N88">
        <f>_xlfn.XLOOKUP($A88,sales!$A:$A,sales!D:D)</f>
        <v>176</v>
      </c>
      <c r="O88">
        <f>_xlfn.XLOOKUP($A88,sales!$A:$A,sales!E:E)</f>
        <v>2986.03</v>
      </c>
      <c r="P88" s="4">
        <f t="shared" si="5"/>
        <v>16.966079545454548</v>
      </c>
    </row>
    <row r="89" spans="1:16" x14ac:dyDescent="0.25">
      <c r="A89" s="1">
        <v>45014</v>
      </c>
      <c r="B89" s="1" t="str">
        <f t="shared" si="3"/>
        <v>Wednesday</v>
      </c>
      <c r="C89" s="1" t="b">
        <f t="shared" si="4"/>
        <v>0</v>
      </c>
      <c r="D89">
        <f>VLOOKUP($A89,survey_2yrs!A:B, 2)</f>
        <v>52.5</v>
      </c>
      <c r="E89">
        <f>VLOOKUP($A89,survey_2yrs!$A:C, 3)</f>
        <v>47.5</v>
      </c>
      <c r="F89">
        <f>VLOOKUP($A89,survey_2yrs!$A:D, 4)</f>
        <v>45.7</v>
      </c>
      <c r="G89">
        <f>_xlfn.XLOOKUP(A89,survey_2yrs!A:A,survey_2yrs!E:E)</f>
        <v>54.3</v>
      </c>
      <c r="H89">
        <f>_xlfn.XLOOKUP($A89,weather_2yrs!$A:$A,weather_2yrs!B:B)</f>
        <v>62.5</v>
      </c>
      <c r="I89">
        <f>_xlfn.XLOOKUP($A89,weather_2yrs!$A:$A,weather_2yrs!C:C)</f>
        <v>0</v>
      </c>
      <c r="J89">
        <f>_xlfn.XLOOKUP($A89,weather_2yrs!$A:$A,weather_2yrs!D:D)</f>
        <v>0</v>
      </c>
      <c r="K89">
        <f>_xlfn.XLOOKUP($A89,weather_2yrs!$A:$A,weather_2yrs!E:E)</f>
        <v>39.200000000000003</v>
      </c>
      <c r="L89">
        <f>_xlfn.XLOOKUP($A89,sales!$A:$A,sales!B:B)</f>
        <v>1</v>
      </c>
      <c r="M89" t="str">
        <f>_xlfn.XLOOKUP($A89,sales!$A:$A,sales!C:C)</f>
        <v>Miami Beach</v>
      </c>
      <c r="N89">
        <f>_xlfn.XLOOKUP($A89,sales!$A:$A,sales!D:D)</f>
        <v>237</v>
      </c>
      <c r="O89">
        <f>_xlfn.XLOOKUP($A89,sales!$A:$A,sales!E:E)</f>
        <v>4738.16</v>
      </c>
      <c r="P89" s="4">
        <f t="shared" si="5"/>
        <v>19.99223628691983</v>
      </c>
    </row>
    <row r="90" spans="1:16" x14ac:dyDescent="0.25">
      <c r="A90" s="1">
        <v>45015</v>
      </c>
      <c r="B90" s="1" t="str">
        <f t="shared" si="3"/>
        <v>Thursday</v>
      </c>
      <c r="C90" s="1" t="b">
        <f t="shared" si="4"/>
        <v>0</v>
      </c>
      <c r="D90">
        <f>VLOOKUP($A90,survey_2yrs!A:B, 2)</f>
        <v>52.7</v>
      </c>
      <c r="E90">
        <f>VLOOKUP($A90,survey_2yrs!$A:C, 3)</f>
        <v>47.3</v>
      </c>
      <c r="F90">
        <f>VLOOKUP($A90,survey_2yrs!$A:D, 4)</f>
        <v>45.7</v>
      </c>
      <c r="G90">
        <f>_xlfn.XLOOKUP(A90,survey_2yrs!A:A,survey_2yrs!E:E)</f>
        <v>54.3</v>
      </c>
      <c r="H90">
        <f>_xlfn.XLOOKUP($A90,weather_2yrs!$A:$A,weather_2yrs!B:B)</f>
        <v>70.3</v>
      </c>
      <c r="I90">
        <f>_xlfn.XLOOKUP($A90,weather_2yrs!$A:$A,weather_2yrs!C:C)</f>
        <v>0</v>
      </c>
      <c r="J90">
        <f>_xlfn.XLOOKUP($A90,weather_2yrs!$A:$A,weather_2yrs!D:D)</f>
        <v>0</v>
      </c>
      <c r="K90">
        <f>_xlfn.XLOOKUP($A90,weather_2yrs!$A:$A,weather_2yrs!E:E)</f>
        <v>40.5</v>
      </c>
      <c r="L90">
        <f>_xlfn.XLOOKUP($A90,sales!$A:$A,sales!B:B)</f>
        <v>1</v>
      </c>
      <c r="M90" t="str">
        <f>_xlfn.XLOOKUP($A90,sales!$A:$A,sales!C:C)</f>
        <v>Miami Beach</v>
      </c>
      <c r="N90">
        <f>_xlfn.XLOOKUP($A90,sales!$A:$A,sales!D:D)</f>
        <v>238</v>
      </c>
      <c r="O90">
        <f>_xlfn.XLOOKUP($A90,sales!$A:$A,sales!E:E)</f>
        <v>4250.8900000000003</v>
      </c>
      <c r="P90" s="4">
        <f t="shared" si="5"/>
        <v>17.860882352941179</v>
      </c>
    </row>
    <row r="91" spans="1:16" x14ac:dyDescent="0.25">
      <c r="A91" s="1">
        <v>45016</v>
      </c>
      <c r="B91" s="1" t="str">
        <f t="shared" si="3"/>
        <v>Friday</v>
      </c>
      <c r="C91" s="1" t="b">
        <f t="shared" si="4"/>
        <v>0</v>
      </c>
      <c r="D91">
        <f>VLOOKUP($A91,survey_2yrs!A:B, 2)</f>
        <v>51.8</v>
      </c>
      <c r="E91">
        <f>VLOOKUP($A91,survey_2yrs!$A:C, 3)</f>
        <v>48.2</v>
      </c>
      <c r="F91">
        <f>VLOOKUP($A91,survey_2yrs!$A:D, 4)</f>
        <v>47.2</v>
      </c>
      <c r="G91">
        <f>_xlfn.XLOOKUP(A91,survey_2yrs!A:A,survey_2yrs!E:E)</f>
        <v>52.8</v>
      </c>
      <c r="H91">
        <f>_xlfn.XLOOKUP($A91,weather_2yrs!$A:$A,weather_2yrs!B:B)</f>
        <v>66.5</v>
      </c>
      <c r="I91">
        <f>_xlfn.XLOOKUP($A91,weather_2yrs!$A:$A,weather_2yrs!C:C)</f>
        <v>0</v>
      </c>
      <c r="J91">
        <f>_xlfn.XLOOKUP($A91,weather_2yrs!$A:$A,weather_2yrs!D:D)</f>
        <v>0</v>
      </c>
      <c r="K91">
        <f>_xlfn.XLOOKUP($A91,weather_2yrs!$A:$A,weather_2yrs!E:E)</f>
        <v>42.4</v>
      </c>
      <c r="L91">
        <f>_xlfn.XLOOKUP($A91,sales!$A:$A,sales!B:B)</f>
        <v>1</v>
      </c>
      <c r="M91" t="str">
        <f>_xlfn.XLOOKUP($A91,sales!$A:$A,sales!C:C)</f>
        <v>Miami Beach</v>
      </c>
      <c r="N91">
        <f>_xlfn.XLOOKUP($A91,sales!$A:$A,sales!D:D)</f>
        <v>243</v>
      </c>
      <c r="O91">
        <f>_xlfn.XLOOKUP($A91,sales!$A:$A,sales!E:E)</f>
        <v>4293.21</v>
      </c>
      <c r="P91" s="4">
        <f t="shared" si="5"/>
        <v>17.667530864197531</v>
      </c>
    </row>
    <row r="92" spans="1:16" x14ac:dyDescent="0.25">
      <c r="A92" s="1">
        <v>45017</v>
      </c>
      <c r="B92" s="1" t="str">
        <f t="shared" si="3"/>
        <v>Saturday</v>
      </c>
      <c r="C92" s="1" t="b">
        <f t="shared" si="4"/>
        <v>1</v>
      </c>
      <c r="D92">
        <f>VLOOKUP($A92,survey_2yrs!A:B, 2)</f>
        <v>50.9</v>
      </c>
      <c r="E92">
        <f>VLOOKUP($A92,survey_2yrs!$A:C, 3)</f>
        <v>49.1</v>
      </c>
      <c r="F92">
        <f>VLOOKUP($A92,survey_2yrs!$A:D, 4)</f>
        <v>53.4</v>
      </c>
      <c r="G92">
        <f>_xlfn.XLOOKUP(A92,survey_2yrs!A:A,survey_2yrs!E:E)</f>
        <v>46.6</v>
      </c>
      <c r="H92">
        <f>_xlfn.XLOOKUP($A92,weather_2yrs!$A:$A,weather_2yrs!B:B)</f>
        <v>65.8</v>
      </c>
      <c r="I92">
        <f>_xlfn.XLOOKUP($A92,weather_2yrs!$A:$A,weather_2yrs!C:C)</f>
        <v>0</v>
      </c>
      <c r="J92">
        <f>_xlfn.XLOOKUP($A92,weather_2yrs!$A:$A,weather_2yrs!D:D)</f>
        <v>0</v>
      </c>
      <c r="K92">
        <f>_xlfn.XLOOKUP($A92,weather_2yrs!$A:$A,weather_2yrs!E:E)</f>
        <v>37</v>
      </c>
      <c r="L92">
        <f>_xlfn.XLOOKUP($A92,sales!$A:$A,sales!B:B)</f>
        <v>1</v>
      </c>
      <c r="M92" t="str">
        <f>_xlfn.XLOOKUP($A92,sales!$A:$A,sales!C:C)</f>
        <v>Miami Beach</v>
      </c>
      <c r="N92">
        <f>_xlfn.XLOOKUP($A92,sales!$A:$A,sales!D:D)</f>
        <v>255</v>
      </c>
      <c r="O92">
        <f>_xlfn.XLOOKUP($A92,sales!$A:$A,sales!E:E)</f>
        <v>4932.47</v>
      </c>
      <c r="P92" s="4">
        <f t="shared" si="5"/>
        <v>19.343019607843139</v>
      </c>
    </row>
    <row r="93" spans="1:16" x14ac:dyDescent="0.25">
      <c r="A93" s="1">
        <v>45018</v>
      </c>
      <c r="B93" s="1" t="str">
        <f t="shared" si="3"/>
        <v>Sunday</v>
      </c>
      <c r="C93" s="1" t="b">
        <f t="shared" si="4"/>
        <v>1</v>
      </c>
      <c r="D93">
        <f>VLOOKUP($A93,survey_2yrs!A:B, 2)</f>
        <v>51.6</v>
      </c>
      <c r="E93">
        <f>VLOOKUP($A93,survey_2yrs!$A:C, 3)</f>
        <v>48.4</v>
      </c>
      <c r="F93">
        <f>VLOOKUP($A93,survey_2yrs!$A:D, 4)</f>
        <v>52.3</v>
      </c>
      <c r="G93">
        <f>_xlfn.XLOOKUP(A93,survey_2yrs!A:A,survey_2yrs!E:E)</f>
        <v>47.7</v>
      </c>
      <c r="H93">
        <f>_xlfn.XLOOKUP($A93,weather_2yrs!$A:$A,weather_2yrs!B:B)</f>
        <v>67.099999999999994</v>
      </c>
      <c r="I93">
        <f>_xlfn.XLOOKUP($A93,weather_2yrs!$A:$A,weather_2yrs!C:C)</f>
        <v>0</v>
      </c>
      <c r="J93">
        <f>_xlfn.XLOOKUP($A93,weather_2yrs!$A:$A,weather_2yrs!D:D)</f>
        <v>0</v>
      </c>
      <c r="K93">
        <f>_xlfn.XLOOKUP($A93,weather_2yrs!$A:$A,weather_2yrs!E:E)</f>
        <v>35</v>
      </c>
      <c r="L93">
        <f>_xlfn.XLOOKUP($A93,sales!$A:$A,sales!B:B)</f>
        <v>1</v>
      </c>
      <c r="M93" t="str">
        <f>_xlfn.XLOOKUP($A93,sales!$A:$A,sales!C:C)</f>
        <v>Miami Beach</v>
      </c>
      <c r="N93">
        <f>_xlfn.XLOOKUP($A93,sales!$A:$A,sales!D:D)</f>
        <v>246</v>
      </c>
      <c r="O93">
        <f>_xlfn.XLOOKUP($A93,sales!$A:$A,sales!E:E)</f>
        <v>4579.41</v>
      </c>
      <c r="P93" s="4">
        <f t="shared" si="5"/>
        <v>18.615487804878047</v>
      </c>
    </row>
    <row r="94" spans="1:16" x14ac:dyDescent="0.25">
      <c r="A94" s="1">
        <v>45019</v>
      </c>
      <c r="B94" s="1" t="str">
        <f t="shared" si="3"/>
        <v>Monday</v>
      </c>
      <c r="C94" s="1" t="b">
        <f t="shared" si="4"/>
        <v>0</v>
      </c>
      <c r="D94">
        <f>VLOOKUP($A94,survey_2yrs!A:B, 2)</f>
        <v>53.3</v>
      </c>
      <c r="E94">
        <f>VLOOKUP($A94,survey_2yrs!$A:C, 3)</f>
        <v>46.7</v>
      </c>
      <c r="F94">
        <f>VLOOKUP($A94,survey_2yrs!$A:D, 4)</f>
        <v>46.2</v>
      </c>
      <c r="G94">
        <f>_xlfn.XLOOKUP(A94,survey_2yrs!A:A,survey_2yrs!E:E)</f>
        <v>53.8</v>
      </c>
      <c r="H94">
        <f>_xlfn.XLOOKUP($A94,weather_2yrs!$A:$A,weather_2yrs!B:B)</f>
        <v>70.5</v>
      </c>
      <c r="I94">
        <f>_xlfn.XLOOKUP($A94,weather_2yrs!$A:$A,weather_2yrs!C:C)</f>
        <v>0</v>
      </c>
      <c r="J94">
        <f>_xlfn.XLOOKUP($A94,weather_2yrs!$A:$A,weather_2yrs!D:D)</f>
        <v>0</v>
      </c>
      <c r="K94">
        <f>_xlfn.XLOOKUP($A94,weather_2yrs!$A:$A,weather_2yrs!E:E)</f>
        <v>44</v>
      </c>
      <c r="L94">
        <f>_xlfn.XLOOKUP($A94,sales!$A:$A,sales!B:B)</f>
        <v>1</v>
      </c>
      <c r="M94" t="str">
        <f>_xlfn.XLOOKUP($A94,sales!$A:$A,sales!C:C)</f>
        <v>Miami Beach</v>
      </c>
      <c r="N94">
        <f>_xlfn.XLOOKUP($A94,sales!$A:$A,sales!D:D)</f>
        <v>250</v>
      </c>
      <c r="O94">
        <f>_xlfn.XLOOKUP($A94,sales!$A:$A,sales!E:E)</f>
        <v>4251.84</v>
      </c>
      <c r="P94" s="4">
        <f t="shared" si="5"/>
        <v>17.007360000000002</v>
      </c>
    </row>
    <row r="95" spans="1:16" x14ac:dyDescent="0.25">
      <c r="A95" s="1">
        <v>45020</v>
      </c>
      <c r="B95" s="1" t="str">
        <f t="shared" si="3"/>
        <v>Tuesday</v>
      </c>
      <c r="C95" s="1" t="b">
        <f t="shared" si="4"/>
        <v>0</v>
      </c>
      <c r="D95">
        <f>VLOOKUP($A95,survey_2yrs!A:B, 2)</f>
        <v>50.9</v>
      </c>
      <c r="E95">
        <f>VLOOKUP($A95,survey_2yrs!$A:C, 3)</f>
        <v>49.1</v>
      </c>
      <c r="F95">
        <f>VLOOKUP($A95,survey_2yrs!$A:D, 4)</f>
        <v>46.7</v>
      </c>
      <c r="G95">
        <f>_xlfn.XLOOKUP(A95,survey_2yrs!A:A,survey_2yrs!E:E)</f>
        <v>53.3</v>
      </c>
      <c r="H95">
        <f>_xlfn.XLOOKUP($A95,weather_2yrs!$A:$A,weather_2yrs!B:B)</f>
        <v>68</v>
      </c>
      <c r="I95">
        <f>_xlfn.XLOOKUP($A95,weather_2yrs!$A:$A,weather_2yrs!C:C)</f>
        <v>0.17</v>
      </c>
      <c r="J95">
        <f>_xlfn.XLOOKUP($A95,weather_2yrs!$A:$A,weather_2yrs!D:D)</f>
        <v>1</v>
      </c>
      <c r="K95">
        <f>_xlfn.XLOOKUP($A95,weather_2yrs!$A:$A,weather_2yrs!E:E)</f>
        <v>38.1</v>
      </c>
      <c r="L95">
        <f>_xlfn.XLOOKUP($A95,sales!$A:$A,sales!B:B)</f>
        <v>1</v>
      </c>
      <c r="M95" t="str">
        <f>_xlfn.XLOOKUP($A95,sales!$A:$A,sales!C:C)</f>
        <v>Miami Beach</v>
      </c>
      <c r="N95">
        <f>_xlfn.XLOOKUP($A95,sales!$A:$A,sales!D:D)</f>
        <v>213</v>
      </c>
      <c r="O95">
        <f>_xlfn.XLOOKUP($A95,sales!$A:$A,sales!E:E)</f>
        <v>3719.27</v>
      </c>
      <c r="P95" s="4">
        <f t="shared" si="5"/>
        <v>17.461361502347419</v>
      </c>
    </row>
    <row r="96" spans="1:16" x14ac:dyDescent="0.25">
      <c r="A96" s="1">
        <v>45021</v>
      </c>
      <c r="B96" s="1" t="str">
        <f t="shared" si="3"/>
        <v>Wednesday</v>
      </c>
      <c r="C96" s="1" t="b">
        <f t="shared" si="4"/>
        <v>0</v>
      </c>
      <c r="D96">
        <f>VLOOKUP($A96,survey_2yrs!A:B, 2)</f>
        <v>53.3</v>
      </c>
      <c r="E96">
        <f>VLOOKUP($A96,survey_2yrs!$A:C, 3)</f>
        <v>46.7</v>
      </c>
      <c r="F96">
        <f>VLOOKUP($A96,survey_2yrs!$A:D, 4)</f>
        <v>47.7</v>
      </c>
      <c r="G96">
        <f>_xlfn.XLOOKUP(A96,survey_2yrs!A:A,survey_2yrs!E:E)</f>
        <v>52.3</v>
      </c>
      <c r="H96">
        <f>_xlfn.XLOOKUP($A96,weather_2yrs!$A:$A,weather_2yrs!B:B)</f>
        <v>62.9</v>
      </c>
      <c r="I96">
        <f>_xlfn.XLOOKUP($A96,weather_2yrs!$A:$A,weather_2yrs!C:C)</f>
        <v>0</v>
      </c>
      <c r="J96">
        <f>_xlfn.XLOOKUP($A96,weather_2yrs!$A:$A,weather_2yrs!D:D)</f>
        <v>0</v>
      </c>
      <c r="K96">
        <f>_xlfn.XLOOKUP($A96,weather_2yrs!$A:$A,weather_2yrs!E:E)</f>
        <v>45.5</v>
      </c>
      <c r="L96">
        <f>_xlfn.XLOOKUP($A96,sales!$A:$A,sales!B:B)</f>
        <v>1</v>
      </c>
      <c r="M96" t="str">
        <f>_xlfn.XLOOKUP($A96,sales!$A:$A,sales!C:C)</f>
        <v>Miami Beach</v>
      </c>
      <c r="N96">
        <f>_xlfn.XLOOKUP($A96,sales!$A:$A,sales!D:D)</f>
        <v>210</v>
      </c>
      <c r="O96">
        <f>_xlfn.XLOOKUP($A96,sales!$A:$A,sales!E:E)</f>
        <v>4002.25</v>
      </c>
      <c r="P96" s="4">
        <f t="shared" si="5"/>
        <v>19.058333333333334</v>
      </c>
    </row>
    <row r="97" spans="1:16" x14ac:dyDescent="0.25">
      <c r="A97" s="1">
        <v>45022</v>
      </c>
      <c r="B97" s="1" t="str">
        <f t="shared" si="3"/>
        <v>Thursday</v>
      </c>
      <c r="C97" s="1" t="b">
        <f t="shared" si="4"/>
        <v>0</v>
      </c>
      <c r="D97">
        <f>VLOOKUP($A97,survey_2yrs!A:B, 2)</f>
        <v>51.2</v>
      </c>
      <c r="E97">
        <f>VLOOKUP($A97,survey_2yrs!$A:C, 3)</f>
        <v>48.8</v>
      </c>
      <c r="F97">
        <f>VLOOKUP($A97,survey_2yrs!$A:D, 4)</f>
        <v>47.4</v>
      </c>
      <c r="G97">
        <f>_xlfn.XLOOKUP(A97,survey_2yrs!A:A,survey_2yrs!E:E)</f>
        <v>52.6</v>
      </c>
      <c r="H97">
        <f>_xlfn.XLOOKUP($A97,weather_2yrs!$A:$A,weather_2yrs!B:B)</f>
        <v>62.9</v>
      </c>
      <c r="I97">
        <f>_xlfn.XLOOKUP($A97,weather_2yrs!$A:$A,weather_2yrs!C:C)</f>
        <v>0</v>
      </c>
      <c r="J97">
        <f>_xlfn.XLOOKUP($A97,weather_2yrs!$A:$A,weather_2yrs!D:D)</f>
        <v>0</v>
      </c>
      <c r="K97">
        <f>_xlfn.XLOOKUP($A97,weather_2yrs!$A:$A,weather_2yrs!E:E)</f>
        <v>36.9</v>
      </c>
      <c r="L97">
        <f>_xlfn.XLOOKUP($A97,sales!$A:$A,sales!B:B)</f>
        <v>1</v>
      </c>
      <c r="M97" t="str">
        <f>_xlfn.XLOOKUP($A97,sales!$A:$A,sales!C:C)</f>
        <v>Miami Beach</v>
      </c>
      <c r="N97">
        <f>_xlfn.XLOOKUP($A97,sales!$A:$A,sales!D:D)</f>
        <v>270</v>
      </c>
      <c r="O97">
        <f>_xlfn.XLOOKUP($A97,sales!$A:$A,sales!E:E)</f>
        <v>4812.1899999999996</v>
      </c>
      <c r="P97" s="4">
        <f t="shared" si="5"/>
        <v>17.822925925925926</v>
      </c>
    </row>
    <row r="98" spans="1:16" x14ac:dyDescent="0.25">
      <c r="A98" s="1">
        <v>45023</v>
      </c>
      <c r="B98" s="1" t="str">
        <f t="shared" si="3"/>
        <v>Friday</v>
      </c>
      <c r="C98" s="1" t="b">
        <f t="shared" si="4"/>
        <v>0</v>
      </c>
      <c r="D98">
        <f>VLOOKUP($A98,survey_2yrs!A:B, 2)</f>
        <v>51.6</v>
      </c>
      <c r="E98">
        <f>VLOOKUP($A98,survey_2yrs!$A:C, 3)</f>
        <v>48.4</v>
      </c>
      <c r="F98">
        <f>VLOOKUP($A98,survey_2yrs!$A:D, 4)</f>
        <v>48.5</v>
      </c>
      <c r="G98">
        <f>_xlfn.XLOOKUP(A98,survey_2yrs!A:A,survey_2yrs!E:E)</f>
        <v>51.5</v>
      </c>
      <c r="H98">
        <f>_xlfn.XLOOKUP($A98,weather_2yrs!$A:$A,weather_2yrs!B:B)</f>
        <v>65.3</v>
      </c>
      <c r="I98">
        <f>_xlfn.XLOOKUP($A98,weather_2yrs!$A:$A,weather_2yrs!C:C)</f>
        <v>0</v>
      </c>
      <c r="J98">
        <f>_xlfn.XLOOKUP($A98,weather_2yrs!$A:$A,weather_2yrs!D:D)</f>
        <v>0</v>
      </c>
      <c r="K98">
        <f>_xlfn.XLOOKUP($A98,weather_2yrs!$A:$A,weather_2yrs!E:E)</f>
        <v>35.4</v>
      </c>
      <c r="L98">
        <f>_xlfn.XLOOKUP($A98,sales!$A:$A,sales!B:B)</f>
        <v>1</v>
      </c>
      <c r="M98" t="str">
        <f>_xlfn.XLOOKUP($A98,sales!$A:$A,sales!C:C)</f>
        <v>Miami Beach</v>
      </c>
      <c r="N98">
        <f>_xlfn.XLOOKUP($A98,sales!$A:$A,sales!D:D)</f>
        <v>247</v>
      </c>
      <c r="O98">
        <f>_xlfn.XLOOKUP($A98,sales!$A:$A,sales!E:E)</f>
        <v>4709.58</v>
      </c>
      <c r="P98" s="4">
        <f t="shared" si="5"/>
        <v>19.067125506072873</v>
      </c>
    </row>
    <row r="99" spans="1:16" x14ac:dyDescent="0.25">
      <c r="A99" s="1">
        <v>45024</v>
      </c>
      <c r="B99" s="1" t="str">
        <f t="shared" si="3"/>
        <v>Saturday</v>
      </c>
      <c r="C99" s="1" t="b">
        <f t="shared" si="4"/>
        <v>1</v>
      </c>
      <c r="D99">
        <f>VLOOKUP($A99,survey_2yrs!A:B, 2)</f>
        <v>50.8</v>
      </c>
      <c r="E99">
        <f>VLOOKUP($A99,survey_2yrs!$A:C, 3)</f>
        <v>49.2</v>
      </c>
      <c r="F99">
        <f>VLOOKUP($A99,survey_2yrs!$A:D, 4)</f>
        <v>54</v>
      </c>
      <c r="G99">
        <f>_xlfn.XLOOKUP(A99,survey_2yrs!A:A,survey_2yrs!E:E)</f>
        <v>46</v>
      </c>
      <c r="H99">
        <f>_xlfn.XLOOKUP($A99,weather_2yrs!$A:$A,weather_2yrs!B:B)</f>
        <v>61.2</v>
      </c>
      <c r="I99">
        <f>_xlfn.XLOOKUP($A99,weather_2yrs!$A:$A,weather_2yrs!C:C)</f>
        <v>0</v>
      </c>
      <c r="J99">
        <f>_xlfn.XLOOKUP($A99,weather_2yrs!$A:$A,weather_2yrs!D:D)</f>
        <v>0</v>
      </c>
      <c r="K99">
        <f>_xlfn.XLOOKUP($A99,weather_2yrs!$A:$A,weather_2yrs!E:E)</f>
        <v>38.4</v>
      </c>
      <c r="L99">
        <f>_xlfn.XLOOKUP($A99,sales!$A:$A,sales!B:B)</f>
        <v>1</v>
      </c>
      <c r="M99" t="str">
        <f>_xlfn.XLOOKUP($A99,sales!$A:$A,sales!C:C)</f>
        <v>Miami Beach</v>
      </c>
      <c r="N99">
        <f>_xlfn.XLOOKUP($A99,sales!$A:$A,sales!D:D)</f>
        <v>277</v>
      </c>
      <c r="O99">
        <f>_xlfn.XLOOKUP($A99,sales!$A:$A,sales!E:E)</f>
        <v>5250.88</v>
      </c>
      <c r="P99" s="4">
        <f t="shared" si="5"/>
        <v>18.956245487364622</v>
      </c>
    </row>
    <row r="100" spans="1:16" x14ac:dyDescent="0.25">
      <c r="A100" s="1">
        <v>45025</v>
      </c>
      <c r="B100" s="1" t="str">
        <f t="shared" si="3"/>
        <v>Sunday</v>
      </c>
      <c r="C100" s="1" t="b">
        <f t="shared" si="4"/>
        <v>1</v>
      </c>
      <c r="D100">
        <f>VLOOKUP($A100,survey_2yrs!A:B, 2)</f>
        <v>52.5</v>
      </c>
      <c r="E100">
        <f>VLOOKUP($A100,survey_2yrs!$A:C, 3)</f>
        <v>47.5</v>
      </c>
      <c r="F100">
        <f>VLOOKUP($A100,survey_2yrs!$A:D, 4)</f>
        <v>52.6</v>
      </c>
      <c r="G100">
        <f>_xlfn.XLOOKUP(A100,survey_2yrs!A:A,survey_2yrs!E:E)</f>
        <v>47.4</v>
      </c>
      <c r="H100">
        <f>_xlfn.XLOOKUP($A100,weather_2yrs!$A:$A,weather_2yrs!B:B)</f>
        <v>64.900000000000006</v>
      </c>
      <c r="I100">
        <f>_xlfn.XLOOKUP($A100,weather_2yrs!$A:$A,weather_2yrs!C:C)</f>
        <v>0</v>
      </c>
      <c r="J100">
        <f>_xlfn.XLOOKUP($A100,weather_2yrs!$A:$A,weather_2yrs!D:D)</f>
        <v>0</v>
      </c>
      <c r="K100">
        <f>_xlfn.XLOOKUP($A100,weather_2yrs!$A:$A,weather_2yrs!E:E)</f>
        <v>48</v>
      </c>
      <c r="L100">
        <f>_xlfn.XLOOKUP($A100,sales!$A:$A,sales!B:B)</f>
        <v>1</v>
      </c>
      <c r="M100" t="str">
        <f>_xlfn.XLOOKUP($A100,sales!$A:$A,sales!C:C)</f>
        <v>Miami Beach</v>
      </c>
      <c r="N100">
        <f>_xlfn.XLOOKUP($A100,sales!$A:$A,sales!D:D)</f>
        <v>293</v>
      </c>
      <c r="O100">
        <f>_xlfn.XLOOKUP($A100,sales!$A:$A,sales!E:E)</f>
        <v>5160.43</v>
      </c>
      <c r="P100" s="4">
        <f t="shared" si="5"/>
        <v>17.612389078498296</v>
      </c>
    </row>
    <row r="101" spans="1:16" x14ac:dyDescent="0.25">
      <c r="A101" s="1">
        <v>45026</v>
      </c>
      <c r="B101" s="1" t="str">
        <f t="shared" si="3"/>
        <v>Monday</v>
      </c>
      <c r="C101" s="1" t="b">
        <f t="shared" si="4"/>
        <v>0</v>
      </c>
      <c r="D101">
        <f>VLOOKUP($A101,survey_2yrs!A:B, 2)</f>
        <v>52.4</v>
      </c>
      <c r="E101">
        <f>VLOOKUP($A101,survey_2yrs!$A:C, 3)</f>
        <v>47.6</v>
      </c>
      <c r="F101">
        <f>VLOOKUP($A101,survey_2yrs!$A:D, 4)</f>
        <v>49.3</v>
      </c>
      <c r="G101">
        <f>_xlfn.XLOOKUP(A101,survey_2yrs!A:A,survey_2yrs!E:E)</f>
        <v>50.7</v>
      </c>
      <c r="H101">
        <f>_xlfn.XLOOKUP($A101,weather_2yrs!$A:$A,weather_2yrs!B:B)</f>
        <v>63.2</v>
      </c>
      <c r="I101">
        <f>_xlfn.XLOOKUP($A101,weather_2yrs!$A:$A,weather_2yrs!C:C)</f>
        <v>0</v>
      </c>
      <c r="J101">
        <f>_xlfn.XLOOKUP($A101,weather_2yrs!$A:$A,weather_2yrs!D:D)</f>
        <v>0</v>
      </c>
      <c r="K101">
        <f>_xlfn.XLOOKUP($A101,weather_2yrs!$A:$A,weather_2yrs!E:E)</f>
        <v>35</v>
      </c>
      <c r="L101">
        <f>_xlfn.XLOOKUP($A101,sales!$A:$A,sales!B:B)</f>
        <v>1</v>
      </c>
      <c r="M101" t="str">
        <f>_xlfn.XLOOKUP($A101,sales!$A:$A,sales!C:C)</f>
        <v>Miami Beach</v>
      </c>
      <c r="N101">
        <f>_xlfn.XLOOKUP($A101,sales!$A:$A,sales!D:D)</f>
        <v>256</v>
      </c>
      <c r="O101">
        <f>_xlfn.XLOOKUP($A101,sales!$A:$A,sales!E:E)</f>
        <v>5057.63</v>
      </c>
      <c r="P101" s="4">
        <f t="shared" si="5"/>
        <v>19.7563671875</v>
      </c>
    </row>
    <row r="102" spans="1:16" x14ac:dyDescent="0.25">
      <c r="A102" s="1">
        <v>45027</v>
      </c>
      <c r="B102" s="1" t="str">
        <f t="shared" si="3"/>
        <v>Tuesday</v>
      </c>
      <c r="C102" s="1" t="b">
        <f t="shared" si="4"/>
        <v>0</v>
      </c>
      <c r="D102">
        <f>VLOOKUP($A102,survey_2yrs!A:B, 2)</f>
        <v>52.8</v>
      </c>
      <c r="E102">
        <f>VLOOKUP($A102,survey_2yrs!$A:C, 3)</f>
        <v>47.2</v>
      </c>
      <c r="F102">
        <f>VLOOKUP($A102,survey_2yrs!$A:D, 4)</f>
        <v>47.2</v>
      </c>
      <c r="G102">
        <f>_xlfn.XLOOKUP(A102,survey_2yrs!A:A,survey_2yrs!E:E)</f>
        <v>52.8</v>
      </c>
      <c r="H102">
        <f>_xlfn.XLOOKUP($A102,weather_2yrs!$A:$A,weather_2yrs!B:B)</f>
        <v>64.3</v>
      </c>
      <c r="I102">
        <f>_xlfn.XLOOKUP($A102,weather_2yrs!$A:$A,weather_2yrs!C:C)</f>
        <v>0</v>
      </c>
      <c r="J102">
        <f>_xlfn.XLOOKUP($A102,weather_2yrs!$A:$A,weather_2yrs!D:D)</f>
        <v>0</v>
      </c>
      <c r="K102">
        <f>_xlfn.XLOOKUP($A102,weather_2yrs!$A:$A,weather_2yrs!E:E)</f>
        <v>41.6</v>
      </c>
      <c r="L102">
        <f>_xlfn.XLOOKUP($A102,sales!$A:$A,sales!B:B)</f>
        <v>1</v>
      </c>
      <c r="M102" t="str">
        <f>_xlfn.XLOOKUP($A102,sales!$A:$A,sales!C:C)</f>
        <v>Miami Beach</v>
      </c>
      <c r="N102">
        <f>_xlfn.XLOOKUP($A102,sales!$A:$A,sales!D:D)</f>
        <v>189</v>
      </c>
      <c r="O102">
        <f>_xlfn.XLOOKUP($A102,sales!$A:$A,sales!E:E)</f>
        <v>3397.79</v>
      </c>
      <c r="P102" s="4">
        <f t="shared" si="5"/>
        <v>17.977724867724866</v>
      </c>
    </row>
    <row r="103" spans="1:16" x14ac:dyDescent="0.25">
      <c r="A103" s="1">
        <v>45028</v>
      </c>
      <c r="B103" s="1" t="str">
        <f t="shared" si="3"/>
        <v>Wednesday</v>
      </c>
      <c r="C103" s="1" t="b">
        <f t="shared" si="4"/>
        <v>0</v>
      </c>
      <c r="D103">
        <f>VLOOKUP($A103,survey_2yrs!A:B, 2)</f>
        <v>51.3</v>
      </c>
      <c r="E103">
        <f>VLOOKUP($A103,survey_2yrs!$A:C, 3)</f>
        <v>48.7</v>
      </c>
      <c r="F103">
        <f>VLOOKUP($A103,survey_2yrs!$A:D, 4)</f>
        <v>48.3</v>
      </c>
      <c r="G103">
        <f>_xlfn.XLOOKUP(A103,survey_2yrs!A:A,survey_2yrs!E:E)</f>
        <v>51.7</v>
      </c>
      <c r="H103">
        <f>_xlfn.XLOOKUP($A103,weather_2yrs!$A:$A,weather_2yrs!B:B)</f>
        <v>71.099999999999994</v>
      </c>
      <c r="I103">
        <f>_xlfn.XLOOKUP($A103,weather_2yrs!$A:$A,weather_2yrs!C:C)</f>
        <v>0</v>
      </c>
      <c r="J103">
        <f>_xlfn.XLOOKUP($A103,weather_2yrs!$A:$A,weather_2yrs!D:D)</f>
        <v>0</v>
      </c>
      <c r="K103">
        <f>_xlfn.XLOOKUP($A103,weather_2yrs!$A:$A,weather_2yrs!E:E)</f>
        <v>35</v>
      </c>
      <c r="L103">
        <f>_xlfn.XLOOKUP($A103,sales!$A:$A,sales!B:B)</f>
        <v>1</v>
      </c>
      <c r="M103" t="str">
        <f>_xlfn.XLOOKUP($A103,sales!$A:$A,sales!C:C)</f>
        <v>Miami Beach</v>
      </c>
      <c r="N103">
        <f>_xlfn.XLOOKUP($A103,sales!$A:$A,sales!D:D)</f>
        <v>212</v>
      </c>
      <c r="O103">
        <f>_xlfn.XLOOKUP($A103,sales!$A:$A,sales!E:E)</f>
        <v>4209.24</v>
      </c>
      <c r="P103" s="4">
        <f t="shared" si="5"/>
        <v>19.854905660377359</v>
      </c>
    </row>
    <row r="104" spans="1:16" x14ac:dyDescent="0.25">
      <c r="A104" s="1">
        <v>45029</v>
      </c>
      <c r="B104" s="1" t="str">
        <f t="shared" si="3"/>
        <v>Thursday</v>
      </c>
      <c r="C104" s="1" t="b">
        <f t="shared" si="4"/>
        <v>0</v>
      </c>
      <c r="D104">
        <f>VLOOKUP($A104,survey_2yrs!A:B, 2)</f>
        <v>52.7</v>
      </c>
      <c r="E104">
        <f>VLOOKUP($A104,survey_2yrs!$A:C, 3)</f>
        <v>47.3</v>
      </c>
      <c r="F104">
        <f>VLOOKUP($A104,survey_2yrs!$A:D, 4)</f>
        <v>46.8</v>
      </c>
      <c r="G104">
        <f>_xlfn.XLOOKUP(A104,survey_2yrs!A:A,survey_2yrs!E:E)</f>
        <v>53.2</v>
      </c>
      <c r="H104">
        <f>_xlfn.XLOOKUP($A104,weather_2yrs!$A:$A,weather_2yrs!B:B)</f>
        <v>73.5</v>
      </c>
      <c r="I104">
        <f>_xlfn.XLOOKUP($A104,weather_2yrs!$A:$A,weather_2yrs!C:C)</f>
        <v>0</v>
      </c>
      <c r="J104">
        <f>_xlfn.XLOOKUP($A104,weather_2yrs!$A:$A,weather_2yrs!D:D)</f>
        <v>0</v>
      </c>
      <c r="K104">
        <f>_xlfn.XLOOKUP($A104,weather_2yrs!$A:$A,weather_2yrs!E:E)</f>
        <v>42.1</v>
      </c>
      <c r="L104">
        <f>_xlfn.XLOOKUP($A104,sales!$A:$A,sales!B:B)</f>
        <v>1</v>
      </c>
      <c r="M104" t="str">
        <f>_xlfn.XLOOKUP($A104,sales!$A:$A,sales!C:C)</f>
        <v>Miami Beach</v>
      </c>
      <c r="N104">
        <f>_xlfn.XLOOKUP($A104,sales!$A:$A,sales!D:D)</f>
        <v>242</v>
      </c>
      <c r="O104">
        <f>_xlfn.XLOOKUP($A104,sales!$A:$A,sales!E:E)</f>
        <v>4749.0600000000004</v>
      </c>
      <c r="P104" s="4">
        <f t="shared" si="5"/>
        <v>19.624214876033058</v>
      </c>
    </row>
    <row r="105" spans="1:16" x14ac:dyDescent="0.25">
      <c r="A105" s="1">
        <v>45030</v>
      </c>
      <c r="B105" s="1" t="str">
        <f t="shared" si="3"/>
        <v>Friday</v>
      </c>
      <c r="C105" s="1" t="b">
        <f t="shared" si="4"/>
        <v>0</v>
      </c>
      <c r="D105">
        <f>VLOOKUP($A105,survey_2yrs!A:B, 2)</f>
        <v>53.1</v>
      </c>
      <c r="E105">
        <f>VLOOKUP($A105,survey_2yrs!$A:C, 3)</f>
        <v>46.9</v>
      </c>
      <c r="F105">
        <f>VLOOKUP($A105,survey_2yrs!$A:D, 4)</f>
        <v>48.3</v>
      </c>
      <c r="G105">
        <f>_xlfn.XLOOKUP(A105,survey_2yrs!A:A,survey_2yrs!E:E)</f>
        <v>51.7</v>
      </c>
      <c r="H105">
        <f>_xlfn.XLOOKUP($A105,weather_2yrs!$A:$A,weather_2yrs!B:B)</f>
        <v>65</v>
      </c>
      <c r="I105">
        <f>_xlfn.XLOOKUP($A105,weather_2yrs!$A:$A,weather_2yrs!C:C)</f>
        <v>3.1</v>
      </c>
      <c r="J105">
        <f>_xlfn.XLOOKUP($A105,weather_2yrs!$A:$A,weather_2yrs!D:D)</f>
        <v>1</v>
      </c>
      <c r="K105">
        <f>_xlfn.XLOOKUP($A105,weather_2yrs!$A:$A,weather_2yrs!E:E)</f>
        <v>48.6</v>
      </c>
      <c r="L105">
        <f>_xlfn.XLOOKUP($A105,sales!$A:$A,sales!B:B)</f>
        <v>1</v>
      </c>
      <c r="M105" t="str">
        <f>_xlfn.XLOOKUP($A105,sales!$A:$A,sales!C:C)</f>
        <v>Miami Beach</v>
      </c>
      <c r="N105">
        <f>_xlfn.XLOOKUP($A105,sales!$A:$A,sales!D:D)</f>
        <v>179</v>
      </c>
      <c r="O105">
        <f>_xlfn.XLOOKUP($A105,sales!$A:$A,sales!E:E)</f>
        <v>3404.74</v>
      </c>
      <c r="P105" s="4">
        <f t="shared" si="5"/>
        <v>19.020893854748604</v>
      </c>
    </row>
    <row r="106" spans="1:16" x14ac:dyDescent="0.25">
      <c r="A106" s="1">
        <v>45031</v>
      </c>
      <c r="B106" s="1" t="str">
        <f t="shared" si="3"/>
        <v>Saturday</v>
      </c>
      <c r="C106" s="1" t="b">
        <f t="shared" si="4"/>
        <v>1</v>
      </c>
      <c r="D106">
        <f>VLOOKUP($A106,survey_2yrs!A:B, 2)</f>
        <v>50.9</v>
      </c>
      <c r="E106">
        <f>VLOOKUP($A106,survey_2yrs!$A:C, 3)</f>
        <v>49.1</v>
      </c>
      <c r="F106">
        <f>VLOOKUP($A106,survey_2yrs!$A:D, 4)</f>
        <v>53.4</v>
      </c>
      <c r="G106">
        <f>_xlfn.XLOOKUP(A106,survey_2yrs!A:A,survey_2yrs!E:E)</f>
        <v>46.6</v>
      </c>
      <c r="H106">
        <f>_xlfn.XLOOKUP($A106,weather_2yrs!$A:$A,weather_2yrs!B:B)</f>
        <v>69.599999999999994</v>
      </c>
      <c r="I106">
        <f>_xlfn.XLOOKUP($A106,weather_2yrs!$A:$A,weather_2yrs!C:C)</f>
        <v>1.46</v>
      </c>
      <c r="J106">
        <f>_xlfn.XLOOKUP($A106,weather_2yrs!$A:$A,weather_2yrs!D:D)</f>
        <v>1</v>
      </c>
      <c r="K106">
        <f>_xlfn.XLOOKUP($A106,weather_2yrs!$A:$A,weather_2yrs!E:E)</f>
        <v>37.200000000000003</v>
      </c>
      <c r="L106">
        <f>_xlfn.XLOOKUP($A106,sales!$A:$A,sales!B:B)</f>
        <v>1</v>
      </c>
      <c r="M106" t="str">
        <f>_xlfn.XLOOKUP($A106,sales!$A:$A,sales!C:C)</f>
        <v>Miami Beach</v>
      </c>
      <c r="N106">
        <f>_xlfn.XLOOKUP($A106,sales!$A:$A,sales!D:D)</f>
        <v>248</v>
      </c>
      <c r="O106">
        <f>_xlfn.XLOOKUP($A106,sales!$A:$A,sales!E:E)</f>
        <v>4399.38</v>
      </c>
      <c r="P106" s="4">
        <f t="shared" si="5"/>
        <v>17.739435483870967</v>
      </c>
    </row>
    <row r="107" spans="1:16" x14ac:dyDescent="0.25">
      <c r="A107" s="1">
        <v>45032</v>
      </c>
      <c r="B107" s="1" t="str">
        <f t="shared" si="3"/>
        <v>Sunday</v>
      </c>
      <c r="C107" s="1" t="b">
        <f t="shared" si="4"/>
        <v>1</v>
      </c>
      <c r="D107">
        <f>VLOOKUP($A107,survey_2yrs!A:B, 2)</f>
        <v>51.3</v>
      </c>
      <c r="E107">
        <f>VLOOKUP($A107,survey_2yrs!$A:C, 3)</f>
        <v>48.7</v>
      </c>
      <c r="F107">
        <f>VLOOKUP($A107,survey_2yrs!$A:D, 4)</f>
        <v>53.1</v>
      </c>
      <c r="G107">
        <f>_xlfn.XLOOKUP(A107,survey_2yrs!A:A,survey_2yrs!E:E)</f>
        <v>46.9</v>
      </c>
      <c r="H107">
        <f>_xlfn.XLOOKUP($A107,weather_2yrs!$A:$A,weather_2yrs!B:B)</f>
        <v>61</v>
      </c>
      <c r="I107">
        <f>_xlfn.XLOOKUP($A107,weather_2yrs!$A:$A,weather_2yrs!C:C)</f>
        <v>0</v>
      </c>
      <c r="J107">
        <f>_xlfn.XLOOKUP($A107,weather_2yrs!$A:$A,weather_2yrs!D:D)</f>
        <v>0</v>
      </c>
      <c r="K107">
        <f>_xlfn.XLOOKUP($A107,weather_2yrs!$A:$A,weather_2yrs!E:E)</f>
        <v>39</v>
      </c>
      <c r="L107">
        <f>_xlfn.XLOOKUP($A107,sales!$A:$A,sales!B:B)</f>
        <v>1</v>
      </c>
      <c r="M107" t="str">
        <f>_xlfn.XLOOKUP($A107,sales!$A:$A,sales!C:C)</f>
        <v>Miami Beach</v>
      </c>
      <c r="N107">
        <f>_xlfn.XLOOKUP($A107,sales!$A:$A,sales!D:D)</f>
        <v>268</v>
      </c>
      <c r="O107">
        <f>_xlfn.XLOOKUP($A107,sales!$A:$A,sales!E:E)</f>
        <v>4770.29</v>
      </c>
      <c r="P107" s="4">
        <f t="shared" si="5"/>
        <v>17.799589552238807</v>
      </c>
    </row>
    <row r="108" spans="1:16" x14ac:dyDescent="0.25">
      <c r="A108" s="1">
        <v>45033</v>
      </c>
      <c r="B108" s="1" t="str">
        <f t="shared" si="3"/>
        <v>Monday</v>
      </c>
      <c r="C108" s="1" t="b">
        <f t="shared" si="4"/>
        <v>0</v>
      </c>
      <c r="D108">
        <f>VLOOKUP($A108,survey_2yrs!A:B, 2)</f>
        <v>51.7</v>
      </c>
      <c r="E108">
        <f>VLOOKUP($A108,survey_2yrs!$A:C, 3)</f>
        <v>48.3</v>
      </c>
      <c r="F108">
        <f>VLOOKUP($A108,survey_2yrs!$A:D, 4)</f>
        <v>46.6</v>
      </c>
      <c r="G108">
        <f>_xlfn.XLOOKUP(A108,survey_2yrs!A:A,survey_2yrs!E:E)</f>
        <v>53.4</v>
      </c>
      <c r="H108">
        <f>_xlfn.XLOOKUP($A108,weather_2yrs!$A:$A,weather_2yrs!B:B)</f>
        <v>64.599999999999994</v>
      </c>
      <c r="I108">
        <f>_xlfn.XLOOKUP($A108,weather_2yrs!$A:$A,weather_2yrs!C:C)</f>
        <v>0</v>
      </c>
      <c r="J108">
        <f>_xlfn.XLOOKUP($A108,weather_2yrs!$A:$A,weather_2yrs!D:D)</f>
        <v>0</v>
      </c>
      <c r="K108">
        <f>_xlfn.XLOOKUP($A108,weather_2yrs!$A:$A,weather_2yrs!E:E)</f>
        <v>46.1</v>
      </c>
      <c r="L108">
        <f>_xlfn.XLOOKUP($A108,sales!$A:$A,sales!B:B)</f>
        <v>1</v>
      </c>
      <c r="M108" t="str">
        <f>_xlfn.XLOOKUP($A108,sales!$A:$A,sales!C:C)</f>
        <v>Miami Beach</v>
      </c>
      <c r="N108">
        <f>_xlfn.XLOOKUP($A108,sales!$A:$A,sales!D:D)</f>
        <v>262</v>
      </c>
      <c r="O108">
        <f>_xlfn.XLOOKUP($A108,sales!$A:$A,sales!E:E)</f>
        <v>5366.39</v>
      </c>
      <c r="P108" s="4">
        <f t="shared" si="5"/>
        <v>20.482404580152672</v>
      </c>
    </row>
    <row r="109" spans="1:16" x14ac:dyDescent="0.25">
      <c r="A109" s="1">
        <v>45034</v>
      </c>
      <c r="B109" s="1" t="str">
        <f t="shared" si="3"/>
        <v>Tuesday</v>
      </c>
      <c r="C109" s="1" t="b">
        <f t="shared" si="4"/>
        <v>0</v>
      </c>
      <c r="D109">
        <f>VLOOKUP($A109,survey_2yrs!A:B, 2)</f>
        <v>52.9</v>
      </c>
      <c r="E109">
        <f>VLOOKUP($A109,survey_2yrs!$A:C, 3)</f>
        <v>47.1</v>
      </c>
      <c r="F109">
        <f>VLOOKUP($A109,survey_2yrs!$A:D, 4)</f>
        <v>45.8</v>
      </c>
      <c r="G109">
        <f>_xlfn.XLOOKUP(A109,survey_2yrs!A:A,survey_2yrs!E:E)</f>
        <v>54.2</v>
      </c>
      <c r="H109">
        <f>_xlfn.XLOOKUP($A109,weather_2yrs!$A:$A,weather_2yrs!B:B)</f>
        <v>70.099999999999994</v>
      </c>
      <c r="I109">
        <f>_xlfn.XLOOKUP($A109,weather_2yrs!$A:$A,weather_2yrs!C:C)</f>
        <v>0</v>
      </c>
      <c r="J109">
        <f>_xlfn.XLOOKUP($A109,weather_2yrs!$A:$A,weather_2yrs!D:D)</f>
        <v>0</v>
      </c>
      <c r="K109">
        <f>_xlfn.XLOOKUP($A109,weather_2yrs!$A:$A,weather_2yrs!E:E)</f>
        <v>37</v>
      </c>
      <c r="L109">
        <f>_xlfn.XLOOKUP($A109,sales!$A:$A,sales!B:B)</f>
        <v>1</v>
      </c>
      <c r="M109" t="str">
        <f>_xlfn.XLOOKUP($A109,sales!$A:$A,sales!C:C)</f>
        <v>Miami Beach</v>
      </c>
      <c r="N109">
        <f>_xlfn.XLOOKUP($A109,sales!$A:$A,sales!D:D)</f>
        <v>213</v>
      </c>
      <c r="O109">
        <f>_xlfn.XLOOKUP($A109,sales!$A:$A,sales!E:E)</f>
        <v>3759.09</v>
      </c>
      <c r="P109" s="4">
        <f t="shared" si="5"/>
        <v>17.648309859154931</v>
      </c>
    </row>
    <row r="110" spans="1:16" x14ac:dyDescent="0.25">
      <c r="A110" s="1">
        <v>45035</v>
      </c>
      <c r="B110" s="1" t="str">
        <f t="shared" si="3"/>
        <v>Wednesday</v>
      </c>
      <c r="C110" s="1" t="b">
        <f t="shared" si="4"/>
        <v>0</v>
      </c>
      <c r="D110">
        <f>VLOOKUP($A110,survey_2yrs!A:B, 2)</f>
        <v>51.5</v>
      </c>
      <c r="E110">
        <f>VLOOKUP($A110,survey_2yrs!$A:C, 3)</f>
        <v>48.5</v>
      </c>
      <c r="F110">
        <f>VLOOKUP($A110,survey_2yrs!$A:D, 4)</f>
        <v>47.2</v>
      </c>
      <c r="G110">
        <f>_xlfn.XLOOKUP(A110,survey_2yrs!A:A,survey_2yrs!E:E)</f>
        <v>52.8</v>
      </c>
      <c r="H110">
        <f>_xlfn.XLOOKUP($A110,weather_2yrs!$A:$A,weather_2yrs!B:B)</f>
        <v>67.2</v>
      </c>
      <c r="I110">
        <f>_xlfn.XLOOKUP($A110,weather_2yrs!$A:$A,weather_2yrs!C:C)</f>
        <v>0</v>
      </c>
      <c r="J110">
        <f>_xlfn.XLOOKUP($A110,weather_2yrs!$A:$A,weather_2yrs!D:D)</f>
        <v>0</v>
      </c>
      <c r="K110">
        <f>_xlfn.XLOOKUP($A110,weather_2yrs!$A:$A,weather_2yrs!E:E)</f>
        <v>41.2</v>
      </c>
      <c r="L110">
        <f>_xlfn.XLOOKUP($A110,sales!$A:$A,sales!B:B)</f>
        <v>1</v>
      </c>
      <c r="M110" t="str">
        <f>_xlfn.XLOOKUP($A110,sales!$A:$A,sales!C:C)</f>
        <v>Miami Beach</v>
      </c>
      <c r="N110">
        <f>_xlfn.XLOOKUP($A110,sales!$A:$A,sales!D:D)</f>
        <v>242</v>
      </c>
      <c r="O110">
        <f>_xlfn.XLOOKUP($A110,sales!$A:$A,sales!E:E)</f>
        <v>4549.2</v>
      </c>
      <c r="P110" s="4">
        <f t="shared" si="5"/>
        <v>18.798347107438016</v>
      </c>
    </row>
    <row r="111" spans="1:16" x14ac:dyDescent="0.25">
      <c r="A111" s="1">
        <v>45036</v>
      </c>
      <c r="B111" s="1" t="str">
        <f t="shared" si="3"/>
        <v>Thursday</v>
      </c>
      <c r="C111" s="1" t="b">
        <f t="shared" si="4"/>
        <v>0</v>
      </c>
      <c r="D111">
        <f>VLOOKUP($A111,survey_2yrs!A:B, 2)</f>
        <v>50.2</v>
      </c>
      <c r="E111">
        <f>VLOOKUP($A111,survey_2yrs!$A:C, 3)</f>
        <v>49.8</v>
      </c>
      <c r="F111">
        <f>VLOOKUP($A111,survey_2yrs!$A:D, 4)</f>
        <v>48.7</v>
      </c>
      <c r="G111">
        <f>_xlfn.XLOOKUP(A111,survey_2yrs!A:A,survey_2yrs!E:E)</f>
        <v>51.3</v>
      </c>
      <c r="H111">
        <f>_xlfn.XLOOKUP($A111,weather_2yrs!$A:$A,weather_2yrs!B:B)</f>
        <v>70.400000000000006</v>
      </c>
      <c r="I111">
        <f>_xlfn.XLOOKUP($A111,weather_2yrs!$A:$A,weather_2yrs!C:C)</f>
        <v>0.35</v>
      </c>
      <c r="J111">
        <f>_xlfn.XLOOKUP($A111,weather_2yrs!$A:$A,weather_2yrs!D:D)</f>
        <v>1</v>
      </c>
      <c r="K111">
        <f>_xlfn.XLOOKUP($A111,weather_2yrs!$A:$A,weather_2yrs!E:E)</f>
        <v>35.5</v>
      </c>
      <c r="L111">
        <f>_xlfn.XLOOKUP($A111,sales!$A:$A,sales!B:B)</f>
        <v>1</v>
      </c>
      <c r="M111" t="str">
        <f>_xlfn.XLOOKUP($A111,sales!$A:$A,sales!C:C)</f>
        <v>Miami Beach</v>
      </c>
      <c r="N111">
        <f>_xlfn.XLOOKUP($A111,sales!$A:$A,sales!D:D)</f>
        <v>205</v>
      </c>
      <c r="O111">
        <f>_xlfn.XLOOKUP($A111,sales!$A:$A,sales!E:E)</f>
        <v>3604.85</v>
      </c>
      <c r="P111" s="4">
        <f t="shared" si="5"/>
        <v>17.584634146341465</v>
      </c>
    </row>
    <row r="112" spans="1:16" x14ac:dyDescent="0.25">
      <c r="A112" s="1">
        <v>45037</v>
      </c>
      <c r="B112" s="1" t="str">
        <f t="shared" si="3"/>
        <v>Friday</v>
      </c>
      <c r="C112" s="1" t="b">
        <f t="shared" si="4"/>
        <v>0</v>
      </c>
      <c r="D112">
        <f>VLOOKUP($A112,survey_2yrs!A:B, 2)</f>
        <v>52.1</v>
      </c>
      <c r="E112">
        <f>VLOOKUP($A112,survey_2yrs!$A:C, 3)</f>
        <v>47.9</v>
      </c>
      <c r="F112">
        <f>VLOOKUP($A112,survey_2yrs!$A:D, 4)</f>
        <v>48.6</v>
      </c>
      <c r="G112">
        <f>_xlfn.XLOOKUP(A112,survey_2yrs!A:A,survey_2yrs!E:E)</f>
        <v>51.4</v>
      </c>
      <c r="H112">
        <f>_xlfn.XLOOKUP($A112,weather_2yrs!$A:$A,weather_2yrs!B:B)</f>
        <v>71.900000000000006</v>
      </c>
      <c r="I112">
        <f>_xlfn.XLOOKUP($A112,weather_2yrs!$A:$A,weather_2yrs!C:C)</f>
        <v>0</v>
      </c>
      <c r="J112">
        <f>_xlfn.XLOOKUP($A112,weather_2yrs!$A:$A,weather_2yrs!D:D)</f>
        <v>0</v>
      </c>
      <c r="K112">
        <f>_xlfn.XLOOKUP($A112,weather_2yrs!$A:$A,weather_2yrs!E:E)</f>
        <v>37.5</v>
      </c>
      <c r="L112">
        <f>_xlfn.XLOOKUP($A112,sales!$A:$A,sales!B:B)</f>
        <v>1</v>
      </c>
      <c r="M112" t="str">
        <f>_xlfn.XLOOKUP($A112,sales!$A:$A,sales!C:C)</f>
        <v>Miami Beach</v>
      </c>
      <c r="N112">
        <f>_xlfn.XLOOKUP($A112,sales!$A:$A,sales!D:D)</f>
        <v>226</v>
      </c>
      <c r="O112">
        <f>_xlfn.XLOOKUP($A112,sales!$A:$A,sales!E:E)</f>
        <v>3994.69</v>
      </c>
      <c r="P112" s="4">
        <f t="shared" si="5"/>
        <v>17.67561946902655</v>
      </c>
    </row>
    <row r="113" spans="1:16" x14ac:dyDescent="0.25">
      <c r="A113" s="1">
        <v>45038</v>
      </c>
      <c r="B113" s="1" t="str">
        <f t="shared" si="3"/>
        <v>Saturday</v>
      </c>
      <c r="C113" s="1" t="b">
        <f t="shared" si="4"/>
        <v>1</v>
      </c>
      <c r="D113">
        <f>VLOOKUP($A113,survey_2yrs!A:B, 2)</f>
        <v>53.1</v>
      </c>
      <c r="E113">
        <f>VLOOKUP($A113,survey_2yrs!$A:C, 3)</f>
        <v>46.9</v>
      </c>
      <c r="F113">
        <f>VLOOKUP($A113,survey_2yrs!$A:D, 4)</f>
        <v>54.9</v>
      </c>
      <c r="G113">
        <f>_xlfn.XLOOKUP(A113,survey_2yrs!A:A,survey_2yrs!E:E)</f>
        <v>45.1</v>
      </c>
      <c r="H113">
        <f>_xlfn.XLOOKUP($A113,weather_2yrs!$A:$A,weather_2yrs!B:B)</f>
        <v>66.400000000000006</v>
      </c>
      <c r="I113">
        <f>_xlfn.XLOOKUP($A113,weather_2yrs!$A:$A,weather_2yrs!C:C)</f>
        <v>0</v>
      </c>
      <c r="J113">
        <f>_xlfn.XLOOKUP($A113,weather_2yrs!$A:$A,weather_2yrs!D:D)</f>
        <v>0</v>
      </c>
      <c r="K113">
        <f>_xlfn.XLOOKUP($A113,weather_2yrs!$A:$A,weather_2yrs!E:E)</f>
        <v>35</v>
      </c>
      <c r="L113">
        <f>_xlfn.XLOOKUP($A113,sales!$A:$A,sales!B:B)</f>
        <v>1</v>
      </c>
      <c r="M113" t="str">
        <f>_xlfn.XLOOKUP($A113,sales!$A:$A,sales!C:C)</f>
        <v>Miami Beach</v>
      </c>
      <c r="N113">
        <f>_xlfn.XLOOKUP($A113,sales!$A:$A,sales!D:D)</f>
        <v>282</v>
      </c>
      <c r="O113">
        <f>_xlfn.XLOOKUP($A113,sales!$A:$A,sales!E:E)</f>
        <v>5523.88</v>
      </c>
      <c r="P113" s="4">
        <f t="shared" si="5"/>
        <v>19.58822695035461</v>
      </c>
    </row>
    <row r="114" spans="1:16" x14ac:dyDescent="0.25">
      <c r="A114" s="1">
        <v>45039</v>
      </c>
      <c r="B114" s="1" t="str">
        <f t="shared" si="3"/>
        <v>Sunday</v>
      </c>
      <c r="C114" s="1" t="b">
        <f t="shared" si="4"/>
        <v>1</v>
      </c>
      <c r="D114">
        <f>VLOOKUP($A114,survey_2yrs!A:B, 2)</f>
        <v>51.3</v>
      </c>
      <c r="E114">
        <f>VLOOKUP($A114,survey_2yrs!$A:C, 3)</f>
        <v>48.7</v>
      </c>
      <c r="F114">
        <f>VLOOKUP($A114,survey_2yrs!$A:D, 4)</f>
        <v>53.2</v>
      </c>
      <c r="G114">
        <f>_xlfn.XLOOKUP(A114,survey_2yrs!A:A,survey_2yrs!E:E)</f>
        <v>46.8</v>
      </c>
      <c r="H114">
        <f>_xlfn.XLOOKUP($A114,weather_2yrs!$A:$A,weather_2yrs!B:B)</f>
        <v>71.099999999999994</v>
      </c>
      <c r="I114">
        <f>_xlfn.XLOOKUP($A114,weather_2yrs!$A:$A,weather_2yrs!C:C)</f>
        <v>0</v>
      </c>
      <c r="J114">
        <f>_xlfn.XLOOKUP($A114,weather_2yrs!$A:$A,weather_2yrs!D:D)</f>
        <v>0</v>
      </c>
      <c r="K114">
        <f>_xlfn.XLOOKUP($A114,weather_2yrs!$A:$A,weather_2yrs!E:E)</f>
        <v>35</v>
      </c>
      <c r="L114">
        <f>_xlfn.XLOOKUP($A114,sales!$A:$A,sales!B:B)</f>
        <v>1</v>
      </c>
      <c r="M114" t="str">
        <f>_xlfn.XLOOKUP($A114,sales!$A:$A,sales!C:C)</f>
        <v>Miami Beach</v>
      </c>
      <c r="N114">
        <f>_xlfn.XLOOKUP($A114,sales!$A:$A,sales!D:D)</f>
        <v>266</v>
      </c>
      <c r="O114">
        <f>_xlfn.XLOOKUP($A114,sales!$A:$A,sales!E:E)</f>
        <v>5122.08</v>
      </c>
      <c r="P114" s="4">
        <f t="shared" si="5"/>
        <v>19.25593984962406</v>
      </c>
    </row>
    <row r="115" spans="1:16" x14ac:dyDescent="0.25">
      <c r="A115" s="1">
        <v>45040</v>
      </c>
      <c r="B115" s="1" t="str">
        <f t="shared" si="3"/>
        <v>Monday</v>
      </c>
      <c r="C115" s="1" t="b">
        <f t="shared" si="4"/>
        <v>0</v>
      </c>
      <c r="D115">
        <f>VLOOKUP($A115,survey_2yrs!A:B, 2)</f>
        <v>50.8</v>
      </c>
      <c r="E115">
        <f>VLOOKUP($A115,survey_2yrs!$A:C, 3)</f>
        <v>49.2</v>
      </c>
      <c r="F115">
        <f>VLOOKUP($A115,survey_2yrs!$A:D, 4)</f>
        <v>49.2</v>
      </c>
      <c r="G115">
        <f>_xlfn.XLOOKUP(A115,survey_2yrs!A:A,survey_2yrs!E:E)</f>
        <v>50.8</v>
      </c>
      <c r="H115">
        <f>_xlfn.XLOOKUP($A115,weather_2yrs!$A:$A,weather_2yrs!B:B)</f>
        <v>68.599999999999994</v>
      </c>
      <c r="I115">
        <f>_xlfn.XLOOKUP($A115,weather_2yrs!$A:$A,weather_2yrs!C:C)</f>
        <v>0</v>
      </c>
      <c r="J115">
        <f>_xlfn.XLOOKUP($A115,weather_2yrs!$A:$A,weather_2yrs!D:D)</f>
        <v>0</v>
      </c>
      <c r="K115">
        <f>_xlfn.XLOOKUP($A115,weather_2yrs!$A:$A,weather_2yrs!E:E)</f>
        <v>41.2</v>
      </c>
      <c r="L115">
        <f>_xlfn.XLOOKUP($A115,sales!$A:$A,sales!B:B)</f>
        <v>1</v>
      </c>
      <c r="M115" t="str">
        <f>_xlfn.XLOOKUP($A115,sales!$A:$A,sales!C:C)</f>
        <v>Miami Beach</v>
      </c>
      <c r="N115">
        <f>_xlfn.XLOOKUP($A115,sales!$A:$A,sales!D:D)</f>
        <v>222</v>
      </c>
      <c r="O115">
        <f>_xlfn.XLOOKUP($A115,sales!$A:$A,sales!E:E)</f>
        <v>4341.54</v>
      </c>
      <c r="P115" s="4">
        <f t="shared" si="5"/>
        <v>19.556486486486488</v>
      </c>
    </row>
    <row r="116" spans="1:16" x14ac:dyDescent="0.25">
      <c r="A116" s="1">
        <v>45041</v>
      </c>
      <c r="B116" s="1" t="str">
        <f t="shared" si="3"/>
        <v>Tuesday</v>
      </c>
      <c r="C116" s="1" t="b">
        <f t="shared" si="4"/>
        <v>0</v>
      </c>
      <c r="D116">
        <f>VLOOKUP($A116,survey_2yrs!A:B, 2)</f>
        <v>50.6</v>
      </c>
      <c r="E116">
        <f>VLOOKUP($A116,survey_2yrs!$A:C, 3)</f>
        <v>49.4</v>
      </c>
      <c r="F116">
        <f>VLOOKUP($A116,survey_2yrs!$A:D, 4)</f>
        <v>47.3</v>
      </c>
      <c r="G116">
        <f>_xlfn.XLOOKUP(A116,survey_2yrs!A:A,survey_2yrs!E:E)</f>
        <v>52.7</v>
      </c>
      <c r="H116">
        <f>_xlfn.XLOOKUP($A116,weather_2yrs!$A:$A,weather_2yrs!B:B)</f>
        <v>70.5</v>
      </c>
      <c r="I116">
        <f>_xlfn.XLOOKUP($A116,weather_2yrs!$A:$A,weather_2yrs!C:C)</f>
        <v>1.79</v>
      </c>
      <c r="J116">
        <f>_xlfn.XLOOKUP($A116,weather_2yrs!$A:$A,weather_2yrs!D:D)</f>
        <v>1</v>
      </c>
      <c r="K116">
        <f>_xlfn.XLOOKUP($A116,weather_2yrs!$A:$A,weather_2yrs!E:E)</f>
        <v>46.2</v>
      </c>
      <c r="L116">
        <f>_xlfn.XLOOKUP($A116,sales!$A:$A,sales!B:B)</f>
        <v>1</v>
      </c>
      <c r="M116" t="str">
        <f>_xlfn.XLOOKUP($A116,sales!$A:$A,sales!C:C)</f>
        <v>Miami Beach</v>
      </c>
      <c r="N116">
        <f>_xlfn.XLOOKUP($A116,sales!$A:$A,sales!D:D)</f>
        <v>229</v>
      </c>
      <c r="O116">
        <f>_xlfn.XLOOKUP($A116,sales!$A:$A,sales!E:E)</f>
        <v>3969.74</v>
      </c>
      <c r="P116" s="4">
        <f t="shared" si="5"/>
        <v>17.335109170305675</v>
      </c>
    </row>
    <row r="117" spans="1:16" x14ac:dyDescent="0.25">
      <c r="A117" s="1">
        <v>45042</v>
      </c>
      <c r="B117" s="1" t="str">
        <f t="shared" si="3"/>
        <v>Wednesday</v>
      </c>
      <c r="C117" s="1" t="b">
        <f t="shared" si="4"/>
        <v>0</v>
      </c>
      <c r="D117">
        <f>VLOOKUP($A117,survey_2yrs!A:B, 2)</f>
        <v>51.6</v>
      </c>
      <c r="E117">
        <f>VLOOKUP($A117,survey_2yrs!$A:C, 3)</f>
        <v>48.4</v>
      </c>
      <c r="F117">
        <f>VLOOKUP($A117,survey_2yrs!$A:D, 4)</f>
        <v>47.8</v>
      </c>
      <c r="G117">
        <f>_xlfn.XLOOKUP(A117,survey_2yrs!A:A,survey_2yrs!E:E)</f>
        <v>52.2</v>
      </c>
      <c r="H117">
        <f>_xlfn.XLOOKUP($A117,weather_2yrs!$A:$A,weather_2yrs!B:B)</f>
        <v>63.6</v>
      </c>
      <c r="I117">
        <f>_xlfn.XLOOKUP($A117,weather_2yrs!$A:$A,weather_2yrs!C:C)</f>
        <v>0</v>
      </c>
      <c r="J117">
        <f>_xlfn.XLOOKUP($A117,weather_2yrs!$A:$A,weather_2yrs!D:D)</f>
        <v>0</v>
      </c>
      <c r="K117">
        <f>_xlfn.XLOOKUP($A117,weather_2yrs!$A:$A,weather_2yrs!E:E)</f>
        <v>38.4</v>
      </c>
      <c r="L117">
        <f>_xlfn.XLOOKUP($A117,sales!$A:$A,sales!B:B)</f>
        <v>1</v>
      </c>
      <c r="M117" t="str">
        <f>_xlfn.XLOOKUP($A117,sales!$A:$A,sales!C:C)</f>
        <v>Miami Beach</v>
      </c>
      <c r="N117">
        <f>_xlfn.XLOOKUP($A117,sales!$A:$A,sales!D:D)</f>
        <v>236</v>
      </c>
      <c r="O117">
        <f>_xlfn.XLOOKUP($A117,sales!$A:$A,sales!E:E)</f>
        <v>4481.8500000000004</v>
      </c>
      <c r="P117" s="4">
        <f t="shared" si="5"/>
        <v>18.990889830508475</v>
      </c>
    </row>
    <row r="118" spans="1:16" x14ac:dyDescent="0.25">
      <c r="A118" s="1">
        <v>45043</v>
      </c>
      <c r="B118" s="1" t="str">
        <f t="shared" si="3"/>
        <v>Thursday</v>
      </c>
      <c r="C118" s="1" t="b">
        <f t="shared" si="4"/>
        <v>0</v>
      </c>
      <c r="D118">
        <f>VLOOKUP($A118,survey_2yrs!A:B, 2)</f>
        <v>51.3</v>
      </c>
      <c r="E118">
        <f>VLOOKUP($A118,survey_2yrs!$A:C, 3)</f>
        <v>48.7</v>
      </c>
      <c r="F118">
        <f>VLOOKUP($A118,survey_2yrs!$A:D, 4)</f>
        <v>48.5</v>
      </c>
      <c r="G118">
        <f>_xlfn.XLOOKUP(A118,survey_2yrs!A:A,survey_2yrs!E:E)</f>
        <v>51.5</v>
      </c>
      <c r="H118">
        <f>_xlfn.XLOOKUP($A118,weather_2yrs!$A:$A,weather_2yrs!B:B)</f>
        <v>72.2</v>
      </c>
      <c r="I118">
        <f>_xlfn.XLOOKUP($A118,weather_2yrs!$A:$A,weather_2yrs!C:C)</f>
        <v>0.37</v>
      </c>
      <c r="J118">
        <f>_xlfn.XLOOKUP($A118,weather_2yrs!$A:$A,weather_2yrs!D:D)</f>
        <v>1</v>
      </c>
      <c r="K118">
        <f>_xlfn.XLOOKUP($A118,weather_2yrs!$A:$A,weather_2yrs!E:E)</f>
        <v>40.5</v>
      </c>
      <c r="L118">
        <f>_xlfn.XLOOKUP($A118,sales!$A:$A,sales!B:B)</f>
        <v>1</v>
      </c>
      <c r="M118" t="str">
        <f>_xlfn.XLOOKUP($A118,sales!$A:$A,sales!C:C)</f>
        <v>Miami Beach</v>
      </c>
      <c r="N118">
        <f>_xlfn.XLOOKUP($A118,sales!$A:$A,sales!D:D)</f>
        <v>229</v>
      </c>
      <c r="O118">
        <f>_xlfn.XLOOKUP($A118,sales!$A:$A,sales!E:E)</f>
        <v>4397.26</v>
      </c>
      <c r="P118" s="4">
        <f t="shared" si="5"/>
        <v>19.202008733624456</v>
      </c>
    </row>
    <row r="119" spans="1:16" x14ac:dyDescent="0.25">
      <c r="A119" s="1">
        <v>45044</v>
      </c>
      <c r="B119" s="1" t="str">
        <f t="shared" si="3"/>
        <v>Friday</v>
      </c>
      <c r="C119" s="1" t="b">
        <f t="shared" si="4"/>
        <v>0</v>
      </c>
      <c r="D119">
        <f>VLOOKUP($A119,survey_2yrs!A:B, 2)</f>
        <v>52.4</v>
      </c>
      <c r="E119">
        <f>VLOOKUP($A119,survey_2yrs!$A:C, 3)</f>
        <v>47.6</v>
      </c>
      <c r="F119">
        <f>VLOOKUP($A119,survey_2yrs!$A:D, 4)</f>
        <v>48.1</v>
      </c>
      <c r="G119">
        <f>_xlfn.XLOOKUP(A119,survey_2yrs!A:A,survey_2yrs!E:E)</f>
        <v>51.9</v>
      </c>
      <c r="H119">
        <f>_xlfn.XLOOKUP($A119,weather_2yrs!$A:$A,weather_2yrs!B:B)</f>
        <v>68.3</v>
      </c>
      <c r="I119">
        <f>_xlfn.XLOOKUP($A119,weather_2yrs!$A:$A,weather_2yrs!C:C)</f>
        <v>0</v>
      </c>
      <c r="J119">
        <f>_xlfn.XLOOKUP($A119,weather_2yrs!$A:$A,weather_2yrs!D:D)</f>
        <v>0</v>
      </c>
      <c r="K119">
        <f>_xlfn.XLOOKUP($A119,weather_2yrs!$A:$A,weather_2yrs!E:E)</f>
        <v>39.9</v>
      </c>
      <c r="L119">
        <f>_xlfn.XLOOKUP($A119,sales!$A:$A,sales!B:B)</f>
        <v>1</v>
      </c>
      <c r="M119" t="str">
        <f>_xlfn.XLOOKUP($A119,sales!$A:$A,sales!C:C)</f>
        <v>Miami Beach</v>
      </c>
      <c r="N119">
        <f>_xlfn.XLOOKUP($A119,sales!$A:$A,sales!D:D)</f>
        <v>215</v>
      </c>
      <c r="O119">
        <f>_xlfn.XLOOKUP($A119,sales!$A:$A,sales!E:E)</f>
        <v>3830.95</v>
      </c>
      <c r="P119" s="4">
        <f t="shared" si="5"/>
        <v>17.818372093023253</v>
      </c>
    </row>
    <row r="120" spans="1:16" x14ac:dyDescent="0.25">
      <c r="A120" s="1">
        <v>45045</v>
      </c>
      <c r="B120" s="1" t="str">
        <f t="shared" si="3"/>
        <v>Saturday</v>
      </c>
      <c r="C120" s="1" t="b">
        <f t="shared" si="4"/>
        <v>1</v>
      </c>
      <c r="D120">
        <f>VLOOKUP($A120,survey_2yrs!A:B, 2)</f>
        <v>50.4</v>
      </c>
      <c r="E120">
        <f>VLOOKUP($A120,survey_2yrs!$A:C, 3)</f>
        <v>49.6</v>
      </c>
      <c r="F120">
        <f>VLOOKUP($A120,survey_2yrs!$A:D, 4)</f>
        <v>53</v>
      </c>
      <c r="G120">
        <f>_xlfn.XLOOKUP(A120,survey_2yrs!A:A,survey_2yrs!E:E)</f>
        <v>47</v>
      </c>
      <c r="H120">
        <f>_xlfn.XLOOKUP($A120,weather_2yrs!$A:$A,weather_2yrs!B:B)</f>
        <v>72.900000000000006</v>
      </c>
      <c r="I120">
        <f>_xlfn.XLOOKUP($A120,weather_2yrs!$A:$A,weather_2yrs!C:C)</f>
        <v>0</v>
      </c>
      <c r="J120">
        <f>_xlfn.XLOOKUP($A120,weather_2yrs!$A:$A,weather_2yrs!D:D)</f>
        <v>0</v>
      </c>
      <c r="K120">
        <f>_xlfn.XLOOKUP($A120,weather_2yrs!$A:$A,weather_2yrs!E:E)</f>
        <v>41</v>
      </c>
      <c r="L120">
        <f>_xlfn.XLOOKUP($A120,sales!$A:$A,sales!B:B)</f>
        <v>1</v>
      </c>
      <c r="M120" t="str">
        <f>_xlfn.XLOOKUP($A120,sales!$A:$A,sales!C:C)</f>
        <v>Miami Beach</v>
      </c>
      <c r="N120">
        <f>_xlfn.XLOOKUP($A120,sales!$A:$A,sales!D:D)</f>
        <v>281</v>
      </c>
      <c r="O120">
        <f>_xlfn.XLOOKUP($A120,sales!$A:$A,sales!E:E)</f>
        <v>5754.29</v>
      </c>
      <c r="P120" s="4">
        <f t="shared" si="5"/>
        <v>20.477900355871885</v>
      </c>
    </row>
    <row r="121" spans="1:16" x14ac:dyDescent="0.25">
      <c r="A121" s="1">
        <v>45046</v>
      </c>
      <c r="B121" s="1" t="str">
        <f t="shared" si="3"/>
        <v>Sunday</v>
      </c>
      <c r="C121" s="1" t="b">
        <f t="shared" si="4"/>
        <v>1</v>
      </c>
      <c r="D121">
        <f>VLOOKUP($A121,survey_2yrs!A:B, 2)</f>
        <v>52.3</v>
      </c>
      <c r="E121">
        <f>VLOOKUP($A121,survey_2yrs!$A:C, 3)</f>
        <v>47.7</v>
      </c>
      <c r="F121">
        <f>VLOOKUP($A121,survey_2yrs!$A:D, 4)</f>
        <v>54.7</v>
      </c>
      <c r="G121">
        <f>_xlfn.XLOOKUP(A121,survey_2yrs!A:A,survey_2yrs!E:E)</f>
        <v>45.3</v>
      </c>
      <c r="H121">
        <f>_xlfn.XLOOKUP($A121,weather_2yrs!$A:$A,weather_2yrs!B:B)</f>
        <v>69.400000000000006</v>
      </c>
      <c r="I121">
        <f>_xlfn.XLOOKUP($A121,weather_2yrs!$A:$A,weather_2yrs!C:C)</f>
        <v>0</v>
      </c>
      <c r="J121">
        <f>_xlfn.XLOOKUP($A121,weather_2yrs!$A:$A,weather_2yrs!D:D)</f>
        <v>0</v>
      </c>
      <c r="K121">
        <f>_xlfn.XLOOKUP($A121,weather_2yrs!$A:$A,weather_2yrs!E:E)</f>
        <v>48</v>
      </c>
      <c r="L121">
        <f>_xlfn.XLOOKUP($A121,sales!$A:$A,sales!B:B)</f>
        <v>1</v>
      </c>
      <c r="M121" t="str">
        <f>_xlfn.XLOOKUP($A121,sales!$A:$A,sales!C:C)</f>
        <v>Miami Beach</v>
      </c>
      <c r="N121">
        <f>_xlfn.XLOOKUP($A121,sales!$A:$A,sales!D:D)</f>
        <v>264</v>
      </c>
      <c r="O121">
        <f>_xlfn.XLOOKUP($A121,sales!$A:$A,sales!E:E)</f>
        <v>5010</v>
      </c>
      <c r="P121" s="4">
        <f t="shared" si="5"/>
        <v>18.977272727272727</v>
      </c>
    </row>
    <row r="122" spans="1:16" x14ac:dyDescent="0.25">
      <c r="A122" s="1">
        <v>45047</v>
      </c>
      <c r="B122" s="1" t="str">
        <f t="shared" si="3"/>
        <v>Monday</v>
      </c>
      <c r="C122" s="1" t="b">
        <f t="shared" si="4"/>
        <v>0</v>
      </c>
      <c r="D122">
        <f>VLOOKUP($A122,survey_2yrs!A:B, 2)</f>
        <v>50.7</v>
      </c>
      <c r="E122">
        <f>VLOOKUP($A122,survey_2yrs!$A:C, 3)</f>
        <v>49.3</v>
      </c>
      <c r="F122">
        <f>VLOOKUP($A122,survey_2yrs!$A:D, 4)</f>
        <v>47.2</v>
      </c>
      <c r="G122">
        <f>_xlfn.XLOOKUP(A122,survey_2yrs!A:A,survey_2yrs!E:E)</f>
        <v>52.8</v>
      </c>
      <c r="H122">
        <f>_xlfn.XLOOKUP($A122,weather_2yrs!$A:$A,weather_2yrs!B:B)</f>
        <v>68.2</v>
      </c>
      <c r="I122">
        <f>_xlfn.XLOOKUP($A122,weather_2yrs!$A:$A,weather_2yrs!C:C)</f>
        <v>0.9</v>
      </c>
      <c r="J122">
        <f>_xlfn.XLOOKUP($A122,weather_2yrs!$A:$A,weather_2yrs!D:D)</f>
        <v>1</v>
      </c>
      <c r="K122">
        <f>_xlfn.XLOOKUP($A122,weather_2yrs!$A:$A,weather_2yrs!E:E)</f>
        <v>40.700000000000003</v>
      </c>
      <c r="L122">
        <f>_xlfn.XLOOKUP($A122,sales!$A:$A,sales!B:B)</f>
        <v>1</v>
      </c>
      <c r="M122" t="str">
        <f>_xlfn.XLOOKUP($A122,sales!$A:$A,sales!C:C)</f>
        <v>Miami Beach</v>
      </c>
      <c r="N122">
        <f>_xlfn.XLOOKUP($A122,sales!$A:$A,sales!D:D)</f>
        <v>202</v>
      </c>
      <c r="O122">
        <f>_xlfn.XLOOKUP($A122,sales!$A:$A,sales!E:E)</f>
        <v>3756.46</v>
      </c>
      <c r="P122" s="4">
        <f t="shared" si="5"/>
        <v>18.596336633663366</v>
      </c>
    </row>
    <row r="123" spans="1:16" x14ac:dyDescent="0.25">
      <c r="A123" s="1">
        <v>45048</v>
      </c>
      <c r="B123" s="1" t="str">
        <f t="shared" si="3"/>
        <v>Tuesday</v>
      </c>
      <c r="C123" s="1" t="b">
        <f t="shared" si="4"/>
        <v>0</v>
      </c>
      <c r="D123">
        <f>VLOOKUP($A123,survey_2yrs!A:B, 2)</f>
        <v>52.1</v>
      </c>
      <c r="E123">
        <f>VLOOKUP($A123,survey_2yrs!$A:C, 3)</f>
        <v>47.9</v>
      </c>
      <c r="F123">
        <f>VLOOKUP($A123,survey_2yrs!$A:D, 4)</f>
        <v>46.3</v>
      </c>
      <c r="G123">
        <f>_xlfn.XLOOKUP(A123,survey_2yrs!A:A,survey_2yrs!E:E)</f>
        <v>53.7</v>
      </c>
      <c r="H123">
        <f>_xlfn.XLOOKUP($A123,weather_2yrs!$A:$A,weather_2yrs!B:B)</f>
        <v>66</v>
      </c>
      <c r="I123">
        <f>_xlfn.XLOOKUP($A123,weather_2yrs!$A:$A,weather_2yrs!C:C)</f>
        <v>0.72</v>
      </c>
      <c r="J123">
        <f>_xlfn.XLOOKUP($A123,weather_2yrs!$A:$A,weather_2yrs!D:D)</f>
        <v>1</v>
      </c>
      <c r="K123">
        <f>_xlfn.XLOOKUP($A123,weather_2yrs!$A:$A,weather_2yrs!E:E)</f>
        <v>43.7</v>
      </c>
      <c r="L123">
        <f>_xlfn.XLOOKUP($A123,sales!$A:$A,sales!B:B)</f>
        <v>1</v>
      </c>
      <c r="M123" t="str">
        <f>_xlfn.XLOOKUP($A123,sales!$A:$A,sales!C:C)</f>
        <v>Miami Beach</v>
      </c>
      <c r="N123">
        <f>_xlfn.XLOOKUP($A123,sales!$A:$A,sales!D:D)</f>
        <v>201</v>
      </c>
      <c r="O123">
        <f>_xlfn.XLOOKUP($A123,sales!$A:$A,sales!E:E)</f>
        <v>3962.55</v>
      </c>
      <c r="P123" s="4">
        <f t="shared" si="5"/>
        <v>19.714179104477612</v>
      </c>
    </row>
    <row r="124" spans="1:16" x14ac:dyDescent="0.25">
      <c r="A124" s="1">
        <v>45049</v>
      </c>
      <c r="B124" s="1" t="str">
        <f t="shared" si="3"/>
        <v>Wednesday</v>
      </c>
      <c r="C124" s="1" t="b">
        <f t="shared" si="4"/>
        <v>0</v>
      </c>
      <c r="D124">
        <f>VLOOKUP($A124,survey_2yrs!A:B, 2)</f>
        <v>50.1</v>
      </c>
      <c r="E124">
        <f>VLOOKUP($A124,survey_2yrs!$A:C, 3)</f>
        <v>49.9</v>
      </c>
      <c r="F124">
        <f>VLOOKUP($A124,survey_2yrs!$A:D, 4)</f>
        <v>47.5</v>
      </c>
      <c r="G124">
        <f>_xlfn.XLOOKUP(A124,survey_2yrs!A:A,survey_2yrs!E:E)</f>
        <v>52.5</v>
      </c>
      <c r="H124">
        <f>_xlfn.XLOOKUP($A124,weather_2yrs!$A:$A,weather_2yrs!B:B)</f>
        <v>70.400000000000006</v>
      </c>
      <c r="I124">
        <f>_xlfn.XLOOKUP($A124,weather_2yrs!$A:$A,weather_2yrs!C:C)</f>
        <v>2.17</v>
      </c>
      <c r="J124">
        <f>_xlfn.XLOOKUP($A124,weather_2yrs!$A:$A,weather_2yrs!D:D)</f>
        <v>1</v>
      </c>
      <c r="K124">
        <f>_xlfn.XLOOKUP($A124,weather_2yrs!$A:$A,weather_2yrs!E:E)</f>
        <v>40.200000000000003</v>
      </c>
      <c r="L124">
        <f>_xlfn.XLOOKUP($A124,sales!$A:$A,sales!B:B)</f>
        <v>1</v>
      </c>
      <c r="M124" t="str">
        <f>_xlfn.XLOOKUP($A124,sales!$A:$A,sales!C:C)</f>
        <v>Miami Beach</v>
      </c>
      <c r="N124">
        <f>_xlfn.XLOOKUP($A124,sales!$A:$A,sales!D:D)</f>
        <v>179</v>
      </c>
      <c r="O124">
        <f>_xlfn.XLOOKUP($A124,sales!$A:$A,sales!E:E)</f>
        <v>3224.19</v>
      </c>
      <c r="P124" s="4">
        <f t="shared" si="5"/>
        <v>18.012234636871508</v>
      </c>
    </row>
    <row r="125" spans="1:16" x14ac:dyDescent="0.25">
      <c r="A125" s="1">
        <v>45050</v>
      </c>
      <c r="B125" s="1" t="str">
        <f t="shared" si="3"/>
        <v>Thursday</v>
      </c>
      <c r="C125" s="1" t="b">
        <f t="shared" si="4"/>
        <v>0</v>
      </c>
      <c r="D125">
        <f>VLOOKUP($A125,survey_2yrs!A:B, 2)</f>
        <v>51</v>
      </c>
      <c r="E125">
        <f>VLOOKUP($A125,survey_2yrs!$A:C, 3)</f>
        <v>49</v>
      </c>
      <c r="F125">
        <f>VLOOKUP($A125,survey_2yrs!$A:D, 4)</f>
        <v>47.4</v>
      </c>
      <c r="G125">
        <f>_xlfn.XLOOKUP(A125,survey_2yrs!A:A,survey_2yrs!E:E)</f>
        <v>52.6</v>
      </c>
      <c r="H125">
        <f>_xlfn.XLOOKUP($A125,weather_2yrs!$A:$A,weather_2yrs!B:B)</f>
        <v>69.8</v>
      </c>
      <c r="I125">
        <f>_xlfn.XLOOKUP($A125,weather_2yrs!$A:$A,weather_2yrs!C:C)</f>
        <v>0</v>
      </c>
      <c r="J125">
        <f>_xlfn.XLOOKUP($A125,weather_2yrs!$A:$A,weather_2yrs!D:D)</f>
        <v>0</v>
      </c>
      <c r="K125">
        <f>_xlfn.XLOOKUP($A125,weather_2yrs!$A:$A,weather_2yrs!E:E)</f>
        <v>48.8</v>
      </c>
      <c r="L125">
        <f>_xlfn.XLOOKUP($A125,sales!$A:$A,sales!B:B)</f>
        <v>1</v>
      </c>
      <c r="M125" t="str">
        <f>_xlfn.XLOOKUP($A125,sales!$A:$A,sales!C:C)</f>
        <v>Miami Beach</v>
      </c>
      <c r="N125">
        <f>_xlfn.XLOOKUP($A125,sales!$A:$A,sales!D:D)</f>
        <v>207</v>
      </c>
      <c r="O125">
        <f>_xlfn.XLOOKUP($A125,sales!$A:$A,sales!E:E)</f>
        <v>3682.34</v>
      </c>
      <c r="P125" s="4">
        <f t="shared" si="5"/>
        <v>17.789082125603866</v>
      </c>
    </row>
    <row r="126" spans="1:16" x14ac:dyDescent="0.25">
      <c r="A126" s="1">
        <v>45051</v>
      </c>
      <c r="B126" s="1" t="str">
        <f t="shared" si="3"/>
        <v>Friday</v>
      </c>
      <c r="C126" s="1" t="b">
        <f t="shared" si="4"/>
        <v>0</v>
      </c>
      <c r="D126">
        <f>VLOOKUP($A126,survey_2yrs!A:B, 2)</f>
        <v>50.5</v>
      </c>
      <c r="E126">
        <f>VLOOKUP($A126,survey_2yrs!$A:C, 3)</f>
        <v>49.5</v>
      </c>
      <c r="F126">
        <f>VLOOKUP($A126,survey_2yrs!$A:D, 4)</f>
        <v>47.5</v>
      </c>
      <c r="G126">
        <f>_xlfn.XLOOKUP(A126,survey_2yrs!A:A,survey_2yrs!E:E)</f>
        <v>52.5</v>
      </c>
      <c r="H126">
        <f>_xlfn.XLOOKUP($A126,weather_2yrs!$A:$A,weather_2yrs!B:B)</f>
        <v>67.400000000000006</v>
      </c>
      <c r="I126">
        <f>_xlfn.XLOOKUP($A126,weather_2yrs!$A:$A,weather_2yrs!C:C)</f>
        <v>1.58</v>
      </c>
      <c r="J126">
        <f>_xlfn.XLOOKUP($A126,weather_2yrs!$A:$A,weather_2yrs!D:D)</f>
        <v>1</v>
      </c>
      <c r="K126">
        <f>_xlfn.XLOOKUP($A126,weather_2yrs!$A:$A,weather_2yrs!E:E)</f>
        <v>37</v>
      </c>
      <c r="L126">
        <f>_xlfn.XLOOKUP($A126,sales!$A:$A,sales!B:B)</f>
        <v>1</v>
      </c>
      <c r="M126" t="str">
        <f>_xlfn.XLOOKUP($A126,sales!$A:$A,sales!C:C)</f>
        <v>Miami Beach</v>
      </c>
      <c r="N126">
        <f>_xlfn.XLOOKUP($A126,sales!$A:$A,sales!D:D)</f>
        <v>228</v>
      </c>
      <c r="O126">
        <f>_xlfn.XLOOKUP($A126,sales!$A:$A,sales!E:E)</f>
        <v>4167.37</v>
      </c>
      <c r="P126" s="4">
        <f t="shared" si="5"/>
        <v>18.277938596491229</v>
      </c>
    </row>
    <row r="127" spans="1:16" x14ac:dyDescent="0.25">
      <c r="A127" s="1">
        <v>45052</v>
      </c>
      <c r="B127" s="1" t="str">
        <f t="shared" si="3"/>
        <v>Saturday</v>
      </c>
      <c r="C127" s="1" t="b">
        <f t="shared" si="4"/>
        <v>1</v>
      </c>
      <c r="D127">
        <f>VLOOKUP($A127,survey_2yrs!A:B, 2)</f>
        <v>52.4</v>
      </c>
      <c r="E127">
        <f>VLOOKUP($A127,survey_2yrs!$A:C, 3)</f>
        <v>47.6</v>
      </c>
      <c r="F127">
        <f>VLOOKUP($A127,survey_2yrs!$A:D, 4)</f>
        <v>55.3</v>
      </c>
      <c r="G127">
        <f>_xlfn.XLOOKUP(A127,survey_2yrs!A:A,survey_2yrs!E:E)</f>
        <v>44.7</v>
      </c>
      <c r="H127">
        <f>_xlfn.XLOOKUP($A127,weather_2yrs!$A:$A,weather_2yrs!B:B)</f>
        <v>70.5</v>
      </c>
      <c r="I127">
        <f>_xlfn.XLOOKUP($A127,weather_2yrs!$A:$A,weather_2yrs!C:C)</f>
        <v>0.53</v>
      </c>
      <c r="J127">
        <f>_xlfn.XLOOKUP($A127,weather_2yrs!$A:$A,weather_2yrs!D:D)</f>
        <v>1</v>
      </c>
      <c r="K127">
        <f>_xlfn.XLOOKUP($A127,weather_2yrs!$A:$A,weather_2yrs!E:E)</f>
        <v>44.3</v>
      </c>
      <c r="L127">
        <f>_xlfn.XLOOKUP($A127,sales!$A:$A,sales!B:B)</f>
        <v>1</v>
      </c>
      <c r="M127" t="str">
        <f>_xlfn.XLOOKUP($A127,sales!$A:$A,sales!C:C)</f>
        <v>Miami Beach</v>
      </c>
      <c r="N127">
        <f>_xlfn.XLOOKUP($A127,sales!$A:$A,sales!D:D)</f>
        <v>264</v>
      </c>
      <c r="O127">
        <f>_xlfn.XLOOKUP($A127,sales!$A:$A,sales!E:E)</f>
        <v>4920</v>
      </c>
      <c r="P127" s="4">
        <f t="shared" si="5"/>
        <v>18.636363636363637</v>
      </c>
    </row>
    <row r="128" spans="1:16" x14ac:dyDescent="0.25">
      <c r="A128" s="1">
        <v>45053</v>
      </c>
      <c r="B128" s="1" t="str">
        <f t="shared" si="3"/>
        <v>Sunday</v>
      </c>
      <c r="C128" s="1" t="b">
        <f t="shared" si="4"/>
        <v>1</v>
      </c>
      <c r="D128">
        <f>VLOOKUP($A128,survey_2yrs!A:B, 2)</f>
        <v>52.9</v>
      </c>
      <c r="E128">
        <f>VLOOKUP($A128,survey_2yrs!$A:C, 3)</f>
        <v>47.1</v>
      </c>
      <c r="F128">
        <f>VLOOKUP($A128,survey_2yrs!$A:D, 4)</f>
        <v>53.5</v>
      </c>
      <c r="G128">
        <f>_xlfn.XLOOKUP(A128,survey_2yrs!A:A,survey_2yrs!E:E)</f>
        <v>46.5</v>
      </c>
      <c r="H128">
        <f>_xlfn.XLOOKUP($A128,weather_2yrs!$A:$A,weather_2yrs!B:B)</f>
        <v>64.5</v>
      </c>
      <c r="I128">
        <f>_xlfn.XLOOKUP($A128,weather_2yrs!$A:$A,weather_2yrs!C:C)</f>
        <v>0</v>
      </c>
      <c r="J128">
        <f>_xlfn.XLOOKUP($A128,weather_2yrs!$A:$A,weather_2yrs!D:D)</f>
        <v>0</v>
      </c>
      <c r="K128">
        <f>_xlfn.XLOOKUP($A128,weather_2yrs!$A:$A,weather_2yrs!E:E)</f>
        <v>44.8</v>
      </c>
      <c r="L128">
        <f>_xlfn.XLOOKUP($A128,sales!$A:$A,sales!B:B)</f>
        <v>1</v>
      </c>
      <c r="M128" t="str">
        <f>_xlfn.XLOOKUP($A128,sales!$A:$A,sales!C:C)</f>
        <v>Miami Beach</v>
      </c>
      <c r="N128">
        <f>_xlfn.XLOOKUP($A128,sales!$A:$A,sales!D:D)</f>
        <v>250</v>
      </c>
      <c r="O128">
        <f>_xlfn.XLOOKUP($A128,sales!$A:$A,sales!E:E)</f>
        <v>4326.7</v>
      </c>
      <c r="P128" s="4">
        <f t="shared" si="5"/>
        <v>17.306799999999999</v>
      </c>
    </row>
    <row r="129" spans="1:16" x14ac:dyDescent="0.25">
      <c r="A129" s="1">
        <v>45054</v>
      </c>
      <c r="B129" s="1" t="str">
        <f t="shared" si="3"/>
        <v>Monday</v>
      </c>
      <c r="C129" s="1" t="b">
        <f t="shared" si="4"/>
        <v>0</v>
      </c>
      <c r="D129">
        <f>VLOOKUP($A129,survey_2yrs!A:B, 2)</f>
        <v>51.4</v>
      </c>
      <c r="E129">
        <f>VLOOKUP($A129,survey_2yrs!$A:C, 3)</f>
        <v>48.6</v>
      </c>
      <c r="F129">
        <f>VLOOKUP($A129,survey_2yrs!$A:D, 4)</f>
        <v>48.3</v>
      </c>
      <c r="G129">
        <f>_xlfn.XLOOKUP(A129,survey_2yrs!A:A,survey_2yrs!E:E)</f>
        <v>51.7</v>
      </c>
      <c r="H129">
        <f>_xlfn.XLOOKUP($A129,weather_2yrs!$A:$A,weather_2yrs!B:B)</f>
        <v>70</v>
      </c>
      <c r="I129">
        <f>_xlfn.XLOOKUP($A129,weather_2yrs!$A:$A,weather_2yrs!C:C)</f>
        <v>0</v>
      </c>
      <c r="J129">
        <f>_xlfn.XLOOKUP($A129,weather_2yrs!$A:$A,weather_2yrs!D:D)</f>
        <v>0</v>
      </c>
      <c r="K129">
        <f>_xlfn.XLOOKUP($A129,weather_2yrs!$A:$A,weather_2yrs!E:E)</f>
        <v>43.8</v>
      </c>
      <c r="L129">
        <f>_xlfn.XLOOKUP($A129,sales!$A:$A,sales!B:B)</f>
        <v>1</v>
      </c>
      <c r="M129" t="str">
        <f>_xlfn.XLOOKUP($A129,sales!$A:$A,sales!C:C)</f>
        <v>Miami Beach</v>
      </c>
      <c r="N129">
        <f>_xlfn.XLOOKUP($A129,sales!$A:$A,sales!D:D)</f>
        <v>208</v>
      </c>
      <c r="O129">
        <f>_xlfn.XLOOKUP($A129,sales!$A:$A,sales!E:E)</f>
        <v>3456.64</v>
      </c>
      <c r="P129" s="4">
        <f t="shared" si="5"/>
        <v>16.618461538461538</v>
      </c>
    </row>
    <row r="130" spans="1:16" x14ac:dyDescent="0.25">
      <c r="A130" s="1">
        <v>45055</v>
      </c>
      <c r="B130" s="1" t="str">
        <f t="shared" si="3"/>
        <v>Tuesday</v>
      </c>
      <c r="C130" s="1" t="b">
        <f t="shared" si="4"/>
        <v>0</v>
      </c>
      <c r="D130">
        <f>VLOOKUP($A130,survey_2yrs!A:B, 2)</f>
        <v>51.6</v>
      </c>
      <c r="E130">
        <f>VLOOKUP($A130,survey_2yrs!$A:C, 3)</f>
        <v>48.4</v>
      </c>
      <c r="F130">
        <f>VLOOKUP($A130,survey_2yrs!$A:D, 4)</f>
        <v>50</v>
      </c>
      <c r="G130">
        <f>_xlfn.XLOOKUP(A130,survey_2yrs!A:A,survey_2yrs!E:E)</f>
        <v>50</v>
      </c>
      <c r="H130">
        <f>_xlfn.XLOOKUP($A130,weather_2yrs!$A:$A,weather_2yrs!B:B)</f>
        <v>70.3</v>
      </c>
      <c r="I130">
        <f>_xlfn.XLOOKUP($A130,weather_2yrs!$A:$A,weather_2yrs!C:C)</f>
        <v>0.69</v>
      </c>
      <c r="J130">
        <f>_xlfn.XLOOKUP($A130,weather_2yrs!$A:$A,weather_2yrs!D:D)</f>
        <v>1</v>
      </c>
      <c r="K130">
        <f>_xlfn.XLOOKUP($A130,weather_2yrs!$A:$A,weather_2yrs!E:E)</f>
        <v>36.700000000000003</v>
      </c>
      <c r="L130">
        <f>_xlfn.XLOOKUP($A130,sales!$A:$A,sales!B:B)</f>
        <v>1</v>
      </c>
      <c r="M130" t="str">
        <f>_xlfn.XLOOKUP($A130,sales!$A:$A,sales!C:C)</f>
        <v>Miami Beach</v>
      </c>
      <c r="N130">
        <f>_xlfn.XLOOKUP($A130,sales!$A:$A,sales!D:D)</f>
        <v>187</v>
      </c>
      <c r="O130">
        <f>_xlfn.XLOOKUP($A130,sales!$A:$A,sales!E:E)</f>
        <v>3440.45</v>
      </c>
      <c r="P130" s="4">
        <f t="shared" si="5"/>
        <v>18.39812834224599</v>
      </c>
    </row>
    <row r="131" spans="1:16" x14ac:dyDescent="0.25">
      <c r="A131" s="1">
        <v>45056</v>
      </c>
      <c r="B131" s="1" t="str">
        <f t="shared" ref="B131:B194" si="6">TEXT(A131, "dddd")</f>
        <v>Wednesday</v>
      </c>
      <c r="C131" s="1" t="b">
        <f t="shared" ref="C131:C194" si="7">IF(WEEKDAY(A131,2)&gt;5,TRUE,FALSE)</f>
        <v>0</v>
      </c>
      <c r="D131">
        <f>VLOOKUP($A131,survey_2yrs!A:B, 2)</f>
        <v>50.9</v>
      </c>
      <c r="E131">
        <f>VLOOKUP($A131,survey_2yrs!$A:C, 3)</f>
        <v>49.1</v>
      </c>
      <c r="F131">
        <f>VLOOKUP($A131,survey_2yrs!$A:D, 4)</f>
        <v>48.2</v>
      </c>
      <c r="G131">
        <f>_xlfn.XLOOKUP(A131,survey_2yrs!A:A,survey_2yrs!E:E)</f>
        <v>51.8</v>
      </c>
      <c r="H131">
        <f>_xlfn.XLOOKUP($A131,weather_2yrs!$A:$A,weather_2yrs!B:B)</f>
        <v>69.599999999999994</v>
      </c>
      <c r="I131">
        <f>_xlfn.XLOOKUP($A131,weather_2yrs!$A:$A,weather_2yrs!C:C)</f>
        <v>0</v>
      </c>
      <c r="J131">
        <f>_xlfn.XLOOKUP($A131,weather_2yrs!$A:$A,weather_2yrs!D:D)</f>
        <v>0</v>
      </c>
      <c r="K131">
        <f>_xlfn.XLOOKUP($A131,weather_2yrs!$A:$A,weather_2yrs!E:E)</f>
        <v>43.3</v>
      </c>
      <c r="L131">
        <f>_xlfn.XLOOKUP($A131,sales!$A:$A,sales!B:B)</f>
        <v>1</v>
      </c>
      <c r="M131" t="str">
        <f>_xlfn.XLOOKUP($A131,sales!$A:$A,sales!C:C)</f>
        <v>Miami Beach</v>
      </c>
      <c r="N131">
        <f>_xlfn.XLOOKUP($A131,sales!$A:$A,sales!D:D)</f>
        <v>211</v>
      </c>
      <c r="O131">
        <f>_xlfn.XLOOKUP($A131,sales!$A:$A,sales!E:E)</f>
        <v>3867.56</v>
      </c>
      <c r="P131" s="4">
        <f t="shared" ref="P131:P194" si="8">O131/N131</f>
        <v>18.329668246445497</v>
      </c>
    </row>
    <row r="132" spans="1:16" x14ac:dyDescent="0.25">
      <c r="A132" s="1">
        <v>45057</v>
      </c>
      <c r="B132" s="1" t="str">
        <f t="shared" si="6"/>
        <v>Thursday</v>
      </c>
      <c r="C132" s="1" t="b">
        <f t="shared" si="7"/>
        <v>0</v>
      </c>
      <c r="D132">
        <f>VLOOKUP($A132,survey_2yrs!A:B, 2)</f>
        <v>51.7</v>
      </c>
      <c r="E132">
        <f>VLOOKUP($A132,survey_2yrs!$A:C, 3)</f>
        <v>48.3</v>
      </c>
      <c r="F132">
        <f>VLOOKUP($A132,survey_2yrs!$A:D, 4)</f>
        <v>48.4</v>
      </c>
      <c r="G132">
        <f>_xlfn.XLOOKUP(A132,survey_2yrs!A:A,survey_2yrs!E:E)</f>
        <v>51.6</v>
      </c>
      <c r="H132">
        <f>_xlfn.XLOOKUP($A132,weather_2yrs!$A:$A,weather_2yrs!B:B)</f>
        <v>67.3</v>
      </c>
      <c r="I132">
        <f>_xlfn.XLOOKUP($A132,weather_2yrs!$A:$A,weather_2yrs!C:C)</f>
        <v>0</v>
      </c>
      <c r="J132">
        <f>_xlfn.XLOOKUP($A132,weather_2yrs!$A:$A,weather_2yrs!D:D)</f>
        <v>0</v>
      </c>
      <c r="K132">
        <f>_xlfn.XLOOKUP($A132,weather_2yrs!$A:$A,weather_2yrs!E:E)</f>
        <v>46.5</v>
      </c>
      <c r="L132">
        <f>_xlfn.XLOOKUP($A132,sales!$A:$A,sales!B:B)</f>
        <v>1</v>
      </c>
      <c r="M132" t="str">
        <f>_xlfn.XLOOKUP($A132,sales!$A:$A,sales!C:C)</f>
        <v>Miami Beach</v>
      </c>
      <c r="N132">
        <f>_xlfn.XLOOKUP($A132,sales!$A:$A,sales!D:D)</f>
        <v>222</v>
      </c>
      <c r="O132">
        <f>_xlfn.XLOOKUP($A132,sales!$A:$A,sales!E:E)</f>
        <v>4227.57</v>
      </c>
      <c r="P132" s="4">
        <f t="shared" si="8"/>
        <v>19.043108108108108</v>
      </c>
    </row>
    <row r="133" spans="1:16" x14ac:dyDescent="0.25">
      <c r="A133" s="1">
        <v>45058</v>
      </c>
      <c r="B133" s="1" t="str">
        <f t="shared" si="6"/>
        <v>Friday</v>
      </c>
      <c r="C133" s="1" t="b">
        <f t="shared" si="7"/>
        <v>0</v>
      </c>
      <c r="D133">
        <f>VLOOKUP($A133,survey_2yrs!A:B, 2)</f>
        <v>49.4</v>
      </c>
      <c r="E133">
        <f>VLOOKUP($A133,survey_2yrs!$A:C, 3)</f>
        <v>50.6</v>
      </c>
      <c r="F133">
        <f>VLOOKUP($A133,survey_2yrs!$A:D, 4)</f>
        <v>47.5</v>
      </c>
      <c r="G133">
        <f>_xlfn.XLOOKUP(A133,survey_2yrs!A:A,survey_2yrs!E:E)</f>
        <v>52.5</v>
      </c>
      <c r="H133">
        <f>_xlfn.XLOOKUP($A133,weather_2yrs!$A:$A,weather_2yrs!B:B)</f>
        <v>65.400000000000006</v>
      </c>
      <c r="I133">
        <f>_xlfn.XLOOKUP($A133,weather_2yrs!$A:$A,weather_2yrs!C:C)</f>
        <v>0</v>
      </c>
      <c r="J133">
        <f>_xlfn.XLOOKUP($A133,weather_2yrs!$A:$A,weather_2yrs!D:D)</f>
        <v>0</v>
      </c>
      <c r="K133">
        <f>_xlfn.XLOOKUP($A133,weather_2yrs!$A:$A,weather_2yrs!E:E)</f>
        <v>41.1</v>
      </c>
      <c r="L133">
        <f>_xlfn.XLOOKUP($A133,sales!$A:$A,sales!B:B)</f>
        <v>1</v>
      </c>
      <c r="M133" t="str">
        <f>_xlfn.XLOOKUP($A133,sales!$A:$A,sales!C:C)</f>
        <v>Miami Beach</v>
      </c>
      <c r="N133">
        <f>_xlfn.XLOOKUP($A133,sales!$A:$A,sales!D:D)</f>
        <v>201</v>
      </c>
      <c r="O133">
        <f>_xlfn.XLOOKUP($A133,sales!$A:$A,sales!E:E)</f>
        <v>3597.83</v>
      </c>
      <c r="P133" s="4">
        <f t="shared" si="8"/>
        <v>17.899651741293532</v>
      </c>
    </row>
    <row r="134" spans="1:16" x14ac:dyDescent="0.25">
      <c r="A134" s="1">
        <v>45059</v>
      </c>
      <c r="B134" s="1" t="str">
        <f t="shared" si="6"/>
        <v>Saturday</v>
      </c>
      <c r="C134" s="1" t="b">
        <f t="shared" si="7"/>
        <v>1</v>
      </c>
      <c r="D134">
        <f>VLOOKUP($A134,survey_2yrs!A:B, 2)</f>
        <v>49.8</v>
      </c>
      <c r="E134">
        <f>VLOOKUP($A134,survey_2yrs!$A:C, 3)</f>
        <v>50.2</v>
      </c>
      <c r="F134">
        <f>VLOOKUP($A134,survey_2yrs!$A:D, 4)</f>
        <v>53.1</v>
      </c>
      <c r="G134">
        <f>_xlfn.XLOOKUP(A134,survey_2yrs!A:A,survey_2yrs!E:E)</f>
        <v>46.9</v>
      </c>
      <c r="H134">
        <f>_xlfn.XLOOKUP($A134,weather_2yrs!$A:$A,weather_2yrs!B:B)</f>
        <v>70</v>
      </c>
      <c r="I134">
        <f>_xlfn.XLOOKUP($A134,weather_2yrs!$A:$A,weather_2yrs!C:C)</f>
        <v>0.88</v>
      </c>
      <c r="J134">
        <f>_xlfn.XLOOKUP($A134,weather_2yrs!$A:$A,weather_2yrs!D:D)</f>
        <v>1</v>
      </c>
      <c r="K134">
        <f>_xlfn.XLOOKUP($A134,weather_2yrs!$A:$A,weather_2yrs!E:E)</f>
        <v>38.1</v>
      </c>
      <c r="L134">
        <f>_xlfn.XLOOKUP($A134,sales!$A:$A,sales!B:B)</f>
        <v>1</v>
      </c>
      <c r="M134" t="str">
        <f>_xlfn.XLOOKUP($A134,sales!$A:$A,sales!C:C)</f>
        <v>Miami Beach</v>
      </c>
      <c r="N134">
        <f>_xlfn.XLOOKUP($A134,sales!$A:$A,sales!D:D)</f>
        <v>250</v>
      </c>
      <c r="O134">
        <f>_xlfn.XLOOKUP($A134,sales!$A:$A,sales!E:E)</f>
        <v>4934.41</v>
      </c>
      <c r="P134" s="4">
        <f t="shared" si="8"/>
        <v>19.737639999999999</v>
      </c>
    </row>
    <row r="135" spans="1:16" x14ac:dyDescent="0.25">
      <c r="A135" s="1">
        <v>45060</v>
      </c>
      <c r="B135" s="1" t="str">
        <f t="shared" si="6"/>
        <v>Sunday</v>
      </c>
      <c r="C135" s="1" t="b">
        <f t="shared" si="7"/>
        <v>1</v>
      </c>
      <c r="D135">
        <f>VLOOKUP($A135,survey_2yrs!A:B, 2)</f>
        <v>53.5</v>
      </c>
      <c r="E135">
        <f>VLOOKUP($A135,survey_2yrs!$A:C, 3)</f>
        <v>46.5</v>
      </c>
      <c r="F135">
        <f>VLOOKUP($A135,survey_2yrs!$A:D, 4)</f>
        <v>54.3</v>
      </c>
      <c r="G135">
        <f>_xlfn.XLOOKUP(A135,survey_2yrs!A:A,survey_2yrs!E:E)</f>
        <v>45.7</v>
      </c>
      <c r="H135">
        <f>_xlfn.XLOOKUP($A135,weather_2yrs!$A:$A,weather_2yrs!B:B)</f>
        <v>72.900000000000006</v>
      </c>
      <c r="I135">
        <f>_xlfn.XLOOKUP($A135,weather_2yrs!$A:$A,weather_2yrs!C:C)</f>
        <v>0</v>
      </c>
      <c r="J135">
        <f>_xlfn.XLOOKUP($A135,weather_2yrs!$A:$A,weather_2yrs!D:D)</f>
        <v>0</v>
      </c>
      <c r="K135">
        <f>_xlfn.XLOOKUP($A135,weather_2yrs!$A:$A,weather_2yrs!E:E)</f>
        <v>44.8</v>
      </c>
      <c r="L135">
        <f>_xlfn.XLOOKUP($A135,sales!$A:$A,sales!B:B)</f>
        <v>1</v>
      </c>
      <c r="M135" t="str">
        <f>_xlfn.XLOOKUP($A135,sales!$A:$A,sales!C:C)</f>
        <v>Miami Beach</v>
      </c>
      <c r="N135">
        <f>_xlfn.XLOOKUP($A135,sales!$A:$A,sales!D:D)</f>
        <v>312</v>
      </c>
      <c r="O135">
        <f>_xlfn.XLOOKUP($A135,sales!$A:$A,sales!E:E)</f>
        <v>5888.62</v>
      </c>
      <c r="P135" s="4">
        <f t="shared" si="8"/>
        <v>18.873782051282053</v>
      </c>
    </row>
    <row r="136" spans="1:16" x14ac:dyDescent="0.25">
      <c r="A136" s="1">
        <v>45061</v>
      </c>
      <c r="B136" s="1" t="str">
        <f t="shared" si="6"/>
        <v>Monday</v>
      </c>
      <c r="C136" s="1" t="b">
        <f t="shared" si="7"/>
        <v>0</v>
      </c>
      <c r="D136">
        <f>VLOOKUP($A136,survey_2yrs!A:B, 2)</f>
        <v>52.2</v>
      </c>
      <c r="E136">
        <f>VLOOKUP($A136,survey_2yrs!$A:C, 3)</f>
        <v>47.8</v>
      </c>
      <c r="F136">
        <f>VLOOKUP($A136,survey_2yrs!$A:D, 4)</f>
        <v>47.8</v>
      </c>
      <c r="G136">
        <f>_xlfn.XLOOKUP(A136,survey_2yrs!A:A,survey_2yrs!E:E)</f>
        <v>52.2</v>
      </c>
      <c r="H136">
        <f>_xlfn.XLOOKUP($A136,weather_2yrs!$A:$A,weather_2yrs!B:B)</f>
        <v>74.8</v>
      </c>
      <c r="I136">
        <f>_xlfn.XLOOKUP($A136,weather_2yrs!$A:$A,weather_2yrs!C:C)</f>
        <v>0</v>
      </c>
      <c r="J136">
        <f>_xlfn.XLOOKUP($A136,weather_2yrs!$A:$A,weather_2yrs!D:D)</f>
        <v>0</v>
      </c>
      <c r="K136">
        <f>_xlfn.XLOOKUP($A136,weather_2yrs!$A:$A,weather_2yrs!E:E)</f>
        <v>49</v>
      </c>
      <c r="L136">
        <f>_xlfn.XLOOKUP($A136,sales!$A:$A,sales!B:B)</f>
        <v>1</v>
      </c>
      <c r="M136" t="str">
        <f>_xlfn.XLOOKUP($A136,sales!$A:$A,sales!C:C)</f>
        <v>Miami Beach</v>
      </c>
      <c r="N136">
        <f>_xlfn.XLOOKUP($A136,sales!$A:$A,sales!D:D)</f>
        <v>249</v>
      </c>
      <c r="O136">
        <f>_xlfn.XLOOKUP($A136,sales!$A:$A,sales!E:E)</f>
        <v>4798.09</v>
      </c>
      <c r="P136" s="4">
        <f t="shared" si="8"/>
        <v>19.269437751004016</v>
      </c>
    </row>
    <row r="137" spans="1:16" x14ac:dyDescent="0.25">
      <c r="A137" s="1">
        <v>45062</v>
      </c>
      <c r="B137" s="1" t="str">
        <f t="shared" si="6"/>
        <v>Tuesday</v>
      </c>
      <c r="C137" s="1" t="b">
        <f t="shared" si="7"/>
        <v>0</v>
      </c>
      <c r="D137">
        <f>VLOOKUP($A137,survey_2yrs!A:B, 2)</f>
        <v>50.5</v>
      </c>
      <c r="E137">
        <f>VLOOKUP($A137,survey_2yrs!$A:C, 3)</f>
        <v>49.5</v>
      </c>
      <c r="F137">
        <f>VLOOKUP($A137,survey_2yrs!$A:D, 4)</f>
        <v>47.4</v>
      </c>
      <c r="G137">
        <f>_xlfn.XLOOKUP(A137,survey_2yrs!A:A,survey_2yrs!E:E)</f>
        <v>52.6</v>
      </c>
      <c r="H137">
        <f>_xlfn.XLOOKUP($A137,weather_2yrs!$A:$A,weather_2yrs!B:B)</f>
        <v>74.8</v>
      </c>
      <c r="I137">
        <f>_xlfn.XLOOKUP($A137,weather_2yrs!$A:$A,weather_2yrs!C:C)</f>
        <v>0</v>
      </c>
      <c r="J137">
        <f>_xlfn.XLOOKUP($A137,weather_2yrs!$A:$A,weather_2yrs!D:D)</f>
        <v>0</v>
      </c>
      <c r="K137">
        <f>_xlfn.XLOOKUP($A137,weather_2yrs!$A:$A,weather_2yrs!E:E)</f>
        <v>40.5</v>
      </c>
      <c r="L137">
        <f>_xlfn.XLOOKUP($A137,sales!$A:$A,sales!B:B)</f>
        <v>1</v>
      </c>
      <c r="M137" t="str">
        <f>_xlfn.XLOOKUP($A137,sales!$A:$A,sales!C:C)</f>
        <v>Miami Beach</v>
      </c>
      <c r="N137">
        <f>_xlfn.XLOOKUP($A137,sales!$A:$A,sales!D:D)</f>
        <v>260</v>
      </c>
      <c r="O137">
        <f>_xlfn.XLOOKUP($A137,sales!$A:$A,sales!E:E)</f>
        <v>4915.3100000000004</v>
      </c>
      <c r="P137" s="4">
        <f t="shared" si="8"/>
        <v>18.905038461538464</v>
      </c>
    </row>
    <row r="138" spans="1:16" x14ac:dyDescent="0.25">
      <c r="A138" s="1">
        <v>45063</v>
      </c>
      <c r="B138" s="1" t="str">
        <f t="shared" si="6"/>
        <v>Wednesday</v>
      </c>
      <c r="C138" s="1" t="b">
        <f t="shared" si="7"/>
        <v>0</v>
      </c>
      <c r="D138">
        <f>VLOOKUP($A138,survey_2yrs!A:B, 2)</f>
        <v>51.2</v>
      </c>
      <c r="E138">
        <f>VLOOKUP($A138,survey_2yrs!$A:C, 3)</f>
        <v>48.8</v>
      </c>
      <c r="F138">
        <f>VLOOKUP($A138,survey_2yrs!$A:D, 4)</f>
        <v>46.5</v>
      </c>
      <c r="G138">
        <f>_xlfn.XLOOKUP(A138,survey_2yrs!A:A,survey_2yrs!E:E)</f>
        <v>53.5</v>
      </c>
      <c r="H138">
        <f>_xlfn.XLOOKUP($A138,weather_2yrs!$A:$A,weather_2yrs!B:B)</f>
        <v>72.400000000000006</v>
      </c>
      <c r="I138">
        <f>_xlfn.XLOOKUP($A138,weather_2yrs!$A:$A,weather_2yrs!C:C)</f>
        <v>0.79</v>
      </c>
      <c r="J138">
        <f>_xlfn.XLOOKUP($A138,weather_2yrs!$A:$A,weather_2yrs!D:D)</f>
        <v>1</v>
      </c>
      <c r="K138">
        <f>_xlfn.XLOOKUP($A138,weather_2yrs!$A:$A,weather_2yrs!E:E)</f>
        <v>47.5</v>
      </c>
      <c r="L138">
        <f>_xlfn.XLOOKUP($A138,sales!$A:$A,sales!B:B)</f>
        <v>1</v>
      </c>
      <c r="M138" t="str">
        <f>_xlfn.XLOOKUP($A138,sales!$A:$A,sales!C:C)</f>
        <v>Miami Beach</v>
      </c>
      <c r="N138">
        <f>_xlfn.XLOOKUP($A138,sales!$A:$A,sales!D:D)</f>
        <v>223</v>
      </c>
      <c r="O138">
        <f>_xlfn.XLOOKUP($A138,sales!$A:$A,sales!E:E)</f>
        <v>4262.0600000000004</v>
      </c>
      <c r="P138" s="4">
        <f t="shared" si="8"/>
        <v>19.11237668161435</v>
      </c>
    </row>
    <row r="139" spans="1:16" x14ac:dyDescent="0.25">
      <c r="A139" s="1">
        <v>45064</v>
      </c>
      <c r="B139" s="1" t="str">
        <f t="shared" si="6"/>
        <v>Thursday</v>
      </c>
      <c r="C139" s="1" t="b">
        <f t="shared" si="7"/>
        <v>0</v>
      </c>
      <c r="D139">
        <f>VLOOKUP($A139,survey_2yrs!A:B, 2)</f>
        <v>50.1</v>
      </c>
      <c r="E139">
        <f>VLOOKUP($A139,survey_2yrs!$A:C, 3)</f>
        <v>49.9</v>
      </c>
      <c r="F139">
        <f>VLOOKUP($A139,survey_2yrs!$A:D, 4)</f>
        <v>47.8</v>
      </c>
      <c r="G139">
        <f>_xlfn.XLOOKUP(A139,survey_2yrs!A:A,survey_2yrs!E:E)</f>
        <v>52.2</v>
      </c>
      <c r="H139">
        <f>_xlfn.XLOOKUP($A139,weather_2yrs!$A:$A,weather_2yrs!B:B)</f>
        <v>70</v>
      </c>
      <c r="I139">
        <f>_xlfn.XLOOKUP($A139,weather_2yrs!$A:$A,weather_2yrs!C:C)</f>
        <v>0</v>
      </c>
      <c r="J139">
        <f>_xlfn.XLOOKUP($A139,weather_2yrs!$A:$A,weather_2yrs!D:D)</f>
        <v>0</v>
      </c>
      <c r="K139">
        <f>_xlfn.XLOOKUP($A139,weather_2yrs!$A:$A,weather_2yrs!E:E)</f>
        <v>45.5</v>
      </c>
      <c r="L139">
        <f>_xlfn.XLOOKUP($A139,sales!$A:$A,sales!B:B)</f>
        <v>1</v>
      </c>
      <c r="M139" t="str">
        <f>_xlfn.XLOOKUP($A139,sales!$A:$A,sales!C:C)</f>
        <v>Miami Beach</v>
      </c>
      <c r="N139">
        <f>_xlfn.XLOOKUP($A139,sales!$A:$A,sales!D:D)</f>
        <v>206</v>
      </c>
      <c r="O139">
        <f>_xlfn.XLOOKUP($A139,sales!$A:$A,sales!E:E)</f>
        <v>3733.73</v>
      </c>
      <c r="P139" s="4">
        <f t="shared" si="8"/>
        <v>18.124902912621359</v>
      </c>
    </row>
    <row r="140" spans="1:16" x14ac:dyDescent="0.25">
      <c r="A140" s="1">
        <v>45065</v>
      </c>
      <c r="B140" s="1" t="str">
        <f t="shared" si="6"/>
        <v>Friday</v>
      </c>
      <c r="C140" s="1" t="b">
        <f t="shared" si="7"/>
        <v>0</v>
      </c>
      <c r="D140">
        <f>VLOOKUP($A140,survey_2yrs!A:B, 2)</f>
        <v>52.9</v>
      </c>
      <c r="E140">
        <f>VLOOKUP($A140,survey_2yrs!$A:C, 3)</f>
        <v>47.1</v>
      </c>
      <c r="F140">
        <f>VLOOKUP($A140,survey_2yrs!$A:D, 4)</f>
        <v>47.9</v>
      </c>
      <c r="G140">
        <f>_xlfn.XLOOKUP(A140,survey_2yrs!A:A,survey_2yrs!E:E)</f>
        <v>52.1</v>
      </c>
      <c r="H140">
        <f>_xlfn.XLOOKUP($A140,weather_2yrs!$A:$A,weather_2yrs!B:B)</f>
        <v>76.7</v>
      </c>
      <c r="I140">
        <f>_xlfn.XLOOKUP($A140,weather_2yrs!$A:$A,weather_2yrs!C:C)</f>
        <v>0</v>
      </c>
      <c r="J140">
        <f>_xlfn.XLOOKUP($A140,weather_2yrs!$A:$A,weather_2yrs!D:D)</f>
        <v>0</v>
      </c>
      <c r="K140">
        <f>_xlfn.XLOOKUP($A140,weather_2yrs!$A:$A,weather_2yrs!E:E)</f>
        <v>47.4</v>
      </c>
      <c r="L140">
        <f>_xlfn.XLOOKUP($A140,sales!$A:$A,sales!B:B)</f>
        <v>1</v>
      </c>
      <c r="M140" t="str">
        <f>_xlfn.XLOOKUP($A140,sales!$A:$A,sales!C:C)</f>
        <v>Miami Beach</v>
      </c>
      <c r="N140">
        <f>_xlfn.XLOOKUP($A140,sales!$A:$A,sales!D:D)</f>
        <v>268</v>
      </c>
      <c r="O140">
        <f>_xlfn.XLOOKUP($A140,sales!$A:$A,sales!E:E)</f>
        <v>4612.22</v>
      </c>
      <c r="P140" s="4">
        <f t="shared" si="8"/>
        <v>17.209776119402985</v>
      </c>
    </row>
    <row r="141" spans="1:16" x14ac:dyDescent="0.25">
      <c r="A141" s="1">
        <v>45066</v>
      </c>
      <c r="B141" s="1" t="str">
        <f t="shared" si="6"/>
        <v>Saturday</v>
      </c>
      <c r="C141" s="1" t="b">
        <f t="shared" si="7"/>
        <v>1</v>
      </c>
      <c r="D141">
        <f>VLOOKUP($A141,survey_2yrs!A:B, 2)</f>
        <v>51.4</v>
      </c>
      <c r="E141">
        <f>VLOOKUP($A141,survey_2yrs!$A:C, 3)</f>
        <v>48.6</v>
      </c>
      <c r="F141">
        <f>VLOOKUP($A141,survey_2yrs!$A:D, 4)</f>
        <v>54</v>
      </c>
      <c r="G141">
        <f>_xlfn.XLOOKUP(A141,survey_2yrs!A:A,survey_2yrs!E:E)</f>
        <v>46</v>
      </c>
      <c r="H141">
        <f>_xlfn.XLOOKUP($A141,weather_2yrs!$A:$A,weather_2yrs!B:B)</f>
        <v>67.7</v>
      </c>
      <c r="I141">
        <f>_xlfn.XLOOKUP($A141,weather_2yrs!$A:$A,weather_2yrs!C:C)</f>
        <v>0</v>
      </c>
      <c r="J141">
        <f>_xlfn.XLOOKUP($A141,weather_2yrs!$A:$A,weather_2yrs!D:D)</f>
        <v>0</v>
      </c>
      <c r="K141">
        <f>_xlfn.XLOOKUP($A141,weather_2yrs!$A:$A,weather_2yrs!E:E)</f>
        <v>37.200000000000003</v>
      </c>
      <c r="L141">
        <f>_xlfn.XLOOKUP($A141,sales!$A:$A,sales!B:B)</f>
        <v>1</v>
      </c>
      <c r="M141" t="str">
        <f>_xlfn.XLOOKUP($A141,sales!$A:$A,sales!C:C)</f>
        <v>Miami Beach</v>
      </c>
      <c r="N141">
        <f>_xlfn.XLOOKUP($A141,sales!$A:$A,sales!D:D)</f>
        <v>272</v>
      </c>
      <c r="O141">
        <f>_xlfn.XLOOKUP($A141,sales!$A:$A,sales!E:E)</f>
        <v>5142.0200000000004</v>
      </c>
      <c r="P141" s="4">
        <f t="shared" si="8"/>
        <v>18.904485294117649</v>
      </c>
    </row>
    <row r="142" spans="1:16" x14ac:dyDescent="0.25">
      <c r="A142" s="1">
        <v>45067</v>
      </c>
      <c r="B142" s="1" t="str">
        <f t="shared" si="6"/>
        <v>Sunday</v>
      </c>
      <c r="C142" s="1" t="b">
        <f t="shared" si="7"/>
        <v>1</v>
      </c>
      <c r="D142">
        <f>VLOOKUP($A142,survey_2yrs!A:B, 2)</f>
        <v>51.1</v>
      </c>
      <c r="E142">
        <f>VLOOKUP($A142,survey_2yrs!$A:C, 3)</f>
        <v>48.9</v>
      </c>
      <c r="F142">
        <f>VLOOKUP($A142,survey_2yrs!$A:D, 4)</f>
        <v>53.3</v>
      </c>
      <c r="G142">
        <f>_xlfn.XLOOKUP(A142,survey_2yrs!A:A,survey_2yrs!E:E)</f>
        <v>46.7</v>
      </c>
      <c r="H142">
        <f>_xlfn.XLOOKUP($A142,weather_2yrs!$A:$A,weather_2yrs!B:B)</f>
        <v>66.400000000000006</v>
      </c>
      <c r="I142">
        <f>_xlfn.XLOOKUP($A142,weather_2yrs!$A:$A,weather_2yrs!C:C)</f>
        <v>0</v>
      </c>
      <c r="J142">
        <f>_xlfn.XLOOKUP($A142,weather_2yrs!$A:$A,weather_2yrs!D:D)</f>
        <v>0</v>
      </c>
      <c r="K142">
        <f>_xlfn.XLOOKUP($A142,weather_2yrs!$A:$A,weather_2yrs!E:E)</f>
        <v>57.4</v>
      </c>
      <c r="L142">
        <f>_xlfn.XLOOKUP($A142,sales!$A:$A,sales!B:B)</f>
        <v>1</v>
      </c>
      <c r="M142" t="str">
        <f>_xlfn.XLOOKUP($A142,sales!$A:$A,sales!C:C)</f>
        <v>Miami Beach</v>
      </c>
      <c r="N142">
        <f>_xlfn.XLOOKUP($A142,sales!$A:$A,sales!D:D)</f>
        <v>235</v>
      </c>
      <c r="O142">
        <f>_xlfn.XLOOKUP($A142,sales!$A:$A,sales!E:E)</f>
        <v>4476.25</v>
      </c>
      <c r="P142" s="4">
        <f t="shared" si="8"/>
        <v>19.047872340425531</v>
      </c>
    </row>
    <row r="143" spans="1:16" x14ac:dyDescent="0.25">
      <c r="A143" s="1">
        <v>45068</v>
      </c>
      <c r="B143" s="1" t="str">
        <f t="shared" si="6"/>
        <v>Monday</v>
      </c>
      <c r="C143" s="1" t="b">
        <f t="shared" si="7"/>
        <v>0</v>
      </c>
      <c r="D143">
        <f>VLOOKUP($A143,survey_2yrs!A:B, 2)</f>
        <v>50.7</v>
      </c>
      <c r="E143">
        <f>VLOOKUP($A143,survey_2yrs!$A:C, 3)</f>
        <v>49.3</v>
      </c>
      <c r="F143">
        <f>VLOOKUP($A143,survey_2yrs!$A:D, 4)</f>
        <v>49</v>
      </c>
      <c r="G143">
        <f>_xlfn.XLOOKUP(A143,survey_2yrs!A:A,survey_2yrs!E:E)</f>
        <v>51</v>
      </c>
      <c r="H143">
        <f>_xlfn.XLOOKUP($A143,weather_2yrs!$A:$A,weather_2yrs!B:B)</f>
        <v>70.7</v>
      </c>
      <c r="I143">
        <f>_xlfn.XLOOKUP($A143,weather_2yrs!$A:$A,weather_2yrs!C:C)</f>
        <v>0</v>
      </c>
      <c r="J143">
        <f>_xlfn.XLOOKUP($A143,weather_2yrs!$A:$A,weather_2yrs!D:D)</f>
        <v>0</v>
      </c>
      <c r="K143">
        <f>_xlfn.XLOOKUP($A143,weather_2yrs!$A:$A,weather_2yrs!E:E)</f>
        <v>56.6</v>
      </c>
      <c r="L143">
        <f>_xlfn.XLOOKUP($A143,sales!$A:$A,sales!B:B)</f>
        <v>1</v>
      </c>
      <c r="M143" t="str">
        <f>_xlfn.XLOOKUP($A143,sales!$A:$A,sales!C:C)</f>
        <v>Miami Beach</v>
      </c>
      <c r="N143">
        <f>_xlfn.XLOOKUP($A143,sales!$A:$A,sales!D:D)</f>
        <v>235</v>
      </c>
      <c r="O143">
        <f>_xlfn.XLOOKUP($A143,sales!$A:$A,sales!E:E)</f>
        <v>4390.9399999999996</v>
      </c>
      <c r="P143" s="4">
        <f t="shared" si="8"/>
        <v>18.684851063829786</v>
      </c>
    </row>
    <row r="144" spans="1:16" x14ac:dyDescent="0.25">
      <c r="A144" s="1">
        <v>45069</v>
      </c>
      <c r="B144" s="1" t="str">
        <f t="shared" si="6"/>
        <v>Tuesday</v>
      </c>
      <c r="C144" s="1" t="b">
        <f t="shared" si="7"/>
        <v>0</v>
      </c>
      <c r="D144">
        <f>VLOOKUP($A144,survey_2yrs!A:B, 2)</f>
        <v>52</v>
      </c>
      <c r="E144">
        <f>VLOOKUP($A144,survey_2yrs!$A:C, 3)</f>
        <v>48</v>
      </c>
      <c r="F144">
        <f>VLOOKUP($A144,survey_2yrs!$A:D, 4)</f>
        <v>46.4</v>
      </c>
      <c r="G144">
        <f>_xlfn.XLOOKUP(A144,survey_2yrs!A:A,survey_2yrs!E:E)</f>
        <v>53.6</v>
      </c>
      <c r="H144">
        <f>_xlfn.XLOOKUP($A144,weather_2yrs!$A:$A,weather_2yrs!B:B)</f>
        <v>78.400000000000006</v>
      </c>
      <c r="I144">
        <f>_xlfn.XLOOKUP($A144,weather_2yrs!$A:$A,weather_2yrs!C:C)</f>
        <v>0</v>
      </c>
      <c r="J144">
        <f>_xlfn.XLOOKUP($A144,weather_2yrs!$A:$A,weather_2yrs!D:D)</f>
        <v>0</v>
      </c>
      <c r="K144">
        <f>_xlfn.XLOOKUP($A144,weather_2yrs!$A:$A,weather_2yrs!E:E)</f>
        <v>44.1</v>
      </c>
      <c r="L144">
        <f>_xlfn.XLOOKUP($A144,sales!$A:$A,sales!B:B)</f>
        <v>1</v>
      </c>
      <c r="M144" t="str">
        <f>_xlfn.XLOOKUP($A144,sales!$A:$A,sales!C:C)</f>
        <v>Miami Beach</v>
      </c>
      <c r="N144">
        <f>_xlfn.XLOOKUP($A144,sales!$A:$A,sales!D:D)</f>
        <v>270</v>
      </c>
      <c r="O144">
        <f>_xlfn.XLOOKUP($A144,sales!$A:$A,sales!E:E)</f>
        <v>4804.33</v>
      </c>
      <c r="P144" s="4">
        <f t="shared" si="8"/>
        <v>17.793814814814816</v>
      </c>
    </row>
    <row r="145" spans="1:16" x14ac:dyDescent="0.25">
      <c r="A145" s="1">
        <v>45070</v>
      </c>
      <c r="B145" s="1" t="str">
        <f t="shared" si="6"/>
        <v>Wednesday</v>
      </c>
      <c r="C145" s="1" t="b">
        <f t="shared" si="7"/>
        <v>0</v>
      </c>
      <c r="D145">
        <f>VLOOKUP($A145,survey_2yrs!A:B, 2)</f>
        <v>50</v>
      </c>
      <c r="E145">
        <f>VLOOKUP($A145,survey_2yrs!$A:C, 3)</f>
        <v>50</v>
      </c>
      <c r="F145">
        <f>VLOOKUP($A145,survey_2yrs!$A:D, 4)</f>
        <v>48.5</v>
      </c>
      <c r="G145">
        <f>_xlfn.XLOOKUP(A145,survey_2yrs!A:A,survey_2yrs!E:E)</f>
        <v>51.5</v>
      </c>
      <c r="H145">
        <f>_xlfn.XLOOKUP($A145,weather_2yrs!$A:$A,weather_2yrs!B:B)</f>
        <v>77.7</v>
      </c>
      <c r="I145">
        <f>_xlfn.XLOOKUP($A145,weather_2yrs!$A:$A,weather_2yrs!C:C)</f>
        <v>0</v>
      </c>
      <c r="J145">
        <f>_xlfn.XLOOKUP($A145,weather_2yrs!$A:$A,weather_2yrs!D:D)</f>
        <v>0</v>
      </c>
      <c r="K145">
        <f>_xlfn.XLOOKUP($A145,weather_2yrs!$A:$A,weather_2yrs!E:E)</f>
        <v>52.9</v>
      </c>
      <c r="L145">
        <f>_xlfn.XLOOKUP($A145,sales!$A:$A,sales!B:B)</f>
        <v>1</v>
      </c>
      <c r="M145" t="str">
        <f>_xlfn.XLOOKUP($A145,sales!$A:$A,sales!C:C)</f>
        <v>Miami Beach</v>
      </c>
      <c r="N145">
        <f>_xlfn.XLOOKUP($A145,sales!$A:$A,sales!D:D)</f>
        <v>272</v>
      </c>
      <c r="O145">
        <f>_xlfn.XLOOKUP($A145,sales!$A:$A,sales!E:E)</f>
        <v>4997.16</v>
      </c>
      <c r="P145" s="4">
        <f t="shared" si="8"/>
        <v>18.371911764705882</v>
      </c>
    </row>
    <row r="146" spans="1:16" x14ac:dyDescent="0.25">
      <c r="A146" s="1">
        <v>45071</v>
      </c>
      <c r="B146" s="1" t="str">
        <f t="shared" si="6"/>
        <v>Thursday</v>
      </c>
      <c r="C146" s="1" t="b">
        <f t="shared" si="7"/>
        <v>0</v>
      </c>
      <c r="D146">
        <f>VLOOKUP($A146,survey_2yrs!A:B, 2)</f>
        <v>51.2</v>
      </c>
      <c r="E146">
        <f>VLOOKUP($A146,survey_2yrs!$A:C, 3)</f>
        <v>48.8</v>
      </c>
      <c r="F146">
        <f>VLOOKUP($A146,survey_2yrs!$A:D, 4)</f>
        <v>46.6</v>
      </c>
      <c r="G146">
        <f>_xlfn.XLOOKUP(A146,survey_2yrs!A:A,survey_2yrs!E:E)</f>
        <v>53.4</v>
      </c>
      <c r="H146">
        <f>_xlfn.XLOOKUP($A146,weather_2yrs!$A:$A,weather_2yrs!B:B)</f>
        <v>75.099999999999994</v>
      </c>
      <c r="I146">
        <f>_xlfn.XLOOKUP($A146,weather_2yrs!$A:$A,weather_2yrs!C:C)</f>
        <v>0</v>
      </c>
      <c r="J146">
        <f>_xlfn.XLOOKUP($A146,weather_2yrs!$A:$A,weather_2yrs!D:D)</f>
        <v>0</v>
      </c>
      <c r="K146">
        <f>_xlfn.XLOOKUP($A146,weather_2yrs!$A:$A,weather_2yrs!E:E)</f>
        <v>50.1</v>
      </c>
      <c r="L146">
        <f>_xlfn.XLOOKUP($A146,sales!$A:$A,sales!B:B)</f>
        <v>1</v>
      </c>
      <c r="M146" t="str">
        <f>_xlfn.XLOOKUP($A146,sales!$A:$A,sales!C:C)</f>
        <v>Miami Beach</v>
      </c>
      <c r="N146">
        <f>_xlfn.XLOOKUP($A146,sales!$A:$A,sales!D:D)</f>
        <v>261</v>
      </c>
      <c r="O146">
        <f>_xlfn.XLOOKUP($A146,sales!$A:$A,sales!E:E)</f>
        <v>5037.0200000000004</v>
      </c>
      <c r="P146" s="4">
        <f t="shared" si="8"/>
        <v>19.298927203065137</v>
      </c>
    </row>
    <row r="147" spans="1:16" x14ac:dyDescent="0.25">
      <c r="A147" s="1">
        <v>45072</v>
      </c>
      <c r="B147" s="1" t="str">
        <f t="shared" si="6"/>
        <v>Friday</v>
      </c>
      <c r="C147" s="1" t="b">
        <f t="shared" si="7"/>
        <v>0</v>
      </c>
      <c r="D147">
        <f>VLOOKUP($A147,survey_2yrs!A:B, 2)</f>
        <v>50.5</v>
      </c>
      <c r="E147">
        <f>VLOOKUP($A147,survey_2yrs!$A:C, 3)</f>
        <v>49.5</v>
      </c>
      <c r="F147">
        <f>VLOOKUP($A147,survey_2yrs!$A:D, 4)</f>
        <v>48.8</v>
      </c>
      <c r="G147">
        <f>_xlfn.XLOOKUP(A147,survey_2yrs!A:A,survey_2yrs!E:E)</f>
        <v>51.2</v>
      </c>
      <c r="H147">
        <f>_xlfn.XLOOKUP($A147,weather_2yrs!$A:$A,weather_2yrs!B:B)</f>
        <v>72.5</v>
      </c>
      <c r="I147">
        <f>_xlfn.XLOOKUP($A147,weather_2yrs!$A:$A,weather_2yrs!C:C)</f>
        <v>0</v>
      </c>
      <c r="J147">
        <f>_xlfn.XLOOKUP($A147,weather_2yrs!$A:$A,weather_2yrs!D:D)</f>
        <v>0</v>
      </c>
      <c r="K147">
        <f>_xlfn.XLOOKUP($A147,weather_2yrs!$A:$A,weather_2yrs!E:E)</f>
        <v>41.3</v>
      </c>
      <c r="L147">
        <f>_xlfn.XLOOKUP($A147,sales!$A:$A,sales!B:B)</f>
        <v>1</v>
      </c>
      <c r="M147" t="str">
        <f>_xlfn.XLOOKUP($A147,sales!$A:$A,sales!C:C)</f>
        <v>Miami Beach</v>
      </c>
      <c r="N147">
        <f>_xlfn.XLOOKUP($A147,sales!$A:$A,sales!D:D)</f>
        <v>204</v>
      </c>
      <c r="O147">
        <f>_xlfn.XLOOKUP($A147,sales!$A:$A,sales!E:E)</f>
        <v>3397.83</v>
      </c>
      <c r="P147" s="4">
        <f t="shared" si="8"/>
        <v>16.656029411764706</v>
      </c>
    </row>
    <row r="148" spans="1:16" x14ac:dyDescent="0.25">
      <c r="A148" s="1">
        <v>45073</v>
      </c>
      <c r="B148" s="1" t="str">
        <f t="shared" si="6"/>
        <v>Saturday</v>
      </c>
      <c r="C148" s="1" t="b">
        <f t="shared" si="7"/>
        <v>1</v>
      </c>
      <c r="D148">
        <f>VLOOKUP($A148,survey_2yrs!A:B, 2)</f>
        <v>49.9</v>
      </c>
      <c r="E148">
        <f>VLOOKUP($A148,survey_2yrs!$A:C, 3)</f>
        <v>50.1</v>
      </c>
      <c r="F148">
        <f>VLOOKUP($A148,survey_2yrs!$A:D, 4)</f>
        <v>54.5</v>
      </c>
      <c r="G148">
        <f>_xlfn.XLOOKUP(A148,survey_2yrs!A:A,survey_2yrs!E:E)</f>
        <v>45.5</v>
      </c>
      <c r="H148">
        <f>_xlfn.XLOOKUP($A148,weather_2yrs!$A:$A,weather_2yrs!B:B)</f>
        <v>74.900000000000006</v>
      </c>
      <c r="I148">
        <f>_xlfn.XLOOKUP($A148,weather_2yrs!$A:$A,weather_2yrs!C:C)</f>
        <v>0.47</v>
      </c>
      <c r="J148">
        <f>_xlfn.XLOOKUP($A148,weather_2yrs!$A:$A,weather_2yrs!D:D)</f>
        <v>1</v>
      </c>
      <c r="K148">
        <f>_xlfn.XLOOKUP($A148,weather_2yrs!$A:$A,weather_2yrs!E:E)</f>
        <v>44.5</v>
      </c>
      <c r="L148">
        <f>_xlfn.XLOOKUP($A148,sales!$A:$A,sales!B:B)</f>
        <v>1</v>
      </c>
      <c r="M148" t="str">
        <f>_xlfn.XLOOKUP($A148,sales!$A:$A,sales!C:C)</f>
        <v>Miami Beach</v>
      </c>
      <c r="N148">
        <f>_xlfn.XLOOKUP($A148,sales!$A:$A,sales!D:D)</f>
        <v>272</v>
      </c>
      <c r="O148">
        <f>_xlfn.XLOOKUP($A148,sales!$A:$A,sales!E:E)</f>
        <v>4907.07</v>
      </c>
      <c r="P148" s="4">
        <f t="shared" si="8"/>
        <v>18.040698529411763</v>
      </c>
    </row>
    <row r="149" spans="1:16" x14ac:dyDescent="0.25">
      <c r="A149" s="1">
        <v>45074</v>
      </c>
      <c r="B149" s="1" t="str">
        <f t="shared" si="6"/>
        <v>Sunday</v>
      </c>
      <c r="C149" s="1" t="b">
        <f t="shared" si="7"/>
        <v>1</v>
      </c>
      <c r="D149">
        <f>VLOOKUP($A149,survey_2yrs!A:B, 2)</f>
        <v>51.4</v>
      </c>
      <c r="E149">
        <f>VLOOKUP($A149,survey_2yrs!$A:C, 3)</f>
        <v>48.6</v>
      </c>
      <c r="F149">
        <f>VLOOKUP($A149,survey_2yrs!$A:D, 4)</f>
        <v>53.4</v>
      </c>
      <c r="G149">
        <f>_xlfn.XLOOKUP(A149,survey_2yrs!A:A,survey_2yrs!E:E)</f>
        <v>46.6</v>
      </c>
      <c r="H149">
        <f>_xlfn.XLOOKUP($A149,weather_2yrs!$A:$A,weather_2yrs!B:B)</f>
        <v>68.2</v>
      </c>
      <c r="I149">
        <f>_xlfn.XLOOKUP($A149,weather_2yrs!$A:$A,weather_2yrs!C:C)</f>
        <v>0.76</v>
      </c>
      <c r="J149">
        <f>_xlfn.XLOOKUP($A149,weather_2yrs!$A:$A,weather_2yrs!D:D)</f>
        <v>1</v>
      </c>
      <c r="K149">
        <f>_xlfn.XLOOKUP($A149,weather_2yrs!$A:$A,weather_2yrs!E:E)</f>
        <v>59.8</v>
      </c>
      <c r="L149">
        <f>_xlfn.XLOOKUP($A149,sales!$A:$A,sales!B:B)</f>
        <v>1</v>
      </c>
      <c r="M149" t="str">
        <f>_xlfn.XLOOKUP($A149,sales!$A:$A,sales!C:C)</f>
        <v>Miami Beach</v>
      </c>
      <c r="N149">
        <f>_xlfn.XLOOKUP($A149,sales!$A:$A,sales!D:D)</f>
        <v>264</v>
      </c>
      <c r="O149">
        <f>_xlfn.XLOOKUP($A149,sales!$A:$A,sales!E:E)</f>
        <v>4195.87</v>
      </c>
      <c r="P149" s="4">
        <f t="shared" si="8"/>
        <v>15.893446969696969</v>
      </c>
    </row>
    <row r="150" spans="1:16" x14ac:dyDescent="0.25">
      <c r="A150" s="1">
        <v>45075</v>
      </c>
      <c r="B150" s="1" t="str">
        <f t="shared" si="6"/>
        <v>Monday</v>
      </c>
      <c r="C150" s="1" t="b">
        <f t="shared" si="7"/>
        <v>0</v>
      </c>
      <c r="D150">
        <f>VLOOKUP($A150,survey_2yrs!A:B, 2)</f>
        <v>51.8</v>
      </c>
      <c r="E150">
        <f>VLOOKUP($A150,survey_2yrs!$A:C, 3)</f>
        <v>48.2</v>
      </c>
      <c r="F150">
        <f>VLOOKUP($A150,survey_2yrs!$A:D, 4)</f>
        <v>48.3</v>
      </c>
      <c r="G150">
        <f>_xlfn.XLOOKUP(A150,survey_2yrs!A:A,survey_2yrs!E:E)</f>
        <v>51.7</v>
      </c>
      <c r="H150">
        <f>_xlfn.XLOOKUP($A150,weather_2yrs!$A:$A,weather_2yrs!B:B)</f>
        <v>72.400000000000006</v>
      </c>
      <c r="I150">
        <f>_xlfn.XLOOKUP($A150,weather_2yrs!$A:$A,weather_2yrs!C:C)</f>
        <v>0.99</v>
      </c>
      <c r="J150">
        <f>_xlfn.XLOOKUP($A150,weather_2yrs!$A:$A,weather_2yrs!D:D)</f>
        <v>1</v>
      </c>
      <c r="K150">
        <f>_xlfn.XLOOKUP($A150,weather_2yrs!$A:$A,weather_2yrs!E:E)</f>
        <v>53.6</v>
      </c>
      <c r="L150">
        <f>_xlfn.XLOOKUP($A150,sales!$A:$A,sales!B:B)</f>
        <v>1</v>
      </c>
      <c r="M150" t="str">
        <f>_xlfn.XLOOKUP($A150,sales!$A:$A,sales!C:C)</f>
        <v>Miami Beach</v>
      </c>
      <c r="N150">
        <f>_xlfn.XLOOKUP($A150,sales!$A:$A,sales!D:D)</f>
        <v>211</v>
      </c>
      <c r="O150">
        <f>_xlfn.XLOOKUP($A150,sales!$A:$A,sales!E:E)</f>
        <v>4080.73</v>
      </c>
      <c r="P150" s="4">
        <f t="shared" si="8"/>
        <v>19.33995260663507</v>
      </c>
    </row>
    <row r="151" spans="1:16" x14ac:dyDescent="0.25">
      <c r="A151" s="1">
        <v>45076</v>
      </c>
      <c r="B151" s="1" t="str">
        <f t="shared" si="6"/>
        <v>Tuesday</v>
      </c>
      <c r="C151" s="1" t="b">
        <f t="shared" si="7"/>
        <v>0</v>
      </c>
      <c r="D151">
        <f>VLOOKUP($A151,survey_2yrs!A:B, 2)</f>
        <v>51.2</v>
      </c>
      <c r="E151">
        <f>VLOOKUP($A151,survey_2yrs!$A:C, 3)</f>
        <v>48.8</v>
      </c>
      <c r="F151">
        <f>VLOOKUP($A151,survey_2yrs!$A:D, 4)</f>
        <v>48.4</v>
      </c>
      <c r="G151">
        <f>_xlfn.XLOOKUP(A151,survey_2yrs!A:A,survey_2yrs!E:E)</f>
        <v>51.6</v>
      </c>
      <c r="H151">
        <f>_xlfn.XLOOKUP($A151,weather_2yrs!$A:$A,weather_2yrs!B:B)</f>
        <v>76.8</v>
      </c>
      <c r="I151">
        <f>_xlfn.XLOOKUP($A151,weather_2yrs!$A:$A,weather_2yrs!C:C)</f>
        <v>1.28</v>
      </c>
      <c r="J151">
        <f>_xlfn.XLOOKUP($A151,weather_2yrs!$A:$A,weather_2yrs!D:D)</f>
        <v>1</v>
      </c>
      <c r="K151">
        <f>_xlfn.XLOOKUP($A151,weather_2yrs!$A:$A,weather_2yrs!E:E)</f>
        <v>56.8</v>
      </c>
      <c r="L151">
        <f>_xlfn.XLOOKUP($A151,sales!$A:$A,sales!B:B)</f>
        <v>1</v>
      </c>
      <c r="M151" t="str">
        <f>_xlfn.XLOOKUP($A151,sales!$A:$A,sales!C:C)</f>
        <v>Miami Beach</v>
      </c>
      <c r="N151">
        <f>_xlfn.XLOOKUP($A151,sales!$A:$A,sales!D:D)</f>
        <v>272</v>
      </c>
      <c r="O151">
        <f>_xlfn.XLOOKUP($A151,sales!$A:$A,sales!E:E)</f>
        <v>5220.2299999999996</v>
      </c>
      <c r="P151" s="4">
        <f t="shared" si="8"/>
        <v>19.192022058823529</v>
      </c>
    </row>
    <row r="152" spans="1:16" x14ac:dyDescent="0.25">
      <c r="A152" s="1">
        <v>45077</v>
      </c>
      <c r="B152" s="1" t="str">
        <f t="shared" si="6"/>
        <v>Wednesday</v>
      </c>
      <c r="C152" s="1" t="b">
        <f t="shared" si="7"/>
        <v>0</v>
      </c>
      <c r="D152">
        <f>VLOOKUP($A152,survey_2yrs!A:B, 2)</f>
        <v>51.4</v>
      </c>
      <c r="E152">
        <f>VLOOKUP($A152,survey_2yrs!$A:C, 3)</f>
        <v>48.6</v>
      </c>
      <c r="F152">
        <f>VLOOKUP($A152,survey_2yrs!$A:D, 4)</f>
        <v>45.8</v>
      </c>
      <c r="G152">
        <f>_xlfn.XLOOKUP(A152,survey_2yrs!A:A,survey_2yrs!E:E)</f>
        <v>54.2</v>
      </c>
      <c r="H152">
        <f>_xlfn.XLOOKUP($A152,weather_2yrs!$A:$A,weather_2yrs!B:B)</f>
        <v>76.400000000000006</v>
      </c>
      <c r="I152">
        <f>_xlfn.XLOOKUP($A152,weather_2yrs!$A:$A,weather_2yrs!C:C)</f>
        <v>0</v>
      </c>
      <c r="J152">
        <f>_xlfn.XLOOKUP($A152,weather_2yrs!$A:$A,weather_2yrs!D:D)</f>
        <v>0</v>
      </c>
      <c r="K152">
        <f>_xlfn.XLOOKUP($A152,weather_2yrs!$A:$A,weather_2yrs!E:E)</f>
        <v>46.4</v>
      </c>
      <c r="L152">
        <f>_xlfn.XLOOKUP($A152,sales!$A:$A,sales!B:B)</f>
        <v>1</v>
      </c>
      <c r="M152" t="str">
        <f>_xlfn.XLOOKUP($A152,sales!$A:$A,sales!C:C)</f>
        <v>Miami Beach</v>
      </c>
      <c r="N152">
        <f>_xlfn.XLOOKUP($A152,sales!$A:$A,sales!D:D)</f>
        <v>237</v>
      </c>
      <c r="O152">
        <f>_xlfn.XLOOKUP($A152,sales!$A:$A,sales!E:E)</f>
        <v>4312.78</v>
      </c>
      <c r="P152" s="4">
        <f t="shared" si="8"/>
        <v>18.197383966244725</v>
      </c>
    </row>
    <row r="153" spans="1:16" x14ac:dyDescent="0.25">
      <c r="A153" s="1">
        <v>45078</v>
      </c>
      <c r="B153" s="1" t="str">
        <f t="shared" si="6"/>
        <v>Thursday</v>
      </c>
      <c r="C153" s="1" t="b">
        <f t="shared" si="7"/>
        <v>0</v>
      </c>
      <c r="D153">
        <f>VLOOKUP($A153,survey_2yrs!A:B, 2)</f>
        <v>49.3</v>
      </c>
      <c r="E153">
        <f>VLOOKUP($A153,survey_2yrs!$A:C, 3)</f>
        <v>50.7</v>
      </c>
      <c r="F153">
        <f>VLOOKUP($A153,survey_2yrs!$A:D, 4)</f>
        <v>47.4</v>
      </c>
      <c r="G153">
        <f>_xlfn.XLOOKUP(A153,survey_2yrs!A:A,survey_2yrs!E:E)</f>
        <v>52.6</v>
      </c>
      <c r="H153">
        <f>_xlfn.XLOOKUP($A153,weather_2yrs!$A:$A,weather_2yrs!B:B)</f>
        <v>72.8</v>
      </c>
      <c r="I153">
        <f>_xlfn.XLOOKUP($A153,weather_2yrs!$A:$A,weather_2yrs!C:C)</f>
        <v>0</v>
      </c>
      <c r="J153">
        <f>_xlfn.XLOOKUP($A153,weather_2yrs!$A:$A,weather_2yrs!D:D)</f>
        <v>0</v>
      </c>
      <c r="K153">
        <f>_xlfn.XLOOKUP($A153,weather_2yrs!$A:$A,weather_2yrs!E:E)</f>
        <v>59.4</v>
      </c>
      <c r="L153">
        <f>_xlfn.XLOOKUP($A153,sales!$A:$A,sales!B:B)</f>
        <v>1</v>
      </c>
      <c r="M153" t="str">
        <f>_xlfn.XLOOKUP($A153,sales!$A:$A,sales!C:C)</f>
        <v>Miami Beach</v>
      </c>
      <c r="N153">
        <f>_xlfn.XLOOKUP($A153,sales!$A:$A,sales!D:D)</f>
        <v>274</v>
      </c>
      <c r="O153">
        <f>_xlfn.XLOOKUP($A153,sales!$A:$A,sales!E:E)</f>
        <v>4732.76</v>
      </c>
      <c r="P153" s="4">
        <f t="shared" si="8"/>
        <v>17.27284671532847</v>
      </c>
    </row>
    <row r="154" spans="1:16" x14ac:dyDescent="0.25">
      <c r="A154" s="1">
        <v>45079</v>
      </c>
      <c r="B154" s="1" t="str">
        <f t="shared" si="6"/>
        <v>Friday</v>
      </c>
      <c r="C154" s="1" t="b">
        <f t="shared" si="7"/>
        <v>0</v>
      </c>
      <c r="D154">
        <f>VLOOKUP($A154,survey_2yrs!A:B, 2)</f>
        <v>50.7</v>
      </c>
      <c r="E154">
        <f>VLOOKUP($A154,survey_2yrs!$A:C, 3)</f>
        <v>49.3</v>
      </c>
      <c r="F154">
        <f>VLOOKUP($A154,survey_2yrs!$A:D, 4)</f>
        <v>47.7</v>
      </c>
      <c r="G154">
        <f>_xlfn.XLOOKUP(A154,survey_2yrs!A:A,survey_2yrs!E:E)</f>
        <v>52.3</v>
      </c>
      <c r="H154">
        <f>_xlfn.XLOOKUP($A154,weather_2yrs!$A:$A,weather_2yrs!B:B)</f>
        <v>68.900000000000006</v>
      </c>
      <c r="I154">
        <f>_xlfn.XLOOKUP($A154,weather_2yrs!$A:$A,weather_2yrs!C:C)</f>
        <v>0</v>
      </c>
      <c r="J154">
        <f>_xlfn.XLOOKUP($A154,weather_2yrs!$A:$A,weather_2yrs!D:D)</f>
        <v>0</v>
      </c>
      <c r="K154">
        <f>_xlfn.XLOOKUP($A154,weather_2yrs!$A:$A,weather_2yrs!E:E)</f>
        <v>50.8</v>
      </c>
      <c r="L154">
        <f>_xlfn.XLOOKUP($A154,sales!$A:$A,sales!B:B)</f>
        <v>1</v>
      </c>
      <c r="M154" t="str">
        <f>_xlfn.XLOOKUP($A154,sales!$A:$A,sales!C:C)</f>
        <v>Miami Beach</v>
      </c>
      <c r="N154">
        <f>_xlfn.XLOOKUP($A154,sales!$A:$A,sales!D:D)</f>
        <v>267</v>
      </c>
      <c r="O154">
        <f>_xlfn.XLOOKUP($A154,sales!$A:$A,sales!E:E)</f>
        <v>5183.1099999999997</v>
      </c>
      <c r="P154" s="4">
        <f t="shared" si="8"/>
        <v>19.412397003745316</v>
      </c>
    </row>
    <row r="155" spans="1:16" x14ac:dyDescent="0.25">
      <c r="A155" s="1">
        <v>45080</v>
      </c>
      <c r="B155" s="1" t="str">
        <f t="shared" si="6"/>
        <v>Saturday</v>
      </c>
      <c r="C155" s="1" t="b">
        <f t="shared" si="7"/>
        <v>1</v>
      </c>
      <c r="D155">
        <f>VLOOKUP($A155,survey_2yrs!A:B, 2)</f>
        <v>50.9</v>
      </c>
      <c r="E155">
        <f>VLOOKUP($A155,survey_2yrs!$A:C, 3)</f>
        <v>49.1</v>
      </c>
      <c r="F155">
        <f>VLOOKUP($A155,survey_2yrs!$A:D, 4)</f>
        <v>55.2</v>
      </c>
      <c r="G155">
        <f>_xlfn.XLOOKUP(A155,survey_2yrs!A:A,survey_2yrs!E:E)</f>
        <v>44.8</v>
      </c>
      <c r="H155">
        <f>_xlfn.XLOOKUP($A155,weather_2yrs!$A:$A,weather_2yrs!B:B)</f>
        <v>74.7</v>
      </c>
      <c r="I155">
        <f>_xlfn.XLOOKUP($A155,weather_2yrs!$A:$A,weather_2yrs!C:C)</f>
        <v>0.11</v>
      </c>
      <c r="J155">
        <f>_xlfn.XLOOKUP($A155,weather_2yrs!$A:$A,weather_2yrs!D:D)</f>
        <v>1</v>
      </c>
      <c r="K155">
        <f>_xlfn.XLOOKUP($A155,weather_2yrs!$A:$A,weather_2yrs!E:E)</f>
        <v>41.6</v>
      </c>
      <c r="L155">
        <f>_xlfn.XLOOKUP($A155,sales!$A:$A,sales!B:B)</f>
        <v>1</v>
      </c>
      <c r="M155" t="str">
        <f>_xlfn.XLOOKUP($A155,sales!$A:$A,sales!C:C)</f>
        <v>Miami Beach</v>
      </c>
      <c r="N155">
        <f>_xlfn.XLOOKUP($A155,sales!$A:$A,sales!D:D)</f>
        <v>317</v>
      </c>
      <c r="O155">
        <f>_xlfn.XLOOKUP($A155,sales!$A:$A,sales!E:E)</f>
        <v>5482.32</v>
      </c>
      <c r="P155" s="4">
        <f t="shared" si="8"/>
        <v>17.294384858044165</v>
      </c>
    </row>
    <row r="156" spans="1:16" x14ac:dyDescent="0.25">
      <c r="A156" s="1">
        <v>45081</v>
      </c>
      <c r="B156" s="1" t="str">
        <f t="shared" si="6"/>
        <v>Sunday</v>
      </c>
      <c r="C156" s="1" t="b">
        <f t="shared" si="7"/>
        <v>1</v>
      </c>
      <c r="D156">
        <f>VLOOKUP($A156,survey_2yrs!A:B, 2)</f>
        <v>49.6</v>
      </c>
      <c r="E156">
        <f>VLOOKUP($A156,survey_2yrs!$A:C, 3)</f>
        <v>50.4</v>
      </c>
      <c r="F156">
        <f>VLOOKUP($A156,survey_2yrs!$A:D, 4)</f>
        <v>52.3</v>
      </c>
      <c r="G156">
        <f>_xlfn.XLOOKUP(A156,survey_2yrs!A:A,survey_2yrs!E:E)</f>
        <v>47.7</v>
      </c>
      <c r="H156">
        <f>_xlfn.XLOOKUP($A156,weather_2yrs!$A:$A,weather_2yrs!B:B)</f>
        <v>76.599999999999994</v>
      </c>
      <c r="I156">
        <f>_xlfn.XLOOKUP($A156,weather_2yrs!$A:$A,weather_2yrs!C:C)</f>
        <v>0</v>
      </c>
      <c r="J156">
        <f>_xlfn.XLOOKUP($A156,weather_2yrs!$A:$A,weather_2yrs!D:D)</f>
        <v>0</v>
      </c>
      <c r="K156">
        <f>_xlfn.XLOOKUP($A156,weather_2yrs!$A:$A,weather_2yrs!E:E)</f>
        <v>44</v>
      </c>
      <c r="L156">
        <f>_xlfn.XLOOKUP($A156,sales!$A:$A,sales!B:B)</f>
        <v>1</v>
      </c>
      <c r="M156" t="str">
        <f>_xlfn.XLOOKUP($A156,sales!$A:$A,sales!C:C)</f>
        <v>Miami Beach</v>
      </c>
      <c r="N156">
        <f>_xlfn.XLOOKUP($A156,sales!$A:$A,sales!D:D)</f>
        <v>305</v>
      </c>
      <c r="O156">
        <f>_xlfn.XLOOKUP($A156,sales!$A:$A,sales!E:E)</f>
        <v>6052.58</v>
      </c>
      <c r="P156" s="4">
        <f t="shared" si="8"/>
        <v>19.844524590163935</v>
      </c>
    </row>
    <row r="157" spans="1:16" x14ac:dyDescent="0.25">
      <c r="A157" s="1">
        <v>45082</v>
      </c>
      <c r="B157" s="1" t="str">
        <f t="shared" si="6"/>
        <v>Monday</v>
      </c>
      <c r="C157" s="1" t="b">
        <f t="shared" si="7"/>
        <v>0</v>
      </c>
      <c r="D157">
        <f>VLOOKUP($A157,survey_2yrs!A:B, 2)</f>
        <v>49.1</v>
      </c>
      <c r="E157">
        <f>VLOOKUP($A157,survey_2yrs!$A:C, 3)</f>
        <v>50.9</v>
      </c>
      <c r="F157">
        <f>VLOOKUP($A157,survey_2yrs!$A:D, 4)</f>
        <v>46.4</v>
      </c>
      <c r="G157">
        <f>_xlfn.XLOOKUP(A157,survey_2yrs!A:A,survey_2yrs!E:E)</f>
        <v>53.6</v>
      </c>
      <c r="H157">
        <f>_xlfn.XLOOKUP($A157,weather_2yrs!$A:$A,weather_2yrs!B:B)</f>
        <v>76.5</v>
      </c>
      <c r="I157">
        <f>_xlfn.XLOOKUP($A157,weather_2yrs!$A:$A,weather_2yrs!C:C)</f>
        <v>0.63</v>
      </c>
      <c r="J157">
        <f>_xlfn.XLOOKUP($A157,weather_2yrs!$A:$A,weather_2yrs!D:D)</f>
        <v>1</v>
      </c>
      <c r="K157">
        <f>_xlfn.XLOOKUP($A157,weather_2yrs!$A:$A,weather_2yrs!E:E)</f>
        <v>58.1</v>
      </c>
      <c r="L157">
        <f>_xlfn.XLOOKUP($A157,sales!$A:$A,sales!B:B)</f>
        <v>1</v>
      </c>
      <c r="M157" t="str">
        <f>_xlfn.XLOOKUP($A157,sales!$A:$A,sales!C:C)</f>
        <v>Miami Beach</v>
      </c>
      <c r="N157">
        <f>_xlfn.XLOOKUP($A157,sales!$A:$A,sales!D:D)</f>
        <v>277</v>
      </c>
      <c r="O157">
        <f>_xlfn.XLOOKUP($A157,sales!$A:$A,sales!E:E)</f>
        <v>5057.1000000000004</v>
      </c>
      <c r="P157" s="4">
        <f t="shared" si="8"/>
        <v>18.256678700361011</v>
      </c>
    </row>
    <row r="158" spans="1:16" x14ac:dyDescent="0.25">
      <c r="A158" s="1">
        <v>45083</v>
      </c>
      <c r="B158" s="1" t="str">
        <f t="shared" si="6"/>
        <v>Tuesday</v>
      </c>
      <c r="C158" s="1" t="b">
        <f t="shared" si="7"/>
        <v>0</v>
      </c>
      <c r="D158">
        <f>VLOOKUP($A158,survey_2yrs!A:B, 2)</f>
        <v>50.6</v>
      </c>
      <c r="E158">
        <f>VLOOKUP($A158,survey_2yrs!$A:C, 3)</f>
        <v>49.4</v>
      </c>
      <c r="F158">
        <f>VLOOKUP($A158,survey_2yrs!$A:D, 4)</f>
        <v>46.4</v>
      </c>
      <c r="G158">
        <f>_xlfn.XLOOKUP(A158,survey_2yrs!A:A,survey_2yrs!E:E)</f>
        <v>53.6</v>
      </c>
      <c r="H158">
        <f>_xlfn.XLOOKUP($A158,weather_2yrs!$A:$A,weather_2yrs!B:B)</f>
        <v>74.900000000000006</v>
      </c>
      <c r="I158">
        <f>_xlfn.XLOOKUP($A158,weather_2yrs!$A:$A,weather_2yrs!C:C)</f>
        <v>0</v>
      </c>
      <c r="J158">
        <f>_xlfn.XLOOKUP($A158,weather_2yrs!$A:$A,weather_2yrs!D:D)</f>
        <v>0</v>
      </c>
      <c r="K158">
        <f>_xlfn.XLOOKUP($A158,weather_2yrs!$A:$A,weather_2yrs!E:E)</f>
        <v>58.4</v>
      </c>
      <c r="L158">
        <f>_xlfn.XLOOKUP($A158,sales!$A:$A,sales!B:B)</f>
        <v>1</v>
      </c>
      <c r="M158" t="str">
        <f>_xlfn.XLOOKUP($A158,sales!$A:$A,sales!C:C)</f>
        <v>Miami Beach</v>
      </c>
      <c r="N158">
        <f>_xlfn.XLOOKUP($A158,sales!$A:$A,sales!D:D)</f>
        <v>283</v>
      </c>
      <c r="O158">
        <f>_xlfn.XLOOKUP($A158,sales!$A:$A,sales!E:E)</f>
        <v>5762.19</v>
      </c>
      <c r="P158" s="4">
        <f t="shared" si="8"/>
        <v>20.361095406360423</v>
      </c>
    </row>
    <row r="159" spans="1:16" x14ac:dyDescent="0.25">
      <c r="A159" s="1">
        <v>45084</v>
      </c>
      <c r="B159" s="1" t="str">
        <f t="shared" si="6"/>
        <v>Wednesday</v>
      </c>
      <c r="C159" s="1" t="b">
        <f t="shared" si="7"/>
        <v>0</v>
      </c>
      <c r="D159">
        <f>VLOOKUP($A159,survey_2yrs!A:B, 2)</f>
        <v>50</v>
      </c>
      <c r="E159">
        <f>VLOOKUP($A159,survey_2yrs!$A:C, 3)</f>
        <v>50</v>
      </c>
      <c r="F159">
        <f>VLOOKUP($A159,survey_2yrs!$A:D, 4)</f>
        <v>48.7</v>
      </c>
      <c r="G159">
        <f>_xlfn.XLOOKUP(A159,survey_2yrs!A:A,survey_2yrs!E:E)</f>
        <v>51.3</v>
      </c>
      <c r="H159">
        <f>_xlfn.XLOOKUP($A159,weather_2yrs!$A:$A,weather_2yrs!B:B)</f>
        <v>73.2</v>
      </c>
      <c r="I159">
        <f>_xlfn.XLOOKUP($A159,weather_2yrs!$A:$A,weather_2yrs!C:C)</f>
        <v>1.85</v>
      </c>
      <c r="J159">
        <f>_xlfn.XLOOKUP($A159,weather_2yrs!$A:$A,weather_2yrs!D:D)</f>
        <v>1</v>
      </c>
      <c r="K159">
        <f>_xlfn.XLOOKUP($A159,weather_2yrs!$A:$A,weather_2yrs!E:E)</f>
        <v>53.4</v>
      </c>
      <c r="L159">
        <f>_xlfn.XLOOKUP($A159,sales!$A:$A,sales!B:B)</f>
        <v>1</v>
      </c>
      <c r="M159" t="str">
        <f>_xlfn.XLOOKUP($A159,sales!$A:$A,sales!C:C)</f>
        <v>Miami Beach</v>
      </c>
      <c r="N159">
        <f>_xlfn.XLOOKUP($A159,sales!$A:$A,sales!D:D)</f>
        <v>260</v>
      </c>
      <c r="O159">
        <f>_xlfn.XLOOKUP($A159,sales!$A:$A,sales!E:E)</f>
        <v>4847.43</v>
      </c>
      <c r="P159" s="4">
        <f t="shared" si="8"/>
        <v>18.643961538461539</v>
      </c>
    </row>
    <row r="160" spans="1:16" x14ac:dyDescent="0.25">
      <c r="A160" s="1">
        <v>45085</v>
      </c>
      <c r="B160" s="1" t="str">
        <f t="shared" si="6"/>
        <v>Thursday</v>
      </c>
      <c r="C160" s="1" t="b">
        <f t="shared" si="7"/>
        <v>0</v>
      </c>
      <c r="D160">
        <f>VLOOKUP($A160,survey_2yrs!A:B, 2)</f>
        <v>48.6</v>
      </c>
      <c r="E160">
        <f>VLOOKUP($A160,survey_2yrs!$A:C, 3)</f>
        <v>51.4</v>
      </c>
      <c r="F160">
        <f>VLOOKUP($A160,survey_2yrs!$A:D, 4)</f>
        <v>48.4</v>
      </c>
      <c r="G160">
        <f>_xlfn.XLOOKUP(A160,survey_2yrs!A:A,survey_2yrs!E:E)</f>
        <v>51.6</v>
      </c>
      <c r="H160">
        <f>_xlfn.XLOOKUP($A160,weather_2yrs!$A:$A,weather_2yrs!B:B)</f>
        <v>78.599999999999994</v>
      </c>
      <c r="I160">
        <f>_xlfn.XLOOKUP($A160,weather_2yrs!$A:$A,weather_2yrs!C:C)</f>
        <v>0.81</v>
      </c>
      <c r="J160">
        <f>_xlfn.XLOOKUP($A160,weather_2yrs!$A:$A,weather_2yrs!D:D)</f>
        <v>1</v>
      </c>
      <c r="K160">
        <f>_xlfn.XLOOKUP($A160,weather_2yrs!$A:$A,weather_2yrs!E:E)</f>
        <v>64.7</v>
      </c>
      <c r="L160">
        <f>_xlfn.XLOOKUP($A160,sales!$A:$A,sales!B:B)</f>
        <v>1</v>
      </c>
      <c r="M160" t="str">
        <f>_xlfn.XLOOKUP($A160,sales!$A:$A,sales!C:C)</f>
        <v>Miami Beach</v>
      </c>
      <c r="N160">
        <f>_xlfn.XLOOKUP($A160,sales!$A:$A,sales!D:D)</f>
        <v>257</v>
      </c>
      <c r="O160">
        <f>_xlfn.XLOOKUP($A160,sales!$A:$A,sales!E:E)</f>
        <v>4846.99</v>
      </c>
      <c r="P160" s="4">
        <f t="shared" si="8"/>
        <v>18.859883268482488</v>
      </c>
    </row>
    <row r="161" spans="1:16" x14ac:dyDescent="0.25">
      <c r="A161" s="1">
        <v>45086</v>
      </c>
      <c r="B161" s="1" t="str">
        <f t="shared" si="6"/>
        <v>Friday</v>
      </c>
      <c r="C161" s="1" t="b">
        <f t="shared" si="7"/>
        <v>0</v>
      </c>
      <c r="D161">
        <f>VLOOKUP($A161,survey_2yrs!A:B, 2)</f>
        <v>50</v>
      </c>
      <c r="E161">
        <f>VLOOKUP($A161,survey_2yrs!$A:C, 3)</f>
        <v>50</v>
      </c>
      <c r="F161">
        <f>VLOOKUP($A161,survey_2yrs!$A:D, 4)</f>
        <v>46.1</v>
      </c>
      <c r="G161">
        <f>_xlfn.XLOOKUP(A161,survey_2yrs!A:A,survey_2yrs!E:E)</f>
        <v>53.9</v>
      </c>
      <c r="H161">
        <f>_xlfn.XLOOKUP($A161,weather_2yrs!$A:$A,weather_2yrs!B:B)</f>
        <v>74.3</v>
      </c>
      <c r="I161">
        <f>_xlfn.XLOOKUP($A161,weather_2yrs!$A:$A,weather_2yrs!C:C)</f>
        <v>0.49</v>
      </c>
      <c r="J161">
        <f>_xlfn.XLOOKUP($A161,weather_2yrs!$A:$A,weather_2yrs!D:D)</f>
        <v>1</v>
      </c>
      <c r="K161">
        <f>_xlfn.XLOOKUP($A161,weather_2yrs!$A:$A,weather_2yrs!E:E)</f>
        <v>62.3</v>
      </c>
      <c r="L161">
        <f>_xlfn.XLOOKUP($A161,sales!$A:$A,sales!B:B)</f>
        <v>1</v>
      </c>
      <c r="M161" t="str">
        <f>_xlfn.XLOOKUP($A161,sales!$A:$A,sales!C:C)</f>
        <v>Miami Beach</v>
      </c>
      <c r="N161">
        <f>_xlfn.XLOOKUP($A161,sales!$A:$A,sales!D:D)</f>
        <v>241</v>
      </c>
      <c r="O161">
        <f>_xlfn.XLOOKUP($A161,sales!$A:$A,sales!E:E)</f>
        <v>4702.72</v>
      </c>
      <c r="P161" s="4">
        <f t="shared" si="8"/>
        <v>19.513360995850622</v>
      </c>
    </row>
    <row r="162" spans="1:16" x14ac:dyDescent="0.25">
      <c r="A162" s="1">
        <v>45087</v>
      </c>
      <c r="B162" s="1" t="str">
        <f t="shared" si="6"/>
        <v>Saturday</v>
      </c>
      <c r="C162" s="1" t="b">
        <f t="shared" si="7"/>
        <v>1</v>
      </c>
      <c r="D162">
        <f>VLOOKUP($A162,survey_2yrs!A:B, 2)</f>
        <v>50.6</v>
      </c>
      <c r="E162">
        <f>VLOOKUP($A162,survey_2yrs!$A:C, 3)</f>
        <v>49.4</v>
      </c>
      <c r="F162">
        <f>VLOOKUP($A162,survey_2yrs!$A:D, 4)</f>
        <v>52.6</v>
      </c>
      <c r="G162">
        <f>_xlfn.XLOOKUP(A162,survey_2yrs!A:A,survey_2yrs!E:E)</f>
        <v>47.4</v>
      </c>
      <c r="H162">
        <f>_xlfn.XLOOKUP($A162,weather_2yrs!$A:$A,weather_2yrs!B:B)</f>
        <v>74.8</v>
      </c>
      <c r="I162">
        <f>_xlfn.XLOOKUP($A162,weather_2yrs!$A:$A,weather_2yrs!C:C)</f>
        <v>0</v>
      </c>
      <c r="J162">
        <f>_xlfn.XLOOKUP($A162,weather_2yrs!$A:$A,weather_2yrs!D:D)</f>
        <v>0</v>
      </c>
      <c r="K162">
        <f>_xlfn.XLOOKUP($A162,weather_2yrs!$A:$A,weather_2yrs!E:E)</f>
        <v>58.9</v>
      </c>
      <c r="L162">
        <f>_xlfn.XLOOKUP($A162,sales!$A:$A,sales!B:B)</f>
        <v>1</v>
      </c>
      <c r="M162" t="str">
        <f>_xlfn.XLOOKUP($A162,sales!$A:$A,sales!C:C)</f>
        <v>Miami Beach</v>
      </c>
      <c r="N162">
        <f>_xlfn.XLOOKUP($A162,sales!$A:$A,sales!D:D)</f>
        <v>288</v>
      </c>
      <c r="O162">
        <f>_xlfn.XLOOKUP($A162,sales!$A:$A,sales!E:E)</f>
        <v>5400.66</v>
      </c>
      <c r="P162" s="4">
        <f t="shared" si="8"/>
        <v>18.752291666666665</v>
      </c>
    </row>
    <row r="163" spans="1:16" x14ac:dyDescent="0.25">
      <c r="A163" s="1">
        <v>45088</v>
      </c>
      <c r="B163" s="1" t="str">
        <f t="shared" si="6"/>
        <v>Sunday</v>
      </c>
      <c r="C163" s="1" t="b">
        <f t="shared" si="7"/>
        <v>1</v>
      </c>
      <c r="D163">
        <f>VLOOKUP($A163,survey_2yrs!A:B, 2)</f>
        <v>47.9</v>
      </c>
      <c r="E163">
        <f>VLOOKUP($A163,survey_2yrs!$A:C, 3)</f>
        <v>52.1</v>
      </c>
      <c r="F163">
        <f>VLOOKUP($A163,survey_2yrs!$A:D, 4)</f>
        <v>55.8</v>
      </c>
      <c r="G163">
        <f>_xlfn.XLOOKUP(A163,survey_2yrs!A:A,survey_2yrs!E:E)</f>
        <v>44.2</v>
      </c>
      <c r="H163">
        <f>_xlfn.XLOOKUP($A163,weather_2yrs!$A:$A,weather_2yrs!B:B)</f>
        <v>78.3</v>
      </c>
      <c r="I163">
        <f>_xlfn.XLOOKUP($A163,weather_2yrs!$A:$A,weather_2yrs!C:C)</f>
        <v>0</v>
      </c>
      <c r="J163">
        <f>_xlfn.XLOOKUP($A163,weather_2yrs!$A:$A,weather_2yrs!D:D)</f>
        <v>0</v>
      </c>
      <c r="K163">
        <f>_xlfn.XLOOKUP($A163,weather_2yrs!$A:$A,weather_2yrs!E:E)</f>
        <v>50.2</v>
      </c>
      <c r="L163">
        <f>_xlfn.XLOOKUP($A163,sales!$A:$A,sales!B:B)</f>
        <v>1</v>
      </c>
      <c r="M163" t="str">
        <f>_xlfn.XLOOKUP($A163,sales!$A:$A,sales!C:C)</f>
        <v>Miami Beach</v>
      </c>
      <c r="N163">
        <f>_xlfn.XLOOKUP($A163,sales!$A:$A,sales!D:D)</f>
        <v>319</v>
      </c>
      <c r="O163">
        <f>_xlfn.XLOOKUP($A163,sales!$A:$A,sales!E:E)</f>
        <v>5711.44</v>
      </c>
      <c r="P163" s="4">
        <f t="shared" si="8"/>
        <v>17.904200626959245</v>
      </c>
    </row>
    <row r="164" spans="1:16" x14ac:dyDescent="0.25">
      <c r="A164" s="1">
        <v>45089</v>
      </c>
      <c r="B164" s="1" t="str">
        <f t="shared" si="6"/>
        <v>Monday</v>
      </c>
      <c r="C164" s="1" t="b">
        <f t="shared" si="7"/>
        <v>0</v>
      </c>
      <c r="D164">
        <f>VLOOKUP($A164,survey_2yrs!A:B, 2)</f>
        <v>51.1</v>
      </c>
      <c r="E164">
        <f>VLOOKUP($A164,survey_2yrs!$A:C, 3)</f>
        <v>48.9</v>
      </c>
      <c r="F164">
        <f>VLOOKUP($A164,survey_2yrs!$A:D, 4)</f>
        <v>47.2</v>
      </c>
      <c r="G164">
        <f>_xlfn.XLOOKUP(A164,survey_2yrs!A:A,survey_2yrs!E:E)</f>
        <v>52.8</v>
      </c>
      <c r="H164">
        <f>_xlfn.XLOOKUP($A164,weather_2yrs!$A:$A,weather_2yrs!B:B)</f>
        <v>75.8</v>
      </c>
      <c r="I164">
        <f>_xlfn.XLOOKUP($A164,weather_2yrs!$A:$A,weather_2yrs!C:C)</f>
        <v>0</v>
      </c>
      <c r="J164">
        <f>_xlfn.XLOOKUP($A164,weather_2yrs!$A:$A,weather_2yrs!D:D)</f>
        <v>0</v>
      </c>
      <c r="K164">
        <f>_xlfn.XLOOKUP($A164,weather_2yrs!$A:$A,weather_2yrs!E:E)</f>
        <v>55.5</v>
      </c>
      <c r="L164">
        <f>_xlfn.XLOOKUP($A164,sales!$A:$A,sales!B:B)</f>
        <v>1</v>
      </c>
      <c r="M164" t="str">
        <f>_xlfn.XLOOKUP($A164,sales!$A:$A,sales!C:C)</f>
        <v>Miami Beach</v>
      </c>
      <c r="N164">
        <f>_xlfn.XLOOKUP($A164,sales!$A:$A,sales!D:D)</f>
        <v>246</v>
      </c>
      <c r="O164">
        <f>_xlfn.XLOOKUP($A164,sales!$A:$A,sales!E:E)</f>
        <v>4214.26</v>
      </c>
      <c r="P164" s="4">
        <f t="shared" si="8"/>
        <v>17.131138211382115</v>
      </c>
    </row>
    <row r="165" spans="1:16" x14ac:dyDescent="0.25">
      <c r="A165" s="1">
        <v>45090</v>
      </c>
      <c r="B165" s="1" t="str">
        <f t="shared" si="6"/>
        <v>Tuesday</v>
      </c>
      <c r="C165" s="1" t="b">
        <f t="shared" si="7"/>
        <v>0</v>
      </c>
      <c r="D165">
        <f>VLOOKUP($A165,survey_2yrs!A:B, 2)</f>
        <v>49.9</v>
      </c>
      <c r="E165">
        <f>VLOOKUP($A165,survey_2yrs!$A:C, 3)</f>
        <v>50.1</v>
      </c>
      <c r="F165">
        <f>VLOOKUP($A165,survey_2yrs!$A:D, 4)</f>
        <v>48.3</v>
      </c>
      <c r="G165">
        <f>_xlfn.XLOOKUP(A165,survey_2yrs!A:A,survey_2yrs!E:E)</f>
        <v>51.7</v>
      </c>
      <c r="H165">
        <f>_xlfn.XLOOKUP($A165,weather_2yrs!$A:$A,weather_2yrs!B:B)</f>
        <v>82.7</v>
      </c>
      <c r="I165">
        <f>_xlfn.XLOOKUP($A165,weather_2yrs!$A:$A,weather_2yrs!C:C)</f>
        <v>0.67</v>
      </c>
      <c r="J165">
        <f>_xlfn.XLOOKUP($A165,weather_2yrs!$A:$A,weather_2yrs!D:D)</f>
        <v>1</v>
      </c>
      <c r="K165">
        <f>_xlfn.XLOOKUP($A165,weather_2yrs!$A:$A,weather_2yrs!E:E)</f>
        <v>57.7</v>
      </c>
      <c r="L165">
        <f>_xlfn.XLOOKUP($A165,sales!$A:$A,sales!B:B)</f>
        <v>1</v>
      </c>
      <c r="M165" t="str">
        <f>_xlfn.XLOOKUP($A165,sales!$A:$A,sales!C:C)</f>
        <v>Miami Beach</v>
      </c>
      <c r="N165">
        <f>_xlfn.XLOOKUP($A165,sales!$A:$A,sales!D:D)</f>
        <v>266</v>
      </c>
      <c r="O165">
        <f>_xlfn.XLOOKUP($A165,sales!$A:$A,sales!E:E)</f>
        <v>4521.42</v>
      </c>
      <c r="P165" s="4">
        <f t="shared" si="8"/>
        <v>16.997819548872179</v>
      </c>
    </row>
    <row r="166" spans="1:16" x14ac:dyDescent="0.25">
      <c r="A166" s="1">
        <v>45091</v>
      </c>
      <c r="B166" s="1" t="str">
        <f t="shared" si="6"/>
        <v>Wednesday</v>
      </c>
      <c r="C166" s="1" t="b">
        <f t="shared" si="7"/>
        <v>0</v>
      </c>
      <c r="D166">
        <f>VLOOKUP($A166,survey_2yrs!A:B, 2)</f>
        <v>49.3</v>
      </c>
      <c r="E166">
        <f>VLOOKUP($A166,survey_2yrs!$A:C, 3)</f>
        <v>50.7</v>
      </c>
      <c r="F166">
        <f>VLOOKUP($A166,survey_2yrs!$A:D, 4)</f>
        <v>46.6</v>
      </c>
      <c r="G166">
        <f>_xlfn.XLOOKUP(A166,survey_2yrs!A:A,survey_2yrs!E:E)</f>
        <v>53.4</v>
      </c>
      <c r="H166">
        <f>_xlfn.XLOOKUP($A166,weather_2yrs!$A:$A,weather_2yrs!B:B)</f>
        <v>76.900000000000006</v>
      </c>
      <c r="I166">
        <f>_xlfn.XLOOKUP($A166,weather_2yrs!$A:$A,weather_2yrs!C:C)</f>
        <v>1.6</v>
      </c>
      <c r="J166">
        <f>_xlfn.XLOOKUP($A166,weather_2yrs!$A:$A,weather_2yrs!D:D)</f>
        <v>1</v>
      </c>
      <c r="K166">
        <f>_xlfn.XLOOKUP($A166,weather_2yrs!$A:$A,weather_2yrs!E:E)</f>
        <v>62</v>
      </c>
      <c r="L166">
        <f>_xlfn.XLOOKUP($A166,sales!$A:$A,sales!B:B)</f>
        <v>1</v>
      </c>
      <c r="M166" t="str">
        <f>_xlfn.XLOOKUP($A166,sales!$A:$A,sales!C:C)</f>
        <v>Miami Beach</v>
      </c>
      <c r="N166">
        <f>_xlfn.XLOOKUP($A166,sales!$A:$A,sales!D:D)</f>
        <v>248</v>
      </c>
      <c r="O166">
        <f>_xlfn.XLOOKUP($A166,sales!$A:$A,sales!E:E)</f>
        <v>4666.33</v>
      </c>
      <c r="P166" s="4">
        <f t="shared" si="8"/>
        <v>18.815846774193549</v>
      </c>
    </row>
    <row r="167" spans="1:16" x14ac:dyDescent="0.25">
      <c r="A167" s="1">
        <v>45092</v>
      </c>
      <c r="B167" s="1" t="str">
        <f t="shared" si="6"/>
        <v>Thursday</v>
      </c>
      <c r="C167" s="1" t="b">
        <f t="shared" si="7"/>
        <v>0</v>
      </c>
      <c r="D167">
        <f>VLOOKUP($A167,survey_2yrs!A:B, 2)</f>
        <v>49</v>
      </c>
      <c r="E167">
        <f>VLOOKUP($A167,survey_2yrs!$A:C, 3)</f>
        <v>51</v>
      </c>
      <c r="F167">
        <f>VLOOKUP($A167,survey_2yrs!$A:D, 4)</f>
        <v>47.1</v>
      </c>
      <c r="G167">
        <f>_xlfn.XLOOKUP(A167,survey_2yrs!A:A,survey_2yrs!E:E)</f>
        <v>52.9</v>
      </c>
      <c r="H167">
        <f>_xlfn.XLOOKUP($A167,weather_2yrs!$A:$A,weather_2yrs!B:B)</f>
        <v>78.5</v>
      </c>
      <c r="I167">
        <f>_xlfn.XLOOKUP($A167,weather_2yrs!$A:$A,weather_2yrs!C:C)</f>
        <v>0</v>
      </c>
      <c r="J167">
        <f>_xlfn.XLOOKUP($A167,weather_2yrs!$A:$A,weather_2yrs!D:D)</f>
        <v>0</v>
      </c>
      <c r="K167">
        <f>_xlfn.XLOOKUP($A167,weather_2yrs!$A:$A,weather_2yrs!E:E)</f>
        <v>58.7</v>
      </c>
      <c r="L167">
        <f>_xlfn.XLOOKUP($A167,sales!$A:$A,sales!B:B)</f>
        <v>1</v>
      </c>
      <c r="M167" t="str">
        <f>_xlfn.XLOOKUP($A167,sales!$A:$A,sales!C:C)</f>
        <v>Miami Beach</v>
      </c>
      <c r="N167">
        <f>_xlfn.XLOOKUP($A167,sales!$A:$A,sales!D:D)</f>
        <v>297</v>
      </c>
      <c r="O167">
        <f>_xlfn.XLOOKUP($A167,sales!$A:$A,sales!E:E)</f>
        <v>5761.75</v>
      </c>
      <c r="P167" s="4">
        <f t="shared" si="8"/>
        <v>19.399831649831651</v>
      </c>
    </row>
    <row r="168" spans="1:16" x14ac:dyDescent="0.25">
      <c r="A168" s="1">
        <v>45093</v>
      </c>
      <c r="B168" s="1" t="str">
        <f t="shared" si="6"/>
        <v>Friday</v>
      </c>
      <c r="C168" s="1" t="b">
        <f t="shared" si="7"/>
        <v>0</v>
      </c>
      <c r="D168">
        <f>VLOOKUP($A168,survey_2yrs!A:B, 2)</f>
        <v>50.6</v>
      </c>
      <c r="E168">
        <f>VLOOKUP($A168,survey_2yrs!$A:C, 3)</f>
        <v>49.4</v>
      </c>
      <c r="F168">
        <f>VLOOKUP($A168,survey_2yrs!$A:D, 4)</f>
        <v>47.9</v>
      </c>
      <c r="G168">
        <f>_xlfn.XLOOKUP(A168,survey_2yrs!A:A,survey_2yrs!E:E)</f>
        <v>52.1</v>
      </c>
      <c r="H168">
        <f>_xlfn.XLOOKUP($A168,weather_2yrs!$A:$A,weather_2yrs!B:B)</f>
        <v>82.1</v>
      </c>
      <c r="I168">
        <f>_xlfn.XLOOKUP($A168,weather_2yrs!$A:$A,weather_2yrs!C:C)</f>
        <v>0</v>
      </c>
      <c r="J168">
        <f>_xlfn.XLOOKUP($A168,weather_2yrs!$A:$A,weather_2yrs!D:D)</f>
        <v>0</v>
      </c>
      <c r="K168">
        <f>_xlfn.XLOOKUP($A168,weather_2yrs!$A:$A,weather_2yrs!E:E)</f>
        <v>57.6</v>
      </c>
      <c r="L168">
        <f>_xlfn.XLOOKUP($A168,sales!$A:$A,sales!B:B)</f>
        <v>1</v>
      </c>
      <c r="M168" t="str">
        <f>_xlfn.XLOOKUP($A168,sales!$A:$A,sales!C:C)</f>
        <v>Miami Beach</v>
      </c>
      <c r="N168">
        <f>_xlfn.XLOOKUP($A168,sales!$A:$A,sales!D:D)</f>
        <v>309</v>
      </c>
      <c r="O168">
        <f>_xlfn.XLOOKUP($A168,sales!$A:$A,sales!E:E)</f>
        <v>5600.7</v>
      </c>
      <c r="P168" s="4">
        <f t="shared" si="8"/>
        <v>18.1252427184466</v>
      </c>
    </row>
    <row r="169" spans="1:16" x14ac:dyDescent="0.25">
      <c r="A169" s="1">
        <v>45094</v>
      </c>
      <c r="B169" s="1" t="str">
        <f t="shared" si="6"/>
        <v>Saturday</v>
      </c>
      <c r="C169" s="1" t="b">
        <f t="shared" si="7"/>
        <v>1</v>
      </c>
      <c r="D169">
        <f>VLOOKUP($A169,survey_2yrs!A:B, 2)</f>
        <v>48.8</v>
      </c>
      <c r="E169">
        <f>VLOOKUP($A169,survey_2yrs!$A:C, 3)</f>
        <v>51.2</v>
      </c>
      <c r="F169">
        <f>VLOOKUP($A169,survey_2yrs!$A:D, 4)</f>
        <v>53.5</v>
      </c>
      <c r="G169">
        <f>_xlfn.XLOOKUP(A169,survey_2yrs!A:A,survey_2yrs!E:E)</f>
        <v>46.5</v>
      </c>
      <c r="H169">
        <f>_xlfn.XLOOKUP($A169,weather_2yrs!$A:$A,weather_2yrs!B:B)</f>
        <v>83.5</v>
      </c>
      <c r="I169">
        <f>_xlfn.XLOOKUP($A169,weather_2yrs!$A:$A,weather_2yrs!C:C)</f>
        <v>0</v>
      </c>
      <c r="J169">
        <f>_xlfn.XLOOKUP($A169,weather_2yrs!$A:$A,weather_2yrs!D:D)</f>
        <v>0</v>
      </c>
      <c r="K169">
        <f>_xlfn.XLOOKUP($A169,weather_2yrs!$A:$A,weather_2yrs!E:E)</f>
        <v>56.4</v>
      </c>
      <c r="L169">
        <f>_xlfn.XLOOKUP($A169,sales!$A:$A,sales!B:B)</f>
        <v>1</v>
      </c>
      <c r="M169" t="str">
        <f>_xlfn.XLOOKUP($A169,sales!$A:$A,sales!C:C)</f>
        <v>Miami Beach</v>
      </c>
      <c r="N169">
        <f>_xlfn.XLOOKUP($A169,sales!$A:$A,sales!D:D)</f>
        <v>367</v>
      </c>
      <c r="O169">
        <f>_xlfn.XLOOKUP($A169,sales!$A:$A,sales!E:E)</f>
        <v>6833.46</v>
      </c>
      <c r="P169" s="4">
        <f t="shared" si="8"/>
        <v>18.619782016348775</v>
      </c>
    </row>
    <row r="170" spans="1:16" x14ac:dyDescent="0.25">
      <c r="A170" s="1">
        <v>45095</v>
      </c>
      <c r="B170" s="1" t="str">
        <f t="shared" si="6"/>
        <v>Sunday</v>
      </c>
      <c r="C170" s="1" t="b">
        <f t="shared" si="7"/>
        <v>1</v>
      </c>
      <c r="D170">
        <f>VLOOKUP($A170,survey_2yrs!A:B, 2)</f>
        <v>49.2</v>
      </c>
      <c r="E170">
        <f>VLOOKUP($A170,survey_2yrs!$A:C, 3)</f>
        <v>50.8</v>
      </c>
      <c r="F170">
        <f>VLOOKUP($A170,survey_2yrs!$A:D, 4)</f>
        <v>54.3</v>
      </c>
      <c r="G170">
        <f>_xlfn.XLOOKUP(A170,survey_2yrs!A:A,survey_2yrs!E:E)</f>
        <v>45.7</v>
      </c>
      <c r="H170">
        <f>_xlfn.XLOOKUP($A170,weather_2yrs!$A:$A,weather_2yrs!B:B)</f>
        <v>71.900000000000006</v>
      </c>
      <c r="I170">
        <f>_xlfn.XLOOKUP($A170,weather_2yrs!$A:$A,weather_2yrs!C:C)</f>
        <v>0</v>
      </c>
      <c r="J170">
        <f>_xlfn.XLOOKUP($A170,weather_2yrs!$A:$A,weather_2yrs!D:D)</f>
        <v>0</v>
      </c>
      <c r="K170">
        <f>_xlfn.XLOOKUP($A170,weather_2yrs!$A:$A,weather_2yrs!E:E)</f>
        <v>60</v>
      </c>
      <c r="L170">
        <f>_xlfn.XLOOKUP($A170,sales!$A:$A,sales!B:B)</f>
        <v>1</v>
      </c>
      <c r="M170" t="str">
        <f>_xlfn.XLOOKUP($A170,sales!$A:$A,sales!C:C)</f>
        <v>Miami Beach</v>
      </c>
      <c r="N170">
        <f>_xlfn.XLOOKUP($A170,sales!$A:$A,sales!D:D)</f>
        <v>319</v>
      </c>
      <c r="O170">
        <f>_xlfn.XLOOKUP($A170,sales!$A:$A,sales!E:E)</f>
        <v>5950.27</v>
      </c>
      <c r="P170" s="4">
        <f t="shared" si="8"/>
        <v>18.652884012539186</v>
      </c>
    </row>
    <row r="171" spans="1:16" x14ac:dyDescent="0.25">
      <c r="A171" s="1">
        <v>45096</v>
      </c>
      <c r="B171" s="1" t="str">
        <f t="shared" si="6"/>
        <v>Monday</v>
      </c>
      <c r="C171" s="1" t="b">
        <f t="shared" si="7"/>
        <v>0</v>
      </c>
      <c r="D171">
        <f>VLOOKUP($A171,survey_2yrs!A:B, 2)</f>
        <v>48.7</v>
      </c>
      <c r="E171">
        <f>VLOOKUP($A171,survey_2yrs!$A:C, 3)</f>
        <v>51.3</v>
      </c>
      <c r="F171">
        <f>VLOOKUP($A171,survey_2yrs!$A:D, 4)</f>
        <v>45.5</v>
      </c>
      <c r="G171">
        <f>_xlfn.XLOOKUP(A171,survey_2yrs!A:A,survey_2yrs!E:E)</f>
        <v>54.5</v>
      </c>
      <c r="H171">
        <f>_xlfn.XLOOKUP($A171,weather_2yrs!$A:$A,weather_2yrs!B:B)</f>
        <v>78.5</v>
      </c>
      <c r="I171">
        <f>_xlfn.XLOOKUP($A171,weather_2yrs!$A:$A,weather_2yrs!C:C)</f>
        <v>7.0000000000000007E-2</v>
      </c>
      <c r="J171">
        <f>_xlfn.XLOOKUP($A171,weather_2yrs!$A:$A,weather_2yrs!D:D)</f>
        <v>1</v>
      </c>
      <c r="K171">
        <f>_xlfn.XLOOKUP($A171,weather_2yrs!$A:$A,weather_2yrs!E:E)</f>
        <v>58.4</v>
      </c>
      <c r="L171">
        <f>_xlfn.XLOOKUP($A171,sales!$A:$A,sales!B:B)</f>
        <v>1</v>
      </c>
      <c r="M171" t="str">
        <f>_xlfn.XLOOKUP($A171,sales!$A:$A,sales!C:C)</f>
        <v>Miami Beach</v>
      </c>
      <c r="N171">
        <f>_xlfn.XLOOKUP($A171,sales!$A:$A,sales!D:D)</f>
        <v>259</v>
      </c>
      <c r="O171">
        <f>_xlfn.XLOOKUP($A171,sales!$A:$A,sales!E:E)</f>
        <v>5006.84</v>
      </c>
      <c r="P171" s="4">
        <f t="shared" si="8"/>
        <v>19.331428571428571</v>
      </c>
    </row>
    <row r="172" spans="1:16" x14ac:dyDescent="0.25">
      <c r="A172" s="1">
        <v>45097</v>
      </c>
      <c r="B172" s="1" t="str">
        <f t="shared" si="6"/>
        <v>Tuesday</v>
      </c>
      <c r="C172" s="1" t="b">
        <f t="shared" si="7"/>
        <v>0</v>
      </c>
      <c r="D172">
        <f>VLOOKUP($A172,survey_2yrs!A:B, 2)</f>
        <v>50.1</v>
      </c>
      <c r="E172">
        <f>VLOOKUP($A172,survey_2yrs!$A:C, 3)</f>
        <v>49.9</v>
      </c>
      <c r="F172">
        <f>VLOOKUP($A172,survey_2yrs!$A:D, 4)</f>
        <v>47.8</v>
      </c>
      <c r="G172">
        <f>_xlfn.XLOOKUP(A172,survey_2yrs!A:A,survey_2yrs!E:E)</f>
        <v>52.2</v>
      </c>
      <c r="H172">
        <f>_xlfn.XLOOKUP($A172,weather_2yrs!$A:$A,weather_2yrs!B:B)</f>
        <v>72.7</v>
      </c>
      <c r="I172">
        <f>_xlfn.XLOOKUP($A172,weather_2yrs!$A:$A,weather_2yrs!C:C)</f>
        <v>0</v>
      </c>
      <c r="J172">
        <f>_xlfn.XLOOKUP($A172,weather_2yrs!$A:$A,weather_2yrs!D:D)</f>
        <v>0</v>
      </c>
      <c r="K172">
        <f>_xlfn.XLOOKUP($A172,weather_2yrs!$A:$A,weather_2yrs!E:E)</f>
        <v>64.400000000000006</v>
      </c>
      <c r="L172">
        <f>_xlfn.XLOOKUP($A172,sales!$A:$A,sales!B:B)</f>
        <v>1</v>
      </c>
      <c r="M172" t="str">
        <f>_xlfn.XLOOKUP($A172,sales!$A:$A,sales!C:C)</f>
        <v>Miami Beach</v>
      </c>
      <c r="N172">
        <f>_xlfn.XLOOKUP($A172,sales!$A:$A,sales!D:D)</f>
        <v>238</v>
      </c>
      <c r="O172">
        <f>_xlfn.XLOOKUP($A172,sales!$A:$A,sales!E:E)</f>
        <v>4653.55</v>
      </c>
      <c r="P172" s="4">
        <f t="shared" si="8"/>
        <v>19.552731092436975</v>
      </c>
    </row>
    <row r="173" spans="1:16" x14ac:dyDescent="0.25">
      <c r="A173" s="1">
        <v>45098</v>
      </c>
      <c r="B173" s="1" t="str">
        <f t="shared" si="6"/>
        <v>Wednesday</v>
      </c>
      <c r="C173" s="1" t="b">
        <f t="shared" si="7"/>
        <v>0</v>
      </c>
      <c r="D173">
        <f>VLOOKUP($A173,survey_2yrs!A:B, 2)</f>
        <v>48.1</v>
      </c>
      <c r="E173">
        <f>VLOOKUP($A173,survey_2yrs!$A:C, 3)</f>
        <v>51.9</v>
      </c>
      <c r="F173">
        <f>VLOOKUP($A173,survey_2yrs!$A:D, 4)</f>
        <v>48.5</v>
      </c>
      <c r="G173">
        <f>_xlfn.XLOOKUP(A173,survey_2yrs!A:A,survey_2yrs!E:E)</f>
        <v>51.5</v>
      </c>
      <c r="H173">
        <f>_xlfn.XLOOKUP($A173,weather_2yrs!$A:$A,weather_2yrs!B:B)</f>
        <v>77.3</v>
      </c>
      <c r="I173">
        <f>_xlfn.XLOOKUP($A173,weather_2yrs!$A:$A,weather_2yrs!C:C)</f>
        <v>0</v>
      </c>
      <c r="J173">
        <f>_xlfn.XLOOKUP($A173,weather_2yrs!$A:$A,weather_2yrs!D:D)</f>
        <v>0</v>
      </c>
      <c r="K173">
        <f>_xlfn.XLOOKUP($A173,weather_2yrs!$A:$A,weather_2yrs!E:E)</f>
        <v>59</v>
      </c>
      <c r="L173">
        <f>_xlfn.XLOOKUP($A173,sales!$A:$A,sales!B:B)</f>
        <v>1</v>
      </c>
      <c r="M173" t="str">
        <f>_xlfn.XLOOKUP($A173,sales!$A:$A,sales!C:C)</f>
        <v>Miami Beach</v>
      </c>
      <c r="N173">
        <f>_xlfn.XLOOKUP($A173,sales!$A:$A,sales!D:D)</f>
        <v>296</v>
      </c>
      <c r="O173">
        <f>_xlfn.XLOOKUP($A173,sales!$A:$A,sales!E:E)</f>
        <v>5945.58</v>
      </c>
      <c r="P173" s="4">
        <f t="shared" si="8"/>
        <v>20.08641891891892</v>
      </c>
    </row>
    <row r="174" spans="1:16" x14ac:dyDescent="0.25">
      <c r="A174" s="1">
        <v>45099</v>
      </c>
      <c r="B174" s="1" t="str">
        <f t="shared" si="6"/>
        <v>Thursday</v>
      </c>
      <c r="C174" s="1" t="b">
        <f t="shared" si="7"/>
        <v>0</v>
      </c>
      <c r="D174">
        <f>VLOOKUP($A174,survey_2yrs!A:B, 2)</f>
        <v>51.2</v>
      </c>
      <c r="E174">
        <f>VLOOKUP($A174,survey_2yrs!$A:C, 3)</f>
        <v>48.8</v>
      </c>
      <c r="F174">
        <f>VLOOKUP($A174,survey_2yrs!$A:D, 4)</f>
        <v>47.2</v>
      </c>
      <c r="G174">
        <f>_xlfn.XLOOKUP(A174,survey_2yrs!A:A,survey_2yrs!E:E)</f>
        <v>52.8</v>
      </c>
      <c r="H174">
        <f>_xlfn.XLOOKUP($A174,weather_2yrs!$A:$A,weather_2yrs!B:B)</f>
        <v>78.7</v>
      </c>
      <c r="I174">
        <f>_xlfn.XLOOKUP($A174,weather_2yrs!$A:$A,weather_2yrs!C:C)</f>
        <v>0</v>
      </c>
      <c r="J174">
        <f>_xlfn.XLOOKUP($A174,weather_2yrs!$A:$A,weather_2yrs!D:D)</f>
        <v>0</v>
      </c>
      <c r="K174">
        <f>_xlfn.XLOOKUP($A174,weather_2yrs!$A:$A,weather_2yrs!E:E)</f>
        <v>48.7</v>
      </c>
      <c r="L174">
        <f>_xlfn.XLOOKUP($A174,sales!$A:$A,sales!B:B)</f>
        <v>1</v>
      </c>
      <c r="M174" t="str">
        <f>_xlfn.XLOOKUP($A174,sales!$A:$A,sales!C:C)</f>
        <v>Miami Beach</v>
      </c>
      <c r="N174">
        <f>_xlfn.XLOOKUP($A174,sales!$A:$A,sales!D:D)</f>
        <v>294</v>
      </c>
      <c r="O174">
        <f>_xlfn.XLOOKUP($A174,sales!$A:$A,sales!E:E)</f>
        <v>5523.44</v>
      </c>
      <c r="P174" s="4">
        <f t="shared" si="8"/>
        <v>18.78721088435374</v>
      </c>
    </row>
    <row r="175" spans="1:16" x14ac:dyDescent="0.25">
      <c r="A175" s="1">
        <v>45100</v>
      </c>
      <c r="B175" s="1" t="str">
        <f t="shared" si="6"/>
        <v>Friday</v>
      </c>
      <c r="C175" s="1" t="b">
        <f t="shared" si="7"/>
        <v>0</v>
      </c>
      <c r="D175">
        <f>VLOOKUP($A175,survey_2yrs!A:B, 2)</f>
        <v>48.2</v>
      </c>
      <c r="E175">
        <f>VLOOKUP($A175,survey_2yrs!$A:C, 3)</f>
        <v>51.8</v>
      </c>
      <c r="F175">
        <f>VLOOKUP($A175,survey_2yrs!$A:D, 4)</f>
        <v>48.1</v>
      </c>
      <c r="G175">
        <f>_xlfn.XLOOKUP(A175,survey_2yrs!A:A,survey_2yrs!E:E)</f>
        <v>51.9</v>
      </c>
      <c r="H175">
        <f>_xlfn.XLOOKUP($A175,weather_2yrs!$A:$A,weather_2yrs!B:B)</f>
        <v>81.400000000000006</v>
      </c>
      <c r="I175">
        <f>_xlfn.XLOOKUP($A175,weather_2yrs!$A:$A,weather_2yrs!C:C)</f>
        <v>1.02</v>
      </c>
      <c r="J175">
        <f>_xlfn.XLOOKUP($A175,weather_2yrs!$A:$A,weather_2yrs!D:D)</f>
        <v>1</v>
      </c>
      <c r="K175">
        <f>_xlfn.XLOOKUP($A175,weather_2yrs!$A:$A,weather_2yrs!E:E)</f>
        <v>60.4</v>
      </c>
      <c r="L175">
        <f>_xlfn.XLOOKUP($A175,sales!$A:$A,sales!B:B)</f>
        <v>1</v>
      </c>
      <c r="M175" t="str">
        <f>_xlfn.XLOOKUP($A175,sales!$A:$A,sales!C:C)</f>
        <v>Miami Beach</v>
      </c>
      <c r="N175">
        <f>_xlfn.XLOOKUP($A175,sales!$A:$A,sales!D:D)</f>
        <v>279</v>
      </c>
      <c r="O175">
        <f>_xlfn.XLOOKUP($A175,sales!$A:$A,sales!E:E)</f>
        <v>5200.95</v>
      </c>
      <c r="P175" s="4">
        <f t="shared" si="8"/>
        <v>18.641397849462365</v>
      </c>
    </row>
    <row r="176" spans="1:16" x14ac:dyDescent="0.25">
      <c r="A176" s="1">
        <v>45101</v>
      </c>
      <c r="B176" s="1" t="str">
        <f t="shared" si="6"/>
        <v>Saturday</v>
      </c>
      <c r="C176" s="1" t="b">
        <f t="shared" si="7"/>
        <v>1</v>
      </c>
      <c r="D176">
        <f>VLOOKUP($A176,survey_2yrs!A:B, 2)</f>
        <v>49.4</v>
      </c>
      <c r="E176">
        <f>VLOOKUP($A176,survey_2yrs!$A:C, 3)</f>
        <v>50.6</v>
      </c>
      <c r="F176">
        <f>VLOOKUP($A176,survey_2yrs!$A:D, 4)</f>
        <v>53.2</v>
      </c>
      <c r="G176">
        <f>_xlfn.XLOOKUP(A176,survey_2yrs!A:A,survey_2yrs!E:E)</f>
        <v>46.8</v>
      </c>
      <c r="H176">
        <f>_xlfn.XLOOKUP($A176,weather_2yrs!$A:$A,weather_2yrs!B:B)</f>
        <v>86.1</v>
      </c>
      <c r="I176">
        <f>_xlfn.XLOOKUP($A176,weather_2yrs!$A:$A,weather_2yrs!C:C)</f>
        <v>1.04</v>
      </c>
      <c r="J176">
        <f>_xlfn.XLOOKUP($A176,weather_2yrs!$A:$A,weather_2yrs!D:D)</f>
        <v>1</v>
      </c>
      <c r="K176">
        <f>_xlfn.XLOOKUP($A176,weather_2yrs!$A:$A,weather_2yrs!E:E)</f>
        <v>56.7</v>
      </c>
      <c r="L176">
        <f>_xlfn.XLOOKUP($A176,sales!$A:$A,sales!B:B)</f>
        <v>1</v>
      </c>
      <c r="M176" t="str">
        <f>_xlfn.XLOOKUP($A176,sales!$A:$A,sales!C:C)</f>
        <v>Miami Beach</v>
      </c>
      <c r="N176">
        <f>_xlfn.XLOOKUP($A176,sales!$A:$A,sales!D:D)</f>
        <v>339</v>
      </c>
      <c r="O176">
        <f>_xlfn.XLOOKUP($A176,sales!$A:$A,sales!E:E)</f>
        <v>6397.86</v>
      </c>
      <c r="P176" s="4">
        <f t="shared" si="8"/>
        <v>18.872743362831859</v>
      </c>
    </row>
    <row r="177" spans="1:16" x14ac:dyDescent="0.25">
      <c r="A177" s="1">
        <v>45102</v>
      </c>
      <c r="B177" s="1" t="str">
        <f t="shared" si="6"/>
        <v>Sunday</v>
      </c>
      <c r="C177" s="1" t="b">
        <f t="shared" si="7"/>
        <v>1</v>
      </c>
      <c r="D177">
        <f>VLOOKUP($A177,survey_2yrs!A:B, 2)</f>
        <v>48.3</v>
      </c>
      <c r="E177">
        <f>VLOOKUP($A177,survey_2yrs!$A:C, 3)</f>
        <v>51.7</v>
      </c>
      <c r="F177">
        <f>VLOOKUP($A177,survey_2yrs!$A:D, 4)</f>
        <v>52.3</v>
      </c>
      <c r="G177">
        <f>_xlfn.XLOOKUP(A177,survey_2yrs!A:A,survey_2yrs!E:E)</f>
        <v>47.7</v>
      </c>
      <c r="H177">
        <f>_xlfn.XLOOKUP($A177,weather_2yrs!$A:$A,weather_2yrs!B:B)</f>
        <v>73.900000000000006</v>
      </c>
      <c r="I177">
        <f>_xlfn.XLOOKUP($A177,weather_2yrs!$A:$A,weather_2yrs!C:C)</f>
        <v>0</v>
      </c>
      <c r="J177">
        <f>_xlfn.XLOOKUP($A177,weather_2yrs!$A:$A,weather_2yrs!D:D)</f>
        <v>0</v>
      </c>
      <c r="K177">
        <f>_xlfn.XLOOKUP($A177,weather_2yrs!$A:$A,weather_2yrs!E:E)</f>
        <v>50.8</v>
      </c>
      <c r="L177">
        <f>_xlfn.XLOOKUP($A177,sales!$A:$A,sales!B:B)</f>
        <v>1</v>
      </c>
      <c r="M177" t="str">
        <f>_xlfn.XLOOKUP($A177,sales!$A:$A,sales!C:C)</f>
        <v>Miami Beach</v>
      </c>
      <c r="N177">
        <f>_xlfn.XLOOKUP($A177,sales!$A:$A,sales!D:D)</f>
        <v>341</v>
      </c>
      <c r="O177">
        <f>_xlfn.XLOOKUP($A177,sales!$A:$A,sales!E:E)</f>
        <v>6696.04</v>
      </c>
      <c r="P177" s="4">
        <f t="shared" si="8"/>
        <v>19.636480938416423</v>
      </c>
    </row>
    <row r="178" spans="1:16" x14ac:dyDescent="0.25">
      <c r="A178" s="1">
        <v>45103</v>
      </c>
      <c r="B178" s="1" t="str">
        <f t="shared" si="6"/>
        <v>Monday</v>
      </c>
      <c r="C178" s="1" t="b">
        <f t="shared" si="7"/>
        <v>0</v>
      </c>
      <c r="D178">
        <f>VLOOKUP($A178,survey_2yrs!A:B, 2)</f>
        <v>50.5</v>
      </c>
      <c r="E178">
        <f>VLOOKUP($A178,survey_2yrs!$A:C, 3)</f>
        <v>49.5</v>
      </c>
      <c r="F178">
        <f>VLOOKUP($A178,survey_2yrs!$A:D, 4)</f>
        <v>47.4</v>
      </c>
      <c r="G178">
        <f>_xlfn.XLOOKUP(A178,survey_2yrs!A:A,survey_2yrs!E:E)</f>
        <v>52.6</v>
      </c>
      <c r="H178">
        <f>_xlfn.XLOOKUP($A178,weather_2yrs!$A:$A,weather_2yrs!B:B)</f>
        <v>85.7</v>
      </c>
      <c r="I178">
        <f>_xlfn.XLOOKUP($A178,weather_2yrs!$A:$A,weather_2yrs!C:C)</f>
        <v>0</v>
      </c>
      <c r="J178">
        <f>_xlfn.XLOOKUP($A178,weather_2yrs!$A:$A,weather_2yrs!D:D)</f>
        <v>0</v>
      </c>
      <c r="K178">
        <f>_xlfn.XLOOKUP($A178,weather_2yrs!$A:$A,weather_2yrs!E:E)</f>
        <v>63.4</v>
      </c>
      <c r="L178">
        <f>_xlfn.XLOOKUP($A178,sales!$A:$A,sales!B:B)</f>
        <v>1</v>
      </c>
      <c r="M178" t="str">
        <f>_xlfn.XLOOKUP($A178,sales!$A:$A,sales!C:C)</f>
        <v>Miami Beach</v>
      </c>
      <c r="N178">
        <f>_xlfn.XLOOKUP($A178,sales!$A:$A,sales!D:D)</f>
        <v>352</v>
      </c>
      <c r="O178">
        <f>_xlfn.XLOOKUP($A178,sales!$A:$A,sales!E:E)</f>
        <v>6698.74</v>
      </c>
      <c r="P178" s="4">
        <f t="shared" si="8"/>
        <v>19.030511363636364</v>
      </c>
    </row>
    <row r="179" spans="1:16" x14ac:dyDescent="0.25">
      <c r="A179" s="1">
        <v>45104</v>
      </c>
      <c r="B179" s="1" t="str">
        <f t="shared" si="6"/>
        <v>Tuesday</v>
      </c>
      <c r="C179" s="1" t="b">
        <f t="shared" si="7"/>
        <v>0</v>
      </c>
      <c r="D179">
        <f>VLOOKUP($A179,survey_2yrs!A:B, 2)</f>
        <v>48.9</v>
      </c>
      <c r="E179">
        <f>VLOOKUP($A179,survey_2yrs!$A:C, 3)</f>
        <v>51.1</v>
      </c>
      <c r="F179">
        <f>VLOOKUP($A179,survey_2yrs!$A:D, 4)</f>
        <v>47.8</v>
      </c>
      <c r="G179">
        <f>_xlfn.XLOOKUP(A179,survey_2yrs!A:A,survey_2yrs!E:E)</f>
        <v>52.2</v>
      </c>
      <c r="H179">
        <f>_xlfn.XLOOKUP($A179,weather_2yrs!$A:$A,weather_2yrs!B:B)</f>
        <v>80.3</v>
      </c>
      <c r="I179">
        <f>_xlfn.XLOOKUP($A179,weather_2yrs!$A:$A,weather_2yrs!C:C)</f>
        <v>2.4500000000000002</v>
      </c>
      <c r="J179">
        <f>_xlfn.XLOOKUP($A179,weather_2yrs!$A:$A,weather_2yrs!D:D)</f>
        <v>1</v>
      </c>
      <c r="K179">
        <f>_xlfn.XLOOKUP($A179,weather_2yrs!$A:$A,weather_2yrs!E:E)</f>
        <v>56.4</v>
      </c>
      <c r="L179">
        <f>_xlfn.XLOOKUP($A179,sales!$A:$A,sales!B:B)</f>
        <v>1</v>
      </c>
      <c r="M179" t="str">
        <f>_xlfn.XLOOKUP($A179,sales!$A:$A,sales!C:C)</f>
        <v>Miami Beach</v>
      </c>
      <c r="N179">
        <f>_xlfn.XLOOKUP($A179,sales!$A:$A,sales!D:D)</f>
        <v>257</v>
      </c>
      <c r="O179">
        <f>_xlfn.XLOOKUP($A179,sales!$A:$A,sales!E:E)</f>
        <v>5045.32</v>
      </c>
      <c r="P179" s="4">
        <f t="shared" si="8"/>
        <v>19.631595330739298</v>
      </c>
    </row>
    <row r="180" spans="1:16" x14ac:dyDescent="0.25">
      <c r="A180" s="1">
        <v>45105</v>
      </c>
      <c r="B180" s="1" t="str">
        <f t="shared" si="6"/>
        <v>Wednesday</v>
      </c>
      <c r="C180" s="1" t="b">
        <f t="shared" si="7"/>
        <v>0</v>
      </c>
      <c r="D180">
        <f>VLOOKUP($A180,survey_2yrs!A:B, 2)</f>
        <v>49.2</v>
      </c>
      <c r="E180">
        <f>VLOOKUP($A180,survey_2yrs!$A:C, 3)</f>
        <v>50.8</v>
      </c>
      <c r="F180">
        <f>VLOOKUP($A180,survey_2yrs!$A:D, 4)</f>
        <v>46.8</v>
      </c>
      <c r="G180">
        <f>_xlfn.XLOOKUP(A180,survey_2yrs!A:A,survey_2yrs!E:E)</f>
        <v>53.2</v>
      </c>
      <c r="H180">
        <f>_xlfn.XLOOKUP($A180,weather_2yrs!$A:$A,weather_2yrs!B:B)</f>
        <v>79.3</v>
      </c>
      <c r="I180">
        <f>_xlfn.XLOOKUP($A180,weather_2yrs!$A:$A,weather_2yrs!C:C)</f>
        <v>0</v>
      </c>
      <c r="J180">
        <f>_xlfn.XLOOKUP($A180,weather_2yrs!$A:$A,weather_2yrs!D:D)</f>
        <v>0</v>
      </c>
      <c r="K180">
        <f>_xlfn.XLOOKUP($A180,weather_2yrs!$A:$A,weather_2yrs!E:E)</f>
        <v>65.5</v>
      </c>
      <c r="L180">
        <f>_xlfn.XLOOKUP($A180,sales!$A:$A,sales!B:B)</f>
        <v>1</v>
      </c>
      <c r="M180" t="str">
        <f>_xlfn.XLOOKUP($A180,sales!$A:$A,sales!C:C)</f>
        <v>Miami Beach</v>
      </c>
      <c r="N180">
        <f>_xlfn.XLOOKUP($A180,sales!$A:$A,sales!D:D)</f>
        <v>302</v>
      </c>
      <c r="O180">
        <f>_xlfn.XLOOKUP($A180,sales!$A:$A,sales!E:E)</f>
        <v>5901.02</v>
      </c>
      <c r="P180" s="4">
        <f t="shared" si="8"/>
        <v>19.539801324503312</v>
      </c>
    </row>
    <row r="181" spans="1:16" x14ac:dyDescent="0.25">
      <c r="A181" s="1">
        <v>45106</v>
      </c>
      <c r="B181" s="1" t="str">
        <f t="shared" si="6"/>
        <v>Thursday</v>
      </c>
      <c r="C181" s="1" t="b">
        <f t="shared" si="7"/>
        <v>0</v>
      </c>
      <c r="D181">
        <f>VLOOKUP($A181,survey_2yrs!A:B, 2)</f>
        <v>48.5</v>
      </c>
      <c r="E181">
        <f>VLOOKUP($A181,survey_2yrs!$A:C, 3)</f>
        <v>51.5</v>
      </c>
      <c r="F181">
        <f>VLOOKUP($A181,survey_2yrs!$A:D, 4)</f>
        <v>47.5</v>
      </c>
      <c r="G181">
        <f>_xlfn.XLOOKUP(A181,survey_2yrs!A:A,survey_2yrs!E:E)</f>
        <v>52.5</v>
      </c>
      <c r="H181">
        <f>_xlfn.XLOOKUP($A181,weather_2yrs!$A:$A,weather_2yrs!B:B)</f>
        <v>83.2</v>
      </c>
      <c r="I181">
        <f>_xlfn.XLOOKUP($A181,weather_2yrs!$A:$A,weather_2yrs!C:C)</f>
        <v>0.11</v>
      </c>
      <c r="J181">
        <f>_xlfn.XLOOKUP($A181,weather_2yrs!$A:$A,weather_2yrs!D:D)</f>
        <v>1</v>
      </c>
      <c r="K181">
        <f>_xlfn.XLOOKUP($A181,weather_2yrs!$A:$A,weather_2yrs!E:E)</f>
        <v>75.7</v>
      </c>
      <c r="L181">
        <f>_xlfn.XLOOKUP($A181,sales!$A:$A,sales!B:B)</f>
        <v>1</v>
      </c>
      <c r="M181" t="str">
        <f>_xlfn.XLOOKUP($A181,sales!$A:$A,sales!C:C)</f>
        <v>Miami Beach</v>
      </c>
      <c r="N181">
        <f>_xlfn.XLOOKUP($A181,sales!$A:$A,sales!D:D)</f>
        <v>296</v>
      </c>
      <c r="O181">
        <f>_xlfn.XLOOKUP($A181,sales!$A:$A,sales!E:E)</f>
        <v>5546.92</v>
      </c>
      <c r="P181" s="4">
        <f t="shared" si="8"/>
        <v>18.739594594594596</v>
      </c>
    </row>
    <row r="182" spans="1:16" x14ac:dyDescent="0.25">
      <c r="A182" s="1">
        <v>45107</v>
      </c>
      <c r="B182" s="1" t="str">
        <f t="shared" si="6"/>
        <v>Friday</v>
      </c>
      <c r="C182" s="1" t="b">
        <f t="shared" si="7"/>
        <v>0</v>
      </c>
      <c r="D182">
        <f>VLOOKUP($A182,survey_2yrs!A:B, 2)</f>
        <v>48.7</v>
      </c>
      <c r="E182">
        <f>VLOOKUP($A182,survey_2yrs!$A:C, 3)</f>
        <v>51.3</v>
      </c>
      <c r="F182">
        <f>VLOOKUP($A182,survey_2yrs!$A:D, 4)</f>
        <v>46.4</v>
      </c>
      <c r="G182">
        <f>_xlfn.XLOOKUP(A182,survey_2yrs!A:A,survey_2yrs!E:E)</f>
        <v>53.6</v>
      </c>
      <c r="H182">
        <f>_xlfn.XLOOKUP($A182,weather_2yrs!$A:$A,weather_2yrs!B:B)</f>
        <v>78.099999999999994</v>
      </c>
      <c r="I182">
        <f>_xlfn.XLOOKUP($A182,weather_2yrs!$A:$A,weather_2yrs!C:C)</f>
        <v>0.96</v>
      </c>
      <c r="J182">
        <f>_xlfn.XLOOKUP($A182,weather_2yrs!$A:$A,weather_2yrs!D:D)</f>
        <v>1</v>
      </c>
      <c r="K182">
        <f>_xlfn.XLOOKUP($A182,weather_2yrs!$A:$A,weather_2yrs!E:E)</f>
        <v>58.9</v>
      </c>
      <c r="L182">
        <f>_xlfn.XLOOKUP($A182,sales!$A:$A,sales!B:B)</f>
        <v>1</v>
      </c>
      <c r="M182" t="str">
        <f>_xlfn.XLOOKUP($A182,sales!$A:$A,sales!C:C)</f>
        <v>Miami Beach</v>
      </c>
      <c r="N182">
        <f>_xlfn.XLOOKUP($A182,sales!$A:$A,sales!D:D)</f>
        <v>269</v>
      </c>
      <c r="O182">
        <f>_xlfn.XLOOKUP($A182,sales!$A:$A,sales!E:E)</f>
        <v>4935.63</v>
      </c>
      <c r="P182" s="4">
        <f t="shared" si="8"/>
        <v>18.348066914498141</v>
      </c>
    </row>
    <row r="183" spans="1:16" x14ac:dyDescent="0.25">
      <c r="A183" s="1">
        <v>45108</v>
      </c>
      <c r="B183" s="1" t="str">
        <f t="shared" si="6"/>
        <v>Saturday</v>
      </c>
      <c r="C183" s="1" t="b">
        <f t="shared" si="7"/>
        <v>1</v>
      </c>
      <c r="D183">
        <f>VLOOKUP($A183,survey_2yrs!A:B, 2)</f>
        <v>48.9</v>
      </c>
      <c r="E183">
        <f>VLOOKUP($A183,survey_2yrs!$A:C, 3)</f>
        <v>51.1</v>
      </c>
      <c r="F183">
        <f>VLOOKUP($A183,survey_2yrs!$A:D, 4)</f>
        <v>53.6</v>
      </c>
      <c r="G183">
        <f>_xlfn.XLOOKUP(A183,survey_2yrs!A:A,survey_2yrs!E:E)</f>
        <v>46.4</v>
      </c>
      <c r="H183">
        <f>_xlfn.XLOOKUP($A183,weather_2yrs!$A:$A,weather_2yrs!B:B)</f>
        <v>83.5</v>
      </c>
      <c r="I183">
        <f>_xlfn.XLOOKUP($A183,weather_2yrs!$A:$A,weather_2yrs!C:C)</f>
        <v>0</v>
      </c>
      <c r="J183">
        <f>_xlfn.XLOOKUP($A183,weather_2yrs!$A:$A,weather_2yrs!D:D)</f>
        <v>0</v>
      </c>
      <c r="K183">
        <f>_xlfn.XLOOKUP($A183,weather_2yrs!$A:$A,weather_2yrs!E:E)</f>
        <v>65.099999999999994</v>
      </c>
      <c r="L183">
        <f>_xlfn.XLOOKUP($A183,sales!$A:$A,sales!B:B)</f>
        <v>1</v>
      </c>
      <c r="M183" t="str">
        <f>_xlfn.XLOOKUP($A183,sales!$A:$A,sales!C:C)</f>
        <v>Miami Beach</v>
      </c>
      <c r="N183">
        <f>_xlfn.XLOOKUP($A183,sales!$A:$A,sales!D:D)</f>
        <v>358</v>
      </c>
      <c r="O183">
        <f>_xlfn.XLOOKUP($A183,sales!$A:$A,sales!E:E)</f>
        <v>6942.89</v>
      </c>
      <c r="P183" s="4">
        <f t="shared" si="8"/>
        <v>19.393547486033519</v>
      </c>
    </row>
    <row r="184" spans="1:16" x14ac:dyDescent="0.25">
      <c r="A184" s="1">
        <v>45109</v>
      </c>
      <c r="B184" s="1" t="str">
        <f t="shared" si="6"/>
        <v>Sunday</v>
      </c>
      <c r="C184" s="1" t="b">
        <f t="shared" si="7"/>
        <v>1</v>
      </c>
      <c r="D184">
        <f>VLOOKUP($A184,survey_2yrs!A:B, 2)</f>
        <v>48.3</v>
      </c>
      <c r="E184">
        <f>VLOOKUP($A184,survey_2yrs!$A:C, 3)</f>
        <v>51.7</v>
      </c>
      <c r="F184">
        <f>VLOOKUP($A184,survey_2yrs!$A:D, 4)</f>
        <v>53.1</v>
      </c>
      <c r="G184">
        <f>_xlfn.XLOOKUP(A184,survey_2yrs!A:A,survey_2yrs!E:E)</f>
        <v>46.9</v>
      </c>
      <c r="H184">
        <f>_xlfn.XLOOKUP($A184,weather_2yrs!$A:$A,weather_2yrs!B:B)</f>
        <v>77</v>
      </c>
      <c r="I184">
        <f>_xlfn.XLOOKUP($A184,weather_2yrs!$A:$A,weather_2yrs!C:C)</f>
        <v>2.08</v>
      </c>
      <c r="J184">
        <f>_xlfn.XLOOKUP($A184,weather_2yrs!$A:$A,weather_2yrs!D:D)</f>
        <v>1</v>
      </c>
      <c r="K184">
        <f>_xlfn.XLOOKUP($A184,weather_2yrs!$A:$A,weather_2yrs!E:E)</f>
        <v>61.3</v>
      </c>
      <c r="L184">
        <f>_xlfn.XLOOKUP($A184,sales!$A:$A,sales!B:B)</f>
        <v>1</v>
      </c>
      <c r="M184" t="str">
        <f>_xlfn.XLOOKUP($A184,sales!$A:$A,sales!C:C)</f>
        <v>Miami Beach</v>
      </c>
      <c r="N184">
        <f>_xlfn.XLOOKUP($A184,sales!$A:$A,sales!D:D)</f>
        <v>317</v>
      </c>
      <c r="O184">
        <f>_xlfn.XLOOKUP($A184,sales!$A:$A,sales!E:E)</f>
        <v>5876.9</v>
      </c>
      <c r="P184" s="4">
        <f t="shared" si="8"/>
        <v>18.539116719242902</v>
      </c>
    </row>
    <row r="185" spans="1:16" x14ac:dyDescent="0.25">
      <c r="A185" s="1">
        <v>45110</v>
      </c>
      <c r="B185" s="1" t="str">
        <f t="shared" si="6"/>
        <v>Monday</v>
      </c>
      <c r="C185" s="1" t="b">
        <f t="shared" si="7"/>
        <v>0</v>
      </c>
      <c r="D185">
        <f>VLOOKUP($A185,survey_2yrs!A:B, 2)</f>
        <v>50.9</v>
      </c>
      <c r="E185">
        <f>VLOOKUP($A185,survey_2yrs!$A:C, 3)</f>
        <v>49.1</v>
      </c>
      <c r="F185">
        <f>VLOOKUP($A185,survey_2yrs!$A:D, 4)</f>
        <v>48.8</v>
      </c>
      <c r="G185">
        <f>_xlfn.XLOOKUP(A185,survey_2yrs!A:A,survey_2yrs!E:E)</f>
        <v>51.2</v>
      </c>
      <c r="H185">
        <f>_xlfn.XLOOKUP($A185,weather_2yrs!$A:$A,weather_2yrs!B:B)</f>
        <v>82.9</v>
      </c>
      <c r="I185">
        <f>_xlfn.XLOOKUP($A185,weather_2yrs!$A:$A,weather_2yrs!C:C)</f>
        <v>1.27</v>
      </c>
      <c r="J185">
        <f>_xlfn.XLOOKUP($A185,weather_2yrs!$A:$A,weather_2yrs!D:D)</f>
        <v>1</v>
      </c>
      <c r="K185">
        <f>_xlfn.XLOOKUP($A185,weather_2yrs!$A:$A,weather_2yrs!E:E)</f>
        <v>69.5</v>
      </c>
      <c r="L185">
        <f>_xlfn.XLOOKUP($A185,sales!$A:$A,sales!B:B)</f>
        <v>1</v>
      </c>
      <c r="M185" t="str">
        <f>_xlfn.XLOOKUP($A185,sales!$A:$A,sales!C:C)</f>
        <v>Miami Beach</v>
      </c>
      <c r="N185">
        <f>_xlfn.XLOOKUP($A185,sales!$A:$A,sales!D:D)</f>
        <v>315</v>
      </c>
      <c r="O185">
        <f>_xlfn.XLOOKUP($A185,sales!$A:$A,sales!E:E)</f>
        <v>6034.82</v>
      </c>
      <c r="P185" s="4">
        <f t="shared" si="8"/>
        <v>19.158158730158728</v>
      </c>
    </row>
    <row r="186" spans="1:16" x14ac:dyDescent="0.25">
      <c r="A186" s="1">
        <v>45111</v>
      </c>
      <c r="B186" s="1" t="str">
        <f t="shared" si="6"/>
        <v>Tuesday</v>
      </c>
      <c r="C186" s="1" t="b">
        <f t="shared" si="7"/>
        <v>0</v>
      </c>
      <c r="D186">
        <f>VLOOKUP($A186,survey_2yrs!A:B, 2)</f>
        <v>48.9</v>
      </c>
      <c r="E186">
        <f>VLOOKUP($A186,survey_2yrs!$A:C, 3)</f>
        <v>51.1</v>
      </c>
      <c r="F186">
        <f>VLOOKUP($A186,survey_2yrs!$A:D, 4)</f>
        <v>47</v>
      </c>
      <c r="G186">
        <f>_xlfn.XLOOKUP(A186,survey_2yrs!A:A,survey_2yrs!E:E)</f>
        <v>53</v>
      </c>
      <c r="H186">
        <f>_xlfn.XLOOKUP($A186,weather_2yrs!$A:$A,weather_2yrs!B:B)</f>
        <v>82.7</v>
      </c>
      <c r="I186">
        <f>_xlfn.XLOOKUP($A186,weather_2yrs!$A:$A,weather_2yrs!C:C)</f>
        <v>0.51</v>
      </c>
      <c r="J186">
        <f>_xlfn.XLOOKUP($A186,weather_2yrs!$A:$A,weather_2yrs!D:D)</f>
        <v>1</v>
      </c>
      <c r="K186">
        <f>_xlfn.XLOOKUP($A186,weather_2yrs!$A:$A,weather_2yrs!E:E)</f>
        <v>56.7</v>
      </c>
      <c r="L186">
        <f>_xlfn.XLOOKUP($A186,sales!$A:$A,sales!B:B)</f>
        <v>1</v>
      </c>
      <c r="M186" t="str">
        <f>_xlfn.XLOOKUP($A186,sales!$A:$A,sales!C:C)</f>
        <v>Miami Beach</v>
      </c>
      <c r="N186">
        <f>_xlfn.XLOOKUP($A186,sales!$A:$A,sales!D:D)</f>
        <v>302</v>
      </c>
      <c r="O186">
        <f>_xlfn.XLOOKUP($A186,sales!$A:$A,sales!E:E)</f>
        <v>5527.81</v>
      </c>
      <c r="P186" s="4">
        <f t="shared" si="8"/>
        <v>18.304006622516557</v>
      </c>
    </row>
    <row r="187" spans="1:16" x14ac:dyDescent="0.25">
      <c r="A187" s="1">
        <v>45112</v>
      </c>
      <c r="B187" s="1" t="str">
        <f t="shared" si="6"/>
        <v>Wednesday</v>
      </c>
      <c r="C187" s="1" t="b">
        <f t="shared" si="7"/>
        <v>0</v>
      </c>
      <c r="D187">
        <f>VLOOKUP($A187,survey_2yrs!A:B, 2)</f>
        <v>48.3</v>
      </c>
      <c r="E187">
        <f>VLOOKUP($A187,survey_2yrs!$A:C, 3)</f>
        <v>51.7</v>
      </c>
      <c r="F187">
        <f>VLOOKUP($A187,survey_2yrs!$A:D, 4)</f>
        <v>46.7</v>
      </c>
      <c r="G187">
        <f>_xlfn.XLOOKUP(A187,survey_2yrs!A:A,survey_2yrs!E:E)</f>
        <v>53.3</v>
      </c>
      <c r="H187">
        <f>_xlfn.XLOOKUP($A187,weather_2yrs!$A:$A,weather_2yrs!B:B)</f>
        <v>77.599999999999994</v>
      </c>
      <c r="I187">
        <f>_xlfn.XLOOKUP($A187,weather_2yrs!$A:$A,weather_2yrs!C:C)</f>
        <v>0</v>
      </c>
      <c r="J187">
        <f>_xlfn.XLOOKUP($A187,weather_2yrs!$A:$A,weather_2yrs!D:D)</f>
        <v>0</v>
      </c>
      <c r="K187">
        <f>_xlfn.XLOOKUP($A187,weather_2yrs!$A:$A,weather_2yrs!E:E)</f>
        <v>64.3</v>
      </c>
      <c r="L187">
        <f>_xlfn.XLOOKUP($A187,sales!$A:$A,sales!B:B)</f>
        <v>1</v>
      </c>
      <c r="M187" t="str">
        <f>_xlfn.XLOOKUP($A187,sales!$A:$A,sales!C:C)</f>
        <v>Miami Beach</v>
      </c>
      <c r="N187">
        <f>_xlfn.XLOOKUP($A187,sales!$A:$A,sales!D:D)</f>
        <v>281</v>
      </c>
      <c r="O187">
        <f>_xlfn.XLOOKUP($A187,sales!$A:$A,sales!E:E)</f>
        <v>5080.8599999999997</v>
      </c>
      <c r="P187" s="4">
        <f t="shared" si="8"/>
        <v>18.081352313167258</v>
      </c>
    </row>
    <row r="188" spans="1:16" x14ac:dyDescent="0.25">
      <c r="A188" s="1">
        <v>45113</v>
      </c>
      <c r="B188" s="1" t="str">
        <f t="shared" si="6"/>
        <v>Thursday</v>
      </c>
      <c r="C188" s="1" t="b">
        <f t="shared" si="7"/>
        <v>0</v>
      </c>
      <c r="D188">
        <f>VLOOKUP($A188,survey_2yrs!A:B, 2)</f>
        <v>48.6</v>
      </c>
      <c r="E188">
        <f>VLOOKUP($A188,survey_2yrs!$A:C, 3)</f>
        <v>51.4</v>
      </c>
      <c r="F188">
        <f>VLOOKUP($A188,survey_2yrs!$A:D, 4)</f>
        <v>46.3</v>
      </c>
      <c r="G188">
        <f>_xlfn.XLOOKUP(A188,survey_2yrs!A:A,survey_2yrs!E:E)</f>
        <v>53.7</v>
      </c>
      <c r="H188">
        <f>_xlfn.XLOOKUP($A188,weather_2yrs!$A:$A,weather_2yrs!B:B)</f>
        <v>79.900000000000006</v>
      </c>
      <c r="I188">
        <f>_xlfn.XLOOKUP($A188,weather_2yrs!$A:$A,weather_2yrs!C:C)</f>
        <v>0.95</v>
      </c>
      <c r="J188">
        <f>_xlfn.XLOOKUP($A188,weather_2yrs!$A:$A,weather_2yrs!D:D)</f>
        <v>1</v>
      </c>
      <c r="K188">
        <f>_xlfn.XLOOKUP($A188,weather_2yrs!$A:$A,weather_2yrs!E:E)</f>
        <v>68.8</v>
      </c>
      <c r="L188">
        <f>_xlfn.XLOOKUP($A188,sales!$A:$A,sales!B:B)</f>
        <v>1</v>
      </c>
      <c r="M188" t="str">
        <f>_xlfn.XLOOKUP($A188,sales!$A:$A,sales!C:C)</f>
        <v>Miami Beach</v>
      </c>
      <c r="N188">
        <f>_xlfn.XLOOKUP($A188,sales!$A:$A,sales!D:D)</f>
        <v>241</v>
      </c>
      <c r="O188">
        <f>_xlfn.XLOOKUP($A188,sales!$A:$A,sales!E:E)</f>
        <v>4427.72</v>
      </c>
      <c r="P188" s="4">
        <f t="shared" si="8"/>
        <v>18.372282157676349</v>
      </c>
    </row>
    <row r="189" spans="1:16" x14ac:dyDescent="0.25">
      <c r="A189" s="1">
        <v>45114</v>
      </c>
      <c r="B189" s="1" t="str">
        <f t="shared" si="6"/>
        <v>Friday</v>
      </c>
      <c r="C189" s="1" t="b">
        <f t="shared" si="7"/>
        <v>0</v>
      </c>
      <c r="D189">
        <f>VLOOKUP($A189,survey_2yrs!A:B, 2)</f>
        <v>48.9</v>
      </c>
      <c r="E189">
        <f>VLOOKUP($A189,survey_2yrs!$A:C, 3)</f>
        <v>51.1</v>
      </c>
      <c r="F189">
        <f>VLOOKUP($A189,survey_2yrs!$A:D, 4)</f>
        <v>45.4</v>
      </c>
      <c r="G189">
        <f>_xlfn.XLOOKUP(A189,survey_2yrs!A:A,survey_2yrs!E:E)</f>
        <v>54.6</v>
      </c>
      <c r="H189">
        <f>_xlfn.XLOOKUP($A189,weather_2yrs!$A:$A,weather_2yrs!B:B)</f>
        <v>77.3</v>
      </c>
      <c r="I189">
        <f>_xlfn.XLOOKUP($A189,weather_2yrs!$A:$A,weather_2yrs!C:C)</f>
        <v>0</v>
      </c>
      <c r="J189">
        <f>_xlfn.XLOOKUP($A189,weather_2yrs!$A:$A,weather_2yrs!D:D)</f>
        <v>0</v>
      </c>
      <c r="K189">
        <f>_xlfn.XLOOKUP($A189,weather_2yrs!$A:$A,weather_2yrs!E:E)</f>
        <v>61</v>
      </c>
      <c r="L189">
        <f>_xlfn.XLOOKUP($A189,sales!$A:$A,sales!B:B)</f>
        <v>1</v>
      </c>
      <c r="M189" t="str">
        <f>_xlfn.XLOOKUP($A189,sales!$A:$A,sales!C:C)</f>
        <v>Miami Beach</v>
      </c>
      <c r="N189">
        <f>_xlfn.XLOOKUP($A189,sales!$A:$A,sales!D:D)</f>
        <v>272</v>
      </c>
      <c r="O189">
        <f>_xlfn.XLOOKUP($A189,sales!$A:$A,sales!E:E)</f>
        <v>5360.12</v>
      </c>
      <c r="P189" s="4">
        <f t="shared" si="8"/>
        <v>19.706323529411765</v>
      </c>
    </row>
    <row r="190" spans="1:16" x14ac:dyDescent="0.25">
      <c r="A190" s="1">
        <v>45115</v>
      </c>
      <c r="B190" s="1" t="str">
        <f t="shared" si="6"/>
        <v>Saturday</v>
      </c>
      <c r="C190" s="1" t="b">
        <f t="shared" si="7"/>
        <v>1</v>
      </c>
      <c r="D190">
        <f>VLOOKUP($A190,survey_2yrs!A:B, 2)</f>
        <v>49.2</v>
      </c>
      <c r="E190">
        <f>VLOOKUP($A190,survey_2yrs!$A:C, 3)</f>
        <v>50.8</v>
      </c>
      <c r="F190">
        <f>VLOOKUP($A190,survey_2yrs!$A:D, 4)</f>
        <v>51.9</v>
      </c>
      <c r="G190">
        <f>_xlfn.XLOOKUP(A190,survey_2yrs!A:A,survey_2yrs!E:E)</f>
        <v>48.1</v>
      </c>
      <c r="H190">
        <f>_xlfn.XLOOKUP($A190,weather_2yrs!$A:$A,weather_2yrs!B:B)</f>
        <v>82</v>
      </c>
      <c r="I190">
        <f>_xlfn.XLOOKUP($A190,weather_2yrs!$A:$A,weather_2yrs!C:C)</f>
        <v>0.56999999999999995</v>
      </c>
      <c r="J190">
        <f>_xlfn.XLOOKUP($A190,weather_2yrs!$A:$A,weather_2yrs!D:D)</f>
        <v>1</v>
      </c>
      <c r="K190">
        <f>_xlfn.XLOOKUP($A190,weather_2yrs!$A:$A,weather_2yrs!E:E)</f>
        <v>63.8</v>
      </c>
      <c r="L190">
        <f>_xlfn.XLOOKUP($A190,sales!$A:$A,sales!B:B)</f>
        <v>1</v>
      </c>
      <c r="M190" t="str">
        <f>_xlfn.XLOOKUP($A190,sales!$A:$A,sales!C:C)</f>
        <v>Miami Beach</v>
      </c>
      <c r="N190">
        <f>_xlfn.XLOOKUP($A190,sales!$A:$A,sales!D:D)</f>
        <v>369</v>
      </c>
      <c r="O190">
        <f>_xlfn.XLOOKUP($A190,sales!$A:$A,sales!E:E)</f>
        <v>7349.77</v>
      </c>
      <c r="P190" s="4">
        <f t="shared" si="8"/>
        <v>19.91807588075881</v>
      </c>
    </row>
    <row r="191" spans="1:16" x14ac:dyDescent="0.25">
      <c r="A191" s="1">
        <v>45116</v>
      </c>
      <c r="B191" s="1" t="str">
        <f t="shared" si="6"/>
        <v>Sunday</v>
      </c>
      <c r="C191" s="1" t="b">
        <f t="shared" si="7"/>
        <v>1</v>
      </c>
      <c r="D191">
        <f>VLOOKUP($A191,survey_2yrs!A:B, 2)</f>
        <v>49.3</v>
      </c>
      <c r="E191">
        <f>VLOOKUP($A191,survey_2yrs!$A:C, 3)</f>
        <v>50.7</v>
      </c>
      <c r="F191">
        <f>VLOOKUP($A191,survey_2yrs!$A:D, 4)</f>
        <v>52.4</v>
      </c>
      <c r="G191">
        <f>_xlfn.XLOOKUP(A191,survey_2yrs!A:A,survey_2yrs!E:E)</f>
        <v>47.6</v>
      </c>
      <c r="H191">
        <f>_xlfn.XLOOKUP($A191,weather_2yrs!$A:$A,weather_2yrs!B:B)</f>
        <v>79.099999999999994</v>
      </c>
      <c r="I191">
        <f>_xlfn.XLOOKUP($A191,weather_2yrs!$A:$A,weather_2yrs!C:C)</f>
        <v>0</v>
      </c>
      <c r="J191">
        <f>_xlfn.XLOOKUP($A191,weather_2yrs!$A:$A,weather_2yrs!D:D)</f>
        <v>0</v>
      </c>
      <c r="K191">
        <f>_xlfn.XLOOKUP($A191,weather_2yrs!$A:$A,weather_2yrs!E:E)</f>
        <v>61.1</v>
      </c>
      <c r="L191">
        <f>_xlfn.XLOOKUP($A191,sales!$A:$A,sales!B:B)</f>
        <v>1</v>
      </c>
      <c r="M191" t="str">
        <f>_xlfn.XLOOKUP($A191,sales!$A:$A,sales!C:C)</f>
        <v>Miami Beach</v>
      </c>
      <c r="N191">
        <f>_xlfn.XLOOKUP($A191,sales!$A:$A,sales!D:D)</f>
        <v>308</v>
      </c>
      <c r="O191">
        <f>_xlfn.XLOOKUP($A191,sales!$A:$A,sales!E:E)</f>
        <v>4961.76</v>
      </c>
      <c r="P191" s="4">
        <f t="shared" si="8"/>
        <v>16.109610389610392</v>
      </c>
    </row>
    <row r="192" spans="1:16" x14ac:dyDescent="0.25">
      <c r="A192" s="1">
        <v>45117</v>
      </c>
      <c r="B192" s="1" t="str">
        <f t="shared" si="6"/>
        <v>Monday</v>
      </c>
      <c r="C192" s="1" t="b">
        <f t="shared" si="7"/>
        <v>0</v>
      </c>
      <c r="D192">
        <f>VLOOKUP($A192,survey_2yrs!A:B, 2)</f>
        <v>47.3</v>
      </c>
      <c r="E192">
        <f>VLOOKUP($A192,survey_2yrs!$A:C, 3)</f>
        <v>52.7</v>
      </c>
      <c r="F192">
        <f>VLOOKUP($A192,survey_2yrs!$A:D, 4)</f>
        <v>46.3</v>
      </c>
      <c r="G192">
        <f>_xlfn.XLOOKUP(A192,survey_2yrs!A:A,survey_2yrs!E:E)</f>
        <v>53.7</v>
      </c>
      <c r="H192">
        <f>_xlfn.XLOOKUP($A192,weather_2yrs!$A:$A,weather_2yrs!B:B)</f>
        <v>80.7</v>
      </c>
      <c r="I192">
        <f>_xlfn.XLOOKUP($A192,weather_2yrs!$A:$A,weather_2yrs!C:C)</f>
        <v>1</v>
      </c>
      <c r="J192">
        <f>_xlfn.XLOOKUP($A192,weather_2yrs!$A:$A,weather_2yrs!D:D)</f>
        <v>1</v>
      </c>
      <c r="K192">
        <f>_xlfn.XLOOKUP($A192,weather_2yrs!$A:$A,weather_2yrs!E:E)</f>
        <v>69.599999999999994</v>
      </c>
      <c r="L192">
        <f>_xlfn.XLOOKUP($A192,sales!$A:$A,sales!B:B)</f>
        <v>1</v>
      </c>
      <c r="M192" t="str">
        <f>_xlfn.XLOOKUP($A192,sales!$A:$A,sales!C:C)</f>
        <v>Miami Beach</v>
      </c>
      <c r="N192">
        <f>_xlfn.XLOOKUP($A192,sales!$A:$A,sales!D:D)</f>
        <v>325</v>
      </c>
      <c r="O192">
        <f>_xlfn.XLOOKUP($A192,sales!$A:$A,sales!E:E)</f>
        <v>5847.55</v>
      </c>
      <c r="P192" s="4">
        <f t="shared" si="8"/>
        <v>17.992461538461541</v>
      </c>
    </row>
    <row r="193" spans="1:16" x14ac:dyDescent="0.25">
      <c r="A193" s="1">
        <v>45118</v>
      </c>
      <c r="B193" s="1" t="str">
        <f t="shared" si="6"/>
        <v>Tuesday</v>
      </c>
      <c r="C193" s="1" t="b">
        <f t="shared" si="7"/>
        <v>0</v>
      </c>
      <c r="D193">
        <f>VLOOKUP($A193,survey_2yrs!A:B, 2)</f>
        <v>49.4</v>
      </c>
      <c r="E193">
        <f>VLOOKUP($A193,survey_2yrs!$A:C, 3)</f>
        <v>50.6</v>
      </c>
      <c r="F193">
        <f>VLOOKUP($A193,survey_2yrs!$A:D, 4)</f>
        <v>48.2</v>
      </c>
      <c r="G193">
        <f>_xlfn.XLOOKUP(A193,survey_2yrs!A:A,survey_2yrs!E:E)</f>
        <v>51.8</v>
      </c>
      <c r="H193">
        <f>_xlfn.XLOOKUP($A193,weather_2yrs!$A:$A,weather_2yrs!B:B)</f>
        <v>83.3</v>
      </c>
      <c r="I193">
        <f>_xlfn.XLOOKUP($A193,weather_2yrs!$A:$A,weather_2yrs!C:C)</f>
        <v>0</v>
      </c>
      <c r="J193">
        <f>_xlfn.XLOOKUP($A193,weather_2yrs!$A:$A,weather_2yrs!D:D)</f>
        <v>0</v>
      </c>
      <c r="K193">
        <f>_xlfn.XLOOKUP($A193,weather_2yrs!$A:$A,weather_2yrs!E:E)</f>
        <v>68.5</v>
      </c>
      <c r="L193">
        <f>_xlfn.XLOOKUP($A193,sales!$A:$A,sales!B:B)</f>
        <v>1</v>
      </c>
      <c r="M193" t="str">
        <f>_xlfn.XLOOKUP($A193,sales!$A:$A,sales!C:C)</f>
        <v>Miami Beach</v>
      </c>
      <c r="N193">
        <f>_xlfn.XLOOKUP($A193,sales!$A:$A,sales!D:D)</f>
        <v>309</v>
      </c>
      <c r="O193">
        <f>_xlfn.XLOOKUP($A193,sales!$A:$A,sales!E:E)</f>
        <v>6126.02</v>
      </c>
      <c r="P193" s="4">
        <f t="shared" si="8"/>
        <v>19.825307443365698</v>
      </c>
    </row>
    <row r="194" spans="1:16" x14ac:dyDescent="0.25">
      <c r="A194" s="1">
        <v>45119</v>
      </c>
      <c r="B194" s="1" t="str">
        <f t="shared" si="6"/>
        <v>Wednesday</v>
      </c>
      <c r="C194" s="1" t="b">
        <f t="shared" si="7"/>
        <v>0</v>
      </c>
      <c r="D194">
        <f>VLOOKUP($A194,survey_2yrs!A:B, 2)</f>
        <v>48.8</v>
      </c>
      <c r="E194">
        <f>VLOOKUP($A194,survey_2yrs!$A:C, 3)</f>
        <v>51.2</v>
      </c>
      <c r="F194">
        <f>VLOOKUP($A194,survey_2yrs!$A:D, 4)</f>
        <v>46.7</v>
      </c>
      <c r="G194">
        <f>_xlfn.XLOOKUP(A194,survey_2yrs!A:A,survey_2yrs!E:E)</f>
        <v>53.3</v>
      </c>
      <c r="H194">
        <f>_xlfn.XLOOKUP($A194,weather_2yrs!$A:$A,weather_2yrs!B:B)</f>
        <v>82.7</v>
      </c>
      <c r="I194">
        <f>_xlfn.XLOOKUP($A194,weather_2yrs!$A:$A,weather_2yrs!C:C)</f>
        <v>0</v>
      </c>
      <c r="J194">
        <f>_xlfn.XLOOKUP($A194,weather_2yrs!$A:$A,weather_2yrs!D:D)</f>
        <v>0</v>
      </c>
      <c r="K194">
        <f>_xlfn.XLOOKUP($A194,weather_2yrs!$A:$A,weather_2yrs!E:E)</f>
        <v>70.099999999999994</v>
      </c>
      <c r="L194">
        <f>_xlfn.XLOOKUP($A194,sales!$A:$A,sales!B:B)</f>
        <v>1</v>
      </c>
      <c r="M194" t="str">
        <f>_xlfn.XLOOKUP($A194,sales!$A:$A,sales!C:C)</f>
        <v>Miami Beach</v>
      </c>
      <c r="N194">
        <f>_xlfn.XLOOKUP($A194,sales!$A:$A,sales!D:D)</f>
        <v>343</v>
      </c>
      <c r="O194">
        <f>_xlfn.XLOOKUP($A194,sales!$A:$A,sales!E:E)</f>
        <v>6295.88</v>
      </c>
      <c r="P194" s="4">
        <f t="shared" si="8"/>
        <v>18.355335276967931</v>
      </c>
    </row>
    <row r="195" spans="1:16" x14ac:dyDescent="0.25">
      <c r="A195" s="1">
        <v>45120</v>
      </c>
      <c r="B195" s="1" t="str">
        <f t="shared" ref="B195:B258" si="9">TEXT(A195, "dddd")</f>
        <v>Thursday</v>
      </c>
      <c r="C195" s="1" t="b">
        <f t="shared" ref="C195:C258" si="10">IF(WEEKDAY(A195,2)&gt;5,TRUE,FALSE)</f>
        <v>0</v>
      </c>
      <c r="D195">
        <f>VLOOKUP($A195,survey_2yrs!A:B, 2)</f>
        <v>49</v>
      </c>
      <c r="E195">
        <f>VLOOKUP($A195,survey_2yrs!$A:C, 3)</f>
        <v>51</v>
      </c>
      <c r="F195">
        <f>VLOOKUP($A195,survey_2yrs!$A:D, 4)</f>
        <v>45.6</v>
      </c>
      <c r="G195">
        <f>_xlfn.XLOOKUP(A195,survey_2yrs!A:A,survey_2yrs!E:E)</f>
        <v>54.4</v>
      </c>
      <c r="H195">
        <f>_xlfn.XLOOKUP($A195,weather_2yrs!$A:$A,weather_2yrs!B:B)</f>
        <v>84.7</v>
      </c>
      <c r="I195">
        <f>_xlfn.XLOOKUP($A195,weather_2yrs!$A:$A,weather_2yrs!C:C)</f>
        <v>1.2</v>
      </c>
      <c r="J195">
        <f>_xlfn.XLOOKUP($A195,weather_2yrs!$A:$A,weather_2yrs!D:D)</f>
        <v>1</v>
      </c>
      <c r="K195">
        <f>_xlfn.XLOOKUP($A195,weather_2yrs!$A:$A,weather_2yrs!E:E)</f>
        <v>68.900000000000006</v>
      </c>
      <c r="L195">
        <f>_xlfn.XLOOKUP($A195,sales!$A:$A,sales!B:B)</f>
        <v>1</v>
      </c>
      <c r="M195" t="str">
        <f>_xlfn.XLOOKUP($A195,sales!$A:$A,sales!C:C)</f>
        <v>Miami Beach</v>
      </c>
      <c r="N195">
        <f>_xlfn.XLOOKUP($A195,sales!$A:$A,sales!D:D)</f>
        <v>351</v>
      </c>
      <c r="O195">
        <f>_xlfn.XLOOKUP($A195,sales!$A:$A,sales!E:E)</f>
        <v>6422.2</v>
      </c>
      <c r="P195" s="4">
        <f t="shared" ref="P195:P258" si="11">O195/N195</f>
        <v>18.296866096866097</v>
      </c>
    </row>
    <row r="196" spans="1:16" x14ac:dyDescent="0.25">
      <c r="A196" s="1">
        <v>45121</v>
      </c>
      <c r="B196" s="1" t="str">
        <f t="shared" si="9"/>
        <v>Friday</v>
      </c>
      <c r="C196" s="1" t="b">
        <f t="shared" si="10"/>
        <v>0</v>
      </c>
      <c r="D196">
        <f>VLOOKUP($A196,survey_2yrs!A:B, 2)</f>
        <v>49.4</v>
      </c>
      <c r="E196">
        <f>VLOOKUP($A196,survey_2yrs!$A:C, 3)</f>
        <v>50.6</v>
      </c>
      <c r="F196">
        <f>VLOOKUP($A196,survey_2yrs!$A:D, 4)</f>
        <v>47</v>
      </c>
      <c r="G196">
        <f>_xlfn.XLOOKUP(A196,survey_2yrs!A:A,survey_2yrs!E:E)</f>
        <v>53</v>
      </c>
      <c r="H196">
        <f>_xlfn.XLOOKUP($A196,weather_2yrs!$A:$A,weather_2yrs!B:B)</f>
        <v>89</v>
      </c>
      <c r="I196">
        <f>_xlfn.XLOOKUP($A196,weather_2yrs!$A:$A,weather_2yrs!C:C)</f>
        <v>1.1100000000000001</v>
      </c>
      <c r="J196">
        <f>_xlfn.XLOOKUP($A196,weather_2yrs!$A:$A,weather_2yrs!D:D)</f>
        <v>1</v>
      </c>
      <c r="K196">
        <f>_xlfn.XLOOKUP($A196,weather_2yrs!$A:$A,weather_2yrs!E:E)</f>
        <v>68.8</v>
      </c>
      <c r="L196">
        <f>_xlfn.XLOOKUP($A196,sales!$A:$A,sales!B:B)</f>
        <v>1</v>
      </c>
      <c r="M196" t="str">
        <f>_xlfn.XLOOKUP($A196,sales!$A:$A,sales!C:C)</f>
        <v>Miami Beach</v>
      </c>
      <c r="N196">
        <f>_xlfn.XLOOKUP($A196,sales!$A:$A,sales!D:D)</f>
        <v>334</v>
      </c>
      <c r="O196">
        <f>_xlfn.XLOOKUP($A196,sales!$A:$A,sales!E:E)</f>
        <v>5730.79</v>
      </c>
      <c r="P196" s="4">
        <f t="shared" si="11"/>
        <v>17.15805389221557</v>
      </c>
    </row>
    <row r="197" spans="1:16" x14ac:dyDescent="0.25">
      <c r="A197" s="1">
        <v>45122</v>
      </c>
      <c r="B197" s="1" t="str">
        <f t="shared" si="9"/>
        <v>Saturday</v>
      </c>
      <c r="C197" s="1" t="b">
        <f t="shared" si="10"/>
        <v>1</v>
      </c>
      <c r="D197">
        <f>VLOOKUP($A197,survey_2yrs!A:B, 2)</f>
        <v>47.9</v>
      </c>
      <c r="E197">
        <f>VLOOKUP($A197,survey_2yrs!$A:C, 3)</f>
        <v>52.1</v>
      </c>
      <c r="F197">
        <f>VLOOKUP($A197,survey_2yrs!$A:D, 4)</f>
        <v>52.7</v>
      </c>
      <c r="G197">
        <f>_xlfn.XLOOKUP(A197,survey_2yrs!A:A,survey_2yrs!E:E)</f>
        <v>47.3</v>
      </c>
      <c r="H197">
        <f>_xlfn.XLOOKUP($A197,weather_2yrs!$A:$A,weather_2yrs!B:B)</f>
        <v>81.3</v>
      </c>
      <c r="I197">
        <f>_xlfn.XLOOKUP($A197,weather_2yrs!$A:$A,weather_2yrs!C:C)</f>
        <v>0</v>
      </c>
      <c r="J197">
        <f>_xlfn.XLOOKUP($A197,weather_2yrs!$A:$A,weather_2yrs!D:D)</f>
        <v>0</v>
      </c>
      <c r="K197">
        <f>_xlfn.XLOOKUP($A197,weather_2yrs!$A:$A,weather_2yrs!E:E)</f>
        <v>72.400000000000006</v>
      </c>
      <c r="L197">
        <f>_xlfn.XLOOKUP($A197,sales!$A:$A,sales!B:B)</f>
        <v>1</v>
      </c>
      <c r="M197" t="str">
        <f>_xlfn.XLOOKUP($A197,sales!$A:$A,sales!C:C)</f>
        <v>Miami Beach</v>
      </c>
      <c r="N197">
        <f>_xlfn.XLOOKUP($A197,sales!$A:$A,sales!D:D)</f>
        <v>332</v>
      </c>
      <c r="O197">
        <f>_xlfn.XLOOKUP($A197,sales!$A:$A,sales!E:E)</f>
        <v>6439.14</v>
      </c>
      <c r="P197" s="4">
        <f t="shared" si="11"/>
        <v>19.395</v>
      </c>
    </row>
    <row r="198" spans="1:16" x14ac:dyDescent="0.25">
      <c r="A198" s="1">
        <v>45123</v>
      </c>
      <c r="B198" s="1" t="str">
        <f t="shared" si="9"/>
        <v>Sunday</v>
      </c>
      <c r="C198" s="1" t="b">
        <f t="shared" si="10"/>
        <v>1</v>
      </c>
      <c r="D198">
        <f>VLOOKUP($A198,survey_2yrs!A:B, 2)</f>
        <v>48.3</v>
      </c>
      <c r="E198">
        <f>VLOOKUP($A198,survey_2yrs!$A:C, 3)</f>
        <v>51.7</v>
      </c>
      <c r="F198">
        <f>VLOOKUP($A198,survey_2yrs!$A:D, 4)</f>
        <v>55.4</v>
      </c>
      <c r="G198">
        <f>_xlfn.XLOOKUP(A198,survey_2yrs!A:A,survey_2yrs!E:E)</f>
        <v>44.6</v>
      </c>
      <c r="H198">
        <f>_xlfn.XLOOKUP($A198,weather_2yrs!$A:$A,weather_2yrs!B:B)</f>
        <v>80.7</v>
      </c>
      <c r="I198">
        <f>_xlfn.XLOOKUP($A198,weather_2yrs!$A:$A,weather_2yrs!C:C)</f>
        <v>0.31</v>
      </c>
      <c r="J198">
        <f>_xlfn.XLOOKUP($A198,weather_2yrs!$A:$A,weather_2yrs!D:D)</f>
        <v>1</v>
      </c>
      <c r="K198">
        <f>_xlfn.XLOOKUP($A198,weather_2yrs!$A:$A,weather_2yrs!E:E)</f>
        <v>73.599999999999994</v>
      </c>
      <c r="L198">
        <f>_xlfn.XLOOKUP($A198,sales!$A:$A,sales!B:B)</f>
        <v>1</v>
      </c>
      <c r="M198" t="str">
        <f>_xlfn.XLOOKUP($A198,sales!$A:$A,sales!C:C)</f>
        <v>Miami Beach</v>
      </c>
      <c r="N198">
        <f>_xlfn.XLOOKUP($A198,sales!$A:$A,sales!D:D)</f>
        <v>312</v>
      </c>
      <c r="O198">
        <f>_xlfn.XLOOKUP($A198,sales!$A:$A,sales!E:E)</f>
        <v>5789.85</v>
      </c>
      <c r="P198" s="4">
        <f t="shared" si="11"/>
        <v>18.557211538461541</v>
      </c>
    </row>
    <row r="199" spans="1:16" x14ac:dyDescent="0.25">
      <c r="A199" s="1">
        <v>45124</v>
      </c>
      <c r="B199" s="1" t="str">
        <f t="shared" si="9"/>
        <v>Monday</v>
      </c>
      <c r="C199" s="1" t="b">
        <f t="shared" si="10"/>
        <v>0</v>
      </c>
      <c r="D199">
        <f>VLOOKUP($A199,survey_2yrs!A:B, 2)</f>
        <v>45.7</v>
      </c>
      <c r="E199">
        <f>VLOOKUP($A199,survey_2yrs!$A:C, 3)</f>
        <v>54.3</v>
      </c>
      <c r="F199">
        <f>VLOOKUP($A199,survey_2yrs!$A:D, 4)</f>
        <v>47</v>
      </c>
      <c r="G199">
        <f>_xlfn.XLOOKUP(A199,survey_2yrs!A:A,survey_2yrs!E:E)</f>
        <v>53</v>
      </c>
      <c r="H199">
        <f>_xlfn.XLOOKUP($A199,weather_2yrs!$A:$A,weather_2yrs!B:B)</f>
        <v>87.8</v>
      </c>
      <c r="I199">
        <f>_xlfn.XLOOKUP($A199,weather_2yrs!$A:$A,weather_2yrs!C:C)</f>
        <v>0</v>
      </c>
      <c r="J199">
        <f>_xlfn.XLOOKUP($A199,weather_2yrs!$A:$A,weather_2yrs!D:D)</f>
        <v>0</v>
      </c>
      <c r="K199">
        <f>_xlfn.XLOOKUP($A199,weather_2yrs!$A:$A,weather_2yrs!E:E)</f>
        <v>62.5</v>
      </c>
      <c r="L199">
        <f>_xlfn.XLOOKUP($A199,sales!$A:$A,sales!B:B)</f>
        <v>1</v>
      </c>
      <c r="M199" t="str">
        <f>_xlfn.XLOOKUP($A199,sales!$A:$A,sales!C:C)</f>
        <v>Miami Beach</v>
      </c>
      <c r="N199">
        <f>_xlfn.XLOOKUP($A199,sales!$A:$A,sales!D:D)</f>
        <v>323</v>
      </c>
      <c r="O199">
        <f>_xlfn.XLOOKUP($A199,sales!$A:$A,sales!E:E)</f>
        <v>6028.08</v>
      </c>
      <c r="P199" s="4">
        <f t="shared" si="11"/>
        <v>18.662786377708979</v>
      </c>
    </row>
    <row r="200" spans="1:16" x14ac:dyDescent="0.25">
      <c r="A200" s="1">
        <v>45125</v>
      </c>
      <c r="B200" s="1" t="str">
        <f t="shared" si="9"/>
        <v>Tuesday</v>
      </c>
      <c r="C200" s="1" t="b">
        <f t="shared" si="10"/>
        <v>0</v>
      </c>
      <c r="D200">
        <f>VLOOKUP($A200,survey_2yrs!A:B, 2)</f>
        <v>48</v>
      </c>
      <c r="E200">
        <f>VLOOKUP($A200,survey_2yrs!$A:C, 3)</f>
        <v>52</v>
      </c>
      <c r="F200">
        <f>VLOOKUP($A200,survey_2yrs!$A:D, 4)</f>
        <v>47.1</v>
      </c>
      <c r="G200">
        <f>_xlfn.XLOOKUP(A200,survey_2yrs!A:A,survey_2yrs!E:E)</f>
        <v>52.9</v>
      </c>
      <c r="H200">
        <f>_xlfn.XLOOKUP($A200,weather_2yrs!$A:$A,weather_2yrs!B:B)</f>
        <v>85</v>
      </c>
      <c r="I200">
        <f>_xlfn.XLOOKUP($A200,weather_2yrs!$A:$A,weather_2yrs!C:C)</f>
        <v>0</v>
      </c>
      <c r="J200">
        <f>_xlfn.XLOOKUP($A200,weather_2yrs!$A:$A,weather_2yrs!D:D)</f>
        <v>0</v>
      </c>
      <c r="K200">
        <f>_xlfn.XLOOKUP($A200,weather_2yrs!$A:$A,weather_2yrs!E:E)</f>
        <v>70.3</v>
      </c>
      <c r="L200">
        <f>_xlfn.XLOOKUP($A200,sales!$A:$A,sales!B:B)</f>
        <v>1</v>
      </c>
      <c r="M200" t="str">
        <f>_xlfn.XLOOKUP($A200,sales!$A:$A,sales!C:C)</f>
        <v>Miami Beach</v>
      </c>
      <c r="N200">
        <f>_xlfn.XLOOKUP($A200,sales!$A:$A,sales!D:D)</f>
        <v>322</v>
      </c>
      <c r="O200">
        <f>_xlfn.XLOOKUP($A200,sales!$A:$A,sales!E:E)</f>
        <v>6353.7</v>
      </c>
      <c r="P200" s="4">
        <f t="shared" si="11"/>
        <v>19.73198757763975</v>
      </c>
    </row>
    <row r="201" spans="1:16" x14ac:dyDescent="0.25">
      <c r="A201" s="1">
        <v>45126</v>
      </c>
      <c r="B201" s="1" t="str">
        <f t="shared" si="9"/>
        <v>Wednesday</v>
      </c>
      <c r="C201" s="1" t="b">
        <f t="shared" si="10"/>
        <v>0</v>
      </c>
      <c r="D201">
        <f>VLOOKUP($A201,survey_2yrs!A:B, 2)</f>
        <v>48.3</v>
      </c>
      <c r="E201">
        <f>VLOOKUP($A201,survey_2yrs!$A:C, 3)</f>
        <v>51.7</v>
      </c>
      <c r="F201">
        <f>VLOOKUP($A201,survey_2yrs!$A:D, 4)</f>
        <v>45.9</v>
      </c>
      <c r="G201">
        <f>_xlfn.XLOOKUP(A201,survey_2yrs!A:A,survey_2yrs!E:E)</f>
        <v>54.1</v>
      </c>
      <c r="H201">
        <f>_xlfn.XLOOKUP($A201,weather_2yrs!$A:$A,weather_2yrs!B:B)</f>
        <v>84.6</v>
      </c>
      <c r="I201">
        <f>_xlfn.XLOOKUP($A201,weather_2yrs!$A:$A,weather_2yrs!C:C)</f>
        <v>0</v>
      </c>
      <c r="J201">
        <f>_xlfn.XLOOKUP($A201,weather_2yrs!$A:$A,weather_2yrs!D:D)</f>
        <v>0</v>
      </c>
      <c r="K201">
        <f>_xlfn.XLOOKUP($A201,weather_2yrs!$A:$A,weather_2yrs!E:E)</f>
        <v>72.900000000000006</v>
      </c>
      <c r="L201">
        <f>_xlfn.XLOOKUP($A201,sales!$A:$A,sales!B:B)</f>
        <v>1</v>
      </c>
      <c r="M201" t="str">
        <f>_xlfn.XLOOKUP($A201,sales!$A:$A,sales!C:C)</f>
        <v>Miami Beach</v>
      </c>
      <c r="N201">
        <f>_xlfn.XLOOKUP($A201,sales!$A:$A,sales!D:D)</f>
        <v>321</v>
      </c>
      <c r="O201">
        <f>_xlfn.XLOOKUP($A201,sales!$A:$A,sales!E:E)</f>
        <v>5996.89</v>
      </c>
      <c r="P201" s="4">
        <f t="shared" si="11"/>
        <v>18.68190031152648</v>
      </c>
    </row>
    <row r="202" spans="1:16" x14ac:dyDescent="0.25">
      <c r="A202" s="1">
        <v>45127</v>
      </c>
      <c r="B202" s="1" t="str">
        <f t="shared" si="9"/>
        <v>Thursday</v>
      </c>
      <c r="C202" s="1" t="b">
        <f t="shared" si="10"/>
        <v>0</v>
      </c>
      <c r="D202">
        <f>VLOOKUP($A202,survey_2yrs!A:B, 2)</f>
        <v>48.2</v>
      </c>
      <c r="E202">
        <f>VLOOKUP($A202,survey_2yrs!$A:C, 3)</f>
        <v>51.8</v>
      </c>
      <c r="F202">
        <f>VLOOKUP($A202,survey_2yrs!$A:D, 4)</f>
        <v>47.6</v>
      </c>
      <c r="G202">
        <f>_xlfn.XLOOKUP(A202,survey_2yrs!A:A,survey_2yrs!E:E)</f>
        <v>52.4</v>
      </c>
      <c r="H202">
        <f>_xlfn.XLOOKUP($A202,weather_2yrs!$A:$A,weather_2yrs!B:B)</f>
        <v>85.7</v>
      </c>
      <c r="I202">
        <f>_xlfn.XLOOKUP($A202,weather_2yrs!$A:$A,weather_2yrs!C:C)</f>
        <v>0</v>
      </c>
      <c r="J202">
        <f>_xlfn.XLOOKUP($A202,weather_2yrs!$A:$A,weather_2yrs!D:D)</f>
        <v>0</v>
      </c>
      <c r="K202">
        <f>_xlfn.XLOOKUP($A202,weather_2yrs!$A:$A,weather_2yrs!E:E)</f>
        <v>68.3</v>
      </c>
      <c r="L202">
        <f>_xlfn.XLOOKUP($A202,sales!$A:$A,sales!B:B)</f>
        <v>1</v>
      </c>
      <c r="M202" t="str">
        <f>_xlfn.XLOOKUP($A202,sales!$A:$A,sales!C:C)</f>
        <v>Miami Beach</v>
      </c>
      <c r="N202">
        <f>_xlfn.XLOOKUP($A202,sales!$A:$A,sales!D:D)</f>
        <v>315</v>
      </c>
      <c r="O202">
        <f>_xlfn.XLOOKUP($A202,sales!$A:$A,sales!E:E)</f>
        <v>6058.46</v>
      </c>
      <c r="P202" s="4">
        <f t="shared" si="11"/>
        <v>19.233206349206348</v>
      </c>
    </row>
    <row r="203" spans="1:16" x14ac:dyDescent="0.25">
      <c r="A203" s="1">
        <v>45128</v>
      </c>
      <c r="B203" s="1" t="str">
        <f t="shared" si="9"/>
        <v>Friday</v>
      </c>
      <c r="C203" s="1" t="b">
        <f t="shared" si="10"/>
        <v>0</v>
      </c>
      <c r="D203">
        <f>VLOOKUP($A203,survey_2yrs!A:B, 2)</f>
        <v>47.7</v>
      </c>
      <c r="E203">
        <f>VLOOKUP($A203,survey_2yrs!$A:C, 3)</f>
        <v>52.3</v>
      </c>
      <c r="F203">
        <f>VLOOKUP($A203,survey_2yrs!$A:D, 4)</f>
        <v>45.6</v>
      </c>
      <c r="G203">
        <f>_xlfn.XLOOKUP(A203,survey_2yrs!A:A,survey_2yrs!E:E)</f>
        <v>54.4</v>
      </c>
      <c r="H203">
        <f>_xlfn.XLOOKUP($A203,weather_2yrs!$A:$A,weather_2yrs!B:B)</f>
        <v>83.4</v>
      </c>
      <c r="I203">
        <f>_xlfn.XLOOKUP($A203,weather_2yrs!$A:$A,weather_2yrs!C:C)</f>
        <v>0</v>
      </c>
      <c r="J203">
        <f>_xlfn.XLOOKUP($A203,weather_2yrs!$A:$A,weather_2yrs!D:D)</f>
        <v>0</v>
      </c>
      <c r="K203">
        <f>_xlfn.XLOOKUP($A203,weather_2yrs!$A:$A,weather_2yrs!E:E)</f>
        <v>68.099999999999994</v>
      </c>
      <c r="L203">
        <f>_xlfn.XLOOKUP($A203,sales!$A:$A,sales!B:B)</f>
        <v>1</v>
      </c>
      <c r="M203" t="str">
        <f>_xlfn.XLOOKUP($A203,sales!$A:$A,sales!C:C)</f>
        <v>Miami Beach</v>
      </c>
      <c r="N203">
        <f>_xlfn.XLOOKUP($A203,sales!$A:$A,sales!D:D)</f>
        <v>323</v>
      </c>
      <c r="O203">
        <f>_xlfn.XLOOKUP($A203,sales!$A:$A,sales!E:E)</f>
        <v>5685.53</v>
      </c>
      <c r="P203" s="4">
        <f t="shared" si="11"/>
        <v>17.602260061919505</v>
      </c>
    </row>
    <row r="204" spans="1:16" x14ac:dyDescent="0.25">
      <c r="A204" s="1">
        <v>45129</v>
      </c>
      <c r="B204" s="1" t="str">
        <f t="shared" si="9"/>
        <v>Saturday</v>
      </c>
      <c r="C204" s="1" t="b">
        <f t="shared" si="10"/>
        <v>1</v>
      </c>
      <c r="D204">
        <f>VLOOKUP($A204,survey_2yrs!A:B, 2)</f>
        <v>47.6</v>
      </c>
      <c r="E204">
        <f>VLOOKUP($A204,survey_2yrs!$A:C, 3)</f>
        <v>52.4</v>
      </c>
      <c r="F204">
        <f>VLOOKUP($A204,survey_2yrs!$A:D, 4)</f>
        <v>53.7</v>
      </c>
      <c r="G204">
        <f>_xlfn.XLOOKUP(A204,survey_2yrs!A:A,survey_2yrs!E:E)</f>
        <v>46.3</v>
      </c>
      <c r="H204">
        <f>_xlfn.XLOOKUP($A204,weather_2yrs!$A:$A,weather_2yrs!B:B)</f>
        <v>83</v>
      </c>
      <c r="I204">
        <f>_xlfn.XLOOKUP($A204,weather_2yrs!$A:$A,weather_2yrs!C:C)</f>
        <v>0.49</v>
      </c>
      <c r="J204">
        <f>_xlfn.XLOOKUP($A204,weather_2yrs!$A:$A,weather_2yrs!D:D)</f>
        <v>1</v>
      </c>
      <c r="K204">
        <f>_xlfn.XLOOKUP($A204,weather_2yrs!$A:$A,weather_2yrs!E:E)</f>
        <v>61.9</v>
      </c>
      <c r="L204">
        <f>_xlfn.XLOOKUP($A204,sales!$A:$A,sales!B:B)</f>
        <v>1</v>
      </c>
      <c r="M204" t="str">
        <f>_xlfn.XLOOKUP($A204,sales!$A:$A,sales!C:C)</f>
        <v>Miami Beach</v>
      </c>
      <c r="N204">
        <f>_xlfn.XLOOKUP($A204,sales!$A:$A,sales!D:D)</f>
        <v>366</v>
      </c>
      <c r="O204">
        <f>_xlfn.XLOOKUP($A204,sales!$A:$A,sales!E:E)</f>
        <v>7136.54</v>
      </c>
      <c r="P204" s="4">
        <f t="shared" si="11"/>
        <v>19.498743169398907</v>
      </c>
    </row>
    <row r="205" spans="1:16" x14ac:dyDescent="0.25">
      <c r="A205" s="1">
        <v>45130</v>
      </c>
      <c r="B205" s="1" t="str">
        <f t="shared" si="9"/>
        <v>Sunday</v>
      </c>
      <c r="C205" s="1" t="b">
        <f t="shared" si="10"/>
        <v>1</v>
      </c>
      <c r="D205">
        <f>VLOOKUP($A205,survey_2yrs!A:B, 2)</f>
        <v>47.1</v>
      </c>
      <c r="E205">
        <f>VLOOKUP($A205,survey_2yrs!$A:C, 3)</f>
        <v>52.9</v>
      </c>
      <c r="F205">
        <f>VLOOKUP($A205,survey_2yrs!$A:D, 4)</f>
        <v>54.1</v>
      </c>
      <c r="G205">
        <f>_xlfn.XLOOKUP(A205,survey_2yrs!A:A,survey_2yrs!E:E)</f>
        <v>45.9</v>
      </c>
      <c r="H205">
        <f>_xlfn.XLOOKUP($A205,weather_2yrs!$A:$A,weather_2yrs!B:B)</f>
        <v>84.9</v>
      </c>
      <c r="I205">
        <f>_xlfn.XLOOKUP($A205,weather_2yrs!$A:$A,weather_2yrs!C:C)</f>
        <v>0.01</v>
      </c>
      <c r="J205">
        <f>_xlfn.XLOOKUP($A205,weather_2yrs!$A:$A,weather_2yrs!D:D)</f>
        <v>1</v>
      </c>
      <c r="K205">
        <f>_xlfn.XLOOKUP($A205,weather_2yrs!$A:$A,weather_2yrs!E:E)</f>
        <v>70.7</v>
      </c>
      <c r="L205">
        <f>_xlfn.XLOOKUP($A205,sales!$A:$A,sales!B:B)</f>
        <v>1</v>
      </c>
      <c r="M205" t="str">
        <f>_xlfn.XLOOKUP($A205,sales!$A:$A,sales!C:C)</f>
        <v>Miami Beach</v>
      </c>
      <c r="N205">
        <f>_xlfn.XLOOKUP($A205,sales!$A:$A,sales!D:D)</f>
        <v>375</v>
      </c>
      <c r="O205">
        <f>_xlfn.XLOOKUP($A205,sales!$A:$A,sales!E:E)</f>
        <v>6685.46</v>
      </c>
      <c r="P205" s="4">
        <f t="shared" si="11"/>
        <v>17.827893333333332</v>
      </c>
    </row>
    <row r="206" spans="1:16" x14ac:dyDescent="0.25">
      <c r="A206" s="1">
        <v>45131</v>
      </c>
      <c r="B206" s="1" t="str">
        <f t="shared" si="9"/>
        <v>Monday</v>
      </c>
      <c r="C206" s="1" t="b">
        <f t="shared" si="10"/>
        <v>0</v>
      </c>
      <c r="D206">
        <f>VLOOKUP($A206,survey_2yrs!A:B, 2)</f>
        <v>47.2</v>
      </c>
      <c r="E206">
        <f>VLOOKUP($A206,survey_2yrs!$A:C, 3)</f>
        <v>52.8</v>
      </c>
      <c r="F206">
        <f>VLOOKUP($A206,survey_2yrs!$A:D, 4)</f>
        <v>47.1</v>
      </c>
      <c r="G206">
        <f>_xlfn.XLOOKUP(A206,survey_2yrs!A:A,survey_2yrs!E:E)</f>
        <v>52.9</v>
      </c>
      <c r="H206">
        <f>_xlfn.XLOOKUP($A206,weather_2yrs!$A:$A,weather_2yrs!B:B)</f>
        <v>88.9</v>
      </c>
      <c r="I206">
        <f>_xlfn.XLOOKUP($A206,weather_2yrs!$A:$A,weather_2yrs!C:C)</f>
        <v>0.48</v>
      </c>
      <c r="J206">
        <f>_xlfn.XLOOKUP($A206,weather_2yrs!$A:$A,weather_2yrs!D:D)</f>
        <v>1</v>
      </c>
      <c r="K206">
        <f>_xlfn.XLOOKUP($A206,weather_2yrs!$A:$A,weather_2yrs!E:E)</f>
        <v>58.4</v>
      </c>
      <c r="L206">
        <f>_xlfn.XLOOKUP($A206,sales!$A:$A,sales!B:B)</f>
        <v>1</v>
      </c>
      <c r="M206" t="str">
        <f>_xlfn.XLOOKUP($A206,sales!$A:$A,sales!C:C)</f>
        <v>Miami Beach</v>
      </c>
      <c r="N206">
        <f>_xlfn.XLOOKUP($A206,sales!$A:$A,sales!D:D)</f>
        <v>330</v>
      </c>
      <c r="O206">
        <f>_xlfn.XLOOKUP($A206,sales!$A:$A,sales!E:E)</f>
        <v>6018.72</v>
      </c>
      <c r="P206" s="4">
        <f t="shared" si="11"/>
        <v>18.238545454545456</v>
      </c>
    </row>
    <row r="207" spans="1:16" x14ac:dyDescent="0.25">
      <c r="A207" s="1">
        <v>45132</v>
      </c>
      <c r="B207" s="1" t="str">
        <f t="shared" si="9"/>
        <v>Tuesday</v>
      </c>
      <c r="C207" s="1" t="b">
        <f t="shared" si="10"/>
        <v>0</v>
      </c>
      <c r="D207">
        <f>VLOOKUP($A207,survey_2yrs!A:B, 2)</f>
        <v>48.6</v>
      </c>
      <c r="E207">
        <f>VLOOKUP($A207,survey_2yrs!$A:C, 3)</f>
        <v>51.4</v>
      </c>
      <c r="F207">
        <f>VLOOKUP($A207,survey_2yrs!$A:D, 4)</f>
        <v>46.3</v>
      </c>
      <c r="G207">
        <f>_xlfn.XLOOKUP(A207,survey_2yrs!A:A,survey_2yrs!E:E)</f>
        <v>53.7</v>
      </c>
      <c r="H207">
        <f>_xlfn.XLOOKUP($A207,weather_2yrs!$A:$A,weather_2yrs!B:B)</f>
        <v>82.1</v>
      </c>
      <c r="I207">
        <f>_xlfn.XLOOKUP($A207,weather_2yrs!$A:$A,weather_2yrs!C:C)</f>
        <v>0</v>
      </c>
      <c r="J207">
        <f>_xlfn.XLOOKUP($A207,weather_2yrs!$A:$A,weather_2yrs!D:D)</f>
        <v>0</v>
      </c>
      <c r="K207">
        <f>_xlfn.XLOOKUP($A207,weather_2yrs!$A:$A,weather_2yrs!E:E)</f>
        <v>78.7</v>
      </c>
      <c r="L207">
        <f>_xlfn.XLOOKUP($A207,sales!$A:$A,sales!B:B)</f>
        <v>1</v>
      </c>
      <c r="M207" t="str">
        <f>_xlfn.XLOOKUP($A207,sales!$A:$A,sales!C:C)</f>
        <v>Miami Beach</v>
      </c>
      <c r="N207">
        <f>_xlfn.XLOOKUP($A207,sales!$A:$A,sales!D:D)</f>
        <v>292</v>
      </c>
      <c r="O207">
        <f>_xlfn.XLOOKUP($A207,sales!$A:$A,sales!E:E)</f>
        <v>5456.83</v>
      </c>
      <c r="P207" s="4">
        <f t="shared" si="11"/>
        <v>18.687773972602738</v>
      </c>
    </row>
    <row r="208" spans="1:16" x14ac:dyDescent="0.25">
      <c r="A208" s="1">
        <v>45133</v>
      </c>
      <c r="B208" s="1" t="str">
        <f t="shared" si="9"/>
        <v>Wednesday</v>
      </c>
      <c r="C208" s="1" t="b">
        <f t="shared" si="10"/>
        <v>0</v>
      </c>
      <c r="D208">
        <f>VLOOKUP($A208,survey_2yrs!A:B, 2)</f>
        <v>47.3</v>
      </c>
      <c r="E208">
        <f>VLOOKUP($A208,survey_2yrs!$A:C, 3)</f>
        <v>52.7</v>
      </c>
      <c r="F208">
        <f>VLOOKUP($A208,survey_2yrs!$A:D, 4)</f>
        <v>48.6</v>
      </c>
      <c r="G208">
        <f>_xlfn.XLOOKUP(A208,survey_2yrs!A:A,survey_2yrs!E:E)</f>
        <v>51.4</v>
      </c>
      <c r="H208">
        <f>_xlfn.XLOOKUP($A208,weather_2yrs!$A:$A,weather_2yrs!B:B)</f>
        <v>88.4</v>
      </c>
      <c r="I208">
        <f>_xlfn.XLOOKUP($A208,weather_2yrs!$A:$A,weather_2yrs!C:C)</f>
        <v>1.02</v>
      </c>
      <c r="J208">
        <f>_xlfn.XLOOKUP($A208,weather_2yrs!$A:$A,weather_2yrs!D:D)</f>
        <v>1</v>
      </c>
      <c r="K208">
        <f>_xlfn.XLOOKUP($A208,weather_2yrs!$A:$A,weather_2yrs!E:E)</f>
        <v>69.8</v>
      </c>
      <c r="L208">
        <f>_xlfn.XLOOKUP($A208,sales!$A:$A,sales!B:B)</f>
        <v>1</v>
      </c>
      <c r="M208" t="str">
        <f>_xlfn.XLOOKUP($A208,sales!$A:$A,sales!C:C)</f>
        <v>Miami Beach</v>
      </c>
      <c r="N208">
        <f>_xlfn.XLOOKUP($A208,sales!$A:$A,sales!D:D)</f>
        <v>355</v>
      </c>
      <c r="O208">
        <f>_xlfn.XLOOKUP($A208,sales!$A:$A,sales!E:E)</f>
        <v>6810.6</v>
      </c>
      <c r="P208" s="4">
        <f t="shared" si="11"/>
        <v>19.184788732394367</v>
      </c>
    </row>
    <row r="209" spans="1:16" x14ac:dyDescent="0.25">
      <c r="A209" s="1">
        <v>45134</v>
      </c>
      <c r="B209" s="1" t="str">
        <f t="shared" si="9"/>
        <v>Thursday</v>
      </c>
      <c r="C209" s="1" t="b">
        <f t="shared" si="10"/>
        <v>0</v>
      </c>
      <c r="D209">
        <f>VLOOKUP($A209,survey_2yrs!A:B, 2)</f>
        <v>47</v>
      </c>
      <c r="E209">
        <f>VLOOKUP($A209,survey_2yrs!$A:C, 3)</f>
        <v>53</v>
      </c>
      <c r="F209">
        <f>VLOOKUP($A209,survey_2yrs!$A:D, 4)</f>
        <v>45.7</v>
      </c>
      <c r="G209">
        <f>_xlfn.XLOOKUP(A209,survey_2yrs!A:A,survey_2yrs!E:E)</f>
        <v>54.3</v>
      </c>
      <c r="H209">
        <f>_xlfn.XLOOKUP($A209,weather_2yrs!$A:$A,weather_2yrs!B:B)</f>
        <v>85.4</v>
      </c>
      <c r="I209">
        <f>_xlfn.XLOOKUP($A209,weather_2yrs!$A:$A,weather_2yrs!C:C)</f>
        <v>0</v>
      </c>
      <c r="J209">
        <f>_xlfn.XLOOKUP($A209,weather_2yrs!$A:$A,weather_2yrs!D:D)</f>
        <v>0</v>
      </c>
      <c r="K209">
        <f>_xlfn.XLOOKUP($A209,weather_2yrs!$A:$A,weather_2yrs!E:E)</f>
        <v>78.3</v>
      </c>
      <c r="L209">
        <f>_xlfn.XLOOKUP($A209,sales!$A:$A,sales!B:B)</f>
        <v>1</v>
      </c>
      <c r="M209" t="str">
        <f>_xlfn.XLOOKUP($A209,sales!$A:$A,sales!C:C)</f>
        <v>Miami Beach</v>
      </c>
      <c r="N209">
        <f>_xlfn.XLOOKUP($A209,sales!$A:$A,sales!D:D)</f>
        <v>329</v>
      </c>
      <c r="O209">
        <f>_xlfn.XLOOKUP($A209,sales!$A:$A,sales!E:E)</f>
        <v>5967.78</v>
      </c>
      <c r="P209" s="4">
        <f t="shared" si="11"/>
        <v>18.139148936170212</v>
      </c>
    </row>
    <row r="210" spans="1:16" x14ac:dyDescent="0.25">
      <c r="A210" s="1">
        <v>45135</v>
      </c>
      <c r="B210" s="1" t="str">
        <f t="shared" si="9"/>
        <v>Friday</v>
      </c>
      <c r="C210" s="1" t="b">
        <f t="shared" si="10"/>
        <v>0</v>
      </c>
      <c r="D210">
        <f>VLOOKUP($A210,survey_2yrs!A:B, 2)</f>
        <v>48.7</v>
      </c>
      <c r="E210">
        <f>VLOOKUP($A210,survey_2yrs!$A:C, 3)</f>
        <v>51.3</v>
      </c>
      <c r="F210">
        <f>VLOOKUP($A210,survey_2yrs!$A:D, 4)</f>
        <v>47.4</v>
      </c>
      <c r="G210">
        <f>_xlfn.XLOOKUP(A210,survey_2yrs!A:A,survey_2yrs!E:E)</f>
        <v>52.6</v>
      </c>
      <c r="H210">
        <f>_xlfn.XLOOKUP($A210,weather_2yrs!$A:$A,weather_2yrs!B:B)</f>
        <v>86.2</v>
      </c>
      <c r="I210">
        <f>_xlfn.XLOOKUP($A210,weather_2yrs!$A:$A,weather_2yrs!C:C)</f>
        <v>0</v>
      </c>
      <c r="J210">
        <f>_xlfn.XLOOKUP($A210,weather_2yrs!$A:$A,weather_2yrs!D:D)</f>
        <v>0</v>
      </c>
      <c r="K210">
        <f>_xlfn.XLOOKUP($A210,weather_2yrs!$A:$A,weather_2yrs!E:E)</f>
        <v>62.3</v>
      </c>
      <c r="L210">
        <f>_xlfn.XLOOKUP($A210,sales!$A:$A,sales!B:B)</f>
        <v>1</v>
      </c>
      <c r="M210" t="str">
        <f>_xlfn.XLOOKUP($A210,sales!$A:$A,sales!C:C)</f>
        <v>Miami Beach</v>
      </c>
      <c r="N210">
        <f>_xlfn.XLOOKUP($A210,sales!$A:$A,sales!D:D)</f>
        <v>333</v>
      </c>
      <c r="O210">
        <f>_xlfn.XLOOKUP($A210,sales!$A:$A,sales!E:E)</f>
        <v>5359.86</v>
      </c>
      <c r="P210" s="4">
        <f t="shared" si="11"/>
        <v>16.095675675675675</v>
      </c>
    </row>
    <row r="211" spans="1:16" x14ac:dyDescent="0.25">
      <c r="A211" s="1">
        <v>45136</v>
      </c>
      <c r="B211" s="1" t="str">
        <f t="shared" si="9"/>
        <v>Saturday</v>
      </c>
      <c r="C211" s="1" t="b">
        <f t="shared" si="10"/>
        <v>1</v>
      </c>
      <c r="D211">
        <f>VLOOKUP($A211,survey_2yrs!A:B, 2)</f>
        <v>47.9</v>
      </c>
      <c r="E211">
        <f>VLOOKUP($A211,survey_2yrs!$A:C, 3)</f>
        <v>52.1</v>
      </c>
      <c r="F211">
        <f>VLOOKUP($A211,survey_2yrs!$A:D, 4)</f>
        <v>52.2</v>
      </c>
      <c r="G211">
        <f>_xlfn.XLOOKUP(A211,survey_2yrs!A:A,survey_2yrs!E:E)</f>
        <v>47.8</v>
      </c>
      <c r="H211">
        <f>_xlfn.XLOOKUP($A211,weather_2yrs!$A:$A,weather_2yrs!B:B)</f>
        <v>84.5</v>
      </c>
      <c r="I211">
        <f>_xlfn.XLOOKUP($A211,weather_2yrs!$A:$A,weather_2yrs!C:C)</f>
        <v>0</v>
      </c>
      <c r="J211">
        <f>_xlfn.XLOOKUP($A211,weather_2yrs!$A:$A,weather_2yrs!D:D)</f>
        <v>0</v>
      </c>
      <c r="K211">
        <f>_xlfn.XLOOKUP($A211,weather_2yrs!$A:$A,weather_2yrs!E:E)</f>
        <v>63.8</v>
      </c>
      <c r="L211">
        <f>_xlfn.XLOOKUP($A211,sales!$A:$A,sales!B:B)</f>
        <v>1</v>
      </c>
      <c r="M211" t="str">
        <f>_xlfn.XLOOKUP($A211,sales!$A:$A,sales!C:C)</f>
        <v>Miami Beach</v>
      </c>
      <c r="N211">
        <f>_xlfn.XLOOKUP($A211,sales!$A:$A,sales!D:D)</f>
        <v>342</v>
      </c>
      <c r="O211">
        <f>_xlfn.XLOOKUP($A211,sales!$A:$A,sales!E:E)</f>
        <v>6453.99</v>
      </c>
      <c r="P211" s="4">
        <f t="shared" si="11"/>
        <v>18.871315789473684</v>
      </c>
    </row>
    <row r="212" spans="1:16" x14ac:dyDescent="0.25">
      <c r="A212" s="1">
        <v>45137</v>
      </c>
      <c r="B212" s="1" t="str">
        <f t="shared" si="9"/>
        <v>Sunday</v>
      </c>
      <c r="C212" s="1" t="b">
        <f t="shared" si="10"/>
        <v>1</v>
      </c>
      <c r="D212">
        <f>VLOOKUP($A212,survey_2yrs!A:B, 2)</f>
        <v>46.9</v>
      </c>
      <c r="E212">
        <f>VLOOKUP($A212,survey_2yrs!$A:C, 3)</f>
        <v>53.1</v>
      </c>
      <c r="F212">
        <f>VLOOKUP($A212,survey_2yrs!$A:D, 4)</f>
        <v>52.3</v>
      </c>
      <c r="G212">
        <f>_xlfn.XLOOKUP(A212,survey_2yrs!A:A,survey_2yrs!E:E)</f>
        <v>47.7</v>
      </c>
      <c r="H212">
        <f>_xlfn.XLOOKUP($A212,weather_2yrs!$A:$A,weather_2yrs!B:B)</f>
        <v>87.4</v>
      </c>
      <c r="I212">
        <f>_xlfn.XLOOKUP($A212,weather_2yrs!$A:$A,weather_2yrs!C:C)</f>
        <v>0</v>
      </c>
      <c r="J212">
        <f>_xlfn.XLOOKUP($A212,weather_2yrs!$A:$A,weather_2yrs!D:D)</f>
        <v>0</v>
      </c>
      <c r="K212">
        <f>_xlfn.XLOOKUP($A212,weather_2yrs!$A:$A,weather_2yrs!E:E)</f>
        <v>72.900000000000006</v>
      </c>
      <c r="L212">
        <f>_xlfn.XLOOKUP($A212,sales!$A:$A,sales!B:B)</f>
        <v>1</v>
      </c>
      <c r="M212" t="str">
        <f>_xlfn.XLOOKUP($A212,sales!$A:$A,sales!C:C)</f>
        <v>Miami Beach</v>
      </c>
      <c r="N212">
        <f>_xlfn.XLOOKUP($A212,sales!$A:$A,sales!D:D)</f>
        <v>365</v>
      </c>
      <c r="O212">
        <f>_xlfn.XLOOKUP($A212,sales!$A:$A,sales!E:E)</f>
        <v>6804.66</v>
      </c>
      <c r="P212" s="4">
        <f t="shared" si="11"/>
        <v>18.64290410958904</v>
      </c>
    </row>
    <row r="213" spans="1:16" x14ac:dyDescent="0.25">
      <c r="A213" s="1">
        <v>45138</v>
      </c>
      <c r="B213" s="1" t="str">
        <f t="shared" si="9"/>
        <v>Monday</v>
      </c>
      <c r="C213" s="1" t="b">
        <f t="shared" si="10"/>
        <v>0</v>
      </c>
      <c r="D213">
        <f>VLOOKUP($A213,survey_2yrs!A:B, 2)</f>
        <v>48.1</v>
      </c>
      <c r="E213">
        <f>VLOOKUP($A213,survey_2yrs!$A:C, 3)</f>
        <v>51.9</v>
      </c>
      <c r="F213">
        <f>VLOOKUP($A213,survey_2yrs!$A:D, 4)</f>
        <v>45.4</v>
      </c>
      <c r="G213">
        <f>_xlfn.XLOOKUP(A213,survey_2yrs!A:A,survey_2yrs!E:E)</f>
        <v>54.6</v>
      </c>
      <c r="H213">
        <f>_xlfn.XLOOKUP($A213,weather_2yrs!$A:$A,weather_2yrs!B:B)</f>
        <v>89.8</v>
      </c>
      <c r="I213">
        <f>_xlfn.XLOOKUP($A213,weather_2yrs!$A:$A,weather_2yrs!C:C)</f>
        <v>0.71</v>
      </c>
      <c r="J213">
        <f>_xlfn.XLOOKUP($A213,weather_2yrs!$A:$A,weather_2yrs!D:D)</f>
        <v>1</v>
      </c>
      <c r="K213">
        <f>_xlfn.XLOOKUP($A213,weather_2yrs!$A:$A,weather_2yrs!E:E)</f>
        <v>69</v>
      </c>
      <c r="L213">
        <f>_xlfn.XLOOKUP($A213,sales!$A:$A,sales!B:B)</f>
        <v>1</v>
      </c>
      <c r="M213" t="str">
        <f>_xlfn.XLOOKUP($A213,sales!$A:$A,sales!C:C)</f>
        <v>Miami Beach</v>
      </c>
      <c r="N213">
        <f>_xlfn.XLOOKUP($A213,sales!$A:$A,sales!D:D)</f>
        <v>337</v>
      </c>
      <c r="O213">
        <f>_xlfn.XLOOKUP($A213,sales!$A:$A,sales!E:E)</f>
        <v>5606.61</v>
      </c>
      <c r="P213" s="4">
        <f t="shared" si="11"/>
        <v>16.636824925816022</v>
      </c>
    </row>
    <row r="214" spans="1:16" x14ac:dyDescent="0.25">
      <c r="A214" s="1">
        <v>45139</v>
      </c>
      <c r="B214" s="1" t="str">
        <f t="shared" si="9"/>
        <v>Tuesday</v>
      </c>
      <c r="C214" s="1" t="b">
        <f t="shared" si="10"/>
        <v>0</v>
      </c>
      <c r="D214">
        <f>VLOOKUP($A214,survey_2yrs!A:B, 2)</f>
        <v>48.6</v>
      </c>
      <c r="E214">
        <f>VLOOKUP($A214,survey_2yrs!$A:C, 3)</f>
        <v>51.4</v>
      </c>
      <c r="F214">
        <f>VLOOKUP($A214,survey_2yrs!$A:D, 4)</f>
        <v>46.8</v>
      </c>
      <c r="G214">
        <f>_xlfn.XLOOKUP(A214,survey_2yrs!A:A,survey_2yrs!E:E)</f>
        <v>53.2</v>
      </c>
      <c r="H214">
        <f>_xlfn.XLOOKUP($A214,weather_2yrs!$A:$A,weather_2yrs!B:B)</f>
        <v>86.3</v>
      </c>
      <c r="I214">
        <f>_xlfn.XLOOKUP($A214,weather_2yrs!$A:$A,weather_2yrs!C:C)</f>
        <v>0</v>
      </c>
      <c r="J214">
        <f>_xlfn.XLOOKUP($A214,weather_2yrs!$A:$A,weather_2yrs!D:D)</f>
        <v>0</v>
      </c>
      <c r="K214">
        <f>_xlfn.XLOOKUP($A214,weather_2yrs!$A:$A,weather_2yrs!E:E)</f>
        <v>71.599999999999994</v>
      </c>
      <c r="L214">
        <f>_xlfn.XLOOKUP($A214,sales!$A:$A,sales!B:B)</f>
        <v>1</v>
      </c>
      <c r="M214" t="str">
        <f>_xlfn.XLOOKUP($A214,sales!$A:$A,sales!C:C)</f>
        <v>Miami Beach</v>
      </c>
      <c r="N214">
        <f>_xlfn.XLOOKUP($A214,sales!$A:$A,sales!D:D)</f>
        <v>342</v>
      </c>
      <c r="O214">
        <f>_xlfn.XLOOKUP($A214,sales!$A:$A,sales!E:E)</f>
        <v>5674.44</v>
      </c>
      <c r="P214" s="4">
        <f t="shared" si="11"/>
        <v>16.591929824561401</v>
      </c>
    </row>
    <row r="215" spans="1:16" x14ac:dyDescent="0.25">
      <c r="A215" s="1">
        <v>45140</v>
      </c>
      <c r="B215" s="1" t="str">
        <f t="shared" si="9"/>
        <v>Wednesday</v>
      </c>
      <c r="C215" s="1" t="b">
        <f t="shared" si="10"/>
        <v>0</v>
      </c>
      <c r="D215">
        <f>VLOOKUP($A215,survey_2yrs!A:B, 2)</f>
        <v>46.6</v>
      </c>
      <c r="E215">
        <f>VLOOKUP($A215,survey_2yrs!$A:C, 3)</f>
        <v>53.4</v>
      </c>
      <c r="F215">
        <f>VLOOKUP($A215,survey_2yrs!$A:D, 4)</f>
        <v>46.8</v>
      </c>
      <c r="G215">
        <f>_xlfn.XLOOKUP(A215,survey_2yrs!A:A,survey_2yrs!E:E)</f>
        <v>53.2</v>
      </c>
      <c r="H215">
        <f>_xlfn.XLOOKUP($A215,weather_2yrs!$A:$A,weather_2yrs!B:B)</f>
        <v>88</v>
      </c>
      <c r="I215">
        <f>_xlfn.XLOOKUP($A215,weather_2yrs!$A:$A,weather_2yrs!C:C)</f>
        <v>0</v>
      </c>
      <c r="J215">
        <f>_xlfn.XLOOKUP($A215,weather_2yrs!$A:$A,weather_2yrs!D:D)</f>
        <v>0</v>
      </c>
      <c r="K215">
        <f>_xlfn.XLOOKUP($A215,weather_2yrs!$A:$A,weather_2yrs!E:E)</f>
        <v>77.2</v>
      </c>
      <c r="L215">
        <f>_xlfn.XLOOKUP($A215,sales!$A:$A,sales!B:B)</f>
        <v>1</v>
      </c>
      <c r="M215" t="str">
        <f>_xlfn.XLOOKUP($A215,sales!$A:$A,sales!C:C)</f>
        <v>Miami Beach</v>
      </c>
      <c r="N215">
        <f>_xlfn.XLOOKUP($A215,sales!$A:$A,sales!D:D)</f>
        <v>339</v>
      </c>
      <c r="O215">
        <f>_xlfn.XLOOKUP($A215,sales!$A:$A,sales!E:E)</f>
        <v>5947.74</v>
      </c>
      <c r="P215" s="4">
        <f t="shared" si="11"/>
        <v>17.544955752212388</v>
      </c>
    </row>
    <row r="216" spans="1:16" x14ac:dyDescent="0.25">
      <c r="A216" s="1">
        <v>45141</v>
      </c>
      <c r="B216" s="1" t="str">
        <f t="shared" si="9"/>
        <v>Thursday</v>
      </c>
      <c r="C216" s="1" t="b">
        <f t="shared" si="10"/>
        <v>0</v>
      </c>
      <c r="D216">
        <f>VLOOKUP($A216,survey_2yrs!A:B, 2)</f>
        <v>46.1</v>
      </c>
      <c r="E216">
        <f>VLOOKUP($A216,survey_2yrs!$A:C, 3)</f>
        <v>53.9</v>
      </c>
      <c r="F216">
        <f>VLOOKUP($A216,survey_2yrs!$A:D, 4)</f>
        <v>46.7</v>
      </c>
      <c r="G216">
        <f>_xlfn.XLOOKUP(A216,survey_2yrs!A:A,survey_2yrs!E:E)</f>
        <v>53.3</v>
      </c>
      <c r="H216">
        <f>_xlfn.XLOOKUP($A216,weather_2yrs!$A:$A,weather_2yrs!B:B)</f>
        <v>84.8</v>
      </c>
      <c r="I216">
        <f>_xlfn.XLOOKUP($A216,weather_2yrs!$A:$A,weather_2yrs!C:C)</f>
        <v>2.21</v>
      </c>
      <c r="J216">
        <f>_xlfn.XLOOKUP($A216,weather_2yrs!$A:$A,weather_2yrs!D:D)</f>
        <v>1</v>
      </c>
      <c r="K216">
        <f>_xlfn.XLOOKUP($A216,weather_2yrs!$A:$A,weather_2yrs!E:E)</f>
        <v>61.5</v>
      </c>
      <c r="L216">
        <f>_xlfn.XLOOKUP($A216,sales!$A:$A,sales!B:B)</f>
        <v>1</v>
      </c>
      <c r="M216" t="str">
        <f>_xlfn.XLOOKUP($A216,sales!$A:$A,sales!C:C)</f>
        <v>Miami Beach</v>
      </c>
      <c r="N216">
        <f>_xlfn.XLOOKUP($A216,sales!$A:$A,sales!D:D)</f>
        <v>284</v>
      </c>
      <c r="O216">
        <f>_xlfn.XLOOKUP($A216,sales!$A:$A,sales!E:E)</f>
        <v>5407.68</v>
      </c>
      <c r="P216" s="4">
        <f t="shared" si="11"/>
        <v>19.04112676056338</v>
      </c>
    </row>
    <row r="217" spans="1:16" x14ac:dyDescent="0.25">
      <c r="A217" s="1">
        <v>45142</v>
      </c>
      <c r="B217" s="1" t="str">
        <f t="shared" si="9"/>
        <v>Friday</v>
      </c>
      <c r="C217" s="1" t="b">
        <f t="shared" si="10"/>
        <v>0</v>
      </c>
      <c r="D217">
        <f>VLOOKUP($A217,survey_2yrs!A:B, 2)</f>
        <v>48.7</v>
      </c>
      <c r="E217">
        <f>VLOOKUP($A217,survey_2yrs!$A:C, 3)</f>
        <v>51.3</v>
      </c>
      <c r="F217">
        <f>VLOOKUP($A217,survey_2yrs!$A:D, 4)</f>
        <v>47</v>
      </c>
      <c r="G217">
        <f>_xlfn.XLOOKUP(A217,survey_2yrs!A:A,survey_2yrs!E:E)</f>
        <v>53</v>
      </c>
      <c r="H217">
        <f>_xlfn.XLOOKUP($A217,weather_2yrs!$A:$A,weather_2yrs!B:B)</f>
        <v>84.1</v>
      </c>
      <c r="I217">
        <f>_xlfn.XLOOKUP($A217,weather_2yrs!$A:$A,weather_2yrs!C:C)</f>
        <v>0.42</v>
      </c>
      <c r="J217">
        <f>_xlfn.XLOOKUP($A217,weather_2yrs!$A:$A,weather_2yrs!D:D)</f>
        <v>1</v>
      </c>
      <c r="K217">
        <f>_xlfn.XLOOKUP($A217,weather_2yrs!$A:$A,weather_2yrs!E:E)</f>
        <v>64.7</v>
      </c>
      <c r="L217">
        <f>_xlfn.XLOOKUP($A217,sales!$A:$A,sales!B:B)</f>
        <v>1</v>
      </c>
      <c r="M217" t="str">
        <f>_xlfn.XLOOKUP($A217,sales!$A:$A,sales!C:C)</f>
        <v>Miami Beach</v>
      </c>
      <c r="N217">
        <f>_xlfn.XLOOKUP($A217,sales!$A:$A,sales!D:D)</f>
        <v>328</v>
      </c>
      <c r="O217">
        <f>_xlfn.XLOOKUP($A217,sales!$A:$A,sales!E:E)</f>
        <v>6321.29</v>
      </c>
      <c r="P217" s="4">
        <f t="shared" si="11"/>
        <v>19.272225609756099</v>
      </c>
    </row>
    <row r="218" spans="1:16" x14ac:dyDescent="0.25">
      <c r="A218" s="1">
        <v>45143</v>
      </c>
      <c r="B218" s="1" t="str">
        <f t="shared" si="9"/>
        <v>Saturday</v>
      </c>
      <c r="C218" s="1" t="b">
        <f t="shared" si="10"/>
        <v>1</v>
      </c>
      <c r="D218">
        <f>VLOOKUP($A218,survey_2yrs!A:B, 2)</f>
        <v>45.7</v>
      </c>
      <c r="E218">
        <f>VLOOKUP($A218,survey_2yrs!$A:C, 3)</f>
        <v>54.3</v>
      </c>
      <c r="F218">
        <f>VLOOKUP($A218,survey_2yrs!$A:D, 4)</f>
        <v>53.3</v>
      </c>
      <c r="G218">
        <f>_xlfn.XLOOKUP(A218,survey_2yrs!A:A,survey_2yrs!E:E)</f>
        <v>46.7</v>
      </c>
      <c r="H218">
        <f>_xlfn.XLOOKUP($A218,weather_2yrs!$A:$A,weather_2yrs!B:B)</f>
        <v>88.9</v>
      </c>
      <c r="I218">
        <f>_xlfn.XLOOKUP($A218,weather_2yrs!$A:$A,weather_2yrs!C:C)</f>
        <v>0</v>
      </c>
      <c r="J218">
        <f>_xlfn.XLOOKUP($A218,weather_2yrs!$A:$A,weather_2yrs!D:D)</f>
        <v>0</v>
      </c>
      <c r="K218">
        <f>_xlfn.XLOOKUP($A218,weather_2yrs!$A:$A,weather_2yrs!E:E)</f>
        <v>67.7</v>
      </c>
      <c r="L218">
        <f>_xlfn.XLOOKUP($A218,sales!$A:$A,sales!B:B)</f>
        <v>1</v>
      </c>
      <c r="M218" t="str">
        <f>_xlfn.XLOOKUP($A218,sales!$A:$A,sales!C:C)</f>
        <v>Miami Beach</v>
      </c>
      <c r="N218">
        <f>_xlfn.XLOOKUP($A218,sales!$A:$A,sales!D:D)</f>
        <v>388</v>
      </c>
      <c r="O218">
        <f>_xlfn.XLOOKUP($A218,sales!$A:$A,sales!E:E)</f>
        <v>6752.63</v>
      </c>
      <c r="P218" s="4">
        <f t="shared" si="11"/>
        <v>17.40368556701031</v>
      </c>
    </row>
    <row r="219" spans="1:16" x14ac:dyDescent="0.25">
      <c r="A219" s="1">
        <v>45144</v>
      </c>
      <c r="B219" s="1" t="str">
        <f t="shared" si="9"/>
        <v>Sunday</v>
      </c>
      <c r="C219" s="1" t="b">
        <f t="shared" si="10"/>
        <v>1</v>
      </c>
      <c r="D219">
        <f>VLOOKUP($A219,survey_2yrs!A:B, 2)</f>
        <v>45.5</v>
      </c>
      <c r="E219">
        <f>VLOOKUP($A219,survey_2yrs!$A:C, 3)</f>
        <v>54.5</v>
      </c>
      <c r="F219">
        <f>VLOOKUP($A219,survey_2yrs!$A:D, 4)</f>
        <v>51.4</v>
      </c>
      <c r="G219">
        <f>_xlfn.XLOOKUP(A219,survey_2yrs!A:A,survey_2yrs!E:E)</f>
        <v>48.6</v>
      </c>
      <c r="H219">
        <f>_xlfn.XLOOKUP($A219,weather_2yrs!$A:$A,weather_2yrs!B:B)</f>
        <v>90.9</v>
      </c>
      <c r="I219">
        <f>_xlfn.XLOOKUP($A219,weather_2yrs!$A:$A,weather_2yrs!C:C)</f>
        <v>1.5</v>
      </c>
      <c r="J219">
        <f>_xlfn.XLOOKUP($A219,weather_2yrs!$A:$A,weather_2yrs!D:D)</f>
        <v>1</v>
      </c>
      <c r="K219">
        <f>_xlfn.XLOOKUP($A219,weather_2yrs!$A:$A,weather_2yrs!E:E)</f>
        <v>68.099999999999994</v>
      </c>
      <c r="L219">
        <f>_xlfn.XLOOKUP($A219,sales!$A:$A,sales!B:B)</f>
        <v>1</v>
      </c>
      <c r="M219" t="str">
        <f>_xlfn.XLOOKUP($A219,sales!$A:$A,sales!C:C)</f>
        <v>Miami Beach</v>
      </c>
      <c r="N219">
        <f>_xlfn.XLOOKUP($A219,sales!$A:$A,sales!D:D)</f>
        <v>355</v>
      </c>
      <c r="O219">
        <f>_xlfn.XLOOKUP($A219,sales!$A:$A,sales!E:E)</f>
        <v>7382.67</v>
      </c>
      <c r="P219" s="4">
        <f t="shared" si="11"/>
        <v>20.796253521126761</v>
      </c>
    </row>
    <row r="220" spans="1:16" x14ac:dyDescent="0.25">
      <c r="A220" s="1">
        <v>45145</v>
      </c>
      <c r="B220" s="1" t="str">
        <f t="shared" si="9"/>
        <v>Monday</v>
      </c>
      <c r="C220" s="1" t="b">
        <f t="shared" si="10"/>
        <v>0</v>
      </c>
      <c r="D220">
        <f>VLOOKUP($A220,survey_2yrs!A:B, 2)</f>
        <v>47</v>
      </c>
      <c r="E220">
        <f>VLOOKUP($A220,survey_2yrs!$A:C, 3)</f>
        <v>53</v>
      </c>
      <c r="F220">
        <f>VLOOKUP($A220,survey_2yrs!$A:D, 4)</f>
        <v>45.1</v>
      </c>
      <c r="G220">
        <f>_xlfn.XLOOKUP(A220,survey_2yrs!A:A,survey_2yrs!E:E)</f>
        <v>54.9</v>
      </c>
      <c r="H220">
        <f>_xlfn.XLOOKUP($A220,weather_2yrs!$A:$A,weather_2yrs!B:B)</f>
        <v>87.4</v>
      </c>
      <c r="I220">
        <f>_xlfn.XLOOKUP($A220,weather_2yrs!$A:$A,weather_2yrs!C:C)</f>
        <v>0</v>
      </c>
      <c r="J220">
        <f>_xlfn.XLOOKUP($A220,weather_2yrs!$A:$A,weather_2yrs!D:D)</f>
        <v>0</v>
      </c>
      <c r="K220">
        <f>_xlfn.XLOOKUP($A220,weather_2yrs!$A:$A,weather_2yrs!E:E)</f>
        <v>75.900000000000006</v>
      </c>
      <c r="L220">
        <f>_xlfn.XLOOKUP($A220,sales!$A:$A,sales!B:B)</f>
        <v>1</v>
      </c>
      <c r="M220" t="str">
        <f>_xlfn.XLOOKUP($A220,sales!$A:$A,sales!C:C)</f>
        <v>Miami Beach</v>
      </c>
      <c r="N220">
        <f>_xlfn.XLOOKUP($A220,sales!$A:$A,sales!D:D)</f>
        <v>326</v>
      </c>
      <c r="O220">
        <f>_xlfn.XLOOKUP($A220,sales!$A:$A,sales!E:E)</f>
        <v>5594.46</v>
      </c>
      <c r="P220" s="4">
        <f t="shared" si="11"/>
        <v>17.160920245398774</v>
      </c>
    </row>
    <row r="221" spans="1:16" x14ac:dyDescent="0.25">
      <c r="A221" s="1">
        <v>45146</v>
      </c>
      <c r="B221" s="1" t="str">
        <f t="shared" si="9"/>
        <v>Tuesday</v>
      </c>
      <c r="C221" s="1" t="b">
        <f t="shared" si="10"/>
        <v>0</v>
      </c>
      <c r="D221">
        <f>VLOOKUP($A221,survey_2yrs!A:B, 2)</f>
        <v>47.6</v>
      </c>
      <c r="E221">
        <f>VLOOKUP($A221,survey_2yrs!$A:C, 3)</f>
        <v>52.4</v>
      </c>
      <c r="F221">
        <f>VLOOKUP($A221,survey_2yrs!$A:D, 4)</f>
        <v>46.2</v>
      </c>
      <c r="G221">
        <f>_xlfn.XLOOKUP(A221,survey_2yrs!A:A,survey_2yrs!E:E)</f>
        <v>53.8</v>
      </c>
      <c r="H221">
        <f>_xlfn.XLOOKUP($A221,weather_2yrs!$A:$A,weather_2yrs!B:B)</f>
        <v>86.4</v>
      </c>
      <c r="I221">
        <f>_xlfn.XLOOKUP($A221,weather_2yrs!$A:$A,weather_2yrs!C:C)</f>
        <v>0.5</v>
      </c>
      <c r="J221">
        <f>_xlfn.XLOOKUP($A221,weather_2yrs!$A:$A,weather_2yrs!D:D)</f>
        <v>1</v>
      </c>
      <c r="K221">
        <f>_xlfn.XLOOKUP($A221,weather_2yrs!$A:$A,weather_2yrs!E:E)</f>
        <v>69.099999999999994</v>
      </c>
      <c r="L221">
        <f>_xlfn.XLOOKUP($A221,sales!$A:$A,sales!B:B)</f>
        <v>1</v>
      </c>
      <c r="M221" t="str">
        <f>_xlfn.XLOOKUP($A221,sales!$A:$A,sales!C:C)</f>
        <v>Miami Beach</v>
      </c>
      <c r="N221">
        <f>_xlfn.XLOOKUP($A221,sales!$A:$A,sales!D:D)</f>
        <v>336</v>
      </c>
      <c r="O221">
        <f>_xlfn.XLOOKUP($A221,sales!$A:$A,sales!E:E)</f>
        <v>6359.4</v>
      </c>
      <c r="P221" s="4">
        <f t="shared" si="11"/>
        <v>18.926785714285714</v>
      </c>
    </row>
    <row r="222" spans="1:16" x14ac:dyDescent="0.25">
      <c r="A222" s="1">
        <v>45147</v>
      </c>
      <c r="B222" s="1" t="str">
        <f t="shared" si="9"/>
        <v>Wednesday</v>
      </c>
      <c r="C222" s="1" t="b">
        <f t="shared" si="10"/>
        <v>0</v>
      </c>
      <c r="D222">
        <f>VLOOKUP($A222,survey_2yrs!A:B, 2)</f>
        <v>47.4</v>
      </c>
      <c r="E222">
        <f>VLOOKUP($A222,survey_2yrs!$A:C, 3)</f>
        <v>52.6</v>
      </c>
      <c r="F222">
        <f>VLOOKUP($A222,survey_2yrs!$A:D, 4)</f>
        <v>47.4</v>
      </c>
      <c r="G222">
        <f>_xlfn.XLOOKUP(A222,survey_2yrs!A:A,survey_2yrs!E:E)</f>
        <v>52.6</v>
      </c>
      <c r="H222">
        <f>_xlfn.XLOOKUP($A222,weather_2yrs!$A:$A,weather_2yrs!B:B)</f>
        <v>83.5</v>
      </c>
      <c r="I222">
        <f>_xlfn.XLOOKUP($A222,weather_2yrs!$A:$A,weather_2yrs!C:C)</f>
        <v>0</v>
      </c>
      <c r="J222">
        <f>_xlfn.XLOOKUP($A222,weather_2yrs!$A:$A,weather_2yrs!D:D)</f>
        <v>0</v>
      </c>
      <c r="K222">
        <f>_xlfn.XLOOKUP($A222,weather_2yrs!$A:$A,weather_2yrs!E:E)</f>
        <v>78.2</v>
      </c>
      <c r="L222">
        <f>_xlfn.XLOOKUP($A222,sales!$A:$A,sales!B:B)</f>
        <v>1</v>
      </c>
      <c r="M222" t="str">
        <f>_xlfn.XLOOKUP($A222,sales!$A:$A,sales!C:C)</f>
        <v>Miami Beach</v>
      </c>
      <c r="N222">
        <f>_xlfn.XLOOKUP($A222,sales!$A:$A,sales!D:D)</f>
        <v>327</v>
      </c>
      <c r="O222">
        <f>_xlfn.XLOOKUP($A222,sales!$A:$A,sales!E:E)</f>
        <v>5869.8</v>
      </c>
      <c r="P222" s="4">
        <f t="shared" si="11"/>
        <v>17.95045871559633</v>
      </c>
    </row>
    <row r="223" spans="1:16" x14ac:dyDescent="0.25">
      <c r="A223" s="1">
        <v>45148</v>
      </c>
      <c r="B223" s="1" t="str">
        <f t="shared" si="9"/>
        <v>Thursday</v>
      </c>
      <c r="C223" s="1" t="b">
        <f t="shared" si="10"/>
        <v>0</v>
      </c>
      <c r="D223">
        <f>VLOOKUP($A223,survey_2yrs!A:B, 2)</f>
        <v>47</v>
      </c>
      <c r="E223">
        <f>VLOOKUP($A223,survey_2yrs!$A:C, 3)</f>
        <v>53</v>
      </c>
      <c r="F223">
        <f>VLOOKUP($A223,survey_2yrs!$A:D, 4)</f>
        <v>45.5</v>
      </c>
      <c r="G223">
        <f>_xlfn.XLOOKUP(A223,survey_2yrs!A:A,survey_2yrs!E:E)</f>
        <v>54.5</v>
      </c>
      <c r="H223">
        <f>_xlfn.XLOOKUP($A223,weather_2yrs!$A:$A,weather_2yrs!B:B)</f>
        <v>86.5</v>
      </c>
      <c r="I223">
        <f>_xlfn.XLOOKUP($A223,weather_2yrs!$A:$A,weather_2yrs!C:C)</f>
        <v>0.86</v>
      </c>
      <c r="J223">
        <f>_xlfn.XLOOKUP($A223,weather_2yrs!$A:$A,weather_2yrs!D:D)</f>
        <v>1</v>
      </c>
      <c r="K223">
        <f>_xlfn.XLOOKUP($A223,weather_2yrs!$A:$A,weather_2yrs!E:E)</f>
        <v>71.099999999999994</v>
      </c>
      <c r="L223">
        <f>_xlfn.XLOOKUP($A223,sales!$A:$A,sales!B:B)</f>
        <v>1</v>
      </c>
      <c r="M223" t="str">
        <f>_xlfn.XLOOKUP($A223,sales!$A:$A,sales!C:C)</f>
        <v>Miami Beach</v>
      </c>
      <c r="N223">
        <f>_xlfn.XLOOKUP($A223,sales!$A:$A,sales!D:D)</f>
        <v>327</v>
      </c>
      <c r="O223">
        <f>_xlfn.XLOOKUP($A223,sales!$A:$A,sales!E:E)</f>
        <v>6464.81</v>
      </c>
      <c r="P223" s="4">
        <f t="shared" si="11"/>
        <v>19.770061162079511</v>
      </c>
    </row>
    <row r="224" spans="1:16" x14ac:dyDescent="0.25">
      <c r="A224" s="1">
        <v>45149</v>
      </c>
      <c r="B224" s="1" t="str">
        <f t="shared" si="9"/>
        <v>Friday</v>
      </c>
      <c r="C224" s="1" t="b">
        <f t="shared" si="10"/>
        <v>0</v>
      </c>
      <c r="D224">
        <f>VLOOKUP($A224,survey_2yrs!A:B, 2)</f>
        <v>49.6</v>
      </c>
      <c r="E224">
        <f>VLOOKUP($A224,survey_2yrs!$A:C, 3)</f>
        <v>50.4</v>
      </c>
      <c r="F224">
        <f>VLOOKUP($A224,survey_2yrs!$A:D, 4)</f>
        <v>45.9</v>
      </c>
      <c r="G224">
        <f>_xlfn.XLOOKUP(A224,survey_2yrs!A:A,survey_2yrs!E:E)</f>
        <v>54.1</v>
      </c>
      <c r="H224">
        <f>_xlfn.XLOOKUP($A224,weather_2yrs!$A:$A,weather_2yrs!B:B)</f>
        <v>81.3</v>
      </c>
      <c r="I224">
        <f>_xlfn.XLOOKUP($A224,weather_2yrs!$A:$A,weather_2yrs!C:C)</f>
        <v>0</v>
      </c>
      <c r="J224">
        <f>_xlfn.XLOOKUP($A224,weather_2yrs!$A:$A,weather_2yrs!D:D)</f>
        <v>0</v>
      </c>
      <c r="K224">
        <f>_xlfn.XLOOKUP($A224,weather_2yrs!$A:$A,weather_2yrs!E:E)</f>
        <v>76.900000000000006</v>
      </c>
      <c r="L224">
        <f>_xlfn.XLOOKUP($A224,sales!$A:$A,sales!B:B)</f>
        <v>1</v>
      </c>
      <c r="M224" t="str">
        <f>_xlfn.XLOOKUP($A224,sales!$A:$A,sales!C:C)</f>
        <v>Miami Beach</v>
      </c>
      <c r="N224">
        <f>_xlfn.XLOOKUP($A224,sales!$A:$A,sales!D:D)</f>
        <v>313</v>
      </c>
      <c r="O224">
        <f>_xlfn.XLOOKUP($A224,sales!$A:$A,sales!E:E)</f>
        <v>5529.5</v>
      </c>
      <c r="P224" s="4">
        <f t="shared" si="11"/>
        <v>17.666134185303516</v>
      </c>
    </row>
    <row r="225" spans="1:16" x14ac:dyDescent="0.25">
      <c r="A225" s="1">
        <v>45150</v>
      </c>
      <c r="B225" s="1" t="str">
        <f t="shared" si="9"/>
        <v>Saturday</v>
      </c>
      <c r="C225" s="1" t="b">
        <f t="shared" si="10"/>
        <v>1</v>
      </c>
      <c r="D225">
        <f>VLOOKUP($A225,survey_2yrs!A:B, 2)</f>
        <v>46.8</v>
      </c>
      <c r="E225">
        <f>VLOOKUP($A225,survey_2yrs!$A:C, 3)</f>
        <v>53.2</v>
      </c>
      <c r="F225">
        <f>VLOOKUP($A225,survey_2yrs!$A:D, 4)</f>
        <v>51.9</v>
      </c>
      <c r="G225">
        <f>_xlfn.XLOOKUP(A225,survey_2yrs!A:A,survey_2yrs!E:E)</f>
        <v>48.1</v>
      </c>
      <c r="H225">
        <f>_xlfn.XLOOKUP($A225,weather_2yrs!$A:$A,weather_2yrs!B:B)</f>
        <v>82.7</v>
      </c>
      <c r="I225">
        <f>_xlfn.XLOOKUP($A225,weather_2yrs!$A:$A,weather_2yrs!C:C)</f>
        <v>5.72</v>
      </c>
      <c r="J225">
        <f>_xlfn.XLOOKUP($A225,weather_2yrs!$A:$A,weather_2yrs!D:D)</f>
        <v>1</v>
      </c>
      <c r="K225">
        <f>_xlfn.XLOOKUP($A225,weather_2yrs!$A:$A,weather_2yrs!E:E)</f>
        <v>79.400000000000006</v>
      </c>
      <c r="L225">
        <f>_xlfn.XLOOKUP($A225,sales!$A:$A,sales!B:B)</f>
        <v>1</v>
      </c>
      <c r="M225" t="str">
        <f>_xlfn.XLOOKUP($A225,sales!$A:$A,sales!C:C)</f>
        <v>Miami Beach</v>
      </c>
      <c r="N225">
        <f>_xlfn.XLOOKUP($A225,sales!$A:$A,sales!D:D)</f>
        <v>246</v>
      </c>
      <c r="O225">
        <f>_xlfn.XLOOKUP($A225,sales!$A:$A,sales!E:E)</f>
        <v>4474.53</v>
      </c>
      <c r="P225" s="4">
        <f t="shared" si="11"/>
        <v>18.189146341463413</v>
      </c>
    </row>
    <row r="226" spans="1:16" x14ac:dyDescent="0.25">
      <c r="A226" s="1">
        <v>45151</v>
      </c>
      <c r="B226" s="1" t="str">
        <f t="shared" si="9"/>
        <v>Sunday</v>
      </c>
      <c r="C226" s="1" t="b">
        <f t="shared" si="10"/>
        <v>1</v>
      </c>
      <c r="D226">
        <f>VLOOKUP($A226,survey_2yrs!A:B, 2)</f>
        <v>46</v>
      </c>
      <c r="E226">
        <f>VLOOKUP($A226,survey_2yrs!$A:C, 3)</f>
        <v>54</v>
      </c>
      <c r="F226">
        <f>VLOOKUP($A226,survey_2yrs!$A:D, 4)</f>
        <v>49.7</v>
      </c>
      <c r="G226">
        <f>_xlfn.XLOOKUP(A226,survey_2yrs!A:A,survey_2yrs!E:E)</f>
        <v>50.3</v>
      </c>
      <c r="H226">
        <f>_xlfn.XLOOKUP($A226,weather_2yrs!$A:$A,weather_2yrs!B:B)</f>
        <v>87.2</v>
      </c>
      <c r="I226">
        <f>_xlfn.XLOOKUP($A226,weather_2yrs!$A:$A,weather_2yrs!C:C)</f>
        <v>0</v>
      </c>
      <c r="J226">
        <f>_xlfn.XLOOKUP($A226,weather_2yrs!$A:$A,weather_2yrs!D:D)</f>
        <v>0</v>
      </c>
      <c r="K226">
        <f>_xlfn.XLOOKUP($A226,weather_2yrs!$A:$A,weather_2yrs!E:E)</f>
        <v>75.099999999999994</v>
      </c>
      <c r="L226">
        <f>_xlfn.XLOOKUP($A226,sales!$A:$A,sales!B:B)</f>
        <v>1</v>
      </c>
      <c r="M226" t="str">
        <f>_xlfn.XLOOKUP($A226,sales!$A:$A,sales!C:C)</f>
        <v>Miami Beach</v>
      </c>
      <c r="N226">
        <f>_xlfn.XLOOKUP($A226,sales!$A:$A,sales!D:D)</f>
        <v>398</v>
      </c>
      <c r="O226">
        <f>_xlfn.XLOOKUP($A226,sales!$A:$A,sales!E:E)</f>
        <v>7632.99</v>
      </c>
      <c r="P226" s="4">
        <f t="shared" si="11"/>
        <v>19.178366834170852</v>
      </c>
    </row>
    <row r="227" spans="1:16" x14ac:dyDescent="0.25">
      <c r="A227" s="1">
        <v>45152</v>
      </c>
      <c r="B227" s="1" t="str">
        <f t="shared" si="9"/>
        <v>Monday</v>
      </c>
      <c r="C227" s="1" t="b">
        <f t="shared" si="10"/>
        <v>0</v>
      </c>
      <c r="D227">
        <f>VLOOKUP($A227,survey_2yrs!A:B, 2)</f>
        <v>46.4</v>
      </c>
      <c r="E227">
        <f>VLOOKUP($A227,survey_2yrs!$A:C, 3)</f>
        <v>53.6</v>
      </c>
      <c r="F227">
        <f>VLOOKUP($A227,survey_2yrs!$A:D, 4)</f>
        <v>45.3</v>
      </c>
      <c r="G227">
        <f>_xlfn.XLOOKUP(A227,survey_2yrs!A:A,survey_2yrs!E:E)</f>
        <v>54.7</v>
      </c>
      <c r="H227">
        <f>_xlfn.XLOOKUP($A227,weather_2yrs!$A:$A,weather_2yrs!B:B)</f>
        <v>85.6</v>
      </c>
      <c r="I227">
        <f>_xlfn.XLOOKUP($A227,weather_2yrs!$A:$A,weather_2yrs!C:C)</f>
        <v>0</v>
      </c>
      <c r="J227">
        <f>_xlfn.XLOOKUP($A227,weather_2yrs!$A:$A,weather_2yrs!D:D)</f>
        <v>0</v>
      </c>
      <c r="K227">
        <f>_xlfn.XLOOKUP($A227,weather_2yrs!$A:$A,weather_2yrs!E:E)</f>
        <v>76.2</v>
      </c>
      <c r="L227">
        <f>_xlfn.XLOOKUP($A227,sales!$A:$A,sales!B:B)</f>
        <v>1</v>
      </c>
      <c r="M227" t="str">
        <f>_xlfn.XLOOKUP($A227,sales!$A:$A,sales!C:C)</f>
        <v>Miami Beach</v>
      </c>
      <c r="N227">
        <f>_xlfn.XLOOKUP($A227,sales!$A:$A,sales!D:D)</f>
        <v>324</v>
      </c>
      <c r="O227">
        <f>_xlfn.XLOOKUP($A227,sales!$A:$A,sales!E:E)</f>
        <v>6296.08</v>
      </c>
      <c r="P227" s="4">
        <f t="shared" si="11"/>
        <v>19.432345679012347</v>
      </c>
    </row>
    <row r="228" spans="1:16" x14ac:dyDescent="0.25">
      <c r="A228" s="1">
        <v>45153</v>
      </c>
      <c r="B228" s="1" t="str">
        <f t="shared" si="9"/>
        <v>Tuesday</v>
      </c>
      <c r="C228" s="1" t="b">
        <f t="shared" si="10"/>
        <v>0</v>
      </c>
      <c r="D228">
        <f>VLOOKUP($A228,survey_2yrs!A:B, 2)</f>
        <v>47.1</v>
      </c>
      <c r="E228">
        <f>VLOOKUP($A228,survey_2yrs!$A:C, 3)</f>
        <v>52.9</v>
      </c>
      <c r="F228">
        <f>VLOOKUP($A228,survey_2yrs!$A:D, 4)</f>
        <v>44.4</v>
      </c>
      <c r="G228">
        <f>_xlfn.XLOOKUP(A228,survey_2yrs!A:A,survey_2yrs!E:E)</f>
        <v>55.6</v>
      </c>
      <c r="H228">
        <f>_xlfn.XLOOKUP($A228,weather_2yrs!$A:$A,weather_2yrs!B:B)</f>
        <v>82.9</v>
      </c>
      <c r="I228">
        <f>_xlfn.XLOOKUP($A228,weather_2yrs!$A:$A,weather_2yrs!C:C)</f>
        <v>0</v>
      </c>
      <c r="J228">
        <f>_xlfn.XLOOKUP($A228,weather_2yrs!$A:$A,weather_2yrs!D:D)</f>
        <v>0</v>
      </c>
      <c r="K228">
        <f>_xlfn.XLOOKUP($A228,weather_2yrs!$A:$A,weather_2yrs!E:E)</f>
        <v>65.900000000000006</v>
      </c>
      <c r="L228">
        <f>_xlfn.XLOOKUP($A228,sales!$A:$A,sales!B:B)</f>
        <v>1</v>
      </c>
      <c r="M228" t="str">
        <f>_xlfn.XLOOKUP($A228,sales!$A:$A,sales!C:C)</f>
        <v>Miami Beach</v>
      </c>
      <c r="N228">
        <f>_xlfn.XLOOKUP($A228,sales!$A:$A,sales!D:D)</f>
        <v>337</v>
      </c>
      <c r="O228">
        <f>_xlfn.XLOOKUP($A228,sales!$A:$A,sales!E:E)</f>
        <v>5400.68</v>
      </c>
      <c r="P228" s="4">
        <f t="shared" si="11"/>
        <v>16.025756676557865</v>
      </c>
    </row>
    <row r="229" spans="1:16" x14ac:dyDescent="0.25">
      <c r="A229" s="1">
        <v>45154</v>
      </c>
      <c r="B229" s="1" t="str">
        <f t="shared" si="9"/>
        <v>Wednesday</v>
      </c>
      <c r="C229" s="1" t="b">
        <f t="shared" si="10"/>
        <v>0</v>
      </c>
      <c r="D229">
        <f>VLOOKUP($A229,survey_2yrs!A:B, 2)</f>
        <v>47.4</v>
      </c>
      <c r="E229">
        <f>VLOOKUP($A229,survey_2yrs!$A:C, 3)</f>
        <v>52.6</v>
      </c>
      <c r="F229">
        <f>VLOOKUP($A229,survey_2yrs!$A:D, 4)</f>
        <v>46</v>
      </c>
      <c r="G229">
        <f>_xlfn.XLOOKUP(A229,survey_2yrs!A:A,survey_2yrs!E:E)</f>
        <v>54</v>
      </c>
      <c r="H229">
        <f>_xlfn.XLOOKUP($A229,weather_2yrs!$A:$A,weather_2yrs!B:B)</f>
        <v>87.1</v>
      </c>
      <c r="I229">
        <f>_xlfn.XLOOKUP($A229,weather_2yrs!$A:$A,weather_2yrs!C:C)</f>
        <v>0.69</v>
      </c>
      <c r="J229">
        <f>_xlfn.XLOOKUP($A229,weather_2yrs!$A:$A,weather_2yrs!D:D)</f>
        <v>1</v>
      </c>
      <c r="K229">
        <f>_xlfn.XLOOKUP($A229,weather_2yrs!$A:$A,weather_2yrs!E:E)</f>
        <v>72.3</v>
      </c>
      <c r="L229">
        <f>_xlfn.XLOOKUP($A229,sales!$A:$A,sales!B:B)</f>
        <v>1</v>
      </c>
      <c r="M229" t="str">
        <f>_xlfn.XLOOKUP($A229,sales!$A:$A,sales!C:C)</f>
        <v>Miami Beach</v>
      </c>
      <c r="N229">
        <f>_xlfn.XLOOKUP($A229,sales!$A:$A,sales!D:D)</f>
        <v>315</v>
      </c>
      <c r="O229">
        <f>_xlfn.XLOOKUP($A229,sales!$A:$A,sales!E:E)</f>
        <v>5974.25</v>
      </c>
      <c r="P229" s="4">
        <f t="shared" si="11"/>
        <v>18.965873015873015</v>
      </c>
    </row>
    <row r="230" spans="1:16" x14ac:dyDescent="0.25">
      <c r="A230" s="1">
        <v>45155</v>
      </c>
      <c r="B230" s="1" t="str">
        <f t="shared" si="9"/>
        <v>Thursday</v>
      </c>
      <c r="C230" s="1" t="b">
        <f t="shared" si="10"/>
        <v>0</v>
      </c>
      <c r="D230">
        <f>VLOOKUP($A230,survey_2yrs!A:B, 2)</f>
        <v>46.5</v>
      </c>
      <c r="E230">
        <f>VLOOKUP($A230,survey_2yrs!$A:C, 3)</f>
        <v>53.5</v>
      </c>
      <c r="F230">
        <f>VLOOKUP($A230,survey_2yrs!$A:D, 4)</f>
        <v>46.4</v>
      </c>
      <c r="G230">
        <f>_xlfn.XLOOKUP(A230,survey_2yrs!A:A,survey_2yrs!E:E)</f>
        <v>53.6</v>
      </c>
      <c r="H230">
        <f>_xlfn.XLOOKUP($A230,weather_2yrs!$A:$A,weather_2yrs!B:B)</f>
        <v>89</v>
      </c>
      <c r="I230">
        <f>_xlfn.XLOOKUP($A230,weather_2yrs!$A:$A,weather_2yrs!C:C)</f>
        <v>1.3</v>
      </c>
      <c r="J230">
        <f>_xlfn.XLOOKUP($A230,weather_2yrs!$A:$A,weather_2yrs!D:D)</f>
        <v>1</v>
      </c>
      <c r="K230">
        <f>_xlfn.XLOOKUP($A230,weather_2yrs!$A:$A,weather_2yrs!E:E)</f>
        <v>75.599999999999994</v>
      </c>
      <c r="L230">
        <f>_xlfn.XLOOKUP($A230,sales!$A:$A,sales!B:B)</f>
        <v>1</v>
      </c>
      <c r="M230" t="str">
        <f>_xlfn.XLOOKUP($A230,sales!$A:$A,sales!C:C)</f>
        <v>Miami Beach</v>
      </c>
      <c r="N230">
        <f>_xlfn.XLOOKUP($A230,sales!$A:$A,sales!D:D)</f>
        <v>356</v>
      </c>
      <c r="O230">
        <f>_xlfn.XLOOKUP($A230,sales!$A:$A,sales!E:E)</f>
        <v>7450.87</v>
      </c>
      <c r="P230" s="4">
        <f t="shared" si="11"/>
        <v>20.929410112359552</v>
      </c>
    </row>
    <row r="231" spans="1:16" x14ac:dyDescent="0.25">
      <c r="A231" s="1">
        <v>45156</v>
      </c>
      <c r="B231" s="1" t="str">
        <f t="shared" si="9"/>
        <v>Friday</v>
      </c>
      <c r="C231" s="1" t="b">
        <f t="shared" si="10"/>
        <v>0</v>
      </c>
      <c r="D231">
        <f>VLOOKUP($A231,survey_2yrs!A:B, 2)</f>
        <v>46.2</v>
      </c>
      <c r="E231">
        <f>VLOOKUP($A231,survey_2yrs!$A:C, 3)</f>
        <v>53.8</v>
      </c>
      <c r="F231">
        <f>VLOOKUP($A231,survey_2yrs!$A:D, 4)</f>
        <v>45.6</v>
      </c>
      <c r="G231">
        <f>_xlfn.XLOOKUP(A231,survey_2yrs!A:A,survey_2yrs!E:E)</f>
        <v>54.4</v>
      </c>
      <c r="H231">
        <f>_xlfn.XLOOKUP($A231,weather_2yrs!$A:$A,weather_2yrs!B:B)</f>
        <v>84.7</v>
      </c>
      <c r="I231">
        <f>_xlfn.XLOOKUP($A231,weather_2yrs!$A:$A,weather_2yrs!C:C)</f>
        <v>0.61</v>
      </c>
      <c r="J231">
        <f>_xlfn.XLOOKUP($A231,weather_2yrs!$A:$A,weather_2yrs!D:D)</f>
        <v>1</v>
      </c>
      <c r="K231">
        <f>_xlfn.XLOOKUP($A231,weather_2yrs!$A:$A,weather_2yrs!E:E)</f>
        <v>77.5</v>
      </c>
      <c r="L231">
        <f>_xlfn.XLOOKUP($A231,sales!$A:$A,sales!B:B)</f>
        <v>1</v>
      </c>
      <c r="M231" t="str">
        <f>_xlfn.XLOOKUP($A231,sales!$A:$A,sales!C:C)</f>
        <v>Miami Beach</v>
      </c>
      <c r="N231">
        <f>_xlfn.XLOOKUP($A231,sales!$A:$A,sales!D:D)</f>
        <v>320</v>
      </c>
      <c r="O231">
        <f>_xlfn.XLOOKUP($A231,sales!$A:$A,sales!E:E)</f>
        <v>5495.47</v>
      </c>
      <c r="P231" s="4">
        <f t="shared" si="11"/>
        <v>17.173343750000001</v>
      </c>
    </row>
    <row r="232" spans="1:16" x14ac:dyDescent="0.25">
      <c r="A232" s="1">
        <v>45157</v>
      </c>
      <c r="B232" s="1" t="str">
        <f t="shared" si="9"/>
        <v>Saturday</v>
      </c>
      <c r="C232" s="1" t="b">
        <f t="shared" si="10"/>
        <v>1</v>
      </c>
      <c r="D232">
        <f>VLOOKUP($A232,survey_2yrs!A:B, 2)</f>
        <v>46</v>
      </c>
      <c r="E232">
        <f>VLOOKUP($A232,survey_2yrs!$A:C, 3)</f>
        <v>54</v>
      </c>
      <c r="F232">
        <f>VLOOKUP($A232,survey_2yrs!$A:D, 4)</f>
        <v>50.7</v>
      </c>
      <c r="G232">
        <f>_xlfn.XLOOKUP(A232,survey_2yrs!A:A,survey_2yrs!E:E)</f>
        <v>49.3</v>
      </c>
      <c r="H232">
        <f>_xlfn.XLOOKUP($A232,weather_2yrs!$A:$A,weather_2yrs!B:B)</f>
        <v>87.2</v>
      </c>
      <c r="I232">
        <f>_xlfn.XLOOKUP($A232,weather_2yrs!$A:$A,weather_2yrs!C:C)</f>
        <v>0.76</v>
      </c>
      <c r="J232">
        <f>_xlfn.XLOOKUP($A232,weather_2yrs!$A:$A,weather_2yrs!D:D)</f>
        <v>1</v>
      </c>
      <c r="K232">
        <f>_xlfn.XLOOKUP($A232,weather_2yrs!$A:$A,weather_2yrs!E:E)</f>
        <v>76</v>
      </c>
      <c r="L232">
        <f>_xlfn.XLOOKUP($A232,sales!$A:$A,sales!B:B)</f>
        <v>1</v>
      </c>
      <c r="M232" t="str">
        <f>_xlfn.XLOOKUP($A232,sales!$A:$A,sales!C:C)</f>
        <v>Miami Beach</v>
      </c>
      <c r="N232">
        <f>_xlfn.XLOOKUP($A232,sales!$A:$A,sales!D:D)</f>
        <v>350</v>
      </c>
      <c r="O232">
        <f>_xlfn.XLOOKUP($A232,sales!$A:$A,sales!E:E)</f>
        <v>6476.08</v>
      </c>
      <c r="P232" s="4">
        <f t="shared" si="11"/>
        <v>18.503085714285714</v>
      </c>
    </row>
    <row r="233" spans="1:16" x14ac:dyDescent="0.25">
      <c r="A233" s="1">
        <v>45158</v>
      </c>
      <c r="B233" s="1" t="str">
        <f t="shared" si="9"/>
        <v>Sunday</v>
      </c>
      <c r="C233" s="1" t="b">
        <f t="shared" si="10"/>
        <v>1</v>
      </c>
      <c r="D233">
        <f>VLOOKUP($A233,survey_2yrs!A:B, 2)</f>
        <v>46.6</v>
      </c>
      <c r="E233">
        <f>VLOOKUP($A233,survey_2yrs!$A:C, 3)</f>
        <v>53.4</v>
      </c>
      <c r="F233">
        <f>VLOOKUP($A233,survey_2yrs!$A:D, 4)</f>
        <v>52.4</v>
      </c>
      <c r="G233">
        <f>_xlfn.XLOOKUP(A233,survey_2yrs!A:A,survey_2yrs!E:E)</f>
        <v>47.6</v>
      </c>
      <c r="H233">
        <f>_xlfn.XLOOKUP($A233,weather_2yrs!$A:$A,weather_2yrs!B:B)</f>
        <v>89</v>
      </c>
      <c r="I233">
        <f>_xlfn.XLOOKUP($A233,weather_2yrs!$A:$A,weather_2yrs!C:C)</f>
        <v>0.62</v>
      </c>
      <c r="J233">
        <f>_xlfn.XLOOKUP($A233,weather_2yrs!$A:$A,weather_2yrs!D:D)</f>
        <v>1</v>
      </c>
      <c r="K233">
        <f>_xlfn.XLOOKUP($A233,weather_2yrs!$A:$A,weather_2yrs!E:E)</f>
        <v>75.599999999999994</v>
      </c>
      <c r="L233">
        <f>_xlfn.XLOOKUP($A233,sales!$A:$A,sales!B:B)</f>
        <v>1</v>
      </c>
      <c r="M233" t="str">
        <f>_xlfn.XLOOKUP($A233,sales!$A:$A,sales!C:C)</f>
        <v>Miami Beach</v>
      </c>
      <c r="N233">
        <f>_xlfn.XLOOKUP($A233,sales!$A:$A,sales!D:D)</f>
        <v>386</v>
      </c>
      <c r="O233">
        <f>_xlfn.XLOOKUP($A233,sales!$A:$A,sales!E:E)</f>
        <v>6396.97</v>
      </c>
      <c r="P233" s="4">
        <f t="shared" si="11"/>
        <v>16.572461139896372</v>
      </c>
    </row>
    <row r="234" spans="1:16" x14ac:dyDescent="0.25">
      <c r="A234" s="1">
        <v>45159</v>
      </c>
      <c r="B234" s="1" t="str">
        <f t="shared" si="9"/>
        <v>Monday</v>
      </c>
      <c r="C234" s="1" t="b">
        <f t="shared" si="10"/>
        <v>0</v>
      </c>
      <c r="D234">
        <f>VLOOKUP($A234,survey_2yrs!A:B, 2)</f>
        <v>47</v>
      </c>
      <c r="E234">
        <f>VLOOKUP($A234,survey_2yrs!$A:C, 3)</f>
        <v>53</v>
      </c>
      <c r="F234">
        <f>VLOOKUP($A234,survey_2yrs!$A:D, 4)</f>
        <v>46</v>
      </c>
      <c r="G234">
        <f>_xlfn.XLOOKUP(A234,survey_2yrs!A:A,survey_2yrs!E:E)</f>
        <v>54</v>
      </c>
      <c r="H234">
        <f>_xlfn.XLOOKUP($A234,weather_2yrs!$A:$A,weather_2yrs!B:B)</f>
        <v>87.1</v>
      </c>
      <c r="I234">
        <f>_xlfn.XLOOKUP($A234,weather_2yrs!$A:$A,weather_2yrs!C:C)</f>
        <v>0</v>
      </c>
      <c r="J234">
        <f>_xlfn.XLOOKUP($A234,weather_2yrs!$A:$A,weather_2yrs!D:D)</f>
        <v>0</v>
      </c>
      <c r="K234">
        <f>_xlfn.XLOOKUP($A234,weather_2yrs!$A:$A,weather_2yrs!E:E)</f>
        <v>67.3</v>
      </c>
      <c r="L234">
        <f>_xlfn.XLOOKUP($A234,sales!$A:$A,sales!B:B)</f>
        <v>1</v>
      </c>
      <c r="M234" t="str">
        <f>_xlfn.XLOOKUP($A234,sales!$A:$A,sales!C:C)</f>
        <v>Miami Beach</v>
      </c>
      <c r="N234">
        <f>_xlfn.XLOOKUP($A234,sales!$A:$A,sales!D:D)</f>
        <v>351</v>
      </c>
      <c r="O234">
        <f>_xlfn.XLOOKUP($A234,sales!$A:$A,sales!E:E)</f>
        <v>6470.84</v>
      </c>
      <c r="P234" s="4">
        <f t="shared" si="11"/>
        <v>18.435441595441596</v>
      </c>
    </row>
    <row r="235" spans="1:16" x14ac:dyDescent="0.25">
      <c r="A235" s="1">
        <v>45160</v>
      </c>
      <c r="B235" s="1" t="str">
        <f t="shared" si="9"/>
        <v>Tuesday</v>
      </c>
      <c r="C235" s="1" t="b">
        <f t="shared" si="10"/>
        <v>0</v>
      </c>
      <c r="D235">
        <f>VLOOKUP($A235,survey_2yrs!A:B, 2)</f>
        <v>46.2</v>
      </c>
      <c r="E235">
        <f>VLOOKUP($A235,survey_2yrs!$A:C, 3)</f>
        <v>53.8</v>
      </c>
      <c r="F235">
        <f>VLOOKUP($A235,survey_2yrs!$A:D, 4)</f>
        <v>45.5</v>
      </c>
      <c r="G235">
        <f>_xlfn.XLOOKUP(A235,survey_2yrs!A:A,survey_2yrs!E:E)</f>
        <v>54.5</v>
      </c>
      <c r="H235">
        <f>_xlfn.XLOOKUP($A235,weather_2yrs!$A:$A,weather_2yrs!B:B)</f>
        <v>86.2</v>
      </c>
      <c r="I235">
        <f>_xlfn.XLOOKUP($A235,weather_2yrs!$A:$A,weather_2yrs!C:C)</f>
        <v>0</v>
      </c>
      <c r="J235">
        <f>_xlfn.XLOOKUP($A235,weather_2yrs!$A:$A,weather_2yrs!D:D)</f>
        <v>0</v>
      </c>
      <c r="K235">
        <f>_xlfn.XLOOKUP($A235,weather_2yrs!$A:$A,weather_2yrs!E:E)</f>
        <v>66.5</v>
      </c>
      <c r="L235">
        <f>_xlfn.XLOOKUP($A235,sales!$A:$A,sales!B:B)</f>
        <v>1</v>
      </c>
      <c r="M235" t="str">
        <f>_xlfn.XLOOKUP($A235,sales!$A:$A,sales!C:C)</f>
        <v>Miami Beach</v>
      </c>
      <c r="N235">
        <f>_xlfn.XLOOKUP($A235,sales!$A:$A,sales!D:D)</f>
        <v>329</v>
      </c>
      <c r="O235">
        <f>_xlfn.XLOOKUP($A235,sales!$A:$A,sales!E:E)</f>
        <v>6342.54</v>
      </c>
      <c r="P235" s="4">
        <f t="shared" si="11"/>
        <v>19.27823708206687</v>
      </c>
    </row>
    <row r="236" spans="1:16" x14ac:dyDescent="0.25">
      <c r="A236" s="1">
        <v>45161</v>
      </c>
      <c r="B236" s="1" t="str">
        <f t="shared" si="9"/>
        <v>Wednesday</v>
      </c>
      <c r="C236" s="1" t="b">
        <f t="shared" si="10"/>
        <v>0</v>
      </c>
      <c r="D236">
        <f>VLOOKUP($A236,survey_2yrs!A:B, 2)</f>
        <v>47.8</v>
      </c>
      <c r="E236">
        <f>VLOOKUP($A236,survey_2yrs!$A:C, 3)</f>
        <v>52.2</v>
      </c>
      <c r="F236">
        <f>VLOOKUP($A236,survey_2yrs!$A:D, 4)</f>
        <v>45.9</v>
      </c>
      <c r="G236">
        <f>_xlfn.XLOOKUP(A236,survey_2yrs!A:A,survey_2yrs!E:E)</f>
        <v>54.1</v>
      </c>
      <c r="H236">
        <f>_xlfn.XLOOKUP($A236,weather_2yrs!$A:$A,weather_2yrs!B:B)</f>
        <v>84.8</v>
      </c>
      <c r="I236">
        <f>_xlfn.XLOOKUP($A236,weather_2yrs!$A:$A,weather_2yrs!C:C)</f>
        <v>0</v>
      </c>
      <c r="J236">
        <f>_xlfn.XLOOKUP($A236,weather_2yrs!$A:$A,weather_2yrs!D:D)</f>
        <v>0</v>
      </c>
      <c r="K236">
        <f>_xlfn.XLOOKUP($A236,weather_2yrs!$A:$A,weather_2yrs!E:E)</f>
        <v>80.2</v>
      </c>
      <c r="L236">
        <f>_xlfn.XLOOKUP($A236,sales!$A:$A,sales!B:B)</f>
        <v>1</v>
      </c>
      <c r="M236" t="str">
        <f>_xlfn.XLOOKUP($A236,sales!$A:$A,sales!C:C)</f>
        <v>Miami Beach</v>
      </c>
      <c r="N236">
        <f>_xlfn.XLOOKUP($A236,sales!$A:$A,sales!D:D)</f>
        <v>318</v>
      </c>
      <c r="O236">
        <f>_xlfn.XLOOKUP($A236,sales!$A:$A,sales!E:E)</f>
        <v>5770.97</v>
      </c>
      <c r="P236" s="4">
        <f t="shared" si="11"/>
        <v>18.147704402515725</v>
      </c>
    </row>
    <row r="237" spans="1:16" x14ac:dyDescent="0.25">
      <c r="A237" s="1">
        <v>45162</v>
      </c>
      <c r="B237" s="1" t="str">
        <f t="shared" si="9"/>
        <v>Thursday</v>
      </c>
      <c r="C237" s="1" t="b">
        <f t="shared" si="10"/>
        <v>0</v>
      </c>
      <c r="D237">
        <f>VLOOKUP($A237,survey_2yrs!A:B, 2)</f>
        <v>46.7</v>
      </c>
      <c r="E237">
        <f>VLOOKUP($A237,survey_2yrs!$A:C, 3)</f>
        <v>53.3</v>
      </c>
      <c r="F237">
        <f>VLOOKUP($A237,survey_2yrs!$A:D, 4)</f>
        <v>47.6</v>
      </c>
      <c r="G237">
        <f>_xlfn.XLOOKUP(A237,survey_2yrs!A:A,survey_2yrs!E:E)</f>
        <v>52.4</v>
      </c>
      <c r="H237">
        <f>_xlfn.XLOOKUP($A237,weather_2yrs!$A:$A,weather_2yrs!B:B)</f>
        <v>89</v>
      </c>
      <c r="I237">
        <f>_xlfn.XLOOKUP($A237,weather_2yrs!$A:$A,weather_2yrs!C:C)</f>
        <v>0</v>
      </c>
      <c r="J237">
        <f>_xlfn.XLOOKUP($A237,weather_2yrs!$A:$A,weather_2yrs!D:D)</f>
        <v>0</v>
      </c>
      <c r="K237">
        <f>_xlfn.XLOOKUP($A237,weather_2yrs!$A:$A,weather_2yrs!E:E)</f>
        <v>70.5</v>
      </c>
      <c r="L237">
        <f>_xlfn.XLOOKUP($A237,sales!$A:$A,sales!B:B)</f>
        <v>1</v>
      </c>
      <c r="M237" t="str">
        <f>_xlfn.XLOOKUP($A237,sales!$A:$A,sales!C:C)</f>
        <v>Miami Beach</v>
      </c>
      <c r="N237">
        <f>_xlfn.XLOOKUP($A237,sales!$A:$A,sales!D:D)</f>
        <v>325</v>
      </c>
      <c r="O237">
        <f>_xlfn.XLOOKUP($A237,sales!$A:$A,sales!E:E)</f>
        <v>5951.61</v>
      </c>
      <c r="P237" s="4">
        <f t="shared" si="11"/>
        <v>18.312646153846153</v>
      </c>
    </row>
    <row r="238" spans="1:16" x14ac:dyDescent="0.25">
      <c r="A238" s="1">
        <v>45163</v>
      </c>
      <c r="B238" s="1" t="str">
        <f t="shared" si="9"/>
        <v>Friday</v>
      </c>
      <c r="C238" s="1" t="b">
        <f t="shared" si="10"/>
        <v>0</v>
      </c>
      <c r="D238">
        <f>VLOOKUP($A238,survey_2yrs!A:B, 2)</f>
        <v>46.2</v>
      </c>
      <c r="E238">
        <f>VLOOKUP($A238,survey_2yrs!$A:C, 3)</f>
        <v>53.8</v>
      </c>
      <c r="F238">
        <f>VLOOKUP($A238,survey_2yrs!$A:D, 4)</f>
        <v>45.6</v>
      </c>
      <c r="G238">
        <f>_xlfn.XLOOKUP(A238,survey_2yrs!A:A,survey_2yrs!E:E)</f>
        <v>54.4</v>
      </c>
      <c r="H238">
        <f>_xlfn.XLOOKUP($A238,weather_2yrs!$A:$A,weather_2yrs!B:B)</f>
        <v>88</v>
      </c>
      <c r="I238">
        <f>_xlfn.XLOOKUP($A238,weather_2yrs!$A:$A,weather_2yrs!C:C)</f>
        <v>0</v>
      </c>
      <c r="J238">
        <f>_xlfn.XLOOKUP($A238,weather_2yrs!$A:$A,weather_2yrs!D:D)</f>
        <v>0</v>
      </c>
      <c r="K238">
        <f>_xlfn.XLOOKUP($A238,weather_2yrs!$A:$A,weather_2yrs!E:E)</f>
        <v>73.900000000000006</v>
      </c>
      <c r="L238">
        <f>_xlfn.XLOOKUP($A238,sales!$A:$A,sales!B:B)</f>
        <v>1</v>
      </c>
      <c r="M238" t="str">
        <f>_xlfn.XLOOKUP($A238,sales!$A:$A,sales!C:C)</f>
        <v>Miami Beach</v>
      </c>
      <c r="N238">
        <f>_xlfn.XLOOKUP($A238,sales!$A:$A,sales!D:D)</f>
        <v>338</v>
      </c>
      <c r="O238">
        <f>_xlfn.XLOOKUP($A238,sales!$A:$A,sales!E:E)</f>
        <v>5954.07</v>
      </c>
      <c r="P238" s="4">
        <f t="shared" si="11"/>
        <v>17.615591715976329</v>
      </c>
    </row>
    <row r="239" spans="1:16" x14ac:dyDescent="0.25">
      <c r="A239" s="1">
        <v>45164</v>
      </c>
      <c r="B239" s="1" t="str">
        <f t="shared" si="9"/>
        <v>Saturday</v>
      </c>
      <c r="C239" s="1" t="b">
        <f t="shared" si="10"/>
        <v>1</v>
      </c>
      <c r="D239">
        <f>VLOOKUP($A239,survey_2yrs!A:B, 2)</f>
        <v>47.1</v>
      </c>
      <c r="E239">
        <f>VLOOKUP($A239,survey_2yrs!$A:C, 3)</f>
        <v>52.9</v>
      </c>
      <c r="F239">
        <f>VLOOKUP($A239,survey_2yrs!$A:D, 4)</f>
        <v>51.5</v>
      </c>
      <c r="G239">
        <f>_xlfn.XLOOKUP(A239,survey_2yrs!A:A,survey_2yrs!E:E)</f>
        <v>48.5</v>
      </c>
      <c r="H239">
        <f>_xlfn.XLOOKUP($A239,weather_2yrs!$A:$A,weather_2yrs!B:B)</f>
        <v>88.1</v>
      </c>
      <c r="I239">
        <f>_xlfn.XLOOKUP($A239,weather_2yrs!$A:$A,weather_2yrs!C:C)</f>
        <v>0</v>
      </c>
      <c r="J239">
        <f>_xlfn.XLOOKUP($A239,weather_2yrs!$A:$A,weather_2yrs!D:D)</f>
        <v>0</v>
      </c>
      <c r="K239">
        <f>_xlfn.XLOOKUP($A239,weather_2yrs!$A:$A,weather_2yrs!E:E)</f>
        <v>63.4</v>
      </c>
      <c r="L239">
        <f>_xlfn.XLOOKUP($A239,sales!$A:$A,sales!B:B)</f>
        <v>1</v>
      </c>
      <c r="M239" t="str">
        <f>_xlfn.XLOOKUP($A239,sales!$A:$A,sales!C:C)</f>
        <v>Miami Beach</v>
      </c>
      <c r="N239">
        <f>_xlfn.XLOOKUP($A239,sales!$A:$A,sales!D:D)</f>
        <v>374</v>
      </c>
      <c r="O239">
        <f>_xlfn.XLOOKUP($A239,sales!$A:$A,sales!E:E)</f>
        <v>6572.07</v>
      </c>
      <c r="P239" s="4">
        <f t="shared" si="11"/>
        <v>17.572379679144383</v>
      </c>
    </row>
    <row r="240" spans="1:16" x14ac:dyDescent="0.25">
      <c r="A240" s="1">
        <v>45165</v>
      </c>
      <c r="B240" s="1" t="str">
        <f t="shared" si="9"/>
        <v>Sunday</v>
      </c>
      <c r="C240" s="1" t="b">
        <f t="shared" si="10"/>
        <v>1</v>
      </c>
      <c r="D240">
        <f>VLOOKUP($A240,survey_2yrs!A:B, 2)</f>
        <v>45.9</v>
      </c>
      <c r="E240">
        <f>VLOOKUP($A240,survey_2yrs!$A:C, 3)</f>
        <v>54.1</v>
      </c>
      <c r="F240">
        <f>VLOOKUP($A240,survey_2yrs!$A:D, 4)</f>
        <v>50.4</v>
      </c>
      <c r="G240">
        <f>_xlfn.XLOOKUP(A240,survey_2yrs!A:A,survey_2yrs!E:E)</f>
        <v>49.6</v>
      </c>
      <c r="H240">
        <f>_xlfn.XLOOKUP($A240,weather_2yrs!$A:$A,weather_2yrs!B:B)</f>
        <v>89.7</v>
      </c>
      <c r="I240">
        <f>_xlfn.XLOOKUP($A240,weather_2yrs!$A:$A,weather_2yrs!C:C)</f>
        <v>0.44</v>
      </c>
      <c r="J240">
        <f>_xlfn.XLOOKUP($A240,weather_2yrs!$A:$A,weather_2yrs!D:D)</f>
        <v>1</v>
      </c>
      <c r="K240">
        <f>_xlfn.XLOOKUP($A240,weather_2yrs!$A:$A,weather_2yrs!E:E)</f>
        <v>77.099999999999994</v>
      </c>
      <c r="L240">
        <f>_xlfn.XLOOKUP($A240,sales!$A:$A,sales!B:B)</f>
        <v>1</v>
      </c>
      <c r="M240" t="str">
        <f>_xlfn.XLOOKUP($A240,sales!$A:$A,sales!C:C)</f>
        <v>Miami Beach</v>
      </c>
      <c r="N240">
        <f>_xlfn.XLOOKUP($A240,sales!$A:$A,sales!D:D)</f>
        <v>381</v>
      </c>
      <c r="O240">
        <f>_xlfn.XLOOKUP($A240,sales!$A:$A,sales!E:E)</f>
        <v>7132.94</v>
      </c>
      <c r="P240" s="4">
        <f t="shared" si="11"/>
        <v>18.721627296587926</v>
      </c>
    </row>
    <row r="241" spans="1:16" x14ac:dyDescent="0.25">
      <c r="A241" s="1">
        <v>45166</v>
      </c>
      <c r="B241" s="1" t="str">
        <f t="shared" si="9"/>
        <v>Monday</v>
      </c>
      <c r="C241" s="1" t="b">
        <f t="shared" si="10"/>
        <v>0</v>
      </c>
      <c r="D241">
        <f>VLOOKUP($A241,survey_2yrs!A:B, 2)</f>
        <v>47.4</v>
      </c>
      <c r="E241">
        <f>VLOOKUP($A241,survey_2yrs!$A:C, 3)</f>
        <v>52.6</v>
      </c>
      <c r="F241">
        <f>VLOOKUP($A241,survey_2yrs!$A:D, 4)</f>
        <v>44.7</v>
      </c>
      <c r="G241">
        <f>_xlfn.XLOOKUP(A241,survey_2yrs!A:A,survey_2yrs!E:E)</f>
        <v>55.3</v>
      </c>
      <c r="H241">
        <f>_xlfn.XLOOKUP($A241,weather_2yrs!$A:$A,weather_2yrs!B:B)</f>
        <v>90.1</v>
      </c>
      <c r="I241">
        <f>_xlfn.XLOOKUP($A241,weather_2yrs!$A:$A,weather_2yrs!C:C)</f>
        <v>0</v>
      </c>
      <c r="J241">
        <f>_xlfn.XLOOKUP($A241,weather_2yrs!$A:$A,weather_2yrs!D:D)</f>
        <v>0</v>
      </c>
      <c r="K241">
        <f>_xlfn.XLOOKUP($A241,weather_2yrs!$A:$A,weather_2yrs!E:E)</f>
        <v>77.2</v>
      </c>
      <c r="L241">
        <f>_xlfn.XLOOKUP($A241,sales!$A:$A,sales!B:B)</f>
        <v>1</v>
      </c>
      <c r="M241" t="str">
        <f>_xlfn.XLOOKUP($A241,sales!$A:$A,sales!C:C)</f>
        <v>Miami Beach</v>
      </c>
      <c r="N241">
        <f>_xlfn.XLOOKUP($A241,sales!$A:$A,sales!D:D)</f>
        <v>330</v>
      </c>
      <c r="O241">
        <f>_xlfn.XLOOKUP($A241,sales!$A:$A,sales!E:E)</f>
        <v>6295.42</v>
      </c>
      <c r="P241" s="4">
        <f t="shared" si="11"/>
        <v>19.077030303030302</v>
      </c>
    </row>
    <row r="242" spans="1:16" x14ac:dyDescent="0.25">
      <c r="A242" s="1">
        <v>45167</v>
      </c>
      <c r="B242" s="1" t="str">
        <f t="shared" si="9"/>
        <v>Tuesday</v>
      </c>
      <c r="C242" s="1" t="b">
        <f t="shared" si="10"/>
        <v>0</v>
      </c>
      <c r="D242">
        <f>VLOOKUP($A242,survey_2yrs!A:B, 2)</f>
        <v>45</v>
      </c>
      <c r="E242">
        <f>VLOOKUP($A242,survey_2yrs!$A:C, 3)</f>
        <v>55</v>
      </c>
      <c r="F242">
        <f>VLOOKUP($A242,survey_2yrs!$A:D, 4)</f>
        <v>46.2</v>
      </c>
      <c r="G242">
        <f>_xlfn.XLOOKUP(A242,survey_2yrs!A:A,survey_2yrs!E:E)</f>
        <v>53.8</v>
      </c>
      <c r="H242">
        <f>_xlfn.XLOOKUP($A242,weather_2yrs!$A:$A,weather_2yrs!B:B)</f>
        <v>89.2</v>
      </c>
      <c r="I242">
        <f>_xlfn.XLOOKUP($A242,weather_2yrs!$A:$A,weather_2yrs!C:C)</f>
        <v>0.08</v>
      </c>
      <c r="J242">
        <f>_xlfn.XLOOKUP($A242,weather_2yrs!$A:$A,weather_2yrs!D:D)</f>
        <v>1</v>
      </c>
      <c r="K242">
        <f>_xlfn.XLOOKUP($A242,weather_2yrs!$A:$A,weather_2yrs!E:E)</f>
        <v>71.900000000000006</v>
      </c>
      <c r="L242">
        <f>_xlfn.XLOOKUP($A242,sales!$A:$A,sales!B:B)</f>
        <v>1</v>
      </c>
      <c r="M242" t="str">
        <f>_xlfn.XLOOKUP($A242,sales!$A:$A,sales!C:C)</f>
        <v>Miami Beach</v>
      </c>
      <c r="N242">
        <f>_xlfn.XLOOKUP($A242,sales!$A:$A,sales!D:D)</f>
        <v>335</v>
      </c>
      <c r="O242">
        <f>_xlfn.XLOOKUP($A242,sales!$A:$A,sales!E:E)</f>
        <v>6352.4</v>
      </c>
      <c r="P242" s="4">
        <f t="shared" si="11"/>
        <v>18.962388059701492</v>
      </c>
    </row>
    <row r="243" spans="1:16" x14ac:dyDescent="0.25">
      <c r="A243" s="1">
        <v>45168</v>
      </c>
      <c r="B243" s="1" t="str">
        <f t="shared" si="9"/>
        <v>Wednesday</v>
      </c>
      <c r="C243" s="1" t="b">
        <f t="shared" si="10"/>
        <v>0</v>
      </c>
      <c r="D243">
        <f>VLOOKUP($A243,survey_2yrs!A:B, 2)</f>
        <v>46.5</v>
      </c>
      <c r="E243">
        <f>VLOOKUP($A243,survey_2yrs!$A:C, 3)</f>
        <v>53.5</v>
      </c>
      <c r="F243">
        <f>VLOOKUP($A243,survey_2yrs!$A:D, 4)</f>
        <v>43.9</v>
      </c>
      <c r="G243">
        <f>_xlfn.XLOOKUP(A243,survey_2yrs!A:A,survey_2yrs!E:E)</f>
        <v>56.1</v>
      </c>
      <c r="H243">
        <f>_xlfn.XLOOKUP($A243,weather_2yrs!$A:$A,weather_2yrs!B:B)</f>
        <v>92.8</v>
      </c>
      <c r="I243">
        <f>_xlfn.XLOOKUP($A243,weather_2yrs!$A:$A,weather_2yrs!C:C)</f>
        <v>0</v>
      </c>
      <c r="J243">
        <f>_xlfn.XLOOKUP($A243,weather_2yrs!$A:$A,weather_2yrs!D:D)</f>
        <v>0</v>
      </c>
      <c r="K243">
        <f>_xlfn.XLOOKUP($A243,weather_2yrs!$A:$A,weather_2yrs!E:E)</f>
        <v>72.3</v>
      </c>
      <c r="L243">
        <f>_xlfn.XLOOKUP($A243,sales!$A:$A,sales!B:B)</f>
        <v>1</v>
      </c>
      <c r="M243" t="str">
        <f>_xlfn.XLOOKUP($A243,sales!$A:$A,sales!C:C)</f>
        <v>Miami Beach</v>
      </c>
      <c r="N243">
        <f>_xlfn.XLOOKUP($A243,sales!$A:$A,sales!D:D)</f>
        <v>368</v>
      </c>
      <c r="O243">
        <f>_xlfn.XLOOKUP($A243,sales!$A:$A,sales!E:E)</f>
        <v>7039.05</v>
      </c>
      <c r="P243" s="4">
        <f t="shared" si="11"/>
        <v>19.127853260869564</v>
      </c>
    </row>
    <row r="244" spans="1:16" x14ac:dyDescent="0.25">
      <c r="A244" s="1">
        <v>45169</v>
      </c>
      <c r="B244" s="1" t="str">
        <f t="shared" si="9"/>
        <v>Thursday</v>
      </c>
      <c r="C244" s="1" t="b">
        <f t="shared" si="10"/>
        <v>0</v>
      </c>
      <c r="D244">
        <f>VLOOKUP($A244,survey_2yrs!A:B, 2)</f>
        <v>45.3</v>
      </c>
      <c r="E244">
        <f>VLOOKUP($A244,survey_2yrs!$A:C, 3)</f>
        <v>54.7</v>
      </c>
      <c r="F244">
        <f>VLOOKUP($A244,survey_2yrs!$A:D, 4)</f>
        <v>47.5</v>
      </c>
      <c r="G244">
        <f>_xlfn.XLOOKUP(A244,survey_2yrs!A:A,survey_2yrs!E:E)</f>
        <v>52.5</v>
      </c>
      <c r="H244">
        <f>_xlfn.XLOOKUP($A244,weather_2yrs!$A:$A,weather_2yrs!B:B)</f>
        <v>85.6</v>
      </c>
      <c r="I244">
        <f>_xlfn.XLOOKUP($A244,weather_2yrs!$A:$A,weather_2yrs!C:C)</f>
        <v>0</v>
      </c>
      <c r="J244">
        <f>_xlfn.XLOOKUP($A244,weather_2yrs!$A:$A,weather_2yrs!D:D)</f>
        <v>0</v>
      </c>
      <c r="K244">
        <f>_xlfn.XLOOKUP($A244,weather_2yrs!$A:$A,weather_2yrs!E:E)</f>
        <v>75.400000000000006</v>
      </c>
      <c r="L244">
        <f>_xlfn.XLOOKUP($A244,sales!$A:$A,sales!B:B)</f>
        <v>1</v>
      </c>
      <c r="M244" t="str">
        <f>_xlfn.XLOOKUP($A244,sales!$A:$A,sales!C:C)</f>
        <v>Miami Beach</v>
      </c>
      <c r="N244">
        <f>_xlfn.XLOOKUP($A244,sales!$A:$A,sales!D:D)</f>
        <v>323</v>
      </c>
      <c r="O244">
        <f>_xlfn.XLOOKUP($A244,sales!$A:$A,sales!E:E)</f>
        <v>6122.88</v>
      </c>
      <c r="P244" s="4">
        <f t="shared" si="11"/>
        <v>18.956284829721362</v>
      </c>
    </row>
    <row r="245" spans="1:16" x14ac:dyDescent="0.25">
      <c r="A245" s="1">
        <v>45170</v>
      </c>
      <c r="B245" s="1" t="str">
        <f t="shared" si="9"/>
        <v>Friday</v>
      </c>
      <c r="C245" s="1" t="b">
        <f t="shared" si="10"/>
        <v>0</v>
      </c>
      <c r="D245">
        <f>VLOOKUP($A245,survey_2yrs!A:B, 2)</f>
        <v>46</v>
      </c>
      <c r="E245">
        <f>VLOOKUP($A245,survey_2yrs!$A:C, 3)</f>
        <v>54</v>
      </c>
      <c r="F245">
        <f>VLOOKUP($A245,survey_2yrs!$A:D, 4)</f>
        <v>45.1</v>
      </c>
      <c r="G245">
        <f>_xlfn.XLOOKUP(A245,survey_2yrs!A:A,survey_2yrs!E:E)</f>
        <v>54.9</v>
      </c>
      <c r="H245">
        <f>_xlfn.XLOOKUP($A245,weather_2yrs!$A:$A,weather_2yrs!B:B)</f>
        <v>94.1</v>
      </c>
      <c r="I245">
        <f>_xlfn.XLOOKUP($A245,weather_2yrs!$A:$A,weather_2yrs!C:C)</f>
        <v>0</v>
      </c>
      <c r="J245">
        <f>_xlfn.XLOOKUP($A245,weather_2yrs!$A:$A,weather_2yrs!D:D)</f>
        <v>0</v>
      </c>
      <c r="K245">
        <f>_xlfn.XLOOKUP($A245,weather_2yrs!$A:$A,weather_2yrs!E:E)</f>
        <v>71.5</v>
      </c>
      <c r="L245">
        <f>_xlfn.XLOOKUP($A245,sales!$A:$A,sales!B:B)</f>
        <v>1</v>
      </c>
      <c r="M245" t="str">
        <f>_xlfn.XLOOKUP($A245,sales!$A:$A,sales!C:C)</f>
        <v>Miami Beach</v>
      </c>
      <c r="N245">
        <f>_xlfn.XLOOKUP($A245,sales!$A:$A,sales!D:D)</f>
        <v>345</v>
      </c>
      <c r="O245">
        <f>_xlfn.XLOOKUP($A245,sales!$A:$A,sales!E:E)</f>
        <v>6004.14</v>
      </c>
      <c r="P245" s="4">
        <f t="shared" si="11"/>
        <v>17.403304347826086</v>
      </c>
    </row>
    <row r="246" spans="1:16" x14ac:dyDescent="0.25">
      <c r="A246" s="1">
        <v>45171</v>
      </c>
      <c r="B246" s="1" t="str">
        <f t="shared" si="9"/>
        <v>Saturday</v>
      </c>
      <c r="C246" s="1" t="b">
        <f t="shared" si="10"/>
        <v>1</v>
      </c>
      <c r="D246">
        <f>VLOOKUP($A246,survey_2yrs!A:B, 2)</f>
        <v>46.9</v>
      </c>
      <c r="E246">
        <f>VLOOKUP($A246,survey_2yrs!$A:C, 3)</f>
        <v>53.1</v>
      </c>
      <c r="F246">
        <f>VLOOKUP($A246,survey_2yrs!$A:D, 4)</f>
        <v>50.7</v>
      </c>
      <c r="G246">
        <f>_xlfn.XLOOKUP(A246,survey_2yrs!A:A,survey_2yrs!E:E)</f>
        <v>49.3</v>
      </c>
      <c r="H246">
        <f>_xlfn.XLOOKUP($A246,weather_2yrs!$A:$A,weather_2yrs!B:B)</f>
        <v>87.3</v>
      </c>
      <c r="I246">
        <f>_xlfn.XLOOKUP($A246,weather_2yrs!$A:$A,weather_2yrs!C:C)</f>
        <v>0</v>
      </c>
      <c r="J246">
        <f>_xlfn.XLOOKUP($A246,weather_2yrs!$A:$A,weather_2yrs!D:D)</f>
        <v>0</v>
      </c>
      <c r="K246">
        <f>_xlfn.XLOOKUP($A246,weather_2yrs!$A:$A,weather_2yrs!E:E)</f>
        <v>73.599999999999994</v>
      </c>
      <c r="L246">
        <f>_xlfn.XLOOKUP($A246,sales!$A:$A,sales!B:B)</f>
        <v>1</v>
      </c>
      <c r="M246" t="str">
        <f>_xlfn.XLOOKUP($A246,sales!$A:$A,sales!C:C)</f>
        <v>Miami Beach</v>
      </c>
      <c r="N246">
        <f>_xlfn.XLOOKUP($A246,sales!$A:$A,sales!D:D)</f>
        <v>369</v>
      </c>
      <c r="O246">
        <f>_xlfn.XLOOKUP($A246,sales!$A:$A,sales!E:E)</f>
        <v>6862.7</v>
      </c>
      <c r="P246" s="4">
        <f t="shared" si="11"/>
        <v>18.598102981029811</v>
      </c>
    </row>
    <row r="247" spans="1:16" x14ac:dyDescent="0.25">
      <c r="A247" s="1">
        <v>45172</v>
      </c>
      <c r="B247" s="1" t="str">
        <f t="shared" si="9"/>
        <v>Sunday</v>
      </c>
      <c r="C247" s="1" t="b">
        <f t="shared" si="10"/>
        <v>1</v>
      </c>
      <c r="D247">
        <f>VLOOKUP($A247,survey_2yrs!A:B, 2)</f>
        <v>47.1</v>
      </c>
      <c r="E247">
        <f>VLOOKUP($A247,survey_2yrs!$A:C, 3)</f>
        <v>52.9</v>
      </c>
      <c r="F247">
        <f>VLOOKUP($A247,survey_2yrs!$A:D, 4)</f>
        <v>50.9</v>
      </c>
      <c r="G247">
        <f>_xlfn.XLOOKUP(A247,survey_2yrs!A:A,survey_2yrs!E:E)</f>
        <v>49.1</v>
      </c>
      <c r="H247">
        <f>_xlfn.XLOOKUP($A247,weather_2yrs!$A:$A,weather_2yrs!B:B)</f>
        <v>87.3</v>
      </c>
      <c r="I247">
        <f>_xlfn.XLOOKUP($A247,weather_2yrs!$A:$A,weather_2yrs!C:C)</f>
        <v>0</v>
      </c>
      <c r="J247">
        <f>_xlfn.XLOOKUP($A247,weather_2yrs!$A:$A,weather_2yrs!D:D)</f>
        <v>0</v>
      </c>
      <c r="K247">
        <f>_xlfn.XLOOKUP($A247,weather_2yrs!$A:$A,weather_2yrs!E:E)</f>
        <v>74.8</v>
      </c>
      <c r="L247">
        <f>_xlfn.XLOOKUP($A247,sales!$A:$A,sales!B:B)</f>
        <v>1</v>
      </c>
      <c r="M247" t="str">
        <f>_xlfn.XLOOKUP($A247,sales!$A:$A,sales!C:C)</f>
        <v>Miami Beach</v>
      </c>
      <c r="N247">
        <f>_xlfn.XLOOKUP($A247,sales!$A:$A,sales!D:D)</f>
        <v>340</v>
      </c>
      <c r="O247">
        <f>_xlfn.XLOOKUP($A247,sales!$A:$A,sales!E:E)</f>
        <v>6826.9</v>
      </c>
      <c r="P247" s="4">
        <f t="shared" si="11"/>
        <v>20.079117647058823</v>
      </c>
    </row>
    <row r="248" spans="1:16" x14ac:dyDescent="0.25">
      <c r="A248" s="1">
        <v>45173</v>
      </c>
      <c r="B248" s="1" t="str">
        <f t="shared" si="9"/>
        <v>Monday</v>
      </c>
      <c r="C248" s="1" t="b">
        <f t="shared" si="10"/>
        <v>0</v>
      </c>
      <c r="D248">
        <f>VLOOKUP($A248,survey_2yrs!A:B, 2)</f>
        <v>46</v>
      </c>
      <c r="E248">
        <f>VLOOKUP($A248,survey_2yrs!$A:C, 3)</f>
        <v>54</v>
      </c>
      <c r="F248">
        <f>VLOOKUP($A248,survey_2yrs!$A:D, 4)</f>
        <v>46</v>
      </c>
      <c r="G248">
        <f>_xlfn.XLOOKUP(A248,survey_2yrs!A:A,survey_2yrs!E:E)</f>
        <v>54</v>
      </c>
      <c r="H248">
        <f>_xlfn.XLOOKUP($A248,weather_2yrs!$A:$A,weather_2yrs!B:B)</f>
        <v>86.8</v>
      </c>
      <c r="I248">
        <f>_xlfn.XLOOKUP($A248,weather_2yrs!$A:$A,weather_2yrs!C:C)</f>
        <v>0.68</v>
      </c>
      <c r="J248">
        <f>_xlfn.XLOOKUP($A248,weather_2yrs!$A:$A,weather_2yrs!D:D)</f>
        <v>1</v>
      </c>
      <c r="K248">
        <f>_xlfn.XLOOKUP($A248,weather_2yrs!$A:$A,weather_2yrs!E:E)</f>
        <v>81.3</v>
      </c>
      <c r="L248">
        <f>_xlfn.XLOOKUP($A248,sales!$A:$A,sales!B:B)</f>
        <v>1</v>
      </c>
      <c r="M248" t="str">
        <f>_xlfn.XLOOKUP($A248,sales!$A:$A,sales!C:C)</f>
        <v>Miami Beach</v>
      </c>
      <c r="N248">
        <f>_xlfn.XLOOKUP($A248,sales!$A:$A,sales!D:D)</f>
        <v>268</v>
      </c>
      <c r="O248">
        <f>_xlfn.XLOOKUP($A248,sales!$A:$A,sales!E:E)</f>
        <v>5086.4399999999996</v>
      </c>
      <c r="P248" s="4">
        <f t="shared" si="11"/>
        <v>18.979253731343281</v>
      </c>
    </row>
    <row r="249" spans="1:16" x14ac:dyDescent="0.25">
      <c r="A249" s="1">
        <v>45174</v>
      </c>
      <c r="B249" s="1" t="str">
        <f t="shared" si="9"/>
        <v>Tuesday</v>
      </c>
      <c r="C249" s="1" t="b">
        <f t="shared" si="10"/>
        <v>0</v>
      </c>
      <c r="D249">
        <f>VLOOKUP($A249,survey_2yrs!A:B, 2)</f>
        <v>45.5</v>
      </c>
      <c r="E249">
        <f>VLOOKUP($A249,survey_2yrs!$A:C, 3)</f>
        <v>54.5</v>
      </c>
      <c r="F249">
        <f>VLOOKUP($A249,survey_2yrs!$A:D, 4)</f>
        <v>45.3</v>
      </c>
      <c r="G249">
        <f>_xlfn.XLOOKUP(A249,survey_2yrs!A:A,survey_2yrs!E:E)</f>
        <v>54.7</v>
      </c>
      <c r="H249">
        <f>_xlfn.XLOOKUP($A249,weather_2yrs!$A:$A,weather_2yrs!B:B)</f>
        <v>86.2</v>
      </c>
      <c r="I249">
        <f>_xlfn.XLOOKUP($A249,weather_2yrs!$A:$A,weather_2yrs!C:C)</f>
        <v>0</v>
      </c>
      <c r="J249">
        <f>_xlfn.XLOOKUP($A249,weather_2yrs!$A:$A,weather_2yrs!D:D)</f>
        <v>0</v>
      </c>
      <c r="K249">
        <f>_xlfn.XLOOKUP($A249,weather_2yrs!$A:$A,weather_2yrs!E:E)</f>
        <v>72.2</v>
      </c>
      <c r="L249">
        <f>_xlfn.XLOOKUP($A249,sales!$A:$A,sales!B:B)</f>
        <v>1</v>
      </c>
      <c r="M249" t="str">
        <f>_xlfn.XLOOKUP($A249,sales!$A:$A,sales!C:C)</f>
        <v>Miami Beach</v>
      </c>
      <c r="N249">
        <f>_xlfn.XLOOKUP($A249,sales!$A:$A,sales!D:D)</f>
        <v>304</v>
      </c>
      <c r="O249">
        <f>_xlfn.XLOOKUP($A249,sales!$A:$A,sales!E:E)</f>
        <v>5650.43</v>
      </c>
      <c r="P249" s="4">
        <f t="shared" si="11"/>
        <v>18.586940789473687</v>
      </c>
    </row>
    <row r="250" spans="1:16" x14ac:dyDescent="0.25">
      <c r="A250" s="1">
        <v>45175</v>
      </c>
      <c r="B250" s="1" t="str">
        <f t="shared" si="9"/>
        <v>Wednesday</v>
      </c>
      <c r="C250" s="1" t="b">
        <f t="shared" si="10"/>
        <v>0</v>
      </c>
      <c r="D250">
        <f>VLOOKUP($A250,survey_2yrs!A:B, 2)</f>
        <v>45.8</v>
      </c>
      <c r="E250">
        <f>VLOOKUP($A250,survey_2yrs!$A:C, 3)</f>
        <v>54.2</v>
      </c>
      <c r="F250">
        <f>VLOOKUP($A250,survey_2yrs!$A:D, 4)</f>
        <v>44.9</v>
      </c>
      <c r="G250">
        <f>_xlfn.XLOOKUP(A250,survey_2yrs!A:A,survey_2yrs!E:E)</f>
        <v>55.1</v>
      </c>
      <c r="H250">
        <f>_xlfn.XLOOKUP($A250,weather_2yrs!$A:$A,weather_2yrs!B:B)</f>
        <v>95.7</v>
      </c>
      <c r="I250">
        <f>_xlfn.XLOOKUP($A250,weather_2yrs!$A:$A,weather_2yrs!C:C)</f>
        <v>0.45</v>
      </c>
      <c r="J250">
        <f>_xlfn.XLOOKUP($A250,weather_2yrs!$A:$A,weather_2yrs!D:D)</f>
        <v>1</v>
      </c>
      <c r="K250">
        <f>_xlfn.XLOOKUP($A250,weather_2yrs!$A:$A,weather_2yrs!E:E)</f>
        <v>78.400000000000006</v>
      </c>
      <c r="L250">
        <f>_xlfn.XLOOKUP($A250,sales!$A:$A,sales!B:B)</f>
        <v>1</v>
      </c>
      <c r="M250" t="str">
        <f>_xlfn.XLOOKUP($A250,sales!$A:$A,sales!C:C)</f>
        <v>Miami Beach</v>
      </c>
      <c r="N250">
        <f>_xlfn.XLOOKUP($A250,sales!$A:$A,sales!D:D)</f>
        <v>359</v>
      </c>
      <c r="O250">
        <f>_xlfn.XLOOKUP($A250,sales!$A:$A,sales!E:E)</f>
        <v>6732.68</v>
      </c>
      <c r="P250" s="4">
        <f t="shared" si="11"/>
        <v>18.753983286908078</v>
      </c>
    </row>
    <row r="251" spans="1:16" x14ac:dyDescent="0.25">
      <c r="A251" s="1">
        <v>45176</v>
      </c>
      <c r="B251" s="1" t="str">
        <f t="shared" si="9"/>
        <v>Thursday</v>
      </c>
      <c r="C251" s="1" t="b">
        <f t="shared" si="10"/>
        <v>0</v>
      </c>
      <c r="D251">
        <f>VLOOKUP($A251,survey_2yrs!A:B, 2)</f>
        <v>46.3</v>
      </c>
      <c r="E251">
        <f>VLOOKUP($A251,survey_2yrs!$A:C, 3)</f>
        <v>53.7</v>
      </c>
      <c r="F251">
        <f>VLOOKUP($A251,survey_2yrs!$A:D, 4)</f>
        <v>43.7</v>
      </c>
      <c r="G251">
        <f>_xlfn.XLOOKUP(A251,survey_2yrs!A:A,survey_2yrs!E:E)</f>
        <v>56.3</v>
      </c>
      <c r="H251">
        <f>_xlfn.XLOOKUP($A251,weather_2yrs!$A:$A,weather_2yrs!B:B)</f>
        <v>87.6</v>
      </c>
      <c r="I251">
        <f>_xlfn.XLOOKUP($A251,weather_2yrs!$A:$A,weather_2yrs!C:C)</f>
        <v>0</v>
      </c>
      <c r="J251">
        <f>_xlfn.XLOOKUP($A251,weather_2yrs!$A:$A,weather_2yrs!D:D)</f>
        <v>0</v>
      </c>
      <c r="K251">
        <f>_xlfn.XLOOKUP($A251,weather_2yrs!$A:$A,weather_2yrs!E:E)</f>
        <v>74.900000000000006</v>
      </c>
      <c r="L251">
        <f>_xlfn.XLOOKUP($A251,sales!$A:$A,sales!B:B)</f>
        <v>1</v>
      </c>
      <c r="M251" t="str">
        <f>_xlfn.XLOOKUP($A251,sales!$A:$A,sales!C:C)</f>
        <v>Miami Beach</v>
      </c>
      <c r="N251">
        <f>_xlfn.XLOOKUP($A251,sales!$A:$A,sales!D:D)</f>
        <v>289</v>
      </c>
      <c r="O251">
        <f>_xlfn.XLOOKUP($A251,sales!$A:$A,sales!E:E)</f>
        <v>5910.3</v>
      </c>
      <c r="P251" s="4">
        <f t="shared" si="11"/>
        <v>20.450865051903115</v>
      </c>
    </row>
    <row r="252" spans="1:16" x14ac:dyDescent="0.25">
      <c r="A252" s="1">
        <v>45177</v>
      </c>
      <c r="B252" s="1" t="str">
        <f t="shared" si="9"/>
        <v>Friday</v>
      </c>
      <c r="C252" s="1" t="b">
        <f t="shared" si="10"/>
        <v>0</v>
      </c>
      <c r="D252">
        <f>VLOOKUP($A252,survey_2yrs!A:B, 2)</f>
        <v>46.7</v>
      </c>
      <c r="E252">
        <f>VLOOKUP($A252,survey_2yrs!$A:C, 3)</f>
        <v>53.3</v>
      </c>
      <c r="F252">
        <f>VLOOKUP($A252,survey_2yrs!$A:D, 4)</f>
        <v>44.7</v>
      </c>
      <c r="G252">
        <f>_xlfn.XLOOKUP(A252,survey_2yrs!A:A,survey_2yrs!E:E)</f>
        <v>55.3</v>
      </c>
      <c r="H252">
        <f>_xlfn.XLOOKUP($A252,weather_2yrs!$A:$A,weather_2yrs!B:B)</f>
        <v>88.8</v>
      </c>
      <c r="I252">
        <f>_xlfn.XLOOKUP($A252,weather_2yrs!$A:$A,weather_2yrs!C:C)</f>
        <v>1.94</v>
      </c>
      <c r="J252">
        <f>_xlfn.XLOOKUP($A252,weather_2yrs!$A:$A,weather_2yrs!D:D)</f>
        <v>1</v>
      </c>
      <c r="K252">
        <f>_xlfn.XLOOKUP($A252,weather_2yrs!$A:$A,weather_2yrs!E:E)</f>
        <v>75.3</v>
      </c>
      <c r="L252">
        <f>_xlfn.XLOOKUP($A252,sales!$A:$A,sales!B:B)</f>
        <v>1</v>
      </c>
      <c r="M252" t="str">
        <f>_xlfn.XLOOKUP($A252,sales!$A:$A,sales!C:C)</f>
        <v>Miami Beach</v>
      </c>
      <c r="N252">
        <f>_xlfn.XLOOKUP($A252,sales!$A:$A,sales!D:D)</f>
        <v>289</v>
      </c>
      <c r="O252">
        <f>_xlfn.XLOOKUP($A252,sales!$A:$A,sales!E:E)</f>
        <v>5419.16</v>
      </c>
      <c r="P252" s="4">
        <f t="shared" si="11"/>
        <v>18.751418685121106</v>
      </c>
    </row>
    <row r="253" spans="1:16" x14ac:dyDescent="0.25">
      <c r="A253" s="1">
        <v>45178</v>
      </c>
      <c r="B253" s="1" t="str">
        <f t="shared" si="9"/>
        <v>Saturday</v>
      </c>
      <c r="C253" s="1" t="b">
        <f t="shared" si="10"/>
        <v>1</v>
      </c>
      <c r="D253">
        <f>VLOOKUP($A253,survey_2yrs!A:B, 2)</f>
        <v>47.2</v>
      </c>
      <c r="E253">
        <f>VLOOKUP($A253,survey_2yrs!$A:C, 3)</f>
        <v>52.8</v>
      </c>
      <c r="F253">
        <f>VLOOKUP($A253,survey_2yrs!$A:D, 4)</f>
        <v>51</v>
      </c>
      <c r="G253">
        <f>_xlfn.XLOOKUP(A253,survey_2yrs!A:A,survey_2yrs!E:E)</f>
        <v>49</v>
      </c>
      <c r="H253">
        <f>_xlfn.XLOOKUP($A253,weather_2yrs!$A:$A,weather_2yrs!B:B)</f>
        <v>91.3</v>
      </c>
      <c r="I253">
        <f>_xlfn.XLOOKUP($A253,weather_2yrs!$A:$A,weather_2yrs!C:C)</f>
        <v>0.68</v>
      </c>
      <c r="J253">
        <f>_xlfn.XLOOKUP($A253,weather_2yrs!$A:$A,weather_2yrs!D:D)</f>
        <v>1</v>
      </c>
      <c r="K253">
        <f>_xlfn.XLOOKUP($A253,weather_2yrs!$A:$A,weather_2yrs!E:E)</f>
        <v>80.599999999999994</v>
      </c>
      <c r="L253">
        <f>_xlfn.XLOOKUP($A253,sales!$A:$A,sales!B:B)</f>
        <v>1</v>
      </c>
      <c r="M253" t="str">
        <f>_xlfn.XLOOKUP($A253,sales!$A:$A,sales!C:C)</f>
        <v>Miami Beach</v>
      </c>
      <c r="N253">
        <f>_xlfn.XLOOKUP($A253,sales!$A:$A,sales!D:D)</f>
        <v>361</v>
      </c>
      <c r="O253">
        <f>_xlfn.XLOOKUP($A253,sales!$A:$A,sales!E:E)</f>
        <v>6806.8</v>
      </c>
      <c r="P253" s="4">
        <f t="shared" si="11"/>
        <v>18.855401662049861</v>
      </c>
    </row>
    <row r="254" spans="1:16" x14ac:dyDescent="0.25">
      <c r="A254" s="1">
        <v>45179</v>
      </c>
      <c r="B254" s="1" t="str">
        <f t="shared" si="9"/>
        <v>Sunday</v>
      </c>
      <c r="C254" s="1" t="b">
        <f t="shared" si="10"/>
        <v>1</v>
      </c>
      <c r="D254">
        <f>VLOOKUP($A254,survey_2yrs!A:B, 2)</f>
        <v>47.2</v>
      </c>
      <c r="E254">
        <f>VLOOKUP($A254,survey_2yrs!$A:C, 3)</f>
        <v>52.8</v>
      </c>
      <c r="F254">
        <f>VLOOKUP($A254,survey_2yrs!$A:D, 4)</f>
        <v>52.6</v>
      </c>
      <c r="G254">
        <f>_xlfn.XLOOKUP(A254,survey_2yrs!A:A,survey_2yrs!E:E)</f>
        <v>47.4</v>
      </c>
      <c r="H254">
        <f>_xlfn.XLOOKUP($A254,weather_2yrs!$A:$A,weather_2yrs!B:B)</f>
        <v>88.8</v>
      </c>
      <c r="I254">
        <f>_xlfn.XLOOKUP($A254,weather_2yrs!$A:$A,weather_2yrs!C:C)</f>
        <v>0</v>
      </c>
      <c r="J254">
        <f>_xlfn.XLOOKUP($A254,weather_2yrs!$A:$A,weather_2yrs!D:D)</f>
        <v>0</v>
      </c>
      <c r="K254">
        <f>_xlfn.XLOOKUP($A254,weather_2yrs!$A:$A,weather_2yrs!E:E)</f>
        <v>67.400000000000006</v>
      </c>
      <c r="L254">
        <f>_xlfn.XLOOKUP($A254,sales!$A:$A,sales!B:B)</f>
        <v>1</v>
      </c>
      <c r="M254" t="str">
        <f>_xlfn.XLOOKUP($A254,sales!$A:$A,sales!C:C)</f>
        <v>Miami Beach</v>
      </c>
      <c r="N254">
        <f>_xlfn.XLOOKUP($A254,sales!$A:$A,sales!D:D)</f>
        <v>370</v>
      </c>
      <c r="O254">
        <f>_xlfn.XLOOKUP($A254,sales!$A:$A,sales!E:E)</f>
        <v>6913.9</v>
      </c>
      <c r="P254" s="4">
        <f t="shared" si="11"/>
        <v>18.686216216216216</v>
      </c>
    </row>
    <row r="255" spans="1:16" x14ac:dyDescent="0.25">
      <c r="A255" s="1">
        <v>45180</v>
      </c>
      <c r="B255" s="1" t="str">
        <f t="shared" si="9"/>
        <v>Monday</v>
      </c>
      <c r="C255" s="1" t="b">
        <f t="shared" si="10"/>
        <v>0</v>
      </c>
      <c r="D255">
        <f>VLOOKUP($A255,survey_2yrs!A:B, 2)</f>
        <v>47.1</v>
      </c>
      <c r="E255">
        <f>VLOOKUP($A255,survey_2yrs!$A:C, 3)</f>
        <v>52.9</v>
      </c>
      <c r="F255">
        <f>VLOOKUP($A255,survey_2yrs!$A:D, 4)</f>
        <v>44.1</v>
      </c>
      <c r="G255">
        <f>_xlfn.XLOOKUP(A255,survey_2yrs!A:A,survey_2yrs!E:E)</f>
        <v>55.9</v>
      </c>
      <c r="H255">
        <f>_xlfn.XLOOKUP($A255,weather_2yrs!$A:$A,weather_2yrs!B:B)</f>
        <v>89.6</v>
      </c>
      <c r="I255">
        <f>_xlfn.XLOOKUP($A255,weather_2yrs!$A:$A,weather_2yrs!C:C)</f>
        <v>0</v>
      </c>
      <c r="J255">
        <f>_xlfn.XLOOKUP($A255,weather_2yrs!$A:$A,weather_2yrs!D:D)</f>
        <v>0</v>
      </c>
      <c r="K255">
        <f>_xlfn.XLOOKUP($A255,weather_2yrs!$A:$A,weather_2yrs!E:E)</f>
        <v>81.2</v>
      </c>
      <c r="L255">
        <f>_xlfn.XLOOKUP($A255,sales!$A:$A,sales!B:B)</f>
        <v>1</v>
      </c>
      <c r="M255" t="str">
        <f>_xlfn.XLOOKUP($A255,sales!$A:$A,sales!C:C)</f>
        <v>Miami Beach</v>
      </c>
      <c r="N255">
        <f>_xlfn.XLOOKUP($A255,sales!$A:$A,sales!D:D)</f>
        <v>300</v>
      </c>
      <c r="O255">
        <f>_xlfn.XLOOKUP($A255,sales!$A:$A,sales!E:E)</f>
        <v>6196</v>
      </c>
      <c r="P255" s="4">
        <f t="shared" si="11"/>
        <v>20.653333333333332</v>
      </c>
    </row>
    <row r="256" spans="1:16" x14ac:dyDescent="0.25">
      <c r="A256" s="1">
        <v>45181</v>
      </c>
      <c r="B256" s="1" t="str">
        <f t="shared" si="9"/>
        <v>Tuesday</v>
      </c>
      <c r="C256" s="1" t="b">
        <f t="shared" si="10"/>
        <v>0</v>
      </c>
      <c r="D256">
        <f>VLOOKUP($A256,survey_2yrs!A:B, 2)</f>
        <v>45.9</v>
      </c>
      <c r="E256">
        <f>VLOOKUP($A256,survey_2yrs!$A:C, 3)</f>
        <v>54.1</v>
      </c>
      <c r="F256">
        <f>VLOOKUP($A256,survey_2yrs!$A:D, 4)</f>
        <v>44</v>
      </c>
      <c r="G256">
        <f>_xlfn.XLOOKUP(A256,survey_2yrs!A:A,survey_2yrs!E:E)</f>
        <v>56</v>
      </c>
      <c r="H256">
        <f>_xlfn.XLOOKUP($A256,weather_2yrs!$A:$A,weather_2yrs!B:B)</f>
        <v>96.6</v>
      </c>
      <c r="I256">
        <f>_xlfn.XLOOKUP($A256,weather_2yrs!$A:$A,weather_2yrs!C:C)</f>
        <v>0</v>
      </c>
      <c r="J256">
        <f>_xlfn.XLOOKUP($A256,weather_2yrs!$A:$A,weather_2yrs!D:D)</f>
        <v>0</v>
      </c>
      <c r="K256">
        <f>_xlfn.XLOOKUP($A256,weather_2yrs!$A:$A,weather_2yrs!E:E)</f>
        <v>78.5</v>
      </c>
      <c r="L256">
        <f>_xlfn.XLOOKUP($A256,sales!$A:$A,sales!B:B)</f>
        <v>1</v>
      </c>
      <c r="M256" t="str">
        <f>_xlfn.XLOOKUP($A256,sales!$A:$A,sales!C:C)</f>
        <v>Miami Beach</v>
      </c>
      <c r="N256">
        <f>_xlfn.XLOOKUP($A256,sales!$A:$A,sales!D:D)</f>
        <v>358</v>
      </c>
      <c r="O256">
        <f>_xlfn.XLOOKUP($A256,sales!$A:$A,sales!E:E)</f>
        <v>6413.75</v>
      </c>
      <c r="P256" s="4">
        <f t="shared" si="11"/>
        <v>17.915502793296088</v>
      </c>
    </row>
    <row r="257" spans="1:16" x14ac:dyDescent="0.25">
      <c r="A257" s="1">
        <v>45182</v>
      </c>
      <c r="B257" s="1" t="str">
        <f t="shared" si="9"/>
        <v>Wednesday</v>
      </c>
      <c r="C257" s="1" t="b">
        <f t="shared" si="10"/>
        <v>0</v>
      </c>
      <c r="D257">
        <f>VLOOKUP($A257,survey_2yrs!A:B, 2)</f>
        <v>46.5</v>
      </c>
      <c r="E257">
        <f>VLOOKUP($A257,survey_2yrs!$A:C, 3)</f>
        <v>53.5</v>
      </c>
      <c r="F257">
        <f>VLOOKUP($A257,survey_2yrs!$A:D, 4)</f>
        <v>45.4</v>
      </c>
      <c r="G257">
        <f>_xlfn.XLOOKUP(A257,survey_2yrs!A:A,survey_2yrs!E:E)</f>
        <v>54.6</v>
      </c>
      <c r="H257">
        <f>_xlfn.XLOOKUP($A257,weather_2yrs!$A:$A,weather_2yrs!B:B)</f>
        <v>88</v>
      </c>
      <c r="I257">
        <f>_xlfn.XLOOKUP($A257,weather_2yrs!$A:$A,weather_2yrs!C:C)</f>
        <v>1.95</v>
      </c>
      <c r="J257">
        <f>_xlfn.XLOOKUP($A257,weather_2yrs!$A:$A,weather_2yrs!D:D)</f>
        <v>1</v>
      </c>
      <c r="K257">
        <f>_xlfn.XLOOKUP($A257,weather_2yrs!$A:$A,weather_2yrs!E:E)</f>
        <v>84.5</v>
      </c>
      <c r="L257">
        <f>_xlfn.XLOOKUP($A257,sales!$A:$A,sales!B:B)</f>
        <v>1</v>
      </c>
      <c r="M257" t="str">
        <f>_xlfn.XLOOKUP($A257,sales!$A:$A,sales!C:C)</f>
        <v>Miami Beach</v>
      </c>
      <c r="N257">
        <f>_xlfn.XLOOKUP($A257,sales!$A:$A,sales!D:D)</f>
        <v>255</v>
      </c>
      <c r="O257">
        <f>_xlfn.XLOOKUP($A257,sales!$A:$A,sales!E:E)</f>
        <v>5137.2299999999996</v>
      </c>
      <c r="P257" s="4">
        <f t="shared" si="11"/>
        <v>20.145999999999997</v>
      </c>
    </row>
    <row r="258" spans="1:16" x14ac:dyDescent="0.25">
      <c r="A258" s="1">
        <v>45183</v>
      </c>
      <c r="B258" s="1" t="str">
        <f t="shared" si="9"/>
        <v>Thursday</v>
      </c>
      <c r="C258" s="1" t="b">
        <f t="shared" si="10"/>
        <v>0</v>
      </c>
      <c r="D258">
        <f>VLOOKUP($A258,survey_2yrs!A:B, 2)</f>
        <v>47.1</v>
      </c>
      <c r="E258">
        <f>VLOOKUP($A258,survey_2yrs!$A:C, 3)</f>
        <v>52.9</v>
      </c>
      <c r="F258">
        <f>VLOOKUP($A258,survey_2yrs!$A:D, 4)</f>
        <v>44.6</v>
      </c>
      <c r="G258">
        <f>_xlfn.XLOOKUP(A258,survey_2yrs!A:A,survey_2yrs!E:E)</f>
        <v>55.4</v>
      </c>
      <c r="H258">
        <f>_xlfn.XLOOKUP($A258,weather_2yrs!$A:$A,weather_2yrs!B:B)</f>
        <v>87</v>
      </c>
      <c r="I258">
        <f>_xlfn.XLOOKUP($A258,weather_2yrs!$A:$A,weather_2yrs!C:C)</f>
        <v>0</v>
      </c>
      <c r="J258">
        <f>_xlfn.XLOOKUP($A258,weather_2yrs!$A:$A,weather_2yrs!D:D)</f>
        <v>0</v>
      </c>
      <c r="K258">
        <f>_xlfn.XLOOKUP($A258,weather_2yrs!$A:$A,weather_2yrs!E:E)</f>
        <v>71.7</v>
      </c>
      <c r="L258">
        <f>_xlfn.XLOOKUP($A258,sales!$A:$A,sales!B:B)</f>
        <v>1</v>
      </c>
      <c r="M258" t="str">
        <f>_xlfn.XLOOKUP($A258,sales!$A:$A,sales!C:C)</f>
        <v>Miami Beach</v>
      </c>
      <c r="N258">
        <f>_xlfn.XLOOKUP($A258,sales!$A:$A,sales!D:D)</f>
        <v>305</v>
      </c>
      <c r="O258">
        <f>_xlfn.XLOOKUP($A258,sales!$A:$A,sales!E:E)</f>
        <v>5836.38</v>
      </c>
      <c r="P258" s="4">
        <f t="shared" si="11"/>
        <v>19.13567213114754</v>
      </c>
    </row>
    <row r="259" spans="1:16" x14ac:dyDescent="0.25">
      <c r="A259" s="1">
        <v>45184</v>
      </c>
      <c r="B259" s="1" t="str">
        <f t="shared" ref="B259:B322" si="12">TEXT(A259, "dddd")</f>
        <v>Friday</v>
      </c>
      <c r="C259" s="1" t="b">
        <f t="shared" ref="C259:C322" si="13">IF(WEEKDAY(A259,2)&gt;5,TRUE,FALSE)</f>
        <v>0</v>
      </c>
      <c r="D259">
        <f>VLOOKUP($A259,survey_2yrs!A:B, 2)</f>
        <v>46.8</v>
      </c>
      <c r="E259">
        <f>VLOOKUP($A259,survey_2yrs!$A:C, 3)</f>
        <v>53.2</v>
      </c>
      <c r="F259">
        <f>VLOOKUP($A259,survey_2yrs!$A:D, 4)</f>
        <v>45.5</v>
      </c>
      <c r="G259">
        <f>_xlfn.XLOOKUP(A259,survey_2yrs!A:A,survey_2yrs!E:E)</f>
        <v>54.5</v>
      </c>
      <c r="H259">
        <f>_xlfn.XLOOKUP($A259,weather_2yrs!$A:$A,weather_2yrs!B:B)</f>
        <v>91.3</v>
      </c>
      <c r="I259">
        <f>_xlfn.XLOOKUP($A259,weather_2yrs!$A:$A,weather_2yrs!C:C)</f>
        <v>0.56999999999999995</v>
      </c>
      <c r="J259">
        <f>_xlfn.XLOOKUP($A259,weather_2yrs!$A:$A,weather_2yrs!D:D)</f>
        <v>1</v>
      </c>
      <c r="K259">
        <f>_xlfn.XLOOKUP($A259,weather_2yrs!$A:$A,weather_2yrs!E:E)</f>
        <v>75.2</v>
      </c>
      <c r="L259">
        <f>_xlfn.XLOOKUP($A259,sales!$A:$A,sales!B:B)</f>
        <v>1</v>
      </c>
      <c r="M259" t="str">
        <f>_xlfn.XLOOKUP($A259,sales!$A:$A,sales!C:C)</f>
        <v>Miami Beach</v>
      </c>
      <c r="N259">
        <f>_xlfn.XLOOKUP($A259,sales!$A:$A,sales!D:D)</f>
        <v>291</v>
      </c>
      <c r="O259">
        <f>_xlfn.XLOOKUP($A259,sales!$A:$A,sales!E:E)</f>
        <v>5697.33</v>
      </c>
      <c r="P259" s="4">
        <f t="shared" ref="P259:P322" si="14">O259/N259</f>
        <v>19.578453608247422</v>
      </c>
    </row>
    <row r="260" spans="1:16" x14ac:dyDescent="0.25">
      <c r="A260" s="1">
        <v>45185</v>
      </c>
      <c r="B260" s="1" t="str">
        <f t="shared" si="12"/>
        <v>Saturday</v>
      </c>
      <c r="C260" s="1" t="b">
        <f t="shared" si="13"/>
        <v>1</v>
      </c>
      <c r="D260">
        <f>VLOOKUP($A260,survey_2yrs!A:B, 2)</f>
        <v>45.4</v>
      </c>
      <c r="E260">
        <f>VLOOKUP($A260,survey_2yrs!$A:C, 3)</f>
        <v>54.6</v>
      </c>
      <c r="F260">
        <f>VLOOKUP($A260,survey_2yrs!$A:D, 4)</f>
        <v>50.6</v>
      </c>
      <c r="G260">
        <f>_xlfn.XLOOKUP(A260,survey_2yrs!A:A,survey_2yrs!E:E)</f>
        <v>49.4</v>
      </c>
      <c r="H260">
        <f>_xlfn.XLOOKUP($A260,weather_2yrs!$A:$A,weather_2yrs!B:B)</f>
        <v>86.5</v>
      </c>
      <c r="I260">
        <f>_xlfn.XLOOKUP($A260,weather_2yrs!$A:$A,weather_2yrs!C:C)</f>
        <v>0</v>
      </c>
      <c r="J260">
        <f>_xlfn.XLOOKUP($A260,weather_2yrs!$A:$A,weather_2yrs!D:D)</f>
        <v>0</v>
      </c>
      <c r="K260">
        <f>_xlfn.XLOOKUP($A260,weather_2yrs!$A:$A,weather_2yrs!E:E)</f>
        <v>68.7</v>
      </c>
      <c r="L260">
        <f>_xlfn.XLOOKUP($A260,sales!$A:$A,sales!B:B)</f>
        <v>1</v>
      </c>
      <c r="M260" t="str">
        <f>_xlfn.XLOOKUP($A260,sales!$A:$A,sales!C:C)</f>
        <v>Miami Beach</v>
      </c>
      <c r="N260">
        <f>_xlfn.XLOOKUP($A260,sales!$A:$A,sales!D:D)</f>
        <v>313</v>
      </c>
      <c r="O260">
        <f>_xlfn.XLOOKUP($A260,sales!$A:$A,sales!E:E)</f>
        <v>5842.99</v>
      </c>
      <c r="P260" s="4">
        <f t="shared" si="14"/>
        <v>18.667699680511181</v>
      </c>
    </row>
    <row r="261" spans="1:16" x14ac:dyDescent="0.25">
      <c r="A261" s="1">
        <v>45186</v>
      </c>
      <c r="B261" s="1" t="str">
        <f t="shared" si="12"/>
        <v>Sunday</v>
      </c>
      <c r="C261" s="1" t="b">
        <f t="shared" si="13"/>
        <v>1</v>
      </c>
      <c r="D261">
        <f>VLOOKUP($A261,survey_2yrs!A:B, 2)</f>
        <v>45.8</v>
      </c>
      <c r="E261">
        <f>VLOOKUP($A261,survey_2yrs!$A:C, 3)</f>
        <v>54.2</v>
      </c>
      <c r="F261">
        <f>VLOOKUP($A261,survey_2yrs!$A:D, 4)</f>
        <v>51.8</v>
      </c>
      <c r="G261">
        <f>_xlfn.XLOOKUP(A261,survey_2yrs!A:A,survey_2yrs!E:E)</f>
        <v>48.2</v>
      </c>
      <c r="H261">
        <f>_xlfn.XLOOKUP($A261,weather_2yrs!$A:$A,weather_2yrs!B:B)</f>
        <v>84.5</v>
      </c>
      <c r="I261">
        <f>_xlfn.XLOOKUP($A261,weather_2yrs!$A:$A,weather_2yrs!C:C)</f>
        <v>0.36</v>
      </c>
      <c r="J261">
        <f>_xlfn.XLOOKUP($A261,weather_2yrs!$A:$A,weather_2yrs!D:D)</f>
        <v>1</v>
      </c>
      <c r="K261">
        <f>_xlfn.XLOOKUP($A261,weather_2yrs!$A:$A,weather_2yrs!E:E)</f>
        <v>77.400000000000006</v>
      </c>
      <c r="L261">
        <f>_xlfn.XLOOKUP($A261,sales!$A:$A,sales!B:B)</f>
        <v>1</v>
      </c>
      <c r="M261" t="str">
        <f>_xlfn.XLOOKUP($A261,sales!$A:$A,sales!C:C)</f>
        <v>Miami Beach</v>
      </c>
      <c r="N261">
        <f>_xlfn.XLOOKUP($A261,sales!$A:$A,sales!D:D)</f>
        <v>333</v>
      </c>
      <c r="O261">
        <f>_xlfn.XLOOKUP($A261,sales!$A:$A,sales!E:E)</f>
        <v>5863.08</v>
      </c>
      <c r="P261" s="4">
        <f t="shared" si="14"/>
        <v>17.606846846846846</v>
      </c>
    </row>
    <row r="262" spans="1:16" x14ac:dyDescent="0.25">
      <c r="A262" s="1">
        <v>45187</v>
      </c>
      <c r="B262" s="1" t="str">
        <f t="shared" si="12"/>
        <v>Monday</v>
      </c>
      <c r="C262" s="1" t="b">
        <f t="shared" si="13"/>
        <v>0</v>
      </c>
      <c r="D262">
        <f>VLOOKUP($A262,survey_2yrs!A:B, 2)</f>
        <v>45.3</v>
      </c>
      <c r="E262">
        <f>VLOOKUP($A262,survey_2yrs!$A:C, 3)</f>
        <v>54.7</v>
      </c>
      <c r="F262">
        <f>VLOOKUP($A262,survey_2yrs!$A:D, 4)</f>
        <v>45.3</v>
      </c>
      <c r="G262">
        <f>_xlfn.XLOOKUP(A262,survey_2yrs!A:A,survey_2yrs!E:E)</f>
        <v>54.7</v>
      </c>
      <c r="H262">
        <f>_xlfn.XLOOKUP($A262,weather_2yrs!$A:$A,weather_2yrs!B:B)</f>
        <v>90.7</v>
      </c>
      <c r="I262">
        <f>_xlfn.XLOOKUP($A262,weather_2yrs!$A:$A,weather_2yrs!C:C)</f>
        <v>0.83</v>
      </c>
      <c r="J262">
        <f>_xlfn.XLOOKUP($A262,weather_2yrs!$A:$A,weather_2yrs!D:D)</f>
        <v>1</v>
      </c>
      <c r="K262">
        <f>_xlfn.XLOOKUP($A262,weather_2yrs!$A:$A,weather_2yrs!E:E)</f>
        <v>72.5</v>
      </c>
      <c r="L262">
        <f>_xlfn.XLOOKUP($A262,sales!$A:$A,sales!B:B)</f>
        <v>1</v>
      </c>
      <c r="M262" t="str">
        <f>_xlfn.XLOOKUP($A262,sales!$A:$A,sales!C:C)</f>
        <v>Miami Beach</v>
      </c>
      <c r="N262">
        <f>_xlfn.XLOOKUP($A262,sales!$A:$A,sales!D:D)</f>
        <v>315</v>
      </c>
      <c r="O262">
        <f>_xlfn.XLOOKUP($A262,sales!$A:$A,sales!E:E)</f>
        <v>5545.72</v>
      </c>
      <c r="P262" s="4">
        <f t="shared" si="14"/>
        <v>17.605460317460317</v>
      </c>
    </row>
    <row r="263" spans="1:16" x14ac:dyDescent="0.25">
      <c r="A263" s="1">
        <v>45188</v>
      </c>
      <c r="B263" s="1" t="str">
        <f t="shared" si="12"/>
        <v>Tuesday</v>
      </c>
      <c r="C263" s="1" t="b">
        <f t="shared" si="13"/>
        <v>0</v>
      </c>
      <c r="D263">
        <f>VLOOKUP($A263,survey_2yrs!A:B, 2)</f>
        <v>46.8</v>
      </c>
      <c r="E263">
        <f>VLOOKUP($A263,survey_2yrs!$A:C, 3)</f>
        <v>53.2</v>
      </c>
      <c r="F263">
        <f>VLOOKUP($A263,survey_2yrs!$A:D, 4)</f>
        <v>44.3</v>
      </c>
      <c r="G263">
        <f>_xlfn.XLOOKUP(A263,survey_2yrs!A:A,survey_2yrs!E:E)</f>
        <v>55.7</v>
      </c>
      <c r="H263">
        <f>_xlfn.XLOOKUP($A263,weather_2yrs!$A:$A,weather_2yrs!B:B)</f>
        <v>86.7</v>
      </c>
      <c r="I263">
        <f>_xlfn.XLOOKUP($A263,weather_2yrs!$A:$A,weather_2yrs!C:C)</f>
        <v>0.27</v>
      </c>
      <c r="J263">
        <f>_xlfn.XLOOKUP($A263,weather_2yrs!$A:$A,weather_2yrs!D:D)</f>
        <v>1</v>
      </c>
      <c r="K263">
        <f>_xlfn.XLOOKUP($A263,weather_2yrs!$A:$A,weather_2yrs!E:E)</f>
        <v>74.099999999999994</v>
      </c>
      <c r="L263">
        <f>_xlfn.XLOOKUP($A263,sales!$A:$A,sales!B:B)</f>
        <v>1</v>
      </c>
      <c r="M263" t="str">
        <f>_xlfn.XLOOKUP($A263,sales!$A:$A,sales!C:C)</f>
        <v>Miami Beach</v>
      </c>
      <c r="N263">
        <f>_xlfn.XLOOKUP($A263,sales!$A:$A,sales!D:D)</f>
        <v>313</v>
      </c>
      <c r="O263">
        <f>_xlfn.XLOOKUP($A263,sales!$A:$A,sales!E:E)</f>
        <v>5543.44</v>
      </c>
      <c r="P263" s="4">
        <f t="shared" si="14"/>
        <v>17.710670926517572</v>
      </c>
    </row>
    <row r="264" spans="1:16" x14ac:dyDescent="0.25">
      <c r="A264" s="1">
        <v>45189</v>
      </c>
      <c r="B264" s="1" t="str">
        <f t="shared" si="12"/>
        <v>Wednesday</v>
      </c>
      <c r="C264" s="1" t="b">
        <f t="shared" si="13"/>
        <v>0</v>
      </c>
      <c r="D264">
        <f>VLOOKUP($A264,survey_2yrs!A:B, 2)</f>
        <v>44.9</v>
      </c>
      <c r="E264">
        <f>VLOOKUP($A264,survey_2yrs!$A:C, 3)</f>
        <v>55.1</v>
      </c>
      <c r="F264">
        <f>VLOOKUP($A264,survey_2yrs!$A:D, 4)</f>
        <v>44.5</v>
      </c>
      <c r="G264">
        <f>_xlfn.XLOOKUP(A264,survey_2yrs!A:A,survey_2yrs!E:E)</f>
        <v>55.5</v>
      </c>
      <c r="H264">
        <f>_xlfn.XLOOKUP($A264,weather_2yrs!$A:$A,weather_2yrs!B:B)</f>
        <v>89.9</v>
      </c>
      <c r="I264">
        <f>_xlfn.XLOOKUP($A264,weather_2yrs!$A:$A,weather_2yrs!C:C)</f>
        <v>1.5</v>
      </c>
      <c r="J264">
        <f>_xlfn.XLOOKUP($A264,weather_2yrs!$A:$A,weather_2yrs!D:D)</f>
        <v>1</v>
      </c>
      <c r="K264">
        <f>_xlfn.XLOOKUP($A264,weather_2yrs!$A:$A,weather_2yrs!E:E)</f>
        <v>67.099999999999994</v>
      </c>
      <c r="L264">
        <f>_xlfn.XLOOKUP($A264,sales!$A:$A,sales!B:B)</f>
        <v>1</v>
      </c>
      <c r="M264" t="str">
        <f>_xlfn.XLOOKUP($A264,sales!$A:$A,sales!C:C)</f>
        <v>Miami Beach</v>
      </c>
      <c r="N264">
        <f>_xlfn.XLOOKUP($A264,sales!$A:$A,sales!D:D)</f>
        <v>294</v>
      </c>
      <c r="O264">
        <f>_xlfn.XLOOKUP($A264,sales!$A:$A,sales!E:E)</f>
        <v>5561.39</v>
      </c>
      <c r="P264" s="4">
        <f t="shared" si="14"/>
        <v>18.916292517006802</v>
      </c>
    </row>
    <row r="265" spans="1:16" x14ac:dyDescent="0.25">
      <c r="A265" s="1">
        <v>45190</v>
      </c>
      <c r="B265" s="1" t="str">
        <f t="shared" si="12"/>
        <v>Thursday</v>
      </c>
      <c r="C265" s="1" t="b">
        <f t="shared" si="13"/>
        <v>0</v>
      </c>
      <c r="D265">
        <f>VLOOKUP($A265,survey_2yrs!A:B, 2)</f>
        <v>46.1</v>
      </c>
      <c r="E265">
        <f>VLOOKUP($A265,survey_2yrs!$A:C, 3)</f>
        <v>53.9</v>
      </c>
      <c r="F265">
        <f>VLOOKUP($A265,survey_2yrs!$A:D, 4)</f>
        <v>44.9</v>
      </c>
      <c r="G265">
        <f>_xlfn.XLOOKUP(A265,survey_2yrs!A:A,survey_2yrs!E:E)</f>
        <v>55.1</v>
      </c>
      <c r="H265">
        <f>_xlfn.XLOOKUP($A265,weather_2yrs!$A:$A,weather_2yrs!B:B)</f>
        <v>86.3</v>
      </c>
      <c r="I265">
        <f>_xlfn.XLOOKUP($A265,weather_2yrs!$A:$A,weather_2yrs!C:C)</f>
        <v>0.11</v>
      </c>
      <c r="J265">
        <f>_xlfn.XLOOKUP($A265,weather_2yrs!$A:$A,weather_2yrs!D:D)</f>
        <v>1</v>
      </c>
      <c r="K265">
        <f>_xlfn.XLOOKUP($A265,weather_2yrs!$A:$A,weather_2yrs!E:E)</f>
        <v>78.900000000000006</v>
      </c>
      <c r="L265">
        <f>_xlfn.XLOOKUP($A265,sales!$A:$A,sales!B:B)</f>
        <v>1</v>
      </c>
      <c r="M265" t="str">
        <f>_xlfn.XLOOKUP($A265,sales!$A:$A,sales!C:C)</f>
        <v>Miami Beach</v>
      </c>
      <c r="N265">
        <f>_xlfn.XLOOKUP($A265,sales!$A:$A,sales!D:D)</f>
        <v>258</v>
      </c>
      <c r="O265">
        <f>_xlfn.XLOOKUP($A265,sales!$A:$A,sales!E:E)</f>
        <v>4518.79</v>
      </c>
      <c r="P265" s="4">
        <f t="shared" si="14"/>
        <v>17.514689922480621</v>
      </c>
    </row>
    <row r="266" spans="1:16" x14ac:dyDescent="0.25">
      <c r="A266" s="1">
        <v>45191</v>
      </c>
      <c r="B266" s="1" t="str">
        <f t="shared" si="12"/>
        <v>Friday</v>
      </c>
      <c r="C266" s="1" t="b">
        <f t="shared" si="13"/>
        <v>0</v>
      </c>
      <c r="D266">
        <f>VLOOKUP($A266,survey_2yrs!A:B, 2)</f>
        <v>44.9</v>
      </c>
      <c r="E266">
        <f>VLOOKUP($A266,survey_2yrs!$A:C, 3)</f>
        <v>55.1</v>
      </c>
      <c r="F266">
        <f>VLOOKUP($A266,survey_2yrs!$A:D, 4)</f>
        <v>44.5</v>
      </c>
      <c r="G266">
        <f>_xlfn.XLOOKUP(A266,survey_2yrs!A:A,survey_2yrs!E:E)</f>
        <v>55.5</v>
      </c>
      <c r="H266">
        <f>_xlfn.XLOOKUP($A266,weather_2yrs!$A:$A,weather_2yrs!B:B)</f>
        <v>91.6</v>
      </c>
      <c r="I266">
        <f>_xlfn.XLOOKUP($A266,weather_2yrs!$A:$A,weather_2yrs!C:C)</f>
        <v>1.31</v>
      </c>
      <c r="J266">
        <f>_xlfn.XLOOKUP($A266,weather_2yrs!$A:$A,weather_2yrs!D:D)</f>
        <v>1</v>
      </c>
      <c r="K266">
        <f>_xlfn.XLOOKUP($A266,weather_2yrs!$A:$A,weather_2yrs!E:E)</f>
        <v>81.2</v>
      </c>
      <c r="L266">
        <f>_xlfn.XLOOKUP($A266,sales!$A:$A,sales!B:B)</f>
        <v>1</v>
      </c>
      <c r="M266" t="str">
        <f>_xlfn.XLOOKUP($A266,sales!$A:$A,sales!C:C)</f>
        <v>Miami Beach</v>
      </c>
      <c r="N266">
        <f>_xlfn.XLOOKUP($A266,sales!$A:$A,sales!D:D)</f>
        <v>314</v>
      </c>
      <c r="O266">
        <f>_xlfn.XLOOKUP($A266,sales!$A:$A,sales!E:E)</f>
        <v>6045.22</v>
      </c>
      <c r="P266" s="4">
        <f t="shared" si="14"/>
        <v>19.252292993630576</v>
      </c>
    </row>
    <row r="267" spans="1:16" x14ac:dyDescent="0.25">
      <c r="A267" s="1">
        <v>45192</v>
      </c>
      <c r="B267" s="1" t="str">
        <f t="shared" si="12"/>
        <v>Saturday</v>
      </c>
      <c r="C267" s="1" t="b">
        <f t="shared" si="13"/>
        <v>1</v>
      </c>
      <c r="D267">
        <f>VLOOKUP($A267,survey_2yrs!A:B, 2)</f>
        <v>46.1</v>
      </c>
      <c r="E267">
        <f>VLOOKUP($A267,survey_2yrs!$A:C, 3)</f>
        <v>53.9</v>
      </c>
      <c r="F267">
        <f>VLOOKUP($A267,survey_2yrs!$A:D, 4)</f>
        <v>48.4</v>
      </c>
      <c r="G267">
        <f>_xlfn.XLOOKUP(A267,survey_2yrs!A:A,survey_2yrs!E:E)</f>
        <v>51.6</v>
      </c>
      <c r="H267">
        <f>_xlfn.XLOOKUP($A267,weather_2yrs!$A:$A,weather_2yrs!B:B)</f>
        <v>84.8</v>
      </c>
      <c r="I267">
        <f>_xlfn.XLOOKUP($A267,weather_2yrs!$A:$A,weather_2yrs!C:C)</f>
        <v>0.5</v>
      </c>
      <c r="J267">
        <f>_xlfn.XLOOKUP($A267,weather_2yrs!$A:$A,weather_2yrs!D:D)</f>
        <v>1</v>
      </c>
      <c r="K267">
        <f>_xlfn.XLOOKUP($A267,weather_2yrs!$A:$A,weather_2yrs!E:E)</f>
        <v>71.400000000000006</v>
      </c>
      <c r="L267">
        <f>_xlfn.XLOOKUP($A267,sales!$A:$A,sales!B:B)</f>
        <v>1</v>
      </c>
      <c r="M267" t="str">
        <f>_xlfn.XLOOKUP($A267,sales!$A:$A,sales!C:C)</f>
        <v>Miami Beach</v>
      </c>
      <c r="N267">
        <f>_xlfn.XLOOKUP($A267,sales!$A:$A,sales!D:D)</f>
        <v>337</v>
      </c>
      <c r="O267">
        <f>_xlfn.XLOOKUP($A267,sales!$A:$A,sales!E:E)</f>
        <v>6825.96</v>
      </c>
      <c r="P267" s="4">
        <f t="shared" si="14"/>
        <v>20.255074183976262</v>
      </c>
    </row>
    <row r="268" spans="1:16" x14ac:dyDescent="0.25">
      <c r="A268" s="1">
        <v>45193</v>
      </c>
      <c r="B268" s="1" t="str">
        <f t="shared" si="12"/>
        <v>Sunday</v>
      </c>
      <c r="C268" s="1" t="b">
        <f t="shared" si="13"/>
        <v>1</v>
      </c>
      <c r="D268">
        <f>VLOOKUP($A268,survey_2yrs!A:B, 2)</f>
        <v>46.9</v>
      </c>
      <c r="E268">
        <f>VLOOKUP($A268,survey_2yrs!$A:C, 3)</f>
        <v>53.1</v>
      </c>
      <c r="F268">
        <f>VLOOKUP($A268,survey_2yrs!$A:D, 4)</f>
        <v>51.5</v>
      </c>
      <c r="G268">
        <f>_xlfn.XLOOKUP(A268,survey_2yrs!A:A,survey_2yrs!E:E)</f>
        <v>48.5</v>
      </c>
      <c r="H268">
        <f>_xlfn.XLOOKUP($A268,weather_2yrs!$A:$A,weather_2yrs!B:B)</f>
        <v>87</v>
      </c>
      <c r="I268">
        <f>_xlfn.XLOOKUP($A268,weather_2yrs!$A:$A,weather_2yrs!C:C)</f>
        <v>0</v>
      </c>
      <c r="J268">
        <f>_xlfn.XLOOKUP($A268,weather_2yrs!$A:$A,weather_2yrs!D:D)</f>
        <v>0</v>
      </c>
      <c r="K268">
        <f>_xlfn.XLOOKUP($A268,weather_2yrs!$A:$A,weather_2yrs!E:E)</f>
        <v>62.2</v>
      </c>
      <c r="L268">
        <f>_xlfn.XLOOKUP($A268,sales!$A:$A,sales!B:B)</f>
        <v>1</v>
      </c>
      <c r="M268" t="str">
        <f>_xlfn.XLOOKUP($A268,sales!$A:$A,sales!C:C)</f>
        <v>Miami Beach</v>
      </c>
      <c r="N268">
        <f>_xlfn.XLOOKUP($A268,sales!$A:$A,sales!D:D)</f>
        <v>342</v>
      </c>
      <c r="O268">
        <f>_xlfn.XLOOKUP($A268,sales!$A:$A,sales!E:E)</f>
        <v>5933.24</v>
      </c>
      <c r="P268" s="4">
        <f t="shared" si="14"/>
        <v>17.348654970760233</v>
      </c>
    </row>
    <row r="269" spans="1:16" x14ac:dyDescent="0.25">
      <c r="A269" s="1">
        <v>45194</v>
      </c>
      <c r="B269" s="1" t="str">
        <f t="shared" si="12"/>
        <v>Monday</v>
      </c>
      <c r="C269" s="1" t="b">
        <f t="shared" si="13"/>
        <v>0</v>
      </c>
      <c r="D269">
        <f>VLOOKUP($A269,survey_2yrs!A:B, 2)</f>
        <v>47.3</v>
      </c>
      <c r="E269">
        <f>VLOOKUP($A269,survey_2yrs!$A:C, 3)</f>
        <v>52.7</v>
      </c>
      <c r="F269">
        <f>VLOOKUP($A269,survey_2yrs!$A:D, 4)</f>
        <v>44.6</v>
      </c>
      <c r="G269">
        <f>_xlfn.XLOOKUP(A269,survey_2yrs!A:A,survey_2yrs!E:E)</f>
        <v>55.4</v>
      </c>
      <c r="H269">
        <f>_xlfn.XLOOKUP($A269,weather_2yrs!$A:$A,weather_2yrs!B:B)</f>
        <v>91</v>
      </c>
      <c r="I269">
        <f>_xlfn.XLOOKUP($A269,weather_2yrs!$A:$A,weather_2yrs!C:C)</f>
        <v>0.8</v>
      </c>
      <c r="J269">
        <f>_xlfn.XLOOKUP($A269,weather_2yrs!$A:$A,weather_2yrs!D:D)</f>
        <v>1</v>
      </c>
      <c r="K269">
        <f>_xlfn.XLOOKUP($A269,weather_2yrs!$A:$A,weather_2yrs!E:E)</f>
        <v>81.599999999999994</v>
      </c>
      <c r="L269">
        <f>_xlfn.XLOOKUP($A269,sales!$A:$A,sales!B:B)</f>
        <v>1</v>
      </c>
      <c r="M269" t="str">
        <f>_xlfn.XLOOKUP($A269,sales!$A:$A,sales!C:C)</f>
        <v>Miami Beach</v>
      </c>
      <c r="N269">
        <f>_xlfn.XLOOKUP($A269,sales!$A:$A,sales!D:D)</f>
        <v>300</v>
      </c>
      <c r="O269">
        <f>_xlfn.XLOOKUP($A269,sales!$A:$A,sales!E:E)</f>
        <v>5877.49</v>
      </c>
      <c r="P269" s="4">
        <f t="shared" si="14"/>
        <v>19.591633333333334</v>
      </c>
    </row>
    <row r="270" spans="1:16" x14ac:dyDescent="0.25">
      <c r="A270" s="1">
        <v>45195</v>
      </c>
      <c r="B270" s="1" t="str">
        <f t="shared" si="12"/>
        <v>Tuesday</v>
      </c>
      <c r="C270" s="1" t="b">
        <f t="shared" si="13"/>
        <v>0</v>
      </c>
      <c r="D270">
        <f>VLOOKUP($A270,survey_2yrs!A:B, 2)</f>
        <v>44.8</v>
      </c>
      <c r="E270">
        <f>VLOOKUP($A270,survey_2yrs!$A:C, 3)</f>
        <v>55.2</v>
      </c>
      <c r="F270">
        <f>VLOOKUP($A270,survey_2yrs!$A:D, 4)</f>
        <v>45.4</v>
      </c>
      <c r="G270">
        <f>_xlfn.XLOOKUP(A270,survey_2yrs!A:A,survey_2yrs!E:E)</f>
        <v>54.6</v>
      </c>
      <c r="H270">
        <f>_xlfn.XLOOKUP($A270,weather_2yrs!$A:$A,weather_2yrs!B:B)</f>
        <v>94.3</v>
      </c>
      <c r="I270">
        <f>_xlfn.XLOOKUP($A270,weather_2yrs!$A:$A,weather_2yrs!C:C)</f>
        <v>0.34</v>
      </c>
      <c r="J270">
        <f>_xlfn.XLOOKUP($A270,weather_2yrs!$A:$A,weather_2yrs!D:D)</f>
        <v>1</v>
      </c>
      <c r="K270">
        <f>_xlfn.XLOOKUP($A270,weather_2yrs!$A:$A,weather_2yrs!E:E)</f>
        <v>65</v>
      </c>
      <c r="L270">
        <f>_xlfn.XLOOKUP($A270,sales!$A:$A,sales!B:B)</f>
        <v>1</v>
      </c>
      <c r="M270" t="str">
        <f>_xlfn.XLOOKUP($A270,sales!$A:$A,sales!C:C)</f>
        <v>Miami Beach</v>
      </c>
      <c r="N270">
        <f>_xlfn.XLOOKUP($A270,sales!$A:$A,sales!D:D)</f>
        <v>338</v>
      </c>
      <c r="O270">
        <f>_xlfn.XLOOKUP($A270,sales!$A:$A,sales!E:E)</f>
        <v>6407.74</v>
      </c>
      <c r="P270" s="4">
        <f t="shared" si="14"/>
        <v>18.957810650887573</v>
      </c>
    </row>
    <row r="271" spans="1:16" x14ac:dyDescent="0.25">
      <c r="A271" s="1">
        <v>45196</v>
      </c>
      <c r="B271" s="1" t="str">
        <f t="shared" si="12"/>
        <v>Wednesday</v>
      </c>
      <c r="C271" s="1" t="b">
        <f t="shared" si="13"/>
        <v>0</v>
      </c>
      <c r="D271">
        <f>VLOOKUP($A271,survey_2yrs!A:B, 2)</f>
        <v>47.1</v>
      </c>
      <c r="E271">
        <f>VLOOKUP($A271,survey_2yrs!$A:C, 3)</f>
        <v>52.9</v>
      </c>
      <c r="F271">
        <f>VLOOKUP($A271,survey_2yrs!$A:D, 4)</f>
        <v>44.4</v>
      </c>
      <c r="G271">
        <f>_xlfn.XLOOKUP(A271,survey_2yrs!A:A,survey_2yrs!E:E)</f>
        <v>55.6</v>
      </c>
      <c r="H271">
        <f>_xlfn.XLOOKUP($A271,weather_2yrs!$A:$A,weather_2yrs!B:B)</f>
        <v>86</v>
      </c>
      <c r="I271">
        <f>_xlfn.XLOOKUP($A271,weather_2yrs!$A:$A,weather_2yrs!C:C)</f>
        <v>0.28999999999999998</v>
      </c>
      <c r="J271">
        <f>_xlfn.XLOOKUP($A271,weather_2yrs!$A:$A,weather_2yrs!D:D)</f>
        <v>1</v>
      </c>
      <c r="K271">
        <f>_xlfn.XLOOKUP($A271,weather_2yrs!$A:$A,weather_2yrs!E:E)</f>
        <v>70</v>
      </c>
      <c r="L271">
        <f>_xlfn.XLOOKUP($A271,sales!$A:$A,sales!B:B)</f>
        <v>1</v>
      </c>
      <c r="M271" t="str">
        <f>_xlfn.XLOOKUP($A271,sales!$A:$A,sales!C:C)</f>
        <v>Miami Beach</v>
      </c>
      <c r="N271">
        <f>_xlfn.XLOOKUP($A271,sales!$A:$A,sales!D:D)</f>
        <v>259</v>
      </c>
      <c r="O271">
        <f>_xlfn.XLOOKUP($A271,sales!$A:$A,sales!E:E)</f>
        <v>5077.7700000000004</v>
      </c>
      <c r="P271" s="4">
        <f t="shared" si="14"/>
        <v>19.605289575289579</v>
      </c>
    </row>
    <row r="272" spans="1:16" x14ac:dyDescent="0.25">
      <c r="A272" s="1">
        <v>45197</v>
      </c>
      <c r="B272" s="1" t="str">
        <f t="shared" si="12"/>
        <v>Thursday</v>
      </c>
      <c r="C272" s="1" t="b">
        <f t="shared" si="13"/>
        <v>0</v>
      </c>
      <c r="D272">
        <f>VLOOKUP($A272,survey_2yrs!A:B, 2)</f>
        <v>45.2</v>
      </c>
      <c r="E272">
        <f>VLOOKUP($A272,survey_2yrs!$A:C, 3)</f>
        <v>54.8</v>
      </c>
      <c r="F272">
        <f>VLOOKUP($A272,survey_2yrs!$A:D, 4)</f>
        <v>45.7</v>
      </c>
      <c r="G272">
        <f>_xlfn.XLOOKUP(A272,survey_2yrs!A:A,survey_2yrs!E:E)</f>
        <v>54.3</v>
      </c>
      <c r="H272">
        <f>_xlfn.XLOOKUP($A272,weather_2yrs!$A:$A,weather_2yrs!B:B)</f>
        <v>86.6</v>
      </c>
      <c r="I272">
        <f>_xlfn.XLOOKUP($A272,weather_2yrs!$A:$A,weather_2yrs!C:C)</f>
        <v>0.23</v>
      </c>
      <c r="J272">
        <f>_xlfn.XLOOKUP($A272,weather_2yrs!$A:$A,weather_2yrs!D:D)</f>
        <v>1</v>
      </c>
      <c r="K272">
        <f>_xlfn.XLOOKUP($A272,weather_2yrs!$A:$A,weather_2yrs!E:E)</f>
        <v>73.599999999999994</v>
      </c>
      <c r="L272">
        <f>_xlfn.XLOOKUP($A272,sales!$A:$A,sales!B:B)</f>
        <v>1</v>
      </c>
      <c r="M272" t="str">
        <f>_xlfn.XLOOKUP($A272,sales!$A:$A,sales!C:C)</f>
        <v>Miami Beach</v>
      </c>
      <c r="N272">
        <f>_xlfn.XLOOKUP($A272,sales!$A:$A,sales!D:D)</f>
        <v>313</v>
      </c>
      <c r="O272">
        <f>_xlfn.XLOOKUP($A272,sales!$A:$A,sales!E:E)</f>
        <v>5249.2</v>
      </c>
      <c r="P272" s="4">
        <f t="shared" si="14"/>
        <v>16.770607028753993</v>
      </c>
    </row>
    <row r="273" spans="1:16" x14ac:dyDescent="0.25">
      <c r="A273" s="1">
        <v>45198</v>
      </c>
      <c r="B273" s="1" t="str">
        <f t="shared" si="12"/>
        <v>Friday</v>
      </c>
      <c r="C273" s="1" t="b">
        <f t="shared" si="13"/>
        <v>0</v>
      </c>
      <c r="D273">
        <f>VLOOKUP($A273,survey_2yrs!A:B, 2)</f>
        <v>45.5</v>
      </c>
      <c r="E273">
        <f>VLOOKUP($A273,survey_2yrs!$A:C, 3)</f>
        <v>54.5</v>
      </c>
      <c r="F273">
        <f>VLOOKUP($A273,survey_2yrs!$A:D, 4)</f>
        <v>43.8</v>
      </c>
      <c r="G273">
        <f>_xlfn.XLOOKUP(A273,survey_2yrs!A:A,survey_2yrs!E:E)</f>
        <v>56.2</v>
      </c>
      <c r="H273">
        <f>_xlfn.XLOOKUP($A273,weather_2yrs!$A:$A,weather_2yrs!B:B)</f>
        <v>87.9</v>
      </c>
      <c r="I273">
        <f>_xlfn.XLOOKUP($A273,weather_2yrs!$A:$A,weather_2yrs!C:C)</f>
        <v>0</v>
      </c>
      <c r="J273">
        <f>_xlfn.XLOOKUP($A273,weather_2yrs!$A:$A,weather_2yrs!D:D)</f>
        <v>0</v>
      </c>
      <c r="K273">
        <f>_xlfn.XLOOKUP($A273,weather_2yrs!$A:$A,weather_2yrs!E:E)</f>
        <v>74.7</v>
      </c>
      <c r="L273">
        <f>_xlfn.XLOOKUP($A273,sales!$A:$A,sales!B:B)</f>
        <v>1</v>
      </c>
      <c r="M273" t="str">
        <f>_xlfn.XLOOKUP($A273,sales!$A:$A,sales!C:C)</f>
        <v>Miami Beach</v>
      </c>
      <c r="N273">
        <f>_xlfn.XLOOKUP($A273,sales!$A:$A,sales!D:D)</f>
        <v>311</v>
      </c>
      <c r="O273">
        <f>_xlfn.XLOOKUP($A273,sales!$A:$A,sales!E:E)</f>
        <v>5238.29</v>
      </c>
      <c r="P273" s="4">
        <f t="shared" si="14"/>
        <v>16.843376205787781</v>
      </c>
    </row>
    <row r="274" spans="1:16" x14ac:dyDescent="0.25">
      <c r="A274" s="1">
        <v>45199</v>
      </c>
      <c r="B274" s="1" t="str">
        <f t="shared" si="12"/>
        <v>Saturday</v>
      </c>
      <c r="C274" s="1" t="b">
        <f t="shared" si="13"/>
        <v>1</v>
      </c>
      <c r="D274">
        <f>VLOOKUP($A274,survey_2yrs!A:B, 2)</f>
        <v>45.9</v>
      </c>
      <c r="E274">
        <f>VLOOKUP($A274,survey_2yrs!$A:C, 3)</f>
        <v>54.1</v>
      </c>
      <c r="F274">
        <f>VLOOKUP($A274,survey_2yrs!$A:D, 4)</f>
        <v>49.9</v>
      </c>
      <c r="G274">
        <f>_xlfn.XLOOKUP(A274,survey_2yrs!A:A,survey_2yrs!E:E)</f>
        <v>50.1</v>
      </c>
      <c r="H274">
        <f>_xlfn.XLOOKUP($A274,weather_2yrs!$A:$A,weather_2yrs!B:B)</f>
        <v>91.9</v>
      </c>
      <c r="I274">
        <f>_xlfn.XLOOKUP($A274,weather_2yrs!$A:$A,weather_2yrs!C:C)</f>
        <v>0.64</v>
      </c>
      <c r="J274">
        <f>_xlfn.XLOOKUP($A274,weather_2yrs!$A:$A,weather_2yrs!D:D)</f>
        <v>1</v>
      </c>
      <c r="K274">
        <f>_xlfn.XLOOKUP($A274,weather_2yrs!$A:$A,weather_2yrs!E:E)</f>
        <v>69.099999999999994</v>
      </c>
      <c r="L274">
        <f>_xlfn.XLOOKUP($A274,sales!$A:$A,sales!B:B)</f>
        <v>1</v>
      </c>
      <c r="M274" t="str">
        <f>_xlfn.XLOOKUP($A274,sales!$A:$A,sales!C:C)</f>
        <v>Miami Beach</v>
      </c>
      <c r="N274">
        <f>_xlfn.XLOOKUP($A274,sales!$A:$A,sales!D:D)</f>
        <v>362</v>
      </c>
      <c r="O274">
        <f>_xlfn.XLOOKUP($A274,sales!$A:$A,sales!E:E)</f>
        <v>6285.73</v>
      </c>
      <c r="P274" s="4">
        <f t="shared" si="14"/>
        <v>17.363895027624309</v>
      </c>
    </row>
    <row r="275" spans="1:16" x14ac:dyDescent="0.25">
      <c r="A275" s="1">
        <v>45200</v>
      </c>
      <c r="B275" s="1" t="str">
        <f t="shared" si="12"/>
        <v>Sunday</v>
      </c>
      <c r="C275" s="1" t="b">
        <f t="shared" si="13"/>
        <v>1</v>
      </c>
      <c r="D275">
        <f>VLOOKUP($A275,survey_2yrs!A:B, 2)</f>
        <v>47</v>
      </c>
      <c r="E275">
        <f>VLOOKUP($A275,survey_2yrs!$A:C, 3)</f>
        <v>53</v>
      </c>
      <c r="F275">
        <f>VLOOKUP($A275,survey_2yrs!$A:D, 4)</f>
        <v>48.8</v>
      </c>
      <c r="G275">
        <f>_xlfn.XLOOKUP(A275,survey_2yrs!A:A,survey_2yrs!E:E)</f>
        <v>51.2</v>
      </c>
      <c r="H275">
        <f>_xlfn.XLOOKUP($A275,weather_2yrs!$A:$A,weather_2yrs!B:B)</f>
        <v>89.5</v>
      </c>
      <c r="I275">
        <f>_xlfn.XLOOKUP($A275,weather_2yrs!$A:$A,weather_2yrs!C:C)</f>
        <v>0</v>
      </c>
      <c r="J275">
        <f>_xlfn.XLOOKUP($A275,weather_2yrs!$A:$A,weather_2yrs!D:D)</f>
        <v>0</v>
      </c>
      <c r="K275">
        <f>_xlfn.XLOOKUP($A275,weather_2yrs!$A:$A,weather_2yrs!E:E)</f>
        <v>68.599999999999994</v>
      </c>
      <c r="L275">
        <f>_xlfn.XLOOKUP($A275,sales!$A:$A,sales!B:B)</f>
        <v>1</v>
      </c>
      <c r="M275" t="str">
        <f>_xlfn.XLOOKUP($A275,sales!$A:$A,sales!C:C)</f>
        <v>Miami Beach</v>
      </c>
      <c r="N275">
        <f>_xlfn.XLOOKUP($A275,sales!$A:$A,sales!D:D)</f>
        <v>366</v>
      </c>
      <c r="O275">
        <f>_xlfn.XLOOKUP($A275,sales!$A:$A,sales!E:E)</f>
        <v>6439.72</v>
      </c>
      <c r="P275" s="4">
        <f t="shared" si="14"/>
        <v>17.594863387978144</v>
      </c>
    </row>
    <row r="276" spans="1:16" x14ac:dyDescent="0.25">
      <c r="A276" s="1">
        <v>45201</v>
      </c>
      <c r="B276" s="1" t="str">
        <f t="shared" si="12"/>
        <v>Monday</v>
      </c>
      <c r="C276" s="1" t="b">
        <f t="shared" si="13"/>
        <v>0</v>
      </c>
      <c r="D276">
        <f>VLOOKUP($A276,survey_2yrs!A:B, 2)</f>
        <v>45</v>
      </c>
      <c r="E276">
        <f>VLOOKUP($A276,survey_2yrs!$A:C, 3)</f>
        <v>55</v>
      </c>
      <c r="F276">
        <f>VLOOKUP($A276,survey_2yrs!$A:D, 4)</f>
        <v>44.7</v>
      </c>
      <c r="G276">
        <f>_xlfn.XLOOKUP(A276,survey_2yrs!A:A,survey_2yrs!E:E)</f>
        <v>55.3</v>
      </c>
      <c r="H276">
        <f>_xlfn.XLOOKUP($A276,weather_2yrs!$A:$A,weather_2yrs!B:B)</f>
        <v>88.6</v>
      </c>
      <c r="I276">
        <f>_xlfn.XLOOKUP($A276,weather_2yrs!$A:$A,weather_2yrs!C:C)</f>
        <v>0.23</v>
      </c>
      <c r="J276">
        <f>_xlfn.XLOOKUP($A276,weather_2yrs!$A:$A,weather_2yrs!D:D)</f>
        <v>1</v>
      </c>
      <c r="K276">
        <f>_xlfn.XLOOKUP($A276,weather_2yrs!$A:$A,weather_2yrs!E:E)</f>
        <v>80.5</v>
      </c>
      <c r="L276">
        <f>_xlfn.XLOOKUP($A276,sales!$A:$A,sales!B:B)</f>
        <v>1</v>
      </c>
      <c r="M276" t="str">
        <f>_xlfn.XLOOKUP($A276,sales!$A:$A,sales!C:C)</f>
        <v>Miami Beach</v>
      </c>
      <c r="N276">
        <f>_xlfn.XLOOKUP($A276,sales!$A:$A,sales!D:D)</f>
        <v>339</v>
      </c>
      <c r="O276">
        <f>_xlfn.XLOOKUP($A276,sales!$A:$A,sales!E:E)</f>
        <v>6058.6</v>
      </c>
      <c r="P276" s="4">
        <f t="shared" si="14"/>
        <v>17.871976401179943</v>
      </c>
    </row>
    <row r="277" spans="1:16" x14ac:dyDescent="0.25">
      <c r="A277" s="1">
        <v>45202</v>
      </c>
      <c r="B277" s="1" t="str">
        <f t="shared" si="12"/>
        <v>Tuesday</v>
      </c>
      <c r="C277" s="1" t="b">
        <f t="shared" si="13"/>
        <v>0</v>
      </c>
      <c r="D277">
        <f>VLOOKUP($A277,survey_2yrs!A:B, 2)</f>
        <v>45.5</v>
      </c>
      <c r="E277">
        <f>VLOOKUP($A277,survey_2yrs!$A:C, 3)</f>
        <v>54.5</v>
      </c>
      <c r="F277">
        <f>VLOOKUP($A277,survey_2yrs!$A:D, 4)</f>
        <v>43.8</v>
      </c>
      <c r="G277">
        <f>_xlfn.XLOOKUP(A277,survey_2yrs!A:A,survey_2yrs!E:E)</f>
        <v>56.2</v>
      </c>
      <c r="H277">
        <f>_xlfn.XLOOKUP($A277,weather_2yrs!$A:$A,weather_2yrs!B:B)</f>
        <v>87.2</v>
      </c>
      <c r="I277">
        <f>_xlfn.XLOOKUP($A277,weather_2yrs!$A:$A,weather_2yrs!C:C)</f>
        <v>0</v>
      </c>
      <c r="J277">
        <f>_xlfn.XLOOKUP($A277,weather_2yrs!$A:$A,weather_2yrs!D:D)</f>
        <v>0</v>
      </c>
      <c r="K277">
        <f>_xlfn.XLOOKUP($A277,weather_2yrs!$A:$A,weather_2yrs!E:E)</f>
        <v>70.900000000000006</v>
      </c>
      <c r="L277">
        <f>_xlfn.XLOOKUP($A277,sales!$A:$A,sales!B:B)</f>
        <v>1</v>
      </c>
      <c r="M277" t="str">
        <f>_xlfn.XLOOKUP($A277,sales!$A:$A,sales!C:C)</f>
        <v>Miami Beach</v>
      </c>
      <c r="N277">
        <f>_xlfn.XLOOKUP($A277,sales!$A:$A,sales!D:D)</f>
        <v>299</v>
      </c>
      <c r="O277">
        <f>_xlfn.XLOOKUP($A277,sales!$A:$A,sales!E:E)</f>
        <v>5224.5</v>
      </c>
      <c r="P277" s="4">
        <f t="shared" si="14"/>
        <v>17.473244147157189</v>
      </c>
    </row>
    <row r="278" spans="1:16" x14ac:dyDescent="0.25">
      <c r="A278" s="1">
        <v>45203</v>
      </c>
      <c r="B278" s="1" t="str">
        <f t="shared" si="12"/>
        <v>Wednesday</v>
      </c>
      <c r="C278" s="1" t="b">
        <f t="shared" si="13"/>
        <v>0</v>
      </c>
      <c r="D278">
        <f>VLOOKUP($A278,survey_2yrs!A:B, 2)</f>
        <v>45.2</v>
      </c>
      <c r="E278">
        <f>VLOOKUP($A278,survey_2yrs!$A:C, 3)</f>
        <v>54.8</v>
      </c>
      <c r="F278">
        <f>VLOOKUP($A278,survey_2yrs!$A:D, 4)</f>
        <v>43.6</v>
      </c>
      <c r="G278">
        <f>_xlfn.XLOOKUP(A278,survey_2yrs!A:A,survey_2yrs!E:E)</f>
        <v>56.4</v>
      </c>
      <c r="H278">
        <f>_xlfn.XLOOKUP($A278,weather_2yrs!$A:$A,weather_2yrs!B:B)</f>
        <v>89.7</v>
      </c>
      <c r="I278">
        <f>_xlfn.XLOOKUP($A278,weather_2yrs!$A:$A,weather_2yrs!C:C)</f>
        <v>0</v>
      </c>
      <c r="J278">
        <f>_xlfn.XLOOKUP($A278,weather_2yrs!$A:$A,weather_2yrs!D:D)</f>
        <v>0</v>
      </c>
      <c r="K278">
        <f>_xlfn.XLOOKUP($A278,weather_2yrs!$A:$A,weather_2yrs!E:E)</f>
        <v>79.2</v>
      </c>
      <c r="L278">
        <f>_xlfn.XLOOKUP($A278,sales!$A:$A,sales!B:B)</f>
        <v>1</v>
      </c>
      <c r="M278" t="str">
        <f>_xlfn.XLOOKUP($A278,sales!$A:$A,sales!C:C)</f>
        <v>Miami Beach</v>
      </c>
      <c r="N278">
        <f>_xlfn.XLOOKUP($A278,sales!$A:$A,sales!D:D)</f>
        <v>326</v>
      </c>
      <c r="O278">
        <f>_xlfn.XLOOKUP($A278,sales!$A:$A,sales!E:E)</f>
        <v>5311.5</v>
      </c>
      <c r="P278" s="4">
        <f t="shared" si="14"/>
        <v>16.292944785276074</v>
      </c>
    </row>
    <row r="279" spans="1:16" x14ac:dyDescent="0.25">
      <c r="A279" s="1">
        <v>45204</v>
      </c>
      <c r="B279" s="1" t="str">
        <f t="shared" si="12"/>
        <v>Thursday</v>
      </c>
      <c r="C279" s="1" t="b">
        <f t="shared" si="13"/>
        <v>0</v>
      </c>
      <c r="D279">
        <f>VLOOKUP($A279,survey_2yrs!A:B, 2)</f>
        <v>45.1</v>
      </c>
      <c r="E279">
        <f>VLOOKUP($A279,survey_2yrs!$A:C, 3)</f>
        <v>54.9</v>
      </c>
      <c r="F279">
        <f>VLOOKUP($A279,survey_2yrs!$A:D, 4)</f>
        <v>44.7</v>
      </c>
      <c r="G279">
        <f>_xlfn.XLOOKUP(A279,survey_2yrs!A:A,survey_2yrs!E:E)</f>
        <v>55.3</v>
      </c>
      <c r="H279">
        <f>_xlfn.XLOOKUP($A279,weather_2yrs!$A:$A,weather_2yrs!B:B)</f>
        <v>85.4</v>
      </c>
      <c r="I279">
        <f>_xlfn.XLOOKUP($A279,weather_2yrs!$A:$A,weather_2yrs!C:C)</f>
        <v>0</v>
      </c>
      <c r="J279">
        <f>_xlfn.XLOOKUP($A279,weather_2yrs!$A:$A,weather_2yrs!D:D)</f>
        <v>0</v>
      </c>
      <c r="K279">
        <f>_xlfn.XLOOKUP($A279,weather_2yrs!$A:$A,weather_2yrs!E:E)</f>
        <v>75.2</v>
      </c>
      <c r="L279">
        <f>_xlfn.XLOOKUP($A279,sales!$A:$A,sales!B:B)</f>
        <v>1</v>
      </c>
      <c r="M279" t="str">
        <f>_xlfn.XLOOKUP($A279,sales!$A:$A,sales!C:C)</f>
        <v>Miami Beach</v>
      </c>
      <c r="N279">
        <f>_xlfn.XLOOKUP($A279,sales!$A:$A,sales!D:D)</f>
        <v>298</v>
      </c>
      <c r="O279">
        <f>_xlfn.XLOOKUP($A279,sales!$A:$A,sales!E:E)</f>
        <v>5114.07</v>
      </c>
      <c r="P279" s="4">
        <f t="shared" si="14"/>
        <v>17.161308724832214</v>
      </c>
    </row>
    <row r="280" spans="1:16" x14ac:dyDescent="0.25">
      <c r="A280" s="1">
        <v>45205</v>
      </c>
      <c r="B280" s="1" t="str">
        <f t="shared" si="12"/>
        <v>Friday</v>
      </c>
      <c r="C280" s="1" t="b">
        <f t="shared" si="13"/>
        <v>0</v>
      </c>
      <c r="D280">
        <f>VLOOKUP($A280,survey_2yrs!A:B, 2)</f>
        <v>45.2</v>
      </c>
      <c r="E280">
        <f>VLOOKUP($A280,survey_2yrs!$A:C, 3)</f>
        <v>54.8</v>
      </c>
      <c r="F280">
        <f>VLOOKUP($A280,survey_2yrs!$A:D, 4)</f>
        <v>45</v>
      </c>
      <c r="G280">
        <f>_xlfn.XLOOKUP(A280,survey_2yrs!A:A,survey_2yrs!E:E)</f>
        <v>55</v>
      </c>
      <c r="H280">
        <f>_xlfn.XLOOKUP($A280,weather_2yrs!$A:$A,weather_2yrs!B:B)</f>
        <v>89.5</v>
      </c>
      <c r="I280">
        <f>_xlfn.XLOOKUP($A280,weather_2yrs!$A:$A,weather_2yrs!C:C)</f>
        <v>0</v>
      </c>
      <c r="J280">
        <f>_xlfn.XLOOKUP($A280,weather_2yrs!$A:$A,weather_2yrs!D:D)</f>
        <v>0</v>
      </c>
      <c r="K280">
        <f>_xlfn.XLOOKUP($A280,weather_2yrs!$A:$A,weather_2yrs!E:E)</f>
        <v>79.599999999999994</v>
      </c>
      <c r="L280">
        <f>_xlfn.XLOOKUP($A280,sales!$A:$A,sales!B:B)</f>
        <v>1</v>
      </c>
      <c r="M280" t="str">
        <f>_xlfn.XLOOKUP($A280,sales!$A:$A,sales!C:C)</f>
        <v>Miami Beach</v>
      </c>
      <c r="N280">
        <f>_xlfn.XLOOKUP($A280,sales!$A:$A,sales!D:D)</f>
        <v>319</v>
      </c>
      <c r="O280">
        <f>_xlfn.XLOOKUP($A280,sales!$A:$A,sales!E:E)</f>
        <v>6038.88</v>
      </c>
      <c r="P280" s="4">
        <f t="shared" si="14"/>
        <v>18.930658307210031</v>
      </c>
    </row>
    <row r="281" spans="1:16" x14ac:dyDescent="0.25">
      <c r="A281" s="1">
        <v>45206</v>
      </c>
      <c r="B281" s="1" t="str">
        <f t="shared" si="12"/>
        <v>Saturday</v>
      </c>
      <c r="C281" s="1" t="b">
        <f t="shared" si="13"/>
        <v>1</v>
      </c>
      <c r="D281">
        <f>VLOOKUP($A281,survey_2yrs!A:B, 2)</f>
        <v>47.3</v>
      </c>
      <c r="E281">
        <f>VLOOKUP($A281,survey_2yrs!$A:C, 3)</f>
        <v>52.7</v>
      </c>
      <c r="F281">
        <f>VLOOKUP($A281,survey_2yrs!$A:D, 4)</f>
        <v>51</v>
      </c>
      <c r="G281">
        <f>_xlfn.XLOOKUP(A281,survey_2yrs!A:A,survey_2yrs!E:E)</f>
        <v>49</v>
      </c>
      <c r="H281">
        <f>_xlfn.XLOOKUP($A281,weather_2yrs!$A:$A,weather_2yrs!B:B)</f>
        <v>87</v>
      </c>
      <c r="I281">
        <f>_xlfn.XLOOKUP($A281,weather_2yrs!$A:$A,weather_2yrs!C:C)</f>
        <v>1.33</v>
      </c>
      <c r="J281">
        <f>_xlfn.XLOOKUP($A281,weather_2yrs!$A:$A,weather_2yrs!D:D)</f>
        <v>1</v>
      </c>
      <c r="K281">
        <f>_xlfn.XLOOKUP($A281,weather_2yrs!$A:$A,weather_2yrs!E:E)</f>
        <v>71.400000000000006</v>
      </c>
      <c r="L281">
        <f>_xlfn.XLOOKUP($A281,sales!$A:$A,sales!B:B)</f>
        <v>1</v>
      </c>
      <c r="M281" t="str">
        <f>_xlfn.XLOOKUP($A281,sales!$A:$A,sales!C:C)</f>
        <v>Miami Beach</v>
      </c>
      <c r="N281">
        <f>_xlfn.XLOOKUP($A281,sales!$A:$A,sales!D:D)</f>
        <v>320</v>
      </c>
      <c r="O281">
        <f>_xlfn.XLOOKUP($A281,sales!$A:$A,sales!E:E)</f>
        <v>6036.71</v>
      </c>
      <c r="P281" s="4">
        <f t="shared" si="14"/>
        <v>18.864718750000002</v>
      </c>
    </row>
    <row r="282" spans="1:16" x14ac:dyDescent="0.25">
      <c r="A282" s="1">
        <v>45207</v>
      </c>
      <c r="B282" s="1" t="str">
        <f t="shared" si="12"/>
        <v>Sunday</v>
      </c>
      <c r="C282" s="1" t="b">
        <f t="shared" si="13"/>
        <v>1</v>
      </c>
      <c r="D282">
        <f>VLOOKUP($A282,survey_2yrs!A:B, 2)</f>
        <v>47</v>
      </c>
      <c r="E282">
        <f>VLOOKUP($A282,survey_2yrs!$A:C, 3)</f>
        <v>53</v>
      </c>
      <c r="F282">
        <f>VLOOKUP($A282,survey_2yrs!$A:D, 4)</f>
        <v>50.7</v>
      </c>
      <c r="G282">
        <f>_xlfn.XLOOKUP(A282,survey_2yrs!A:A,survey_2yrs!E:E)</f>
        <v>49.3</v>
      </c>
      <c r="H282">
        <f>_xlfn.XLOOKUP($A282,weather_2yrs!$A:$A,weather_2yrs!B:B)</f>
        <v>86.3</v>
      </c>
      <c r="I282">
        <f>_xlfn.XLOOKUP($A282,weather_2yrs!$A:$A,weather_2yrs!C:C)</f>
        <v>0.33</v>
      </c>
      <c r="J282">
        <f>_xlfn.XLOOKUP($A282,weather_2yrs!$A:$A,weather_2yrs!D:D)</f>
        <v>1</v>
      </c>
      <c r="K282">
        <f>_xlfn.XLOOKUP($A282,weather_2yrs!$A:$A,weather_2yrs!E:E)</f>
        <v>74.3</v>
      </c>
      <c r="L282">
        <f>_xlfn.XLOOKUP($A282,sales!$A:$A,sales!B:B)</f>
        <v>1</v>
      </c>
      <c r="M282" t="str">
        <f>_xlfn.XLOOKUP($A282,sales!$A:$A,sales!C:C)</f>
        <v>Miami Beach</v>
      </c>
      <c r="N282">
        <f>_xlfn.XLOOKUP($A282,sales!$A:$A,sales!D:D)</f>
        <v>354</v>
      </c>
      <c r="O282">
        <f>_xlfn.XLOOKUP($A282,sales!$A:$A,sales!E:E)</f>
        <v>6254.88</v>
      </c>
      <c r="P282" s="4">
        <f t="shared" si="14"/>
        <v>17.669152542372881</v>
      </c>
    </row>
    <row r="283" spans="1:16" x14ac:dyDescent="0.25">
      <c r="A283" s="1">
        <v>45208</v>
      </c>
      <c r="B283" s="1" t="str">
        <f t="shared" si="12"/>
        <v>Monday</v>
      </c>
      <c r="C283" s="1" t="b">
        <f t="shared" si="13"/>
        <v>0</v>
      </c>
      <c r="D283">
        <f>VLOOKUP($A283,survey_2yrs!A:B, 2)</f>
        <v>44.8</v>
      </c>
      <c r="E283">
        <f>VLOOKUP($A283,survey_2yrs!$A:C, 3)</f>
        <v>55.2</v>
      </c>
      <c r="F283">
        <f>VLOOKUP($A283,survey_2yrs!$A:D, 4)</f>
        <v>42.6</v>
      </c>
      <c r="G283">
        <f>_xlfn.XLOOKUP(A283,survey_2yrs!A:A,survey_2yrs!E:E)</f>
        <v>57.4</v>
      </c>
      <c r="H283">
        <f>_xlfn.XLOOKUP($A283,weather_2yrs!$A:$A,weather_2yrs!B:B)</f>
        <v>91.5</v>
      </c>
      <c r="I283">
        <f>_xlfn.XLOOKUP($A283,weather_2yrs!$A:$A,weather_2yrs!C:C)</f>
        <v>0</v>
      </c>
      <c r="J283">
        <f>_xlfn.XLOOKUP($A283,weather_2yrs!$A:$A,weather_2yrs!D:D)</f>
        <v>0</v>
      </c>
      <c r="K283">
        <f>_xlfn.XLOOKUP($A283,weather_2yrs!$A:$A,weather_2yrs!E:E)</f>
        <v>70.7</v>
      </c>
      <c r="L283">
        <f>_xlfn.XLOOKUP($A283,sales!$A:$A,sales!B:B)</f>
        <v>1</v>
      </c>
      <c r="M283" t="str">
        <f>_xlfn.XLOOKUP($A283,sales!$A:$A,sales!C:C)</f>
        <v>Miami Beach</v>
      </c>
      <c r="N283">
        <f>_xlfn.XLOOKUP($A283,sales!$A:$A,sales!D:D)</f>
        <v>353</v>
      </c>
      <c r="O283">
        <f>_xlfn.XLOOKUP($A283,sales!$A:$A,sales!E:E)</f>
        <v>6868.01</v>
      </c>
      <c r="P283" s="4">
        <f t="shared" si="14"/>
        <v>19.456118980169972</v>
      </c>
    </row>
    <row r="284" spans="1:16" x14ac:dyDescent="0.25">
      <c r="A284" s="1">
        <v>45209</v>
      </c>
      <c r="B284" s="1" t="str">
        <f t="shared" si="12"/>
        <v>Tuesday</v>
      </c>
      <c r="C284" s="1" t="b">
        <f t="shared" si="13"/>
        <v>0</v>
      </c>
      <c r="D284">
        <f>VLOOKUP($A284,survey_2yrs!A:B, 2)</f>
        <v>45.6</v>
      </c>
      <c r="E284">
        <f>VLOOKUP($A284,survey_2yrs!$A:C, 3)</f>
        <v>54.4</v>
      </c>
      <c r="F284">
        <f>VLOOKUP($A284,survey_2yrs!$A:D, 4)</f>
        <v>44.5</v>
      </c>
      <c r="G284">
        <f>_xlfn.XLOOKUP(A284,survey_2yrs!A:A,survey_2yrs!E:E)</f>
        <v>55.5</v>
      </c>
      <c r="H284">
        <f>_xlfn.XLOOKUP($A284,weather_2yrs!$A:$A,weather_2yrs!B:B)</f>
        <v>89.8</v>
      </c>
      <c r="I284">
        <f>_xlfn.XLOOKUP($A284,weather_2yrs!$A:$A,weather_2yrs!C:C)</f>
        <v>0</v>
      </c>
      <c r="J284">
        <f>_xlfn.XLOOKUP($A284,weather_2yrs!$A:$A,weather_2yrs!D:D)</f>
        <v>0</v>
      </c>
      <c r="K284">
        <f>_xlfn.XLOOKUP($A284,weather_2yrs!$A:$A,weather_2yrs!E:E)</f>
        <v>75.2</v>
      </c>
      <c r="L284">
        <f>_xlfn.XLOOKUP($A284,sales!$A:$A,sales!B:B)</f>
        <v>1</v>
      </c>
      <c r="M284" t="str">
        <f>_xlfn.XLOOKUP($A284,sales!$A:$A,sales!C:C)</f>
        <v>Miami Beach</v>
      </c>
      <c r="N284">
        <f>_xlfn.XLOOKUP($A284,sales!$A:$A,sales!D:D)</f>
        <v>323</v>
      </c>
      <c r="O284">
        <f>_xlfn.XLOOKUP($A284,sales!$A:$A,sales!E:E)</f>
        <v>5341.74</v>
      </c>
      <c r="P284" s="4">
        <f t="shared" si="14"/>
        <v>16.537894736842105</v>
      </c>
    </row>
    <row r="285" spans="1:16" x14ac:dyDescent="0.25">
      <c r="A285" s="1">
        <v>45210</v>
      </c>
      <c r="B285" s="1" t="str">
        <f t="shared" si="12"/>
        <v>Wednesday</v>
      </c>
      <c r="C285" s="1" t="b">
        <f t="shared" si="13"/>
        <v>0</v>
      </c>
      <c r="D285">
        <f>VLOOKUP($A285,survey_2yrs!A:B, 2)</f>
        <v>45.9</v>
      </c>
      <c r="E285">
        <f>VLOOKUP($A285,survey_2yrs!$A:C, 3)</f>
        <v>54.1</v>
      </c>
      <c r="F285">
        <f>VLOOKUP($A285,survey_2yrs!$A:D, 4)</f>
        <v>44.1</v>
      </c>
      <c r="G285">
        <f>_xlfn.XLOOKUP(A285,survey_2yrs!A:A,survey_2yrs!E:E)</f>
        <v>55.9</v>
      </c>
      <c r="H285">
        <f>_xlfn.XLOOKUP($A285,weather_2yrs!$A:$A,weather_2yrs!B:B)</f>
        <v>87.4</v>
      </c>
      <c r="I285">
        <f>_xlfn.XLOOKUP($A285,weather_2yrs!$A:$A,weather_2yrs!C:C)</f>
        <v>0</v>
      </c>
      <c r="J285">
        <f>_xlfn.XLOOKUP($A285,weather_2yrs!$A:$A,weather_2yrs!D:D)</f>
        <v>0</v>
      </c>
      <c r="K285">
        <f>_xlfn.XLOOKUP($A285,weather_2yrs!$A:$A,weather_2yrs!E:E)</f>
        <v>78.599999999999994</v>
      </c>
      <c r="L285">
        <f>_xlfn.XLOOKUP($A285,sales!$A:$A,sales!B:B)</f>
        <v>1</v>
      </c>
      <c r="M285" t="str">
        <f>_xlfn.XLOOKUP($A285,sales!$A:$A,sales!C:C)</f>
        <v>Miami Beach</v>
      </c>
      <c r="N285">
        <f>_xlfn.XLOOKUP($A285,sales!$A:$A,sales!D:D)</f>
        <v>341</v>
      </c>
      <c r="O285">
        <f>_xlfn.XLOOKUP($A285,sales!$A:$A,sales!E:E)</f>
        <v>5829.52</v>
      </c>
      <c r="P285" s="4">
        <f t="shared" si="14"/>
        <v>17.095366568914958</v>
      </c>
    </row>
    <row r="286" spans="1:16" x14ac:dyDescent="0.25">
      <c r="A286" s="1">
        <v>45211</v>
      </c>
      <c r="B286" s="1" t="str">
        <f t="shared" si="12"/>
        <v>Thursday</v>
      </c>
      <c r="C286" s="1" t="b">
        <f t="shared" si="13"/>
        <v>0</v>
      </c>
      <c r="D286">
        <f>VLOOKUP($A286,survey_2yrs!A:B, 2)</f>
        <v>46.2</v>
      </c>
      <c r="E286">
        <f>VLOOKUP($A286,survey_2yrs!$A:C, 3)</f>
        <v>53.8</v>
      </c>
      <c r="F286">
        <f>VLOOKUP($A286,survey_2yrs!$A:D, 4)</f>
        <v>43.9</v>
      </c>
      <c r="G286">
        <f>_xlfn.XLOOKUP(A286,survey_2yrs!A:A,survey_2yrs!E:E)</f>
        <v>56.1</v>
      </c>
      <c r="H286">
        <f>_xlfn.XLOOKUP($A286,weather_2yrs!$A:$A,weather_2yrs!B:B)</f>
        <v>88.1</v>
      </c>
      <c r="I286">
        <f>_xlfn.XLOOKUP($A286,weather_2yrs!$A:$A,weather_2yrs!C:C)</f>
        <v>0</v>
      </c>
      <c r="J286">
        <f>_xlfn.XLOOKUP($A286,weather_2yrs!$A:$A,weather_2yrs!D:D)</f>
        <v>0</v>
      </c>
      <c r="K286">
        <f>_xlfn.XLOOKUP($A286,weather_2yrs!$A:$A,weather_2yrs!E:E)</f>
        <v>68.5</v>
      </c>
      <c r="L286">
        <f>_xlfn.XLOOKUP($A286,sales!$A:$A,sales!B:B)</f>
        <v>1</v>
      </c>
      <c r="M286" t="str">
        <f>_xlfn.XLOOKUP($A286,sales!$A:$A,sales!C:C)</f>
        <v>Miami Beach</v>
      </c>
      <c r="N286">
        <f>_xlfn.XLOOKUP($A286,sales!$A:$A,sales!D:D)</f>
        <v>314</v>
      </c>
      <c r="O286">
        <f>_xlfn.XLOOKUP($A286,sales!$A:$A,sales!E:E)</f>
        <v>6208.48</v>
      </c>
      <c r="P286" s="4">
        <f t="shared" si="14"/>
        <v>19.772229299363055</v>
      </c>
    </row>
    <row r="287" spans="1:16" x14ac:dyDescent="0.25">
      <c r="A287" s="1">
        <v>45212</v>
      </c>
      <c r="B287" s="1" t="str">
        <f t="shared" si="12"/>
        <v>Friday</v>
      </c>
      <c r="C287" s="1" t="b">
        <f t="shared" si="13"/>
        <v>0</v>
      </c>
      <c r="D287">
        <f>VLOOKUP($A287,survey_2yrs!A:B, 2)</f>
        <v>47.4</v>
      </c>
      <c r="E287">
        <f>VLOOKUP($A287,survey_2yrs!$A:C, 3)</f>
        <v>52.6</v>
      </c>
      <c r="F287">
        <f>VLOOKUP($A287,survey_2yrs!$A:D, 4)</f>
        <v>43.6</v>
      </c>
      <c r="G287">
        <f>_xlfn.XLOOKUP(A287,survey_2yrs!A:A,survey_2yrs!E:E)</f>
        <v>56.4</v>
      </c>
      <c r="H287">
        <f>_xlfn.XLOOKUP($A287,weather_2yrs!$A:$A,weather_2yrs!B:B)</f>
        <v>90.8</v>
      </c>
      <c r="I287">
        <f>_xlfn.XLOOKUP($A287,weather_2yrs!$A:$A,weather_2yrs!C:C)</f>
        <v>0.78</v>
      </c>
      <c r="J287">
        <f>_xlfn.XLOOKUP($A287,weather_2yrs!$A:$A,weather_2yrs!D:D)</f>
        <v>1</v>
      </c>
      <c r="K287">
        <f>_xlfn.XLOOKUP($A287,weather_2yrs!$A:$A,weather_2yrs!E:E)</f>
        <v>72.599999999999994</v>
      </c>
      <c r="L287">
        <f>_xlfn.XLOOKUP($A287,sales!$A:$A,sales!B:B)</f>
        <v>1</v>
      </c>
      <c r="M287" t="str">
        <f>_xlfn.XLOOKUP($A287,sales!$A:$A,sales!C:C)</f>
        <v>Miami Beach</v>
      </c>
      <c r="N287">
        <f>_xlfn.XLOOKUP($A287,sales!$A:$A,sales!D:D)</f>
        <v>317</v>
      </c>
      <c r="O287">
        <f>_xlfn.XLOOKUP($A287,sales!$A:$A,sales!E:E)</f>
        <v>5848.33</v>
      </c>
      <c r="P287" s="4">
        <f t="shared" si="14"/>
        <v>18.448990536277602</v>
      </c>
    </row>
    <row r="288" spans="1:16" x14ac:dyDescent="0.25">
      <c r="A288" s="1">
        <v>45213</v>
      </c>
      <c r="B288" s="1" t="str">
        <f t="shared" si="12"/>
        <v>Saturday</v>
      </c>
      <c r="C288" s="1" t="b">
        <f t="shared" si="13"/>
        <v>1</v>
      </c>
      <c r="D288">
        <f>VLOOKUP($A288,survey_2yrs!A:B, 2)</f>
        <v>41.9</v>
      </c>
      <c r="E288">
        <f>VLOOKUP($A288,survey_2yrs!$A:C, 3)</f>
        <v>58.1</v>
      </c>
      <c r="F288">
        <f>VLOOKUP($A288,survey_2yrs!$A:D, 4)</f>
        <v>48.9</v>
      </c>
      <c r="G288">
        <f>_xlfn.XLOOKUP(A288,survey_2yrs!A:A,survey_2yrs!E:E)</f>
        <v>51.1</v>
      </c>
      <c r="H288">
        <f>_xlfn.XLOOKUP($A288,weather_2yrs!$A:$A,weather_2yrs!B:B)</f>
        <v>90.5</v>
      </c>
      <c r="I288">
        <f>_xlfn.XLOOKUP($A288,weather_2yrs!$A:$A,weather_2yrs!C:C)</f>
        <v>0</v>
      </c>
      <c r="J288">
        <f>_xlfn.XLOOKUP($A288,weather_2yrs!$A:$A,weather_2yrs!D:D)</f>
        <v>0</v>
      </c>
      <c r="K288">
        <f>_xlfn.XLOOKUP($A288,weather_2yrs!$A:$A,weather_2yrs!E:E)</f>
        <v>71.2</v>
      </c>
      <c r="L288">
        <f>_xlfn.XLOOKUP($A288,sales!$A:$A,sales!B:B)</f>
        <v>1</v>
      </c>
      <c r="M288" t="str">
        <f>_xlfn.XLOOKUP($A288,sales!$A:$A,sales!C:C)</f>
        <v>Miami Beach</v>
      </c>
      <c r="N288">
        <f>_xlfn.XLOOKUP($A288,sales!$A:$A,sales!D:D)</f>
        <v>346</v>
      </c>
      <c r="O288">
        <f>_xlfn.XLOOKUP($A288,sales!$A:$A,sales!E:E)</f>
        <v>6482.75</v>
      </c>
      <c r="P288" s="4">
        <f t="shared" si="14"/>
        <v>18.736271676300579</v>
      </c>
    </row>
    <row r="289" spans="1:16" x14ac:dyDescent="0.25">
      <c r="A289" s="1">
        <v>45214</v>
      </c>
      <c r="B289" s="1" t="str">
        <f t="shared" si="12"/>
        <v>Sunday</v>
      </c>
      <c r="C289" s="1" t="b">
        <f t="shared" si="13"/>
        <v>1</v>
      </c>
      <c r="D289">
        <f>VLOOKUP($A289,survey_2yrs!A:B, 2)</f>
        <v>47.4</v>
      </c>
      <c r="E289">
        <f>VLOOKUP($A289,survey_2yrs!$A:C, 3)</f>
        <v>52.6</v>
      </c>
      <c r="F289">
        <f>VLOOKUP($A289,survey_2yrs!$A:D, 4)</f>
        <v>52.5</v>
      </c>
      <c r="G289">
        <f>_xlfn.XLOOKUP(A289,survey_2yrs!A:A,survey_2yrs!E:E)</f>
        <v>47.5</v>
      </c>
      <c r="H289">
        <f>_xlfn.XLOOKUP($A289,weather_2yrs!$A:$A,weather_2yrs!B:B)</f>
        <v>91.6</v>
      </c>
      <c r="I289">
        <f>_xlfn.XLOOKUP($A289,weather_2yrs!$A:$A,weather_2yrs!C:C)</f>
        <v>0.99</v>
      </c>
      <c r="J289">
        <f>_xlfn.XLOOKUP($A289,weather_2yrs!$A:$A,weather_2yrs!D:D)</f>
        <v>1</v>
      </c>
      <c r="K289">
        <f>_xlfn.XLOOKUP($A289,weather_2yrs!$A:$A,weather_2yrs!E:E)</f>
        <v>71.3</v>
      </c>
      <c r="L289">
        <f>_xlfn.XLOOKUP($A289,sales!$A:$A,sales!B:B)</f>
        <v>1</v>
      </c>
      <c r="M289" t="str">
        <f>_xlfn.XLOOKUP($A289,sales!$A:$A,sales!C:C)</f>
        <v>Miami Beach</v>
      </c>
      <c r="N289">
        <f>_xlfn.XLOOKUP($A289,sales!$A:$A,sales!D:D)</f>
        <v>376</v>
      </c>
      <c r="O289">
        <f>_xlfn.XLOOKUP($A289,sales!$A:$A,sales!E:E)</f>
        <v>6396.6</v>
      </c>
      <c r="P289" s="4">
        <f t="shared" si="14"/>
        <v>17.012234042553192</v>
      </c>
    </row>
    <row r="290" spans="1:16" x14ac:dyDescent="0.25">
      <c r="A290" s="1">
        <v>45215</v>
      </c>
      <c r="B290" s="1" t="str">
        <f t="shared" si="12"/>
        <v>Monday</v>
      </c>
      <c r="C290" s="1" t="b">
        <f t="shared" si="13"/>
        <v>0</v>
      </c>
      <c r="D290">
        <f>VLOOKUP($A290,survey_2yrs!A:B, 2)</f>
        <v>47</v>
      </c>
      <c r="E290">
        <f>VLOOKUP($A290,survey_2yrs!$A:C, 3)</f>
        <v>53</v>
      </c>
      <c r="F290">
        <f>VLOOKUP($A290,survey_2yrs!$A:D, 4)</f>
        <v>44.8</v>
      </c>
      <c r="G290">
        <f>_xlfn.XLOOKUP(A290,survey_2yrs!A:A,survey_2yrs!E:E)</f>
        <v>55.2</v>
      </c>
      <c r="H290">
        <f>_xlfn.XLOOKUP($A290,weather_2yrs!$A:$A,weather_2yrs!B:B)</f>
        <v>88.2</v>
      </c>
      <c r="I290">
        <f>_xlfn.XLOOKUP($A290,weather_2yrs!$A:$A,weather_2yrs!C:C)</f>
        <v>0</v>
      </c>
      <c r="J290">
        <f>_xlfn.XLOOKUP($A290,weather_2yrs!$A:$A,weather_2yrs!D:D)</f>
        <v>0</v>
      </c>
      <c r="K290">
        <f>_xlfn.XLOOKUP($A290,weather_2yrs!$A:$A,weather_2yrs!E:E)</f>
        <v>71.3</v>
      </c>
      <c r="L290">
        <f>_xlfn.XLOOKUP($A290,sales!$A:$A,sales!B:B)</f>
        <v>1</v>
      </c>
      <c r="M290" t="str">
        <f>_xlfn.XLOOKUP($A290,sales!$A:$A,sales!C:C)</f>
        <v>Miami Beach</v>
      </c>
      <c r="N290">
        <f>_xlfn.XLOOKUP($A290,sales!$A:$A,sales!D:D)</f>
        <v>362</v>
      </c>
      <c r="O290">
        <f>_xlfn.XLOOKUP($A290,sales!$A:$A,sales!E:E)</f>
        <v>6704.7</v>
      </c>
      <c r="P290" s="4">
        <f t="shared" si="14"/>
        <v>18.521270718232042</v>
      </c>
    </row>
    <row r="291" spans="1:16" x14ac:dyDescent="0.25">
      <c r="A291" s="1">
        <v>45216</v>
      </c>
      <c r="B291" s="1" t="str">
        <f t="shared" si="12"/>
        <v>Tuesday</v>
      </c>
      <c r="C291" s="1" t="b">
        <f t="shared" si="13"/>
        <v>0</v>
      </c>
      <c r="D291">
        <f>VLOOKUP($A291,survey_2yrs!A:B, 2)</f>
        <v>46.7</v>
      </c>
      <c r="E291">
        <f>VLOOKUP($A291,survey_2yrs!$A:C, 3)</f>
        <v>53.3</v>
      </c>
      <c r="F291">
        <f>VLOOKUP($A291,survey_2yrs!$A:D, 4)</f>
        <v>43</v>
      </c>
      <c r="G291">
        <f>_xlfn.XLOOKUP(A291,survey_2yrs!A:A,survey_2yrs!E:E)</f>
        <v>57</v>
      </c>
      <c r="H291">
        <f>_xlfn.XLOOKUP($A291,weather_2yrs!$A:$A,weather_2yrs!B:B)</f>
        <v>89.1</v>
      </c>
      <c r="I291">
        <f>_xlfn.XLOOKUP($A291,weather_2yrs!$A:$A,weather_2yrs!C:C)</f>
        <v>0</v>
      </c>
      <c r="J291">
        <f>_xlfn.XLOOKUP($A291,weather_2yrs!$A:$A,weather_2yrs!D:D)</f>
        <v>0</v>
      </c>
      <c r="K291">
        <f>_xlfn.XLOOKUP($A291,weather_2yrs!$A:$A,weather_2yrs!E:E)</f>
        <v>71.3</v>
      </c>
      <c r="L291">
        <f>_xlfn.XLOOKUP($A291,sales!$A:$A,sales!B:B)</f>
        <v>1</v>
      </c>
      <c r="M291" t="str">
        <f>_xlfn.XLOOKUP($A291,sales!$A:$A,sales!C:C)</f>
        <v>Miami Beach</v>
      </c>
      <c r="N291">
        <f>_xlfn.XLOOKUP($A291,sales!$A:$A,sales!D:D)</f>
        <v>293</v>
      </c>
      <c r="O291">
        <f>_xlfn.XLOOKUP($A291,sales!$A:$A,sales!E:E)</f>
        <v>5384.05</v>
      </c>
      <c r="P291" s="4">
        <f t="shared" si="14"/>
        <v>18.375597269624574</v>
      </c>
    </row>
    <row r="292" spans="1:16" x14ac:dyDescent="0.25">
      <c r="A292" s="1">
        <v>45217</v>
      </c>
      <c r="B292" s="1" t="str">
        <f t="shared" si="12"/>
        <v>Wednesday</v>
      </c>
      <c r="C292" s="1" t="b">
        <f t="shared" si="13"/>
        <v>0</v>
      </c>
      <c r="D292">
        <f>VLOOKUP($A292,survey_2yrs!A:B, 2)</f>
        <v>46.4</v>
      </c>
      <c r="E292">
        <f>VLOOKUP($A292,survey_2yrs!$A:C, 3)</f>
        <v>53.6</v>
      </c>
      <c r="F292">
        <f>VLOOKUP($A292,survey_2yrs!$A:D, 4)</f>
        <v>45.5</v>
      </c>
      <c r="G292">
        <f>_xlfn.XLOOKUP(A292,survey_2yrs!A:A,survey_2yrs!E:E)</f>
        <v>54.5</v>
      </c>
      <c r="H292">
        <f>_xlfn.XLOOKUP($A292,weather_2yrs!$A:$A,weather_2yrs!B:B)</f>
        <v>91.5</v>
      </c>
      <c r="I292">
        <f>_xlfn.XLOOKUP($A292,weather_2yrs!$A:$A,weather_2yrs!C:C)</f>
        <v>0.61</v>
      </c>
      <c r="J292">
        <f>_xlfn.XLOOKUP($A292,weather_2yrs!$A:$A,weather_2yrs!D:D)</f>
        <v>1</v>
      </c>
      <c r="K292">
        <f>_xlfn.XLOOKUP($A292,weather_2yrs!$A:$A,weather_2yrs!E:E)</f>
        <v>74.8</v>
      </c>
      <c r="L292">
        <f>_xlfn.XLOOKUP($A292,sales!$A:$A,sales!B:B)</f>
        <v>1</v>
      </c>
      <c r="M292" t="str">
        <f>_xlfn.XLOOKUP($A292,sales!$A:$A,sales!C:C)</f>
        <v>Miami Beach</v>
      </c>
      <c r="N292">
        <f>_xlfn.XLOOKUP($A292,sales!$A:$A,sales!D:D)</f>
        <v>349</v>
      </c>
      <c r="O292">
        <f>_xlfn.XLOOKUP($A292,sales!$A:$A,sales!E:E)</f>
        <v>6434.54</v>
      </c>
      <c r="P292" s="4">
        <f t="shared" si="14"/>
        <v>18.437077363896847</v>
      </c>
    </row>
    <row r="293" spans="1:16" x14ac:dyDescent="0.25">
      <c r="A293" s="1">
        <v>45218</v>
      </c>
      <c r="B293" s="1" t="str">
        <f t="shared" si="12"/>
        <v>Thursday</v>
      </c>
      <c r="C293" s="1" t="b">
        <f t="shared" si="13"/>
        <v>0</v>
      </c>
      <c r="D293">
        <f>VLOOKUP($A293,survey_2yrs!A:B, 2)</f>
        <v>46.1</v>
      </c>
      <c r="E293">
        <f>VLOOKUP($A293,survey_2yrs!$A:C, 3)</f>
        <v>53.9</v>
      </c>
      <c r="F293">
        <f>VLOOKUP($A293,survey_2yrs!$A:D, 4)</f>
        <v>45.7</v>
      </c>
      <c r="G293">
        <f>_xlfn.XLOOKUP(A293,survey_2yrs!A:A,survey_2yrs!E:E)</f>
        <v>54.3</v>
      </c>
      <c r="H293">
        <f>_xlfn.XLOOKUP($A293,weather_2yrs!$A:$A,weather_2yrs!B:B)</f>
        <v>85.9</v>
      </c>
      <c r="I293">
        <f>_xlfn.XLOOKUP($A293,weather_2yrs!$A:$A,weather_2yrs!C:C)</f>
        <v>0</v>
      </c>
      <c r="J293">
        <f>_xlfn.XLOOKUP($A293,weather_2yrs!$A:$A,weather_2yrs!D:D)</f>
        <v>0</v>
      </c>
      <c r="K293">
        <f>_xlfn.XLOOKUP($A293,weather_2yrs!$A:$A,weather_2yrs!E:E)</f>
        <v>60.1</v>
      </c>
      <c r="L293">
        <f>_xlfn.XLOOKUP($A293,sales!$A:$A,sales!B:B)</f>
        <v>1</v>
      </c>
      <c r="M293" t="str">
        <f>_xlfn.XLOOKUP($A293,sales!$A:$A,sales!C:C)</f>
        <v>Miami Beach</v>
      </c>
      <c r="N293">
        <f>_xlfn.XLOOKUP($A293,sales!$A:$A,sales!D:D)</f>
        <v>323</v>
      </c>
      <c r="O293">
        <f>_xlfn.XLOOKUP($A293,sales!$A:$A,sales!E:E)</f>
        <v>5925.48</v>
      </c>
      <c r="P293" s="4">
        <f t="shared" si="14"/>
        <v>18.345139318885447</v>
      </c>
    </row>
    <row r="294" spans="1:16" x14ac:dyDescent="0.25">
      <c r="A294" s="1">
        <v>45219</v>
      </c>
      <c r="B294" s="1" t="str">
        <f t="shared" si="12"/>
        <v>Friday</v>
      </c>
      <c r="C294" s="1" t="b">
        <f t="shared" si="13"/>
        <v>0</v>
      </c>
      <c r="D294">
        <f>VLOOKUP($A294,survey_2yrs!A:B, 2)</f>
        <v>47.3</v>
      </c>
      <c r="E294">
        <f>VLOOKUP($A294,survey_2yrs!$A:C, 3)</f>
        <v>52.7</v>
      </c>
      <c r="F294">
        <f>VLOOKUP($A294,survey_2yrs!$A:D, 4)</f>
        <v>43.7</v>
      </c>
      <c r="G294">
        <f>_xlfn.XLOOKUP(A294,survey_2yrs!A:A,survey_2yrs!E:E)</f>
        <v>56.3</v>
      </c>
      <c r="H294">
        <f>_xlfn.XLOOKUP($A294,weather_2yrs!$A:$A,weather_2yrs!B:B)</f>
        <v>89.3</v>
      </c>
      <c r="I294">
        <f>_xlfn.XLOOKUP($A294,weather_2yrs!$A:$A,weather_2yrs!C:C)</f>
        <v>0</v>
      </c>
      <c r="J294">
        <f>_xlfn.XLOOKUP($A294,weather_2yrs!$A:$A,weather_2yrs!D:D)</f>
        <v>0</v>
      </c>
      <c r="K294">
        <f>_xlfn.XLOOKUP($A294,weather_2yrs!$A:$A,weather_2yrs!E:E)</f>
        <v>74.8</v>
      </c>
      <c r="L294">
        <f>_xlfn.XLOOKUP($A294,sales!$A:$A,sales!B:B)</f>
        <v>1</v>
      </c>
      <c r="M294" t="str">
        <f>_xlfn.XLOOKUP($A294,sales!$A:$A,sales!C:C)</f>
        <v>Miami Beach</v>
      </c>
      <c r="N294">
        <f>_xlfn.XLOOKUP($A294,sales!$A:$A,sales!D:D)</f>
        <v>314</v>
      </c>
      <c r="O294">
        <f>_xlfn.XLOOKUP($A294,sales!$A:$A,sales!E:E)</f>
        <v>6046.69</v>
      </c>
      <c r="P294" s="4">
        <f t="shared" si="14"/>
        <v>19.256974522292992</v>
      </c>
    </row>
    <row r="295" spans="1:16" x14ac:dyDescent="0.25">
      <c r="A295" s="1">
        <v>45220</v>
      </c>
      <c r="B295" s="1" t="str">
        <f t="shared" si="12"/>
        <v>Saturday</v>
      </c>
      <c r="C295" s="1" t="b">
        <f t="shared" si="13"/>
        <v>1</v>
      </c>
      <c r="D295">
        <f>VLOOKUP($A295,survey_2yrs!A:B, 2)</f>
        <v>46</v>
      </c>
      <c r="E295">
        <f>VLOOKUP($A295,survey_2yrs!$A:C, 3)</f>
        <v>54</v>
      </c>
      <c r="F295">
        <f>VLOOKUP($A295,survey_2yrs!$A:D, 4)</f>
        <v>50.6</v>
      </c>
      <c r="G295">
        <f>_xlfn.XLOOKUP(A295,survey_2yrs!A:A,survey_2yrs!E:E)</f>
        <v>49.4</v>
      </c>
      <c r="H295">
        <f>_xlfn.XLOOKUP($A295,weather_2yrs!$A:$A,weather_2yrs!B:B)</f>
        <v>86</v>
      </c>
      <c r="I295">
        <f>_xlfn.XLOOKUP($A295,weather_2yrs!$A:$A,weather_2yrs!C:C)</f>
        <v>0</v>
      </c>
      <c r="J295">
        <f>_xlfn.XLOOKUP($A295,weather_2yrs!$A:$A,weather_2yrs!D:D)</f>
        <v>0</v>
      </c>
      <c r="K295">
        <f>_xlfn.XLOOKUP($A295,weather_2yrs!$A:$A,weather_2yrs!E:E)</f>
        <v>73.599999999999994</v>
      </c>
      <c r="L295">
        <f>_xlfn.XLOOKUP($A295,sales!$A:$A,sales!B:B)</f>
        <v>1</v>
      </c>
      <c r="M295" t="str">
        <f>_xlfn.XLOOKUP($A295,sales!$A:$A,sales!C:C)</f>
        <v>Miami Beach</v>
      </c>
      <c r="N295">
        <f>_xlfn.XLOOKUP($A295,sales!$A:$A,sales!D:D)</f>
        <v>370</v>
      </c>
      <c r="O295">
        <f>_xlfn.XLOOKUP($A295,sales!$A:$A,sales!E:E)</f>
        <v>7094.63</v>
      </c>
      <c r="P295" s="4">
        <f t="shared" si="14"/>
        <v>19.174675675675676</v>
      </c>
    </row>
    <row r="296" spans="1:16" x14ac:dyDescent="0.25">
      <c r="A296" s="1">
        <v>45221</v>
      </c>
      <c r="B296" s="1" t="str">
        <f t="shared" si="12"/>
        <v>Sunday</v>
      </c>
      <c r="C296" s="1" t="b">
        <f t="shared" si="13"/>
        <v>1</v>
      </c>
      <c r="D296">
        <f>VLOOKUP($A296,survey_2yrs!A:B, 2)</f>
        <v>47.1</v>
      </c>
      <c r="E296">
        <f>VLOOKUP($A296,survey_2yrs!$A:C, 3)</f>
        <v>52.9</v>
      </c>
      <c r="F296">
        <f>VLOOKUP($A296,survey_2yrs!$A:D, 4)</f>
        <v>48.5</v>
      </c>
      <c r="G296">
        <f>_xlfn.XLOOKUP(A296,survey_2yrs!A:A,survey_2yrs!E:E)</f>
        <v>51.5</v>
      </c>
      <c r="H296">
        <f>_xlfn.XLOOKUP($A296,weather_2yrs!$A:$A,weather_2yrs!B:B)</f>
        <v>88.1</v>
      </c>
      <c r="I296">
        <f>_xlfn.XLOOKUP($A296,weather_2yrs!$A:$A,weather_2yrs!C:C)</f>
        <v>0</v>
      </c>
      <c r="J296">
        <f>_xlfn.XLOOKUP($A296,weather_2yrs!$A:$A,weather_2yrs!D:D)</f>
        <v>0</v>
      </c>
      <c r="K296">
        <f>_xlfn.XLOOKUP($A296,weather_2yrs!$A:$A,weather_2yrs!E:E)</f>
        <v>72.3</v>
      </c>
      <c r="L296">
        <f>_xlfn.XLOOKUP($A296,sales!$A:$A,sales!B:B)</f>
        <v>1</v>
      </c>
      <c r="M296" t="str">
        <f>_xlfn.XLOOKUP($A296,sales!$A:$A,sales!C:C)</f>
        <v>Miami Beach</v>
      </c>
      <c r="N296">
        <f>_xlfn.XLOOKUP($A296,sales!$A:$A,sales!D:D)</f>
        <v>356</v>
      </c>
      <c r="O296">
        <f>_xlfn.XLOOKUP($A296,sales!$A:$A,sales!E:E)</f>
        <v>6977.22</v>
      </c>
      <c r="P296" s="4">
        <f t="shared" si="14"/>
        <v>19.598932584269665</v>
      </c>
    </row>
    <row r="297" spans="1:16" x14ac:dyDescent="0.25">
      <c r="A297" s="1">
        <v>45222</v>
      </c>
      <c r="B297" s="1" t="str">
        <f t="shared" si="12"/>
        <v>Monday</v>
      </c>
      <c r="C297" s="1" t="b">
        <f t="shared" si="13"/>
        <v>0</v>
      </c>
      <c r="D297">
        <f>VLOOKUP($A297,survey_2yrs!A:B, 2)</f>
        <v>44.1</v>
      </c>
      <c r="E297">
        <f>VLOOKUP($A297,survey_2yrs!$A:C, 3)</f>
        <v>55.9</v>
      </c>
      <c r="F297">
        <f>VLOOKUP($A297,survey_2yrs!$A:D, 4)</f>
        <v>44.5</v>
      </c>
      <c r="G297">
        <f>_xlfn.XLOOKUP(A297,survey_2yrs!A:A,survey_2yrs!E:E)</f>
        <v>55.5</v>
      </c>
      <c r="H297">
        <f>_xlfn.XLOOKUP($A297,weather_2yrs!$A:$A,weather_2yrs!B:B)</f>
        <v>88.7</v>
      </c>
      <c r="I297">
        <f>_xlfn.XLOOKUP($A297,weather_2yrs!$A:$A,weather_2yrs!C:C)</f>
        <v>0</v>
      </c>
      <c r="J297">
        <f>_xlfn.XLOOKUP($A297,weather_2yrs!$A:$A,weather_2yrs!D:D)</f>
        <v>0</v>
      </c>
      <c r="K297">
        <f>_xlfn.XLOOKUP($A297,weather_2yrs!$A:$A,weather_2yrs!E:E)</f>
        <v>61.6</v>
      </c>
      <c r="L297">
        <f>_xlfn.XLOOKUP($A297,sales!$A:$A,sales!B:B)</f>
        <v>1</v>
      </c>
      <c r="M297" t="str">
        <f>_xlfn.XLOOKUP($A297,sales!$A:$A,sales!C:C)</f>
        <v>Miami Beach</v>
      </c>
      <c r="N297">
        <f>_xlfn.XLOOKUP($A297,sales!$A:$A,sales!D:D)</f>
        <v>293</v>
      </c>
      <c r="O297">
        <f>_xlfn.XLOOKUP($A297,sales!$A:$A,sales!E:E)</f>
        <v>5265.31</v>
      </c>
      <c r="P297" s="4">
        <f t="shared" si="14"/>
        <v>17.970341296928328</v>
      </c>
    </row>
    <row r="298" spans="1:16" x14ac:dyDescent="0.25">
      <c r="A298" s="1">
        <v>45223</v>
      </c>
      <c r="B298" s="1" t="str">
        <f t="shared" si="12"/>
        <v>Tuesday</v>
      </c>
      <c r="C298" s="1" t="b">
        <f t="shared" si="13"/>
        <v>0</v>
      </c>
      <c r="D298">
        <f>VLOOKUP($A298,survey_2yrs!A:B, 2)</f>
        <v>47.5</v>
      </c>
      <c r="E298">
        <f>VLOOKUP($A298,survey_2yrs!$A:C, 3)</f>
        <v>52.5</v>
      </c>
      <c r="F298">
        <f>VLOOKUP($A298,survey_2yrs!$A:D, 4)</f>
        <v>45.2</v>
      </c>
      <c r="G298">
        <f>_xlfn.XLOOKUP(A298,survey_2yrs!A:A,survey_2yrs!E:E)</f>
        <v>54.8</v>
      </c>
      <c r="H298">
        <f>_xlfn.XLOOKUP($A298,weather_2yrs!$A:$A,weather_2yrs!B:B)</f>
        <v>84.1</v>
      </c>
      <c r="I298">
        <f>_xlfn.XLOOKUP($A298,weather_2yrs!$A:$A,weather_2yrs!C:C)</f>
        <v>0</v>
      </c>
      <c r="J298">
        <f>_xlfn.XLOOKUP($A298,weather_2yrs!$A:$A,weather_2yrs!D:D)</f>
        <v>0</v>
      </c>
      <c r="K298">
        <f>_xlfn.XLOOKUP($A298,weather_2yrs!$A:$A,weather_2yrs!E:E)</f>
        <v>72.099999999999994</v>
      </c>
      <c r="L298">
        <f>_xlfn.XLOOKUP($A298,sales!$A:$A,sales!B:B)</f>
        <v>1</v>
      </c>
      <c r="M298" t="str">
        <f>_xlfn.XLOOKUP($A298,sales!$A:$A,sales!C:C)</f>
        <v>Miami Beach</v>
      </c>
      <c r="N298">
        <f>_xlfn.XLOOKUP($A298,sales!$A:$A,sales!D:D)</f>
        <v>299</v>
      </c>
      <c r="O298">
        <f>_xlfn.XLOOKUP($A298,sales!$A:$A,sales!E:E)</f>
        <v>5690.52</v>
      </c>
      <c r="P298" s="4">
        <f t="shared" si="14"/>
        <v>19.031839464882946</v>
      </c>
    </row>
    <row r="299" spans="1:16" x14ac:dyDescent="0.25">
      <c r="A299" s="1">
        <v>45224</v>
      </c>
      <c r="B299" s="1" t="str">
        <f t="shared" si="12"/>
        <v>Wednesday</v>
      </c>
      <c r="C299" s="1" t="b">
        <f t="shared" si="13"/>
        <v>0</v>
      </c>
      <c r="D299">
        <f>VLOOKUP($A299,survey_2yrs!A:B, 2)</f>
        <v>45.2</v>
      </c>
      <c r="E299">
        <f>VLOOKUP($A299,survey_2yrs!$A:C, 3)</f>
        <v>54.8</v>
      </c>
      <c r="F299">
        <f>VLOOKUP($A299,survey_2yrs!$A:D, 4)</f>
        <v>43.9</v>
      </c>
      <c r="G299">
        <f>_xlfn.XLOOKUP(A299,survey_2yrs!A:A,survey_2yrs!E:E)</f>
        <v>56.1</v>
      </c>
      <c r="H299">
        <f>_xlfn.XLOOKUP($A299,weather_2yrs!$A:$A,weather_2yrs!B:B)</f>
        <v>84.2</v>
      </c>
      <c r="I299">
        <f>_xlfn.XLOOKUP($A299,weather_2yrs!$A:$A,weather_2yrs!C:C)</f>
        <v>0</v>
      </c>
      <c r="J299">
        <f>_xlfn.XLOOKUP($A299,weather_2yrs!$A:$A,weather_2yrs!D:D)</f>
        <v>0</v>
      </c>
      <c r="K299">
        <f>_xlfn.XLOOKUP($A299,weather_2yrs!$A:$A,weather_2yrs!E:E)</f>
        <v>68.3</v>
      </c>
      <c r="L299">
        <f>_xlfn.XLOOKUP($A299,sales!$A:$A,sales!B:B)</f>
        <v>1</v>
      </c>
      <c r="M299" t="str">
        <f>_xlfn.XLOOKUP($A299,sales!$A:$A,sales!C:C)</f>
        <v>Miami Beach</v>
      </c>
      <c r="N299">
        <f>_xlfn.XLOOKUP($A299,sales!$A:$A,sales!D:D)</f>
        <v>290</v>
      </c>
      <c r="O299">
        <f>_xlfn.XLOOKUP($A299,sales!$A:$A,sales!E:E)</f>
        <v>5299.51</v>
      </c>
      <c r="P299" s="4">
        <f t="shared" si="14"/>
        <v>18.274172413793103</v>
      </c>
    </row>
    <row r="300" spans="1:16" x14ac:dyDescent="0.25">
      <c r="A300" s="1">
        <v>45225</v>
      </c>
      <c r="B300" s="1" t="str">
        <f t="shared" si="12"/>
        <v>Thursday</v>
      </c>
      <c r="C300" s="1" t="b">
        <f t="shared" si="13"/>
        <v>0</v>
      </c>
      <c r="D300">
        <f>VLOOKUP($A300,survey_2yrs!A:B, 2)</f>
        <v>47.2</v>
      </c>
      <c r="E300">
        <f>VLOOKUP($A300,survey_2yrs!$A:C, 3)</f>
        <v>52.8</v>
      </c>
      <c r="F300">
        <f>VLOOKUP($A300,survey_2yrs!$A:D, 4)</f>
        <v>45.3</v>
      </c>
      <c r="G300">
        <f>_xlfn.XLOOKUP(A300,survey_2yrs!A:A,survey_2yrs!E:E)</f>
        <v>54.7</v>
      </c>
      <c r="H300">
        <f>_xlfn.XLOOKUP($A300,weather_2yrs!$A:$A,weather_2yrs!B:B)</f>
        <v>81.8</v>
      </c>
      <c r="I300">
        <f>_xlfn.XLOOKUP($A300,weather_2yrs!$A:$A,weather_2yrs!C:C)</f>
        <v>0</v>
      </c>
      <c r="J300">
        <f>_xlfn.XLOOKUP($A300,weather_2yrs!$A:$A,weather_2yrs!D:D)</f>
        <v>0</v>
      </c>
      <c r="K300">
        <f>_xlfn.XLOOKUP($A300,weather_2yrs!$A:$A,weather_2yrs!E:E)</f>
        <v>75.8</v>
      </c>
      <c r="L300">
        <f>_xlfn.XLOOKUP($A300,sales!$A:$A,sales!B:B)</f>
        <v>1</v>
      </c>
      <c r="M300" t="str">
        <f>_xlfn.XLOOKUP($A300,sales!$A:$A,sales!C:C)</f>
        <v>Miami Beach</v>
      </c>
      <c r="N300">
        <f>_xlfn.XLOOKUP($A300,sales!$A:$A,sales!D:D)</f>
        <v>295</v>
      </c>
      <c r="O300">
        <f>_xlfn.XLOOKUP($A300,sales!$A:$A,sales!E:E)</f>
        <v>5713.45</v>
      </c>
      <c r="P300" s="4">
        <f t="shared" si="14"/>
        <v>19.367627118644066</v>
      </c>
    </row>
    <row r="301" spans="1:16" x14ac:dyDescent="0.25">
      <c r="A301" s="1">
        <v>45226</v>
      </c>
      <c r="B301" s="1" t="str">
        <f t="shared" si="12"/>
        <v>Friday</v>
      </c>
      <c r="C301" s="1" t="b">
        <f t="shared" si="13"/>
        <v>0</v>
      </c>
      <c r="D301">
        <f>VLOOKUP($A301,survey_2yrs!A:B, 2)</f>
        <v>47.2</v>
      </c>
      <c r="E301">
        <f>VLOOKUP($A301,survey_2yrs!$A:C, 3)</f>
        <v>52.8</v>
      </c>
      <c r="F301">
        <f>VLOOKUP($A301,survey_2yrs!$A:D, 4)</f>
        <v>43.7</v>
      </c>
      <c r="G301">
        <f>_xlfn.XLOOKUP(A301,survey_2yrs!A:A,survey_2yrs!E:E)</f>
        <v>56.3</v>
      </c>
      <c r="H301">
        <f>_xlfn.XLOOKUP($A301,weather_2yrs!$A:$A,weather_2yrs!B:B)</f>
        <v>85.6</v>
      </c>
      <c r="I301">
        <f>_xlfn.XLOOKUP($A301,weather_2yrs!$A:$A,weather_2yrs!C:C)</f>
        <v>0</v>
      </c>
      <c r="J301">
        <f>_xlfn.XLOOKUP($A301,weather_2yrs!$A:$A,weather_2yrs!D:D)</f>
        <v>0</v>
      </c>
      <c r="K301">
        <f>_xlfn.XLOOKUP($A301,weather_2yrs!$A:$A,weather_2yrs!E:E)</f>
        <v>66.8</v>
      </c>
      <c r="L301">
        <f>_xlfn.XLOOKUP($A301,sales!$A:$A,sales!B:B)</f>
        <v>1</v>
      </c>
      <c r="M301" t="str">
        <f>_xlfn.XLOOKUP($A301,sales!$A:$A,sales!C:C)</f>
        <v>Miami Beach</v>
      </c>
      <c r="N301">
        <f>_xlfn.XLOOKUP($A301,sales!$A:$A,sales!D:D)</f>
        <v>290</v>
      </c>
      <c r="O301">
        <f>_xlfn.XLOOKUP($A301,sales!$A:$A,sales!E:E)</f>
        <v>5310.16</v>
      </c>
      <c r="P301" s="4">
        <f t="shared" si="14"/>
        <v>18.310896551724138</v>
      </c>
    </row>
    <row r="302" spans="1:16" x14ac:dyDescent="0.25">
      <c r="A302" s="1">
        <v>45227</v>
      </c>
      <c r="B302" s="1" t="str">
        <f t="shared" si="12"/>
        <v>Saturday</v>
      </c>
      <c r="C302" s="1" t="b">
        <f t="shared" si="13"/>
        <v>1</v>
      </c>
      <c r="D302">
        <f>VLOOKUP($A302,survey_2yrs!A:B, 2)</f>
        <v>46.6</v>
      </c>
      <c r="E302">
        <f>VLOOKUP($A302,survey_2yrs!$A:C, 3)</f>
        <v>53.4</v>
      </c>
      <c r="F302">
        <f>VLOOKUP($A302,survey_2yrs!$A:D, 4)</f>
        <v>48.6</v>
      </c>
      <c r="G302">
        <f>_xlfn.XLOOKUP(A302,survey_2yrs!A:A,survey_2yrs!E:E)</f>
        <v>51.4</v>
      </c>
      <c r="H302">
        <f>_xlfn.XLOOKUP($A302,weather_2yrs!$A:$A,weather_2yrs!B:B)</f>
        <v>86.6</v>
      </c>
      <c r="I302">
        <f>_xlfn.XLOOKUP($A302,weather_2yrs!$A:$A,weather_2yrs!C:C)</f>
        <v>0</v>
      </c>
      <c r="J302">
        <f>_xlfn.XLOOKUP($A302,weather_2yrs!$A:$A,weather_2yrs!D:D)</f>
        <v>0</v>
      </c>
      <c r="K302">
        <f>_xlfn.XLOOKUP($A302,weather_2yrs!$A:$A,weather_2yrs!E:E)</f>
        <v>73.7</v>
      </c>
      <c r="L302">
        <f>_xlfn.XLOOKUP($A302,sales!$A:$A,sales!B:B)</f>
        <v>1</v>
      </c>
      <c r="M302" t="str">
        <f>_xlfn.XLOOKUP($A302,sales!$A:$A,sales!C:C)</f>
        <v>Miami Beach</v>
      </c>
      <c r="N302">
        <f>_xlfn.XLOOKUP($A302,sales!$A:$A,sales!D:D)</f>
        <v>327</v>
      </c>
      <c r="O302">
        <f>_xlfn.XLOOKUP($A302,sales!$A:$A,sales!E:E)</f>
        <v>6512.78</v>
      </c>
      <c r="P302" s="4">
        <f t="shared" si="14"/>
        <v>19.916758409785931</v>
      </c>
    </row>
    <row r="303" spans="1:16" x14ac:dyDescent="0.25">
      <c r="A303" s="1">
        <v>45228</v>
      </c>
      <c r="B303" s="1" t="str">
        <f t="shared" si="12"/>
        <v>Sunday</v>
      </c>
      <c r="C303" s="1" t="b">
        <f t="shared" si="13"/>
        <v>1</v>
      </c>
      <c r="D303">
        <f>VLOOKUP($A303,survey_2yrs!A:B, 2)</f>
        <v>45.7</v>
      </c>
      <c r="E303">
        <f>VLOOKUP($A303,survey_2yrs!$A:C, 3)</f>
        <v>54.3</v>
      </c>
      <c r="F303">
        <f>VLOOKUP($A303,survey_2yrs!$A:D, 4)</f>
        <v>49.1</v>
      </c>
      <c r="G303">
        <f>_xlfn.XLOOKUP(A303,survey_2yrs!A:A,survey_2yrs!E:E)</f>
        <v>50.9</v>
      </c>
      <c r="H303">
        <f>_xlfn.XLOOKUP($A303,weather_2yrs!$A:$A,weather_2yrs!B:B)</f>
        <v>83.4</v>
      </c>
      <c r="I303">
        <f>_xlfn.XLOOKUP($A303,weather_2yrs!$A:$A,weather_2yrs!C:C)</f>
        <v>0.4</v>
      </c>
      <c r="J303">
        <f>_xlfn.XLOOKUP($A303,weather_2yrs!$A:$A,weather_2yrs!D:D)</f>
        <v>1</v>
      </c>
      <c r="K303">
        <f>_xlfn.XLOOKUP($A303,weather_2yrs!$A:$A,weather_2yrs!E:E)</f>
        <v>73.8</v>
      </c>
      <c r="L303">
        <f>_xlfn.XLOOKUP($A303,sales!$A:$A,sales!B:B)</f>
        <v>1</v>
      </c>
      <c r="M303" t="str">
        <f>_xlfn.XLOOKUP($A303,sales!$A:$A,sales!C:C)</f>
        <v>Miami Beach</v>
      </c>
      <c r="N303">
        <f>_xlfn.XLOOKUP($A303,sales!$A:$A,sales!D:D)</f>
        <v>324</v>
      </c>
      <c r="O303">
        <f>_xlfn.XLOOKUP($A303,sales!$A:$A,sales!E:E)</f>
        <v>5755.88</v>
      </c>
      <c r="P303" s="4">
        <f t="shared" si="14"/>
        <v>17.765061728395061</v>
      </c>
    </row>
    <row r="304" spans="1:16" x14ac:dyDescent="0.25">
      <c r="A304" s="1">
        <v>45229</v>
      </c>
      <c r="B304" s="1" t="str">
        <f t="shared" si="12"/>
        <v>Monday</v>
      </c>
      <c r="C304" s="1" t="b">
        <f t="shared" si="13"/>
        <v>0</v>
      </c>
      <c r="D304">
        <f>VLOOKUP($A304,survey_2yrs!A:B, 2)</f>
        <v>45.6</v>
      </c>
      <c r="E304">
        <f>VLOOKUP($A304,survey_2yrs!$A:C, 3)</f>
        <v>54.4</v>
      </c>
      <c r="F304">
        <f>VLOOKUP($A304,survey_2yrs!$A:D, 4)</f>
        <v>44</v>
      </c>
      <c r="G304">
        <f>_xlfn.XLOOKUP(A304,survey_2yrs!A:A,survey_2yrs!E:E)</f>
        <v>56</v>
      </c>
      <c r="H304">
        <f>_xlfn.XLOOKUP($A304,weather_2yrs!$A:$A,weather_2yrs!B:B)</f>
        <v>85.5</v>
      </c>
      <c r="I304">
        <f>_xlfn.XLOOKUP($A304,weather_2yrs!$A:$A,weather_2yrs!C:C)</f>
        <v>0</v>
      </c>
      <c r="J304">
        <f>_xlfn.XLOOKUP($A304,weather_2yrs!$A:$A,weather_2yrs!D:D)</f>
        <v>0</v>
      </c>
      <c r="K304">
        <f>_xlfn.XLOOKUP($A304,weather_2yrs!$A:$A,weather_2yrs!E:E)</f>
        <v>66.7</v>
      </c>
      <c r="L304">
        <f>_xlfn.XLOOKUP($A304,sales!$A:$A,sales!B:B)</f>
        <v>1</v>
      </c>
      <c r="M304" t="str">
        <f>_xlfn.XLOOKUP($A304,sales!$A:$A,sales!C:C)</f>
        <v>Miami Beach</v>
      </c>
      <c r="N304">
        <f>_xlfn.XLOOKUP($A304,sales!$A:$A,sales!D:D)</f>
        <v>302</v>
      </c>
      <c r="O304">
        <f>_xlfn.XLOOKUP($A304,sales!$A:$A,sales!E:E)</f>
        <v>5330.69</v>
      </c>
      <c r="P304" s="4">
        <f t="shared" si="14"/>
        <v>17.651291390728474</v>
      </c>
    </row>
    <row r="305" spans="1:16" x14ac:dyDescent="0.25">
      <c r="A305" s="1">
        <v>45230</v>
      </c>
      <c r="B305" s="1" t="str">
        <f t="shared" si="12"/>
        <v>Tuesday</v>
      </c>
      <c r="C305" s="1" t="b">
        <f t="shared" si="13"/>
        <v>0</v>
      </c>
      <c r="D305">
        <f>VLOOKUP($A305,survey_2yrs!A:B, 2)</f>
        <v>47.1</v>
      </c>
      <c r="E305">
        <f>VLOOKUP($A305,survey_2yrs!$A:C, 3)</f>
        <v>52.9</v>
      </c>
      <c r="F305">
        <f>VLOOKUP($A305,survey_2yrs!$A:D, 4)</f>
        <v>44</v>
      </c>
      <c r="G305">
        <f>_xlfn.XLOOKUP(A305,survey_2yrs!A:A,survey_2yrs!E:E)</f>
        <v>56</v>
      </c>
      <c r="H305">
        <f>_xlfn.XLOOKUP($A305,weather_2yrs!$A:$A,weather_2yrs!B:B)</f>
        <v>86.3</v>
      </c>
      <c r="I305">
        <f>_xlfn.XLOOKUP($A305,weather_2yrs!$A:$A,weather_2yrs!C:C)</f>
        <v>0</v>
      </c>
      <c r="J305">
        <f>_xlfn.XLOOKUP($A305,weather_2yrs!$A:$A,weather_2yrs!D:D)</f>
        <v>0</v>
      </c>
      <c r="K305">
        <f>_xlfn.XLOOKUP($A305,weather_2yrs!$A:$A,weather_2yrs!E:E)</f>
        <v>64.900000000000006</v>
      </c>
      <c r="L305">
        <f>_xlfn.XLOOKUP($A305,sales!$A:$A,sales!B:B)</f>
        <v>1</v>
      </c>
      <c r="M305" t="str">
        <f>_xlfn.XLOOKUP($A305,sales!$A:$A,sales!C:C)</f>
        <v>Miami Beach</v>
      </c>
      <c r="N305">
        <f>_xlfn.XLOOKUP($A305,sales!$A:$A,sales!D:D)</f>
        <v>324</v>
      </c>
      <c r="O305">
        <f>_xlfn.XLOOKUP($A305,sales!$A:$A,sales!E:E)</f>
        <v>6226.2</v>
      </c>
      <c r="P305" s="4">
        <f t="shared" si="14"/>
        <v>19.216666666666665</v>
      </c>
    </row>
    <row r="306" spans="1:16" x14ac:dyDescent="0.25">
      <c r="A306" s="1">
        <v>45231</v>
      </c>
      <c r="B306" s="1" t="str">
        <f t="shared" si="12"/>
        <v>Wednesday</v>
      </c>
      <c r="C306" s="1" t="b">
        <f t="shared" si="13"/>
        <v>0</v>
      </c>
      <c r="D306">
        <f>VLOOKUP($A306,survey_2yrs!A:B, 2)</f>
        <v>45.8</v>
      </c>
      <c r="E306">
        <f>VLOOKUP($A306,survey_2yrs!$A:C, 3)</f>
        <v>54.2</v>
      </c>
      <c r="F306">
        <f>VLOOKUP($A306,survey_2yrs!$A:D, 4)</f>
        <v>44.6</v>
      </c>
      <c r="G306">
        <f>_xlfn.XLOOKUP(A306,survey_2yrs!A:A,survey_2yrs!E:E)</f>
        <v>55.4</v>
      </c>
      <c r="H306">
        <f>_xlfn.XLOOKUP($A306,weather_2yrs!$A:$A,weather_2yrs!B:B)</f>
        <v>89.3</v>
      </c>
      <c r="I306">
        <f>_xlfn.XLOOKUP($A306,weather_2yrs!$A:$A,weather_2yrs!C:C)</f>
        <v>0</v>
      </c>
      <c r="J306">
        <f>_xlfn.XLOOKUP($A306,weather_2yrs!$A:$A,weather_2yrs!D:D)</f>
        <v>0</v>
      </c>
      <c r="K306">
        <f>_xlfn.XLOOKUP($A306,weather_2yrs!$A:$A,weather_2yrs!E:E)</f>
        <v>75.5</v>
      </c>
      <c r="L306">
        <f>_xlfn.XLOOKUP($A306,sales!$A:$A,sales!B:B)</f>
        <v>1</v>
      </c>
      <c r="M306" t="str">
        <f>_xlfn.XLOOKUP($A306,sales!$A:$A,sales!C:C)</f>
        <v>Miami Beach</v>
      </c>
      <c r="N306">
        <f>_xlfn.XLOOKUP($A306,sales!$A:$A,sales!D:D)</f>
        <v>302</v>
      </c>
      <c r="O306">
        <f>_xlfn.XLOOKUP($A306,sales!$A:$A,sales!E:E)</f>
        <v>5679.73</v>
      </c>
      <c r="P306" s="4">
        <f t="shared" si="14"/>
        <v>18.80705298013245</v>
      </c>
    </row>
    <row r="307" spans="1:16" x14ac:dyDescent="0.25">
      <c r="A307" s="1">
        <v>45232</v>
      </c>
      <c r="B307" s="1" t="str">
        <f t="shared" si="12"/>
        <v>Thursday</v>
      </c>
      <c r="C307" s="1" t="b">
        <f t="shared" si="13"/>
        <v>0</v>
      </c>
      <c r="D307">
        <f>VLOOKUP($A307,survey_2yrs!A:B, 2)</f>
        <v>44.7</v>
      </c>
      <c r="E307">
        <f>VLOOKUP($A307,survey_2yrs!$A:C, 3)</f>
        <v>55.3</v>
      </c>
      <c r="F307">
        <f>VLOOKUP($A307,survey_2yrs!$A:D, 4)</f>
        <v>44.1</v>
      </c>
      <c r="G307">
        <f>_xlfn.XLOOKUP(A307,survey_2yrs!A:A,survey_2yrs!E:E)</f>
        <v>55.9</v>
      </c>
      <c r="H307">
        <f>_xlfn.XLOOKUP($A307,weather_2yrs!$A:$A,weather_2yrs!B:B)</f>
        <v>81.8</v>
      </c>
      <c r="I307">
        <f>_xlfn.XLOOKUP($A307,weather_2yrs!$A:$A,weather_2yrs!C:C)</f>
        <v>2.65</v>
      </c>
      <c r="J307">
        <f>_xlfn.XLOOKUP($A307,weather_2yrs!$A:$A,weather_2yrs!D:D)</f>
        <v>1</v>
      </c>
      <c r="K307">
        <f>_xlfn.XLOOKUP($A307,weather_2yrs!$A:$A,weather_2yrs!E:E)</f>
        <v>60.3</v>
      </c>
      <c r="L307">
        <f>_xlfn.XLOOKUP($A307,sales!$A:$A,sales!B:B)</f>
        <v>1</v>
      </c>
      <c r="M307" t="str">
        <f>_xlfn.XLOOKUP($A307,sales!$A:$A,sales!C:C)</f>
        <v>Miami Beach</v>
      </c>
      <c r="N307">
        <f>_xlfn.XLOOKUP($A307,sales!$A:$A,sales!D:D)</f>
        <v>251</v>
      </c>
      <c r="O307">
        <f>_xlfn.XLOOKUP($A307,sales!$A:$A,sales!E:E)</f>
        <v>4904.2</v>
      </c>
      <c r="P307" s="4">
        <f t="shared" si="14"/>
        <v>19.538645418326691</v>
      </c>
    </row>
    <row r="308" spans="1:16" x14ac:dyDescent="0.25">
      <c r="A308" s="1">
        <v>45233</v>
      </c>
      <c r="B308" s="1" t="str">
        <f t="shared" si="12"/>
        <v>Friday</v>
      </c>
      <c r="C308" s="1" t="b">
        <f t="shared" si="13"/>
        <v>0</v>
      </c>
      <c r="D308">
        <f>VLOOKUP($A308,survey_2yrs!A:B, 2)</f>
        <v>46.1</v>
      </c>
      <c r="E308">
        <f>VLOOKUP($A308,survey_2yrs!$A:C, 3)</f>
        <v>53.9</v>
      </c>
      <c r="F308">
        <f>VLOOKUP($A308,survey_2yrs!$A:D, 4)</f>
        <v>44.6</v>
      </c>
      <c r="G308">
        <f>_xlfn.XLOOKUP(A308,survey_2yrs!A:A,survey_2yrs!E:E)</f>
        <v>55.4</v>
      </c>
      <c r="H308">
        <f>_xlfn.XLOOKUP($A308,weather_2yrs!$A:$A,weather_2yrs!B:B)</f>
        <v>92.2</v>
      </c>
      <c r="I308">
        <f>_xlfn.XLOOKUP($A308,weather_2yrs!$A:$A,weather_2yrs!C:C)</f>
        <v>0.94</v>
      </c>
      <c r="J308">
        <f>_xlfn.XLOOKUP($A308,weather_2yrs!$A:$A,weather_2yrs!D:D)</f>
        <v>1</v>
      </c>
      <c r="K308">
        <f>_xlfn.XLOOKUP($A308,weather_2yrs!$A:$A,weather_2yrs!E:E)</f>
        <v>74.400000000000006</v>
      </c>
      <c r="L308">
        <f>_xlfn.XLOOKUP($A308,sales!$A:$A,sales!B:B)</f>
        <v>1</v>
      </c>
      <c r="M308" t="str">
        <f>_xlfn.XLOOKUP($A308,sales!$A:$A,sales!C:C)</f>
        <v>Miami Beach</v>
      </c>
      <c r="N308">
        <f>_xlfn.XLOOKUP($A308,sales!$A:$A,sales!D:D)</f>
        <v>311</v>
      </c>
      <c r="O308">
        <f>_xlfn.XLOOKUP($A308,sales!$A:$A,sales!E:E)</f>
        <v>5609.5</v>
      </c>
      <c r="P308" s="4">
        <f t="shared" si="14"/>
        <v>18.036977491961416</v>
      </c>
    </row>
    <row r="309" spans="1:16" x14ac:dyDescent="0.25">
      <c r="A309" s="1">
        <v>45234</v>
      </c>
      <c r="B309" s="1" t="str">
        <f t="shared" si="12"/>
        <v>Saturday</v>
      </c>
      <c r="C309" s="1" t="b">
        <f t="shared" si="13"/>
        <v>1</v>
      </c>
      <c r="D309">
        <f>VLOOKUP($A309,survey_2yrs!A:B, 2)</f>
        <v>46.1</v>
      </c>
      <c r="E309">
        <f>VLOOKUP($A309,survey_2yrs!$A:C, 3)</f>
        <v>53.9</v>
      </c>
      <c r="F309">
        <f>VLOOKUP($A309,survey_2yrs!$A:D, 4)</f>
        <v>52.4</v>
      </c>
      <c r="G309">
        <f>_xlfn.XLOOKUP(A309,survey_2yrs!A:A,survey_2yrs!E:E)</f>
        <v>47.6</v>
      </c>
      <c r="H309">
        <f>_xlfn.XLOOKUP($A309,weather_2yrs!$A:$A,weather_2yrs!B:B)</f>
        <v>82.8</v>
      </c>
      <c r="I309">
        <f>_xlfn.XLOOKUP($A309,weather_2yrs!$A:$A,weather_2yrs!C:C)</f>
        <v>0.64</v>
      </c>
      <c r="J309">
        <f>_xlfn.XLOOKUP($A309,weather_2yrs!$A:$A,weather_2yrs!D:D)</f>
        <v>1</v>
      </c>
      <c r="K309">
        <f>_xlfn.XLOOKUP($A309,weather_2yrs!$A:$A,weather_2yrs!E:E)</f>
        <v>68.599999999999994</v>
      </c>
      <c r="L309">
        <f>_xlfn.XLOOKUP($A309,sales!$A:$A,sales!B:B)</f>
        <v>1</v>
      </c>
      <c r="M309" t="str">
        <f>_xlfn.XLOOKUP($A309,sales!$A:$A,sales!C:C)</f>
        <v>Miami Beach</v>
      </c>
      <c r="N309">
        <f>_xlfn.XLOOKUP($A309,sales!$A:$A,sales!D:D)</f>
        <v>294</v>
      </c>
      <c r="O309">
        <f>_xlfn.XLOOKUP($A309,sales!$A:$A,sales!E:E)</f>
        <v>4854.43</v>
      </c>
      <c r="P309" s="4">
        <f t="shared" si="14"/>
        <v>16.511666666666667</v>
      </c>
    </row>
    <row r="310" spans="1:16" x14ac:dyDescent="0.25">
      <c r="A310" s="1">
        <v>45235</v>
      </c>
      <c r="B310" s="1" t="str">
        <f t="shared" si="12"/>
        <v>Sunday</v>
      </c>
      <c r="C310" s="1" t="b">
        <f t="shared" si="13"/>
        <v>1</v>
      </c>
      <c r="D310">
        <f>VLOOKUP($A310,survey_2yrs!A:B, 2)</f>
        <v>46.8</v>
      </c>
      <c r="E310">
        <f>VLOOKUP($A310,survey_2yrs!$A:C, 3)</f>
        <v>53.2</v>
      </c>
      <c r="F310">
        <f>VLOOKUP($A310,survey_2yrs!$A:D, 4)</f>
        <v>49</v>
      </c>
      <c r="G310">
        <f>_xlfn.XLOOKUP(A310,survey_2yrs!A:A,survey_2yrs!E:E)</f>
        <v>51</v>
      </c>
      <c r="H310">
        <f>_xlfn.XLOOKUP($A310,weather_2yrs!$A:$A,weather_2yrs!B:B)</f>
        <v>83</v>
      </c>
      <c r="I310">
        <f>_xlfn.XLOOKUP($A310,weather_2yrs!$A:$A,weather_2yrs!C:C)</f>
        <v>0</v>
      </c>
      <c r="J310">
        <f>_xlfn.XLOOKUP($A310,weather_2yrs!$A:$A,weather_2yrs!D:D)</f>
        <v>0</v>
      </c>
      <c r="K310">
        <f>_xlfn.XLOOKUP($A310,weather_2yrs!$A:$A,weather_2yrs!E:E)</f>
        <v>54.7</v>
      </c>
      <c r="L310">
        <f>_xlfn.XLOOKUP($A310,sales!$A:$A,sales!B:B)</f>
        <v>1</v>
      </c>
      <c r="M310" t="str">
        <f>_xlfn.XLOOKUP($A310,sales!$A:$A,sales!C:C)</f>
        <v>Miami Beach</v>
      </c>
      <c r="N310">
        <f>_xlfn.XLOOKUP($A310,sales!$A:$A,sales!D:D)</f>
        <v>335</v>
      </c>
      <c r="O310">
        <f>_xlfn.XLOOKUP($A310,sales!$A:$A,sales!E:E)</f>
        <v>6870.02</v>
      </c>
      <c r="P310" s="4">
        <f t="shared" si="14"/>
        <v>20.507522388059702</v>
      </c>
    </row>
    <row r="311" spans="1:16" x14ac:dyDescent="0.25">
      <c r="A311" s="1">
        <v>45236</v>
      </c>
      <c r="B311" s="1" t="str">
        <f t="shared" si="12"/>
        <v>Monday</v>
      </c>
      <c r="C311" s="1" t="b">
        <f t="shared" si="13"/>
        <v>0</v>
      </c>
      <c r="D311">
        <f>VLOOKUP($A311,survey_2yrs!A:B, 2)</f>
        <v>45.6</v>
      </c>
      <c r="E311">
        <f>VLOOKUP($A311,survey_2yrs!$A:C, 3)</f>
        <v>54.4</v>
      </c>
      <c r="F311">
        <f>VLOOKUP($A311,survey_2yrs!$A:D, 4)</f>
        <v>44.3</v>
      </c>
      <c r="G311">
        <f>_xlfn.XLOOKUP(A311,survey_2yrs!A:A,survey_2yrs!E:E)</f>
        <v>55.7</v>
      </c>
      <c r="H311">
        <f>_xlfn.XLOOKUP($A311,weather_2yrs!$A:$A,weather_2yrs!B:B)</f>
        <v>80.2</v>
      </c>
      <c r="I311">
        <f>_xlfn.XLOOKUP($A311,weather_2yrs!$A:$A,weather_2yrs!C:C)</f>
        <v>0</v>
      </c>
      <c r="J311">
        <f>_xlfn.XLOOKUP($A311,weather_2yrs!$A:$A,weather_2yrs!D:D)</f>
        <v>0</v>
      </c>
      <c r="K311">
        <f>_xlfn.XLOOKUP($A311,weather_2yrs!$A:$A,weather_2yrs!E:E)</f>
        <v>67.099999999999994</v>
      </c>
      <c r="L311">
        <f>_xlfn.XLOOKUP($A311,sales!$A:$A,sales!B:B)</f>
        <v>1</v>
      </c>
      <c r="M311" t="str">
        <f>_xlfn.XLOOKUP($A311,sales!$A:$A,sales!C:C)</f>
        <v>Miami Beach</v>
      </c>
      <c r="N311">
        <f>_xlfn.XLOOKUP($A311,sales!$A:$A,sales!D:D)</f>
        <v>245</v>
      </c>
      <c r="O311">
        <f>_xlfn.XLOOKUP($A311,sales!$A:$A,sales!E:E)</f>
        <v>4707.37</v>
      </c>
      <c r="P311" s="4">
        <f t="shared" si="14"/>
        <v>19.213755102040817</v>
      </c>
    </row>
    <row r="312" spans="1:16" x14ac:dyDescent="0.25">
      <c r="A312" s="1">
        <v>45237</v>
      </c>
      <c r="B312" s="1" t="str">
        <f t="shared" si="12"/>
        <v>Tuesday</v>
      </c>
      <c r="C312" s="1" t="b">
        <f t="shared" si="13"/>
        <v>0</v>
      </c>
      <c r="D312">
        <f>VLOOKUP($A312,survey_2yrs!A:B, 2)</f>
        <v>46.3</v>
      </c>
      <c r="E312">
        <f>VLOOKUP($A312,survey_2yrs!$A:C, 3)</f>
        <v>53.7</v>
      </c>
      <c r="F312">
        <f>VLOOKUP($A312,survey_2yrs!$A:D, 4)</f>
        <v>41.9</v>
      </c>
      <c r="G312">
        <f>_xlfn.XLOOKUP(A312,survey_2yrs!A:A,survey_2yrs!E:E)</f>
        <v>58.1</v>
      </c>
      <c r="H312">
        <f>_xlfn.XLOOKUP($A312,weather_2yrs!$A:$A,weather_2yrs!B:B)</f>
        <v>85.4</v>
      </c>
      <c r="I312">
        <f>_xlfn.XLOOKUP($A312,weather_2yrs!$A:$A,weather_2yrs!C:C)</f>
        <v>0</v>
      </c>
      <c r="J312">
        <f>_xlfn.XLOOKUP($A312,weather_2yrs!$A:$A,weather_2yrs!D:D)</f>
        <v>0</v>
      </c>
      <c r="K312">
        <f>_xlfn.XLOOKUP($A312,weather_2yrs!$A:$A,weather_2yrs!E:E)</f>
        <v>70.3</v>
      </c>
      <c r="L312">
        <f>_xlfn.XLOOKUP($A312,sales!$A:$A,sales!B:B)</f>
        <v>1</v>
      </c>
      <c r="M312" t="str">
        <f>_xlfn.XLOOKUP($A312,sales!$A:$A,sales!C:C)</f>
        <v>Miami Beach</v>
      </c>
      <c r="N312">
        <f>_xlfn.XLOOKUP($A312,sales!$A:$A,sales!D:D)</f>
        <v>274</v>
      </c>
      <c r="O312">
        <f>_xlfn.XLOOKUP($A312,sales!$A:$A,sales!E:E)</f>
        <v>4905.8999999999996</v>
      </c>
      <c r="P312" s="4">
        <f t="shared" si="14"/>
        <v>17.904744525547443</v>
      </c>
    </row>
    <row r="313" spans="1:16" x14ac:dyDescent="0.25">
      <c r="A313" s="1">
        <v>45238</v>
      </c>
      <c r="B313" s="1" t="str">
        <f t="shared" si="12"/>
        <v>Wednesday</v>
      </c>
      <c r="C313" s="1" t="b">
        <f t="shared" si="13"/>
        <v>0</v>
      </c>
      <c r="D313">
        <f>VLOOKUP($A313,survey_2yrs!A:B, 2)</f>
        <v>46.1</v>
      </c>
      <c r="E313">
        <f>VLOOKUP($A313,survey_2yrs!$A:C, 3)</f>
        <v>53.9</v>
      </c>
      <c r="F313">
        <f>VLOOKUP($A313,survey_2yrs!$A:D, 4)</f>
        <v>45</v>
      </c>
      <c r="G313">
        <f>_xlfn.XLOOKUP(A313,survey_2yrs!A:A,survey_2yrs!E:E)</f>
        <v>55</v>
      </c>
      <c r="H313">
        <f>_xlfn.XLOOKUP($A313,weather_2yrs!$A:$A,weather_2yrs!B:B)</f>
        <v>78.900000000000006</v>
      </c>
      <c r="I313">
        <f>_xlfn.XLOOKUP($A313,weather_2yrs!$A:$A,weather_2yrs!C:C)</f>
        <v>0.46</v>
      </c>
      <c r="J313">
        <f>_xlfn.XLOOKUP($A313,weather_2yrs!$A:$A,weather_2yrs!D:D)</f>
        <v>1</v>
      </c>
      <c r="K313">
        <f>_xlfn.XLOOKUP($A313,weather_2yrs!$A:$A,weather_2yrs!E:E)</f>
        <v>66.3</v>
      </c>
      <c r="L313">
        <f>_xlfn.XLOOKUP($A313,sales!$A:$A,sales!B:B)</f>
        <v>1</v>
      </c>
      <c r="M313" t="str">
        <f>_xlfn.XLOOKUP($A313,sales!$A:$A,sales!C:C)</f>
        <v>Miami Beach</v>
      </c>
      <c r="N313">
        <f>_xlfn.XLOOKUP($A313,sales!$A:$A,sales!D:D)</f>
        <v>247</v>
      </c>
      <c r="O313">
        <f>_xlfn.XLOOKUP($A313,sales!$A:$A,sales!E:E)</f>
        <v>4441.92</v>
      </c>
      <c r="P313" s="4">
        <f t="shared" si="14"/>
        <v>17.983481781376518</v>
      </c>
    </row>
    <row r="314" spans="1:16" x14ac:dyDescent="0.25">
      <c r="A314" s="1">
        <v>45239</v>
      </c>
      <c r="B314" s="1" t="str">
        <f t="shared" si="12"/>
        <v>Thursday</v>
      </c>
      <c r="C314" s="1" t="b">
        <f t="shared" si="13"/>
        <v>0</v>
      </c>
      <c r="D314">
        <f>VLOOKUP($A314,survey_2yrs!A:B, 2)</f>
        <v>48</v>
      </c>
      <c r="E314">
        <f>VLOOKUP($A314,survey_2yrs!$A:C, 3)</f>
        <v>52</v>
      </c>
      <c r="F314">
        <f>VLOOKUP($A314,survey_2yrs!$A:D, 4)</f>
        <v>43.5</v>
      </c>
      <c r="G314">
        <f>_xlfn.XLOOKUP(A314,survey_2yrs!A:A,survey_2yrs!E:E)</f>
        <v>56.5</v>
      </c>
      <c r="H314">
        <f>_xlfn.XLOOKUP($A314,weather_2yrs!$A:$A,weather_2yrs!B:B)</f>
        <v>89.1</v>
      </c>
      <c r="I314">
        <f>_xlfn.XLOOKUP($A314,weather_2yrs!$A:$A,weather_2yrs!C:C)</f>
        <v>0.28000000000000003</v>
      </c>
      <c r="J314">
        <f>_xlfn.XLOOKUP($A314,weather_2yrs!$A:$A,weather_2yrs!D:D)</f>
        <v>1</v>
      </c>
      <c r="K314">
        <f>_xlfn.XLOOKUP($A314,weather_2yrs!$A:$A,weather_2yrs!E:E)</f>
        <v>53</v>
      </c>
      <c r="L314">
        <f>_xlfn.XLOOKUP($A314,sales!$A:$A,sales!B:B)</f>
        <v>1</v>
      </c>
      <c r="M314" t="str">
        <f>_xlfn.XLOOKUP($A314,sales!$A:$A,sales!C:C)</f>
        <v>Miami Beach</v>
      </c>
      <c r="N314">
        <f>_xlfn.XLOOKUP($A314,sales!$A:$A,sales!D:D)</f>
        <v>313</v>
      </c>
      <c r="O314">
        <f>_xlfn.XLOOKUP($A314,sales!$A:$A,sales!E:E)</f>
        <v>5437.14</v>
      </c>
      <c r="P314" s="4">
        <f t="shared" si="14"/>
        <v>17.371054313099041</v>
      </c>
    </row>
    <row r="315" spans="1:16" x14ac:dyDescent="0.25">
      <c r="A315" s="1">
        <v>45240</v>
      </c>
      <c r="B315" s="1" t="str">
        <f t="shared" si="12"/>
        <v>Friday</v>
      </c>
      <c r="C315" s="1" t="b">
        <f t="shared" si="13"/>
        <v>0</v>
      </c>
      <c r="D315">
        <f>VLOOKUP($A315,survey_2yrs!A:B, 2)</f>
        <v>47.5</v>
      </c>
      <c r="E315">
        <f>VLOOKUP($A315,survey_2yrs!$A:C, 3)</f>
        <v>52.5</v>
      </c>
      <c r="F315">
        <f>VLOOKUP($A315,survey_2yrs!$A:D, 4)</f>
        <v>42.3</v>
      </c>
      <c r="G315">
        <f>_xlfn.XLOOKUP(A315,survey_2yrs!A:A,survey_2yrs!E:E)</f>
        <v>57.7</v>
      </c>
      <c r="H315">
        <f>_xlfn.XLOOKUP($A315,weather_2yrs!$A:$A,weather_2yrs!B:B)</f>
        <v>77.400000000000006</v>
      </c>
      <c r="I315">
        <f>_xlfn.XLOOKUP($A315,weather_2yrs!$A:$A,weather_2yrs!C:C)</f>
        <v>0</v>
      </c>
      <c r="J315">
        <f>_xlfn.XLOOKUP($A315,weather_2yrs!$A:$A,weather_2yrs!D:D)</f>
        <v>0</v>
      </c>
      <c r="K315">
        <f>_xlfn.XLOOKUP($A315,weather_2yrs!$A:$A,weather_2yrs!E:E)</f>
        <v>70.5</v>
      </c>
      <c r="L315">
        <f>_xlfn.XLOOKUP($A315,sales!$A:$A,sales!B:B)</f>
        <v>1</v>
      </c>
      <c r="M315" t="str">
        <f>_xlfn.XLOOKUP($A315,sales!$A:$A,sales!C:C)</f>
        <v>Miami Beach</v>
      </c>
      <c r="N315">
        <f>_xlfn.XLOOKUP($A315,sales!$A:$A,sales!D:D)</f>
        <v>250</v>
      </c>
      <c r="O315">
        <f>_xlfn.XLOOKUP($A315,sales!$A:$A,sales!E:E)</f>
        <v>4539.3</v>
      </c>
      <c r="P315" s="4">
        <f t="shared" si="14"/>
        <v>18.1572</v>
      </c>
    </row>
    <row r="316" spans="1:16" x14ac:dyDescent="0.25">
      <c r="A316" s="1">
        <v>45241</v>
      </c>
      <c r="B316" s="1" t="str">
        <f t="shared" si="12"/>
        <v>Saturday</v>
      </c>
      <c r="C316" s="1" t="b">
        <f t="shared" si="13"/>
        <v>1</v>
      </c>
      <c r="D316">
        <f>VLOOKUP($A316,survey_2yrs!A:B, 2)</f>
        <v>46.7</v>
      </c>
      <c r="E316">
        <f>VLOOKUP($A316,survey_2yrs!$A:C, 3)</f>
        <v>53.3</v>
      </c>
      <c r="F316">
        <f>VLOOKUP($A316,survey_2yrs!$A:D, 4)</f>
        <v>50.6</v>
      </c>
      <c r="G316">
        <f>_xlfn.XLOOKUP(A316,survey_2yrs!A:A,survey_2yrs!E:E)</f>
        <v>49.4</v>
      </c>
      <c r="H316">
        <f>_xlfn.XLOOKUP($A316,weather_2yrs!$A:$A,weather_2yrs!B:B)</f>
        <v>86.7</v>
      </c>
      <c r="I316">
        <f>_xlfn.XLOOKUP($A316,weather_2yrs!$A:$A,weather_2yrs!C:C)</f>
        <v>0.41</v>
      </c>
      <c r="J316">
        <f>_xlfn.XLOOKUP($A316,weather_2yrs!$A:$A,weather_2yrs!D:D)</f>
        <v>1</v>
      </c>
      <c r="K316">
        <f>_xlfn.XLOOKUP($A316,weather_2yrs!$A:$A,weather_2yrs!E:E)</f>
        <v>59.4</v>
      </c>
      <c r="L316">
        <f>_xlfn.XLOOKUP($A316,sales!$A:$A,sales!B:B)</f>
        <v>1</v>
      </c>
      <c r="M316" t="str">
        <f>_xlfn.XLOOKUP($A316,sales!$A:$A,sales!C:C)</f>
        <v>Miami Beach</v>
      </c>
      <c r="N316">
        <f>_xlfn.XLOOKUP($A316,sales!$A:$A,sales!D:D)</f>
        <v>339</v>
      </c>
      <c r="O316">
        <f>_xlfn.XLOOKUP($A316,sales!$A:$A,sales!E:E)</f>
        <v>5932.61</v>
      </c>
      <c r="P316" s="4">
        <f t="shared" si="14"/>
        <v>17.50032448377581</v>
      </c>
    </row>
    <row r="317" spans="1:16" x14ac:dyDescent="0.25">
      <c r="A317" s="1">
        <v>45242</v>
      </c>
      <c r="B317" s="1" t="str">
        <f t="shared" si="12"/>
        <v>Sunday</v>
      </c>
      <c r="C317" s="1" t="b">
        <f t="shared" si="13"/>
        <v>1</v>
      </c>
      <c r="D317">
        <f>VLOOKUP($A317,survey_2yrs!A:B, 2)</f>
        <v>45</v>
      </c>
      <c r="E317">
        <f>VLOOKUP($A317,survey_2yrs!$A:C, 3)</f>
        <v>55</v>
      </c>
      <c r="F317">
        <f>VLOOKUP($A317,survey_2yrs!$A:D, 4)</f>
        <v>48.6</v>
      </c>
      <c r="G317">
        <f>_xlfn.XLOOKUP(A317,survey_2yrs!A:A,survey_2yrs!E:E)</f>
        <v>51.4</v>
      </c>
      <c r="H317">
        <f>_xlfn.XLOOKUP($A317,weather_2yrs!$A:$A,weather_2yrs!B:B)</f>
        <v>83.5</v>
      </c>
      <c r="I317">
        <f>_xlfn.XLOOKUP($A317,weather_2yrs!$A:$A,weather_2yrs!C:C)</f>
        <v>0.61</v>
      </c>
      <c r="J317">
        <f>_xlfn.XLOOKUP($A317,weather_2yrs!$A:$A,weather_2yrs!D:D)</f>
        <v>1</v>
      </c>
      <c r="K317">
        <f>_xlfn.XLOOKUP($A317,weather_2yrs!$A:$A,weather_2yrs!E:E)</f>
        <v>54.8</v>
      </c>
      <c r="L317">
        <f>_xlfn.XLOOKUP($A317,sales!$A:$A,sales!B:B)</f>
        <v>1</v>
      </c>
      <c r="M317" t="str">
        <f>_xlfn.XLOOKUP($A317,sales!$A:$A,sales!C:C)</f>
        <v>Miami Beach</v>
      </c>
      <c r="N317">
        <f>_xlfn.XLOOKUP($A317,sales!$A:$A,sales!D:D)</f>
        <v>336</v>
      </c>
      <c r="O317">
        <f>_xlfn.XLOOKUP($A317,sales!$A:$A,sales!E:E)</f>
        <v>5974.94</v>
      </c>
      <c r="P317" s="4">
        <f t="shared" si="14"/>
        <v>17.782559523809521</v>
      </c>
    </row>
    <row r="318" spans="1:16" x14ac:dyDescent="0.25">
      <c r="A318" s="1">
        <v>45243</v>
      </c>
      <c r="B318" s="1" t="str">
        <f t="shared" si="12"/>
        <v>Monday</v>
      </c>
      <c r="C318" s="1" t="b">
        <f t="shared" si="13"/>
        <v>0</v>
      </c>
      <c r="D318">
        <f>VLOOKUP($A318,survey_2yrs!A:B, 2)</f>
        <v>48</v>
      </c>
      <c r="E318">
        <f>VLOOKUP($A318,survey_2yrs!$A:C, 3)</f>
        <v>52</v>
      </c>
      <c r="F318">
        <f>VLOOKUP($A318,survey_2yrs!$A:D, 4)</f>
        <v>44.1</v>
      </c>
      <c r="G318">
        <f>_xlfn.XLOOKUP(A318,survey_2yrs!A:A,survey_2yrs!E:E)</f>
        <v>55.9</v>
      </c>
      <c r="H318">
        <f>_xlfn.XLOOKUP($A318,weather_2yrs!$A:$A,weather_2yrs!B:B)</f>
        <v>79.400000000000006</v>
      </c>
      <c r="I318">
        <f>_xlfn.XLOOKUP($A318,weather_2yrs!$A:$A,weather_2yrs!C:C)</f>
        <v>0</v>
      </c>
      <c r="J318">
        <f>_xlfn.XLOOKUP($A318,weather_2yrs!$A:$A,weather_2yrs!D:D)</f>
        <v>0</v>
      </c>
      <c r="K318">
        <f>_xlfn.XLOOKUP($A318,weather_2yrs!$A:$A,weather_2yrs!E:E)</f>
        <v>57</v>
      </c>
      <c r="L318">
        <f>_xlfn.XLOOKUP($A318,sales!$A:$A,sales!B:B)</f>
        <v>1</v>
      </c>
      <c r="M318" t="str">
        <f>_xlfn.XLOOKUP($A318,sales!$A:$A,sales!C:C)</f>
        <v>Miami Beach</v>
      </c>
      <c r="N318">
        <f>_xlfn.XLOOKUP($A318,sales!$A:$A,sales!D:D)</f>
        <v>291</v>
      </c>
      <c r="O318">
        <f>_xlfn.XLOOKUP($A318,sales!$A:$A,sales!E:E)</f>
        <v>5124.29</v>
      </c>
      <c r="P318" s="4">
        <f t="shared" si="14"/>
        <v>17.609243986254295</v>
      </c>
    </row>
    <row r="319" spans="1:16" x14ac:dyDescent="0.25">
      <c r="A319" s="1">
        <v>45244</v>
      </c>
      <c r="B319" s="1" t="str">
        <f t="shared" si="12"/>
        <v>Tuesday</v>
      </c>
      <c r="C319" s="1" t="b">
        <f t="shared" si="13"/>
        <v>0</v>
      </c>
      <c r="D319">
        <f>VLOOKUP($A319,survey_2yrs!A:B, 2)</f>
        <v>47.8</v>
      </c>
      <c r="E319">
        <f>VLOOKUP($A319,survey_2yrs!$A:C, 3)</f>
        <v>52.2</v>
      </c>
      <c r="F319">
        <f>VLOOKUP($A319,survey_2yrs!$A:D, 4)</f>
        <v>43.5</v>
      </c>
      <c r="G319">
        <f>_xlfn.XLOOKUP(A319,survey_2yrs!A:A,survey_2yrs!E:E)</f>
        <v>56.5</v>
      </c>
      <c r="H319">
        <f>_xlfn.XLOOKUP($A319,weather_2yrs!$A:$A,weather_2yrs!B:B)</f>
        <v>86.2</v>
      </c>
      <c r="I319">
        <f>_xlfn.XLOOKUP($A319,weather_2yrs!$A:$A,weather_2yrs!C:C)</f>
        <v>0</v>
      </c>
      <c r="J319">
        <f>_xlfn.XLOOKUP($A319,weather_2yrs!$A:$A,weather_2yrs!D:D)</f>
        <v>0</v>
      </c>
      <c r="K319">
        <f>_xlfn.XLOOKUP($A319,weather_2yrs!$A:$A,weather_2yrs!E:E)</f>
        <v>63.9</v>
      </c>
      <c r="L319">
        <f>_xlfn.XLOOKUP($A319,sales!$A:$A,sales!B:B)</f>
        <v>1</v>
      </c>
      <c r="M319" t="str">
        <f>_xlfn.XLOOKUP($A319,sales!$A:$A,sales!C:C)</f>
        <v>Miami Beach</v>
      </c>
      <c r="N319">
        <f>_xlfn.XLOOKUP($A319,sales!$A:$A,sales!D:D)</f>
        <v>285</v>
      </c>
      <c r="O319">
        <f>_xlfn.XLOOKUP($A319,sales!$A:$A,sales!E:E)</f>
        <v>5577.02</v>
      </c>
      <c r="P319" s="4">
        <f t="shared" si="14"/>
        <v>19.568491228070176</v>
      </c>
    </row>
    <row r="320" spans="1:16" x14ac:dyDescent="0.25">
      <c r="A320" s="1">
        <v>45245</v>
      </c>
      <c r="B320" s="1" t="str">
        <f t="shared" si="12"/>
        <v>Wednesday</v>
      </c>
      <c r="C320" s="1" t="b">
        <f t="shared" si="13"/>
        <v>0</v>
      </c>
      <c r="D320">
        <f>VLOOKUP($A320,survey_2yrs!A:B, 2)</f>
        <v>47.7</v>
      </c>
      <c r="E320">
        <f>VLOOKUP($A320,survey_2yrs!$A:C, 3)</f>
        <v>52.3</v>
      </c>
      <c r="F320">
        <f>VLOOKUP($A320,survey_2yrs!$A:D, 4)</f>
        <v>45.6</v>
      </c>
      <c r="G320">
        <f>_xlfn.XLOOKUP(A320,survey_2yrs!A:A,survey_2yrs!E:E)</f>
        <v>54.4</v>
      </c>
      <c r="H320">
        <f>_xlfn.XLOOKUP($A320,weather_2yrs!$A:$A,weather_2yrs!B:B)</f>
        <v>80.8</v>
      </c>
      <c r="I320">
        <f>_xlfn.XLOOKUP($A320,weather_2yrs!$A:$A,weather_2yrs!C:C)</f>
        <v>0</v>
      </c>
      <c r="J320">
        <f>_xlfn.XLOOKUP($A320,weather_2yrs!$A:$A,weather_2yrs!D:D)</f>
        <v>0</v>
      </c>
      <c r="K320">
        <f>_xlfn.XLOOKUP($A320,weather_2yrs!$A:$A,weather_2yrs!E:E)</f>
        <v>63.6</v>
      </c>
      <c r="L320">
        <f>_xlfn.XLOOKUP($A320,sales!$A:$A,sales!B:B)</f>
        <v>1</v>
      </c>
      <c r="M320" t="str">
        <f>_xlfn.XLOOKUP($A320,sales!$A:$A,sales!C:C)</f>
        <v>Miami Beach</v>
      </c>
      <c r="N320">
        <f>_xlfn.XLOOKUP($A320,sales!$A:$A,sales!D:D)</f>
        <v>265</v>
      </c>
      <c r="O320">
        <f>_xlfn.XLOOKUP($A320,sales!$A:$A,sales!E:E)</f>
        <v>5021.5600000000004</v>
      </c>
      <c r="P320" s="4">
        <f t="shared" si="14"/>
        <v>18.949283018867927</v>
      </c>
    </row>
    <row r="321" spans="1:16" x14ac:dyDescent="0.25">
      <c r="A321" s="1">
        <v>45246</v>
      </c>
      <c r="B321" s="1" t="str">
        <f t="shared" si="12"/>
        <v>Thursday</v>
      </c>
      <c r="C321" s="1" t="b">
        <f t="shared" si="13"/>
        <v>0</v>
      </c>
      <c r="D321">
        <f>VLOOKUP($A321,survey_2yrs!A:B, 2)</f>
        <v>47.1</v>
      </c>
      <c r="E321">
        <f>VLOOKUP($A321,survey_2yrs!$A:C, 3)</f>
        <v>52.9</v>
      </c>
      <c r="F321">
        <f>VLOOKUP($A321,survey_2yrs!$A:D, 4)</f>
        <v>44.6</v>
      </c>
      <c r="G321">
        <f>_xlfn.XLOOKUP(A321,survey_2yrs!A:A,survey_2yrs!E:E)</f>
        <v>55.4</v>
      </c>
      <c r="H321">
        <f>_xlfn.XLOOKUP($A321,weather_2yrs!$A:$A,weather_2yrs!B:B)</f>
        <v>81.2</v>
      </c>
      <c r="I321">
        <f>_xlfn.XLOOKUP($A321,weather_2yrs!$A:$A,weather_2yrs!C:C)</f>
        <v>0</v>
      </c>
      <c r="J321">
        <f>_xlfn.XLOOKUP($A321,weather_2yrs!$A:$A,weather_2yrs!D:D)</f>
        <v>0</v>
      </c>
      <c r="K321">
        <f>_xlfn.XLOOKUP($A321,weather_2yrs!$A:$A,weather_2yrs!E:E)</f>
        <v>58.5</v>
      </c>
      <c r="L321">
        <f>_xlfn.XLOOKUP($A321,sales!$A:$A,sales!B:B)</f>
        <v>1</v>
      </c>
      <c r="M321" t="str">
        <f>_xlfn.XLOOKUP($A321,sales!$A:$A,sales!C:C)</f>
        <v>Miami Beach</v>
      </c>
      <c r="N321">
        <f>_xlfn.XLOOKUP($A321,sales!$A:$A,sales!D:D)</f>
        <v>274</v>
      </c>
      <c r="O321">
        <f>_xlfn.XLOOKUP($A321,sales!$A:$A,sales!E:E)</f>
        <v>4945.84</v>
      </c>
      <c r="P321" s="4">
        <f t="shared" si="14"/>
        <v>18.05051094890511</v>
      </c>
    </row>
    <row r="322" spans="1:16" x14ac:dyDescent="0.25">
      <c r="A322" s="1">
        <v>45247</v>
      </c>
      <c r="B322" s="1" t="str">
        <f t="shared" si="12"/>
        <v>Friday</v>
      </c>
      <c r="C322" s="1" t="b">
        <f t="shared" si="13"/>
        <v>0</v>
      </c>
      <c r="D322">
        <f>VLOOKUP($A322,survey_2yrs!A:B, 2)</f>
        <v>46.2</v>
      </c>
      <c r="E322">
        <f>VLOOKUP($A322,survey_2yrs!$A:C, 3)</f>
        <v>53.8</v>
      </c>
      <c r="F322">
        <f>VLOOKUP($A322,survey_2yrs!$A:D, 4)</f>
        <v>46</v>
      </c>
      <c r="G322">
        <f>_xlfn.XLOOKUP(A322,survey_2yrs!A:A,survey_2yrs!E:E)</f>
        <v>54</v>
      </c>
      <c r="H322">
        <f>_xlfn.XLOOKUP($A322,weather_2yrs!$A:$A,weather_2yrs!B:B)</f>
        <v>79.2</v>
      </c>
      <c r="I322">
        <f>_xlfn.XLOOKUP($A322,weather_2yrs!$A:$A,weather_2yrs!C:C)</f>
        <v>1.1599999999999999</v>
      </c>
      <c r="J322">
        <f>_xlfn.XLOOKUP($A322,weather_2yrs!$A:$A,weather_2yrs!D:D)</f>
        <v>1</v>
      </c>
      <c r="K322">
        <f>_xlfn.XLOOKUP($A322,weather_2yrs!$A:$A,weather_2yrs!E:E)</f>
        <v>61.4</v>
      </c>
      <c r="L322">
        <f>_xlfn.XLOOKUP($A322,sales!$A:$A,sales!B:B)</f>
        <v>1</v>
      </c>
      <c r="M322" t="str">
        <f>_xlfn.XLOOKUP($A322,sales!$A:$A,sales!C:C)</f>
        <v>Miami Beach</v>
      </c>
      <c r="N322">
        <f>_xlfn.XLOOKUP($A322,sales!$A:$A,sales!D:D)</f>
        <v>256</v>
      </c>
      <c r="O322">
        <f>_xlfn.XLOOKUP($A322,sales!$A:$A,sales!E:E)</f>
        <v>4311.91</v>
      </c>
      <c r="P322" s="4">
        <f t="shared" si="14"/>
        <v>16.843398437499999</v>
      </c>
    </row>
    <row r="323" spans="1:16" x14ac:dyDescent="0.25">
      <c r="A323" s="1">
        <v>45248</v>
      </c>
      <c r="B323" s="1" t="str">
        <f t="shared" ref="B323:B386" si="15">TEXT(A323, "dddd")</f>
        <v>Saturday</v>
      </c>
      <c r="C323" s="1" t="b">
        <f t="shared" ref="C323:C386" si="16">IF(WEEKDAY(A323,2)&gt;5,TRUE,FALSE)</f>
        <v>1</v>
      </c>
      <c r="D323">
        <f>VLOOKUP($A323,survey_2yrs!A:B, 2)</f>
        <v>45</v>
      </c>
      <c r="E323">
        <f>VLOOKUP($A323,survey_2yrs!$A:C, 3)</f>
        <v>55</v>
      </c>
      <c r="F323">
        <f>VLOOKUP($A323,survey_2yrs!$A:D, 4)</f>
        <v>50.4</v>
      </c>
      <c r="G323">
        <f>_xlfn.XLOOKUP(A323,survey_2yrs!A:A,survey_2yrs!E:E)</f>
        <v>49.6</v>
      </c>
      <c r="H323">
        <f>_xlfn.XLOOKUP($A323,weather_2yrs!$A:$A,weather_2yrs!B:B)</f>
        <v>86.7</v>
      </c>
      <c r="I323">
        <f>_xlfn.XLOOKUP($A323,weather_2yrs!$A:$A,weather_2yrs!C:C)</f>
        <v>0</v>
      </c>
      <c r="J323">
        <f>_xlfn.XLOOKUP($A323,weather_2yrs!$A:$A,weather_2yrs!D:D)</f>
        <v>0</v>
      </c>
      <c r="K323">
        <f>_xlfn.XLOOKUP($A323,weather_2yrs!$A:$A,weather_2yrs!E:E)</f>
        <v>68.8</v>
      </c>
      <c r="L323">
        <f>_xlfn.XLOOKUP($A323,sales!$A:$A,sales!B:B)</f>
        <v>1</v>
      </c>
      <c r="M323" t="str">
        <f>_xlfn.XLOOKUP($A323,sales!$A:$A,sales!C:C)</f>
        <v>Miami Beach</v>
      </c>
      <c r="N323">
        <f>_xlfn.XLOOKUP($A323,sales!$A:$A,sales!D:D)</f>
        <v>349</v>
      </c>
      <c r="O323">
        <f>_xlfn.XLOOKUP($A323,sales!$A:$A,sales!E:E)</f>
        <v>6443</v>
      </c>
      <c r="P323" s="4">
        <f t="shared" ref="P323:P386" si="17">O323/N323</f>
        <v>18.46131805157593</v>
      </c>
    </row>
    <row r="324" spans="1:16" x14ac:dyDescent="0.25">
      <c r="A324" s="1">
        <v>45249</v>
      </c>
      <c r="B324" s="1" t="str">
        <f t="shared" si="15"/>
        <v>Sunday</v>
      </c>
      <c r="C324" s="1" t="b">
        <f t="shared" si="16"/>
        <v>1</v>
      </c>
      <c r="D324">
        <f>VLOOKUP($A324,survey_2yrs!A:B, 2)</f>
        <v>47</v>
      </c>
      <c r="E324">
        <f>VLOOKUP($A324,survey_2yrs!$A:C, 3)</f>
        <v>53</v>
      </c>
      <c r="F324">
        <f>VLOOKUP($A324,survey_2yrs!$A:D, 4)</f>
        <v>48</v>
      </c>
      <c r="G324">
        <f>_xlfn.XLOOKUP(A324,survey_2yrs!A:A,survey_2yrs!E:E)</f>
        <v>52</v>
      </c>
      <c r="H324">
        <f>_xlfn.XLOOKUP($A324,weather_2yrs!$A:$A,weather_2yrs!B:B)</f>
        <v>83.7</v>
      </c>
      <c r="I324">
        <f>_xlfn.XLOOKUP($A324,weather_2yrs!$A:$A,weather_2yrs!C:C)</f>
        <v>1.03</v>
      </c>
      <c r="J324">
        <f>_xlfn.XLOOKUP($A324,weather_2yrs!$A:$A,weather_2yrs!D:D)</f>
        <v>1</v>
      </c>
      <c r="K324">
        <f>_xlfn.XLOOKUP($A324,weather_2yrs!$A:$A,weather_2yrs!E:E)</f>
        <v>55</v>
      </c>
      <c r="L324">
        <f>_xlfn.XLOOKUP($A324,sales!$A:$A,sales!B:B)</f>
        <v>1</v>
      </c>
      <c r="M324" t="str">
        <f>_xlfn.XLOOKUP($A324,sales!$A:$A,sales!C:C)</f>
        <v>Miami Beach</v>
      </c>
      <c r="N324">
        <f>_xlfn.XLOOKUP($A324,sales!$A:$A,sales!D:D)</f>
        <v>296</v>
      </c>
      <c r="O324">
        <f>_xlfn.XLOOKUP($A324,sales!$A:$A,sales!E:E)</f>
        <v>5744.18</v>
      </c>
      <c r="P324" s="4">
        <f t="shared" si="17"/>
        <v>19.406013513513514</v>
      </c>
    </row>
    <row r="325" spans="1:16" x14ac:dyDescent="0.25">
      <c r="A325" s="1">
        <v>45250</v>
      </c>
      <c r="B325" s="1" t="str">
        <f t="shared" si="15"/>
        <v>Monday</v>
      </c>
      <c r="C325" s="1" t="b">
        <f t="shared" si="16"/>
        <v>0</v>
      </c>
      <c r="D325">
        <f>VLOOKUP($A325,survey_2yrs!A:B, 2)</f>
        <v>48</v>
      </c>
      <c r="E325">
        <f>VLOOKUP($A325,survey_2yrs!$A:C, 3)</f>
        <v>52</v>
      </c>
      <c r="F325">
        <f>VLOOKUP($A325,survey_2yrs!$A:D, 4)</f>
        <v>44.9</v>
      </c>
      <c r="G325">
        <f>_xlfn.XLOOKUP(A325,survey_2yrs!A:A,survey_2yrs!E:E)</f>
        <v>55.1</v>
      </c>
      <c r="H325">
        <f>_xlfn.XLOOKUP($A325,weather_2yrs!$A:$A,weather_2yrs!B:B)</f>
        <v>78.8</v>
      </c>
      <c r="I325">
        <f>_xlfn.XLOOKUP($A325,weather_2yrs!$A:$A,weather_2yrs!C:C)</f>
        <v>0</v>
      </c>
      <c r="J325">
        <f>_xlfn.XLOOKUP($A325,weather_2yrs!$A:$A,weather_2yrs!D:D)</f>
        <v>0</v>
      </c>
      <c r="K325">
        <f>_xlfn.XLOOKUP($A325,weather_2yrs!$A:$A,weather_2yrs!E:E)</f>
        <v>59.8</v>
      </c>
      <c r="L325">
        <f>_xlfn.XLOOKUP($A325,sales!$A:$A,sales!B:B)</f>
        <v>1</v>
      </c>
      <c r="M325" t="str">
        <f>_xlfn.XLOOKUP($A325,sales!$A:$A,sales!C:C)</f>
        <v>Miami Beach</v>
      </c>
      <c r="N325">
        <f>_xlfn.XLOOKUP($A325,sales!$A:$A,sales!D:D)</f>
        <v>271</v>
      </c>
      <c r="O325">
        <f>_xlfn.XLOOKUP($A325,sales!$A:$A,sales!E:E)</f>
        <v>4806.8999999999996</v>
      </c>
      <c r="P325" s="4">
        <f t="shared" si="17"/>
        <v>17.737638376383764</v>
      </c>
    </row>
    <row r="326" spans="1:16" x14ac:dyDescent="0.25">
      <c r="A326" s="1">
        <v>45251</v>
      </c>
      <c r="B326" s="1" t="str">
        <f t="shared" si="15"/>
        <v>Tuesday</v>
      </c>
      <c r="C326" s="1" t="b">
        <f t="shared" si="16"/>
        <v>0</v>
      </c>
      <c r="D326">
        <f>VLOOKUP($A326,survey_2yrs!A:B, 2)</f>
        <v>45.7</v>
      </c>
      <c r="E326">
        <f>VLOOKUP($A326,survey_2yrs!$A:C, 3)</f>
        <v>54.3</v>
      </c>
      <c r="F326">
        <f>VLOOKUP($A326,survey_2yrs!$A:D, 4)</f>
        <v>44.8</v>
      </c>
      <c r="G326">
        <f>_xlfn.XLOOKUP(A326,survey_2yrs!A:A,survey_2yrs!E:E)</f>
        <v>55.2</v>
      </c>
      <c r="H326">
        <f>_xlfn.XLOOKUP($A326,weather_2yrs!$A:$A,weather_2yrs!B:B)</f>
        <v>80.5</v>
      </c>
      <c r="I326">
        <f>_xlfn.XLOOKUP($A326,weather_2yrs!$A:$A,weather_2yrs!C:C)</f>
        <v>0</v>
      </c>
      <c r="J326">
        <f>_xlfn.XLOOKUP($A326,weather_2yrs!$A:$A,weather_2yrs!D:D)</f>
        <v>0</v>
      </c>
      <c r="K326">
        <f>_xlfn.XLOOKUP($A326,weather_2yrs!$A:$A,weather_2yrs!E:E)</f>
        <v>68.3</v>
      </c>
      <c r="L326">
        <f>_xlfn.XLOOKUP($A326,sales!$A:$A,sales!B:B)</f>
        <v>1</v>
      </c>
      <c r="M326" t="str">
        <f>_xlfn.XLOOKUP($A326,sales!$A:$A,sales!C:C)</f>
        <v>Miami Beach</v>
      </c>
      <c r="N326">
        <f>_xlfn.XLOOKUP($A326,sales!$A:$A,sales!D:D)</f>
        <v>273</v>
      </c>
      <c r="O326">
        <f>_xlfn.XLOOKUP($A326,sales!$A:$A,sales!E:E)</f>
        <v>4967.47</v>
      </c>
      <c r="P326" s="4">
        <f t="shared" si="17"/>
        <v>18.195860805860807</v>
      </c>
    </row>
    <row r="327" spans="1:16" x14ac:dyDescent="0.25">
      <c r="A327" s="1">
        <v>45252</v>
      </c>
      <c r="B327" s="1" t="str">
        <f t="shared" si="15"/>
        <v>Wednesday</v>
      </c>
      <c r="C327" s="1" t="b">
        <f t="shared" si="16"/>
        <v>0</v>
      </c>
      <c r="D327">
        <f>VLOOKUP($A327,survey_2yrs!A:B, 2)</f>
        <v>45.2</v>
      </c>
      <c r="E327">
        <f>VLOOKUP($A327,survey_2yrs!$A:C, 3)</f>
        <v>54.8</v>
      </c>
      <c r="F327">
        <f>VLOOKUP($A327,survey_2yrs!$A:D, 4)</f>
        <v>43.3</v>
      </c>
      <c r="G327">
        <f>_xlfn.XLOOKUP(A327,survey_2yrs!A:A,survey_2yrs!E:E)</f>
        <v>56.7</v>
      </c>
      <c r="H327">
        <f>_xlfn.XLOOKUP($A327,weather_2yrs!$A:$A,weather_2yrs!B:B)</f>
        <v>83</v>
      </c>
      <c r="I327">
        <f>_xlfn.XLOOKUP($A327,weather_2yrs!$A:$A,weather_2yrs!C:C)</f>
        <v>0</v>
      </c>
      <c r="J327">
        <f>_xlfn.XLOOKUP($A327,weather_2yrs!$A:$A,weather_2yrs!D:D)</f>
        <v>0</v>
      </c>
      <c r="K327">
        <f>_xlfn.XLOOKUP($A327,weather_2yrs!$A:$A,weather_2yrs!E:E)</f>
        <v>58.6</v>
      </c>
      <c r="L327">
        <f>_xlfn.XLOOKUP($A327,sales!$A:$A,sales!B:B)</f>
        <v>1</v>
      </c>
      <c r="M327" t="str">
        <f>_xlfn.XLOOKUP($A327,sales!$A:$A,sales!C:C)</f>
        <v>Miami Beach</v>
      </c>
      <c r="N327">
        <f>_xlfn.XLOOKUP($A327,sales!$A:$A,sales!D:D)</f>
        <v>324</v>
      </c>
      <c r="O327">
        <f>_xlfn.XLOOKUP($A327,sales!$A:$A,sales!E:E)</f>
        <v>5700.22</v>
      </c>
      <c r="P327" s="4">
        <f t="shared" si="17"/>
        <v>17.593271604938273</v>
      </c>
    </row>
    <row r="328" spans="1:16" x14ac:dyDescent="0.25">
      <c r="A328" s="1">
        <v>45253</v>
      </c>
      <c r="B328" s="1" t="str">
        <f t="shared" si="15"/>
        <v>Thursday</v>
      </c>
      <c r="C328" s="1" t="b">
        <f t="shared" si="16"/>
        <v>0</v>
      </c>
      <c r="D328">
        <f>VLOOKUP($A328,survey_2yrs!A:B, 2)</f>
        <v>46.7</v>
      </c>
      <c r="E328">
        <f>VLOOKUP($A328,survey_2yrs!$A:C, 3)</f>
        <v>53.3</v>
      </c>
      <c r="F328">
        <f>VLOOKUP($A328,survey_2yrs!$A:D, 4)</f>
        <v>43.5</v>
      </c>
      <c r="G328">
        <f>_xlfn.XLOOKUP(A328,survey_2yrs!A:A,survey_2yrs!E:E)</f>
        <v>56.5</v>
      </c>
      <c r="H328">
        <f>_xlfn.XLOOKUP($A328,weather_2yrs!$A:$A,weather_2yrs!B:B)</f>
        <v>80.3</v>
      </c>
      <c r="I328">
        <f>_xlfn.XLOOKUP($A328,weather_2yrs!$A:$A,weather_2yrs!C:C)</f>
        <v>0.1</v>
      </c>
      <c r="J328">
        <f>_xlfn.XLOOKUP($A328,weather_2yrs!$A:$A,weather_2yrs!D:D)</f>
        <v>1</v>
      </c>
      <c r="K328">
        <f>_xlfn.XLOOKUP($A328,weather_2yrs!$A:$A,weather_2yrs!E:E)</f>
        <v>69.2</v>
      </c>
      <c r="L328">
        <f>_xlfn.XLOOKUP($A328,sales!$A:$A,sales!B:B)</f>
        <v>1</v>
      </c>
      <c r="M328" t="str">
        <f>_xlfn.XLOOKUP($A328,sales!$A:$A,sales!C:C)</f>
        <v>Miami Beach</v>
      </c>
      <c r="N328">
        <f>_xlfn.XLOOKUP($A328,sales!$A:$A,sales!D:D)</f>
        <v>257</v>
      </c>
      <c r="O328">
        <f>_xlfn.XLOOKUP($A328,sales!$A:$A,sales!E:E)</f>
        <v>4757.3999999999996</v>
      </c>
      <c r="P328" s="4">
        <f t="shared" si="17"/>
        <v>18.511284046692605</v>
      </c>
    </row>
    <row r="329" spans="1:16" x14ac:dyDescent="0.25">
      <c r="A329" s="1">
        <v>45254</v>
      </c>
      <c r="B329" s="1" t="str">
        <f t="shared" si="15"/>
        <v>Friday</v>
      </c>
      <c r="C329" s="1" t="b">
        <f t="shared" si="16"/>
        <v>0</v>
      </c>
      <c r="D329">
        <f>VLOOKUP($A329,survey_2yrs!A:B, 2)</f>
        <v>46.2</v>
      </c>
      <c r="E329">
        <f>VLOOKUP($A329,survey_2yrs!$A:C, 3)</f>
        <v>53.8</v>
      </c>
      <c r="F329">
        <f>VLOOKUP($A329,survey_2yrs!$A:D, 4)</f>
        <v>43.2</v>
      </c>
      <c r="G329">
        <f>_xlfn.XLOOKUP(A329,survey_2yrs!A:A,survey_2yrs!E:E)</f>
        <v>56.8</v>
      </c>
      <c r="H329">
        <f>_xlfn.XLOOKUP($A329,weather_2yrs!$A:$A,weather_2yrs!B:B)</f>
        <v>78.8</v>
      </c>
      <c r="I329">
        <f>_xlfn.XLOOKUP($A329,weather_2yrs!$A:$A,weather_2yrs!C:C)</f>
        <v>0</v>
      </c>
      <c r="J329">
        <f>_xlfn.XLOOKUP($A329,weather_2yrs!$A:$A,weather_2yrs!D:D)</f>
        <v>0</v>
      </c>
      <c r="K329">
        <f>_xlfn.XLOOKUP($A329,weather_2yrs!$A:$A,weather_2yrs!E:E)</f>
        <v>57.8</v>
      </c>
      <c r="L329">
        <f>_xlfn.XLOOKUP($A329,sales!$A:$A,sales!B:B)</f>
        <v>1</v>
      </c>
      <c r="M329" t="str">
        <f>_xlfn.XLOOKUP($A329,sales!$A:$A,sales!C:C)</f>
        <v>Miami Beach</v>
      </c>
      <c r="N329">
        <f>_xlfn.XLOOKUP($A329,sales!$A:$A,sales!D:D)</f>
        <v>290</v>
      </c>
      <c r="O329">
        <f>_xlfn.XLOOKUP($A329,sales!$A:$A,sales!E:E)</f>
        <v>5374.31</v>
      </c>
      <c r="P329" s="4">
        <f t="shared" si="17"/>
        <v>18.532103448275862</v>
      </c>
    </row>
    <row r="330" spans="1:16" x14ac:dyDescent="0.25">
      <c r="A330" s="1">
        <v>45255</v>
      </c>
      <c r="B330" s="1" t="str">
        <f t="shared" si="15"/>
        <v>Saturday</v>
      </c>
      <c r="C330" s="1" t="b">
        <f t="shared" si="16"/>
        <v>1</v>
      </c>
      <c r="D330">
        <f>VLOOKUP($A330,survey_2yrs!A:B, 2)</f>
        <v>47.4</v>
      </c>
      <c r="E330">
        <f>VLOOKUP($A330,survey_2yrs!$A:C, 3)</f>
        <v>52.6</v>
      </c>
      <c r="F330">
        <f>VLOOKUP($A330,survey_2yrs!$A:D, 4)</f>
        <v>51.9</v>
      </c>
      <c r="G330">
        <f>_xlfn.XLOOKUP(A330,survey_2yrs!A:A,survey_2yrs!E:E)</f>
        <v>48.1</v>
      </c>
      <c r="H330">
        <f>_xlfn.XLOOKUP($A330,weather_2yrs!$A:$A,weather_2yrs!B:B)</f>
        <v>86.1</v>
      </c>
      <c r="I330">
        <f>_xlfn.XLOOKUP($A330,weather_2yrs!$A:$A,weather_2yrs!C:C)</f>
        <v>0</v>
      </c>
      <c r="J330">
        <f>_xlfn.XLOOKUP($A330,weather_2yrs!$A:$A,weather_2yrs!D:D)</f>
        <v>0</v>
      </c>
      <c r="K330">
        <f>_xlfn.XLOOKUP($A330,weather_2yrs!$A:$A,weather_2yrs!E:E)</f>
        <v>59.5</v>
      </c>
      <c r="L330">
        <f>_xlfn.XLOOKUP($A330,sales!$A:$A,sales!B:B)</f>
        <v>1</v>
      </c>
      <c r="M330" t="str">
        <f>_xlfn.XLOOKUP($A330,sales!$A:$A,sales!C:C)</f>
        <v>Miami Beach</v>
      </c>
      <c r="N330">
        <f>_xlfn.XLOOKUP($A330,sales!$A:$A,sales!D:D)</f>
        <v>325</v>
      </c>
      <c r="O330">
        <f>_xlfn.XLOOKUP($A330,sales!$A:$A,sales!E:E)</f>
        <v>6141.56</v>
      </c>
      <c r="P330" s="4">
        <f t="shared" si="17"/>
        <v>18.897107692307692</v>
      </c>
    </row>
    <row r="331" spans="1:16" x14ac:dyDescent="0.25">
      <c r="A331" s="1">
        <v>45256</v>
      </c>
      <c r="B331" s="1" t="str">
        <f t="shared" si="15"/>
        <v>Sunday</v>
      </c>
      <c r="C331" s="1" t="b">
        <f t="shared" si="16"/>
        <v>1</v>
      </c>
      <c r="D331">
        <f>VLOOKUP($A331,survey_2yrs!A:B, 2)</f>
        <v>47.8</v>
      </c>
      <c r="E331">
        <f>VLOOKUP($A331,survey_2yrs!$A:C, 3)</f>
        <v>52.2</v>
      </c>
      <c r="F331">
        <f>VLOOKUP($A331,survey_2yrs!$A:D, 4)</f>
        <v>49.8</v>
      </c>
      <c r="G331">
        <f>_xlfn.XLOOKUP(A331,survey_2yrs!A:A,survey_2yrs!E:E)</f>
        <v>50.2</v>
      </c>
      <c r="H331">
        <f>_xlfn.XLOOKUP($A331,weather_2yrs!$A:$A,weather_2yrs!B:B)</f>
        <v>88.3</v>
      </c>
      <c r="I331">
        <f>_xlfn.XLOOKUP($A331,weather_2yrs!$A:$A,weather_2yrs!C:C)</f>
        <v>0</v>
      </c>
      <c r="J331">
        <f>_xlfn.XLOOKUP($A331,weather_2yrs!$A:$A,weather_2yrs!D:D)</f>
        <v>0</v>
      </c>
      <c r="K331">
        <f>_xlfn.XLOOKUP($A331,weather_2yrs!$A:$A,weather_2yrs!E:E)</f>
        <v>62.9</v>
      </c>
      <c r="L331">
        <f>_xlfn.XLOOKUP($A331,sales!$A:$A,sales!B:B)</f>
        <v>1</v>
      </c>
      <c r="M331" t="str">
        <f>_xlfn.XLOOKUP($A331,sales!$A:$A,sales!C:C)</f>
        <v>Miami Beach</v>
      </c>
      <c r="N331">
        <f>_xlfn.XLOOKUP($A331,sales!$A:$A,sales!D:D)</f>
        <v>373</v>
      </c>
      <c r="O331">
        <f>_xlfn.XLOOKUP($A331,sales!$A:$A,sales!E:E)</f>
        <v>7415.89</v>
      </c>
      <c r="P331" s="4">
        <f t="shared" si="17"/>
        <v>19.881742627345844</v>
      </c>
    </row>
    <row r="332" spans="1:16" x14ac:dyDescent="0.25">
      <c r="A332" s="1">
        <v>45257</v>
      </c>
      <c r="B332" s="1" t="str">
        <f t="shared" si="15"/>
        <v>Monday</v>
      </c>
      <c r="C332" s="1" t="b">
        <f t="shared" si="16"/>
        <v>0</v>
      </c>
      <c r="D332">
        <f>VLOOKUP($A332,survey_2yrs!A:B, 2)</f>
        <v>47</v>
      </c>
      <c r="E332">
        <f>VLOOKUP($A332,survey_2yrs!$A:C, 3)</f>
        <v>53</v>
      </c>
      <c r="F332">
        <f>VLOOKUP($A332,survey_2yrs!$A:D, 4)</f>
        <v>43.1</v>
      </c>
      <c r="G332">
        <f>_xlfn.XLOOKUP(A332,survey_2yrs!A:A,survey_2yrs!E:E)</f>
        <v>56.9</v>
      </c>
      <c r="H332">
        <f>_xlfn.XLOOKUP($A332,weather_2yrs!$A:$A,weather_2yrs!B:B)</f>
        <v>85.7</v>
      </c>
      <c r="I332">
        <f>_xlfn.XLOOKUP($A332,weather_2yrs!$A:$A,weather_2yrs!C:C)</f>
        <v>0</v>
      </c>
      <c r="J332">
        <f>_xlfn.XLOOKUP($A332,weather_2yrs!$A:$A,weather_2yrs!D:D)</f>
        <v>0</v>
      </c>
      <c r="K332">
        <f>_xlfn.XLOOKUP($A332,weather_2yrs!$A:$A,weather_2yrs!E:E)</f>
        <v>48.7</v>
      </c>
      <c r="L332">
        <f>_xlfn.XLOOKUP($A332,sales!$A:$A,sales!B:B)</f>
        <v>1</v>
      </c>
      <c r="M332" t="str">
        <f>_xlfn.XLOOKUP($A332,sales!$A:$A,sales!C:C)</f>
        <v>Miami Beach</v>
      </c>
      <c r="N332">
        <f>_xlfn.XLOOKUP($A332,sales!$A:$A,sales!D:D)</f>
        <v>291</v>
      </c>
      <c r="O332">
        <f>_xlfn.XLOOKUP($A332,sales!$A:$A,sales!E:E)</f>
        <v>5177.8100000000004</v>
      </c>
      <c r="P332" s="4">
        <f t="shared" si="17"/>
        <v>17.793161512027492</v>
      </c>
    </row>
    <row r="333" spans="1:16" x14ac:dyDescent="0.25">
      <c r="A333" s="1">
        <v>45258</v>
      </c>
      <c r="B333" s="1" t="str">
        <f t="shared" si="15"/>
        <v>Tuesday</v>
      </c>
      <c r="C333" s="1" t="b">
        <f t="shared" si="16"/>
        <v>0</v>
      </c>
      <c r="D333">
        <f>VLOOKUP($A333,survey_2yrs!A:B, 2)</f>
        <v>48</v>
      </c>
      <c r="E333">
        <f>VLOOKUP($A333,survey_2yrs!$A:C, 3)</f>
        <v>52</v>
      </c>
      <c r="F333">
        <f>VLOOKUP($A333,survey_2yrs!$A:D, 4)</f>
        <v>43.5</v>
      </c>
      <c r="G333">
        <f>_xlfn.XLOOKUP(A333,survey_2yrs!A:A,survey_2yrs!E:E)</f>
        <v>56.5</v>
      </c>
      <c r="H333">
        <f>_xlfn.XLOOKUP($A333,weather_2yrs!$A:$A,weather_2yrs!B:B)</f>
        <v>82.8</v>
      </c>
      <c r="I333">
        <f>_xlfn.XLOOKUP($A333,weather_2yrs!$A:$A,weather_2yrs!C:C)</f>
        <v>0</v>
      </c>
      <c r="J333">
        <f>_xlfn.XLOOKUP($A333,weather_2yrs!$A:$A,weather_2yrs!D:D)</f>
        <v>0</v>
      </c>
      <c r="K333">
        <f>_xlfn.XLOOKUP($A333,weather_2yrs!$A:$A,weather_2yrs!E:E)</f>
        <v>52.6</v>
      </c>
      <c r="L333">
        <f>_xlfn.XLOOKUP($A333,sales!$A:$A,sales!B:B)</f>
        <v>1</v>
      </c>
      <c r="M333" t="str">
        <f>_xlfn.XLOOKUP($A333,sales!$A:$A,sales!C:C)</f>
        <v>Miami Beach</v>
      </c>
      <c r="N333">
        <f>_xlfn.XLOOKUP($A333,sales!$A:$A,sales!D:D)</f>
        <v>263</v>
      </c>
      <c r="O333">
        <f>_xlfn.XLOOKUP($A333,sales!$A:$A,sales!E:E)</f>
        <v>4748.05</v>
      </c>
      <c r="P333" s="4">
        <f t="shared" si="17"/>
        <v>18.053422053231941</v>
      </c>
    </row>
    <row r="334" spans="1:16" x14ac:dyDescent="0.25">
      <c r="A334" s="1">
        <v>45259</v>
      </c>
      <c r="B334" s="1" t="str">
        <f t="shared" si="15"/>
        <v>Wednesday</v>
      </c>
      <c r="C334" s="1" t="b">
        <f t="shared" si="16"/>
        <v>0</v>
      </c>
      <c r="D334">
        <f>VLOOKUP($A334,survey_2yrs!A:B, 2)</f>
        <v>47.5</v>
      </c>
      <c r="E334">
        <f>VLOOKUP($A334,survey_2yrs!$A:C, 3)</f>
        <v>52.5</v>
      </c>
      <c r="F334">
        <f>VLOOKUP($A334,survey_2yrs!$A:D, 4)</f>
        <v>43.8</v>
      </c>
      <c r="G334">
        <f>_xlfn.XLOOKUP(A334,survey_2yrs!A:A,survey_2yrs!E:E)</f>
        <v>56.2</v>
      </c>
      <c r="H334">
        <f>_xlfn.XLOOKUP($A334,weather_2yrs!$A:$A,weather_2yrs!B:B)</f>
        <v>81.099999999999994</v>
      </c>
      <c r="I334">
        <f>_xlfn.XLOOKUP($A334,weather_2yrs!$A:$A,weather_2yrs!C:C)</f>
        <v>0</v>
      </c>
      <c r="J334">
        <f>_xlfn.XLOOKUP($A334,weather_2yrs!$A:$A,weather_2yrs!D:D)</f>
        <v>0</v>
      </c>
      <c r="K334">
        <f>_xlfn.XLOOKUP($A334,weather_2yrs!$A:$A,weather_2yrs!E:E)</f>
        <v>59.2</v>
      </c>
      <c r="L334">
        <f>_xlfn.XLOOKUP($A334,sales!$A:$A,sales!B:B)</f>
        <v>1</v>
      </c>
      <c r="M334" t="str">
        <f>_xlfn.XLOOKUP($A334,sales!$A:$A,sales!C:C)</f>
        <v>Miami Beach</v>
      </c>
      <c r="N334">
        <f>_xlfn.XLOOKUP($A334,sales!$A:$A,sales!D:D)</f>
        <v>266</v>
      </c>
      <c r="O334">
        <f>_xlfn.XLOOKUP($A334,sales!$A:$A,sales!E:E)</f>
        <v>4556.84</v>
      </c>
      <c r="P334" s="4">
        <f t="shared" si="17"/>
        <v>17.130977443609023</v>
      </c>
    </row>
    <row r="335" spans="1:16" x14ac:dyDescent="0.25">
      <c r="A335" s="1">
        <v>45260</v>
      </c>
      <c r="B335" s="1" t="str">
        <f t="shared" si="15"/>
        <v>Thursday</v>
      </c>
      <c r="C335" s="1" t="b">
        <f t="shared" si="16"/>
        <v>0</v>
      </c>
      <c r="D335">
        <f>VLOOKUP($A335,survey_2yrs!A:B, 2)</f>
        <v>47.7</v>
      </c>
      <c r="E335">
        <f>VLOOKUP($A335,survey_2yrs!$A:C, 3)</f>
        <v>52.3</v>
      </c>
      <c r="F335">
        <f>VLOOKUP($A335,survey_2yrs!$A:D, 4)</f>
        <v>42.9</v>
      </c>
      <c r="G335">
        <f>_xlfn.XLOOKUP(A335,survey_2yrs!A:A,survey_2yrs!E:E)</f>
        <v>57.1</v>
      </c>
      <c r="H335">
        <f>_xlfn.XLOOKUP($A335,weather_2yrs!$A:$A,weather_2yrs!B:B)</f>
        <v>78.099999999999994</v>
      </c>
      <c r="I335">
        <f>_xlfn.XLOOKUP($A335,weather_2yrs!$A:$A,weather_2yrs!C:C)</f>
        <v>0</v>
      </c>
      <c r="J335">
        <f>_xlfn.XLOOKUP($A335,weather_2yrs!$A:$A,weather_2yrs!D:D)</f>
        <v>0</v>
      </c>
      <c r="K335">
        <f>_xlfn.XLOOKUP($A335,weather_2yrs!$A:$A,weather_2yrs!E:E)</f>
        <v>57.1</v>
      </c>
      <c r="L335">
        <f>_xlfn.XLOOKUP($A335,sales!$A:$A,sales!B:B)</f>
        <v>1</v>
      </c>
      <c r="M335" t="str">
        <f>_xlfn.XLOOKUP($A335,sales!$A:$A,sales!C:C)</f>
        <v>Miami Beach</v>
      </c>
      <c r="N335">
        <f>_xlfn.XLOOKUP($A335,sales!$A:$A,sales!D:D)</f>
        <v>259</v>
      </c>
      <c r="O335">
        <f>_xlfn.XLOOKUP($A335,sales!$A:$A,sales!E:E)</f>
        <v>4970.8100000000004</v>
      </c>
      <c r="P335" s="4">
        <f t="shared" si="17"/>
        <v>19.192316602316605</v>
      </c>
    </row>
    <row r="336" spans="1:16" x14ac:dyDescent="0.25">
      <c r="A336" s="1">
        <v>45261</v>
      </c>
      <c r="B336" s="1" t="str">
        <f t="shared" si="15"/>
        <v>Friday</v>
      </c>
      <c r="C336" s="1" t="b">
        <f t="shared" si="16"/>
        <v>0</v>
      </c>
      <c r="D336">
        <f>VLOOKUP($A336,survey_2yrs!A:B, 2)</f>
        <v>47.1</v>
      </c>
      <c r="E336">
        <f>VLOOKUP($A336,survey_2yrs!$A:C, 3)</f>
        <v>52.9</v>
      </c>
      <c r="F336">
        <f>VLOOKUP($A336,survey_2yrs!$A:D, 4)</f>
        <v>44.2</v>
      </c>
      <c r="G336">
        <f>_xlfn.XLOOKUP(A336,survey_2yrs!A:A,survey_2yrs!E:E)</f>
        <v>55.8</v>
      </c>
      <c r="H336">
        <f>_xlfn.XLOOKUP($A336,weather_2yrs!$A:$A,weather_2yrs!B:B)</f>
        <v>79</v>
      </c>
      <c r="I336">
        <f>_xlfn.XLOOKUP($A336,weather_2yrs!$A:$A,weather_2yrs!C:C)</f>
        <v>0</v>
      </c>
      <c r="J336">
        <f>_xlfn.XLOOKUP($A336,weather_2yrs!$A:$A,weather_2yrs!D:D)</f>
        <v>0</v>
      </c>
      <c r="K336">
        <f>_xlfn.XLOOKUP($A336,weather_2yrs!$A:$A,weather_2yrs!E:E)</f>
        <v>60.5</v>
      </c>
      <c r="L336">
        <f>_xlfn.XLOOKUP($A336,sales!$A:$A,sales!B:B)</f>
        <v>1</v>
      </c>
      <c r="M336" t="str">
        <f>_xlfn.XLOOKUP($A336,sales!$A:$A,sales!C:C)</f>
        <v>Miami Beach</v>
      </c>
      <c r="N336">
        <f>_xlfn.XLOOKUP($A336,sales!$A:$A,sales!D:D)</f>
        <v>297</v>
      </c>
      <c r="O336">
        <f>_xlfn.XLOOKUP($A336,sales!$A:$A,sales!E:E)</f>
        <v>5043.88</v>
      </c>
      <c r="P336" s="4">
        <f t="shared" si="17"/>
        <v>16.982760942760944</v>
      </c>
    </row>
    <row r="337" spans="1:16" x14ac:dyDescent="0.25">
      <c r="A337" s="1">
        <v>45262</v>
      </c>
      <c r="B337" s="1" t="str">
        <f t="shared" si="15"/>
        <v>Saturday</v>
      </c>
      <c r="C337" s="1" t="b">
        <f t="shared" si="16"/>
        <v>1</v>
      </c>
      <c r="D337">
        <f>VLOOKUP($A337,survey_2yrs!A:B, 2)</f>
        <v>48.4</v>
      </c>
      <c r="E337">
        <f>VLOOKUP($A337,survey_2yrs!$A:C, 3)</f>
        <v>51.6</v>
      </c>
      <c r="F337">
        <f>VLOOKUP($A337,survey_2yrs!$A:D, 4)</f>
        <v>48.4</v>
      </c>
      <c r="G337">
        <f>_xlfn.XLOOKUP(A337,survey_2yrs!A:A,survey_2yrs!E:E)</f>
        <v>51.6</v>
      </c>
      <c r="H337">
        <f>_xlfn.XLOOKUP($A337,weather_2yrs!$A:$A,weather_2yrs!B:B)</f>
        <v>78.8</v>
      </c>
      <c r="I337">
        <f>_xlfn.XLOOKUP($A337,weather_2yrs!$A:$A,weather_2yrs!C:C)</f>
        <v>0</v>
      </c>
      <c r="J337">
        <f>_xlfn.XLOOKUP($A337,weather_2yrs!$A:$A,weather_2yrs!D:D)</f>
        <v>0</v>
      </c>
      <c r="K337">
        <f>_xlfn.XLOOKUP($A337,weather_2yrs!$A:$A,weather_2yrs!E:E)</f>
        <v>55.3</v>
      </c>
      <c r="L337">
        <f>_xlfn.XLOOKUP($A337,sales!$A:$A,sales!B:B)</f>
        <v>1</v>
      </c>
      <c r="M337" t="str">
        <f>_xlfn.XLOOKUP($A337,sales!$A:$A,sales!C:C)</f>
        <v>Miami Beach</v>
      </c>
      <c r="N337">
        <f>_xlfn.XLOOKUP($A337,sales!$A:$A,sales!D:D)</f>
        <v>269</v>
      </c>
      <c r="O337">
        <f>_xlfn.XLOOKUP($A337,sales!$A:$A,sales!E:E)</f>
        <v>5129.33</v>
      </c>
      <c r="P337" s="4">
        <f t="shared" si="17"/>
        <v>19.068141263940522</v>
      </c>
    </row>
    <row r="338" spans="1:16" x14ac:dyDescent="0.25">
      <c r="A338" s="1">
        <v>45263</v>
      </c>
      <c r="B338" s="1" t="str">
        <f t="shared" si="15"/>
        <v>Sunday</v>
      </c>
      <c r="C338" s="1" t="b">
        <f t="shared" si="16"/>
        <v>1</v>
      </c>
      <c r="D338">
        <f>VLOOKUP($A338,survey_2yrs!A:B, 2)</f>
        <v>46.5</v>
      </c>
      <c r="E338">
        <f>VLOOKUP($A338,survey_2yrs!$A:C, 3)</f>
        <v>53.5</v>
      </c>
      <c r="F338">
        <f>VLOOKUP($A338,survey_2yrs!$A:D, 4)</f>
        <v>50.8</v>
      </c>
      <c r="G338">
        <f>_xlfn.XLOOKUP(A338,survey_2yrs!A:A,survey_2yrs!E:E)</f>
        <v>49.2</v>
      </c>
      <c r="H338">
        <f>_xlfn.XLOOKUP($A338,weather_2yrs!$A:$A,weather_2yrs!B:B)</f>
        <v>79.099999999999994</v>
      </c>
      <c r="I338">
        <f>_xlfn.XLOOKUP($A338,weather_2yrs!$A:$A,weather_2yrs!C:C)</f>
        <v>0</v>
      </c>
      <c r="J338">
        <f>_xlfn.XLOOKUP($A338,weather_2yrs!$A:$A,weather_2yrs!D:D)</f>
        <v>0</v>
      </c>
      <c r="K338">
        <f>_xlfn.XLOOKUP($A338,weather_2yrs!$A:$A,weather_2yrs!E:E)</f>
        <v>57.2</v>
      </c>
      <c r="L338">
        <f>_xlfn.XLOOKUP($A338,sales!$A:$A,sales!B:B)</f>
        <v>1</v>
      </c>
      <c r="M338" t="str">
        <f>_xlfn.XLOOKUP($A338,sales!$A:$A,sales!C:C)</f>
        <v>Miami Beach</v>
      </c>
      <c r="N338">
        <f>_xlfn.XLOOKUP($A338,sales!$A:$A,sales!D:D)</f>
        <v>298</v>
      </c>
      <c r="O338">
        <f>_xlfn.XLOOKUP($A338,sales!$A:$A,sales!E:E)</f>
        <v>5105.3599999999997</v>
      </c>
      <c r="P338" s="4">
        <f t="shared" si="17"/>
        <v>17.132080536912749</v>
      </c>
    </row>
    <row r="339" spans="1:16" x14ac:dyDescent="0.25">
      <c r="A339" s="1">
        <v>45264</v>
      </c>
      <c r="B339" s="1" t="str">
        <f t="shared" si="15"/>
        <v>Monday</v>
      </c>
      <c r="C339" s="1" t="b">
        <f t="shared" si="16"/>
        <v>0</v>
      </c>
      <c r="D339">
        <f>VLOOKUP($A339,survey_2yrs!A:B, 2)</f>
        <v>46.5</v>
      </c>
      <c r="E339">
        <f>VLOOKUP($A339,survey_2yrs!$A:C, 3)</f>
        <v>53.5</v>
      </c>
      <c r="F339">
        <f>VLOOKUP($A339,survey_2yrs!$A:D, 4)</f>
        <v>46.4</v>
      </c>
      <c r="G339">
        <f>_xlfn.XLOOKUP(A339,survey_2yrs!A:A,survey_2yrs!E:E)</f>
        <v>53.6</v>
      </c>
      <c r="H339">
        <f>_xlfn.XLOOKUP($A339,weather_2yrs!$A:$A,weather_2yrs!B:B)</f>
        <v>76.099999999999994</v>
      </c>
      <c r="I339">
        <f>_xlfn.XLOOKUP($A339,weather_2yrs!$A:$A,weather_2yrs!C:C)</f>
        <v>0</v>
      </c>
      <c r="J339">
        <f>_xlfn.XLOOKUP($A339,weather_2yrs!$A:$A,weather_2yrs!D:D)</f>
        <v>0</v>
      </c>
      <c r="K339">
        <f>_xlfn.XLOOKUP($A339,weather_2yrs!$A:$A,weather_2yrs!E:E)</f>
        <v>56.2</v>
      </c>
      <c r="L339">
        <f>_xlfn.XLOOKUP($A339,sales!$A:$A,sales!B:B)</f>
        <v>1</v>
      </c>
      <c r="M339" t="str">
        <f>_xlfn.XLOOKUP($A339,sales!$A:$A,sales!C:C)</f>
        <v>Miami Beach</v>
      </c>
      <c r="N339">
        <f>_xlfn.XLOOKUP($A339,sales!$A:$A,sales!D:D)</f>
        <v>251</v>
      </c>
      <c r="O339">
        <f>_xlfn.XLOOKUP($A339,sales!$A:$A,sales!E:E)</f>
        <v>4419.7299999999996</v>
      </c>
      <c r="P339" s="4">
        <f t="shared" si="17"/>
        <v>17.60848605577689</v>
      </c>
    </row>
    <row r="340" spans="1:16" x14ac:dyDescent="0.25">
      <c r="A340" s="1">
        <v>45265</v>
      </c>
      <c r="B340" s="1" t="str">
        <f t="shared" si="15"/>
        <v>Tuesday</v>
      </c>
      <c r="C340" s="1" t="b">
        <f t="shared" si="16"/>
        <v>0</v>
      </c>
      <c r="D340">
        <f>VLOOKUP($A340,survey_2yrs!A:B, 2)</f>
        <v>47.6</v>
      </c>
      <c r="E340">
        <f>VLOOKUP($A340,survey_2yrs!$A:C, 3)</f>
        <v>52.4</v>
      </c>
      <c r="F340">
        <f>VLOOKUP($A340,survey_2yrs!$A:D, 4)</f>
        <v>41.8</v>
      </c>
      <c r="G340">
        <f>_xlfn.XLOOKUP(A340,survey_2yrs!A:A,survey_2yrs!E:E)</f>
        <v>58.2</v>
      </c>
      <c r="H340">
        <f>_xlfn.XLOOKUP($A340,weather_2yrs!$A:$A,weather_2yrs!B:B)</f>
        <v>80.599999999999994</v>
      </c>
      <c r="I340">
        <f>_xlfn.XLOOKUP($A340,weather_2yrs!$A:$A,weather_2yrs!C:C)</f>
        <v>0</v>
      </c>
      <c r="J340">
        <f>_xlfn.XLOOKUP($A340,weather_2yrs!$A:$A,weather_2yrs!D:D)</f>
        <v>0</v>
      </c>
      <c r="K340">
        <f>_xlfn.XLOOKUP($A340,weather_2yrs!$A:$A,weather_2yrs!E:E)</f>
        <v>59.9</v>
      </c>
      <c r="L340">
        <f>_xlfn.XLOOKUP($A340,sales!$A:$A,sales!B:B)</f>
        <v>1</v>
      </c>
      <c r="M340" t="str">
        <f>_xlfn.XLOOKUP($A340,sales!$A:$A,sales!C:C)</f>
        <v>Miami Beach</v>
      </c>
      <c r="N340">
        <f>_xlfn.XLOOKUP($A340,sales!$A:$A,sales!D:D)</f>
        <v>240</v>
      </c>
      <c r="O340">
        <f>_xlfn.XLOOKUP($A340,sales!$A:$A,sales!E:E)</f>
        <v>4578.75</v>
      </c>
      <c r="P340" s="4">
        <f t="shared" si="17"/>
        <v>19.078125</v>
      </c>
    </row>
    <row r="341" spans="1:16" x14ac:dyDescent="0.25">
      <c r="A341" s="1">
        <v>45266</v>
      </c>
      <c r="B341" s="1" t="str">
        <f t="shared" si="15"/>
        <v>Wednesday</v>
      </c>
      <c r="C341" s="1" t="b">
        <f t="shared" si="16"/>
        <v>0</v>
      </c>
      <c r="D341">
        <f>VLOOKUP($A341,survey_2yrs!A:B, 2)</f>
        <v>48.1</v>
      </c>
      <c r="E341">
        <f>VLOOKUP($A341,survey_2yrs!$A:C, 3)</f>
        <v>51.9</v>
      </c>
      <c r="F341">
        <f>VLOOKUP($A341,survey_2yrs!$A:D, 4)</f>
        <v>46.4</v>
      </c>
      <c r="G341">
        <f>_xlfn.XLOOKUP(A341,survey_2yrs!A:A,survey_2yrs!E:E)</f>
        <v>53.6</v>
      </c>
      <c r="H341">
        <f>_xlfn.XLOOKUP($A341,weather_2yrs!$A:$A,weather_2yrs!B:B)</f>
        <v>86</v>
      </c>
      <c r="I341">
        <f>_xlfn.XLOOKUP($A341,weather_2yrs!$A:$A,weather_2yrs!C:C)</f>
        <v>0</v>
      </c>
      <c r="J341">
        <f>_xlfn.XLOOKUP($A341,weather_2yrs!$A:$A,weather_2yrs!D:D)</f>
        <v>0</v>
      </c>
      <c r="K341">
        <f>_xlfn.XLOOKUP($A341,weather_2yrs!$A:$A,weather_2yrs!E:E)</f>
        <v>48.1</v>
      </c>
      <c r="L341">
        <f>_xlfn.XLOOKUP($A341,sales!$A:$A,sales!B:B)</f>
        <v>1</v>
      </c>
      <c r="M341" t="str">
        <f>_xlfn.XLOOKUP($A341,sales!$A:$A,sales!C:C)</f>
        <v>Miami Beach</v>
      </c>
      <c r="N341">
        <f>_xlfn.XLOOKUP($A341,sales!$A:$A,sales!D:D)</f>
        <v>308</v>
      </c>
      <c r="O341">
        <f>_xlfn.XLOOKUP($A341,sales!$A:$A,sales!E:E)</f>
        <v>5949.16</v>
      </c>
      <c r="P341" s="4">
        <f t="shared" si="17"/>
        <v>19.315454545454546</v>
      </c>
    </row>
    <row r="342" spans="1:16" x14ac:dyDescent="0.25">
      <c r="A342" s="1">
        <v>45267</v>
      </c>
      <c r="B342" s="1" t="str">
        <f t="shared" si="15"/>
        <v>Thursday</v>
      </c>
      <c r="C342" s="1" t="b">
        <f t="shared" si="16"/>
        <v>0</v>
      </c>
      <c r="D342">
        <f>VLOOKUP($A342,survey_2yrs!A:B, 2)</f>
        <v>46</v>
      </c>
      <c r="E342">
        <f>VLOOKUP($A342,survey_2yrs!$A:C, 3)</f>
        <v>54</v>
      </c>
      <c r="F342">
        <f>VLOOKUP($A342,survey_2yrs!$A:D, 4)</f>
        <v>42.5</v>
      </c>
      <c r="G342">
        <f>_xlfn.XLOOKUP(A342,survey_2yrs!A:A,survey_2yrs!E:E)</f>
        <v>57.5</v>
      </c>
      <c r="H342">
        <f>_xlfn.XLOOKUP($A342,weather_2yrs!$A:$A,weather_2yrs!B:B)</f>
        <v>78.5</v>
      </c>
      <c r="I342">
        <f>_xlfn.XLOOKUP($A342,weather_2yrs!$A:$A,weather_2yrs!C:C)</f>
        <v>0</v>
      </c>
      <c r="J342">
        <f>_xlfn.XLOOKUP($A342,weather_2yrs!$A:$A,weather_2yrs!D:D)</f>
        <v>0</v>
      </c>
      <c r="K342">
        <f>_xlfn.XLOOKUP($A342,weather_2yrs!$A:$A,weather_2yrs!E:E)</f>
        <v>60.7</v>
      </c>
      <c r="L342">
        <f>_xlfn.XLOOKUP($A342,sales!$A:$A,sales!B:B)</f>
        <v>1</v>
      </c>
      <c r="M342" t="str">
        <f>_xlfn.XLOOKUP($A342,sales!$A:$A,sales!C:C)</f>
        <v>Miami Beach</v>
      </c>
      <c r="N342">
        <f>_xlfn.XLOOKUP($A342,sales!$A:$A,sales!D:D)</f>
        <v>229</v>
      </c>
      <c r="O342">
        <f>_xlfn.XLOOKUP($A342,sales!$A:$A,sales!E:E)</f>
        <v>4540.71</v>
      </c>
      <c r="P342" s="4">
        <f t="shared" si="17"/>
        <v>19.828427947598254</v>
      </c>
    </row>
    <row r="343" spans="1:16" x14ac:dyDescent="0.25">
      <c r="A343" s="1">
        <v>45268</v>
      </c>
      <c r="B343" s="1" t="str">
        <f t="shared" si="15"/>
        <v>Friday</v>
      </c>
      <c r="C343" s="1" t="b">
        <f t="shared" si="16"/>
        <v>0</v>
      </c>
      <c r="D343">
        <f>VLOOKUP($A343,survey_2yrs!A:B, 2)</f>
        <v>48.1</v>
      </c>
      <c r="E343">
        <f>VLOOKUP($A343,survey_2yrs!$A:C, 3)</f>
        <v>51.9</v>
      </c>
      <c r="F343">
        <f>VLOOKUP($A343,survey_2yrs!$A:D, 4)</f>
        <v>44.9</v>
      </c>
      <c r="G343">
        <f>_xlfn.XLOOKUP(A343,survey_2yrs!A:A,survey_2yrs!E:E)</f>
        <v>55.1</v>
      </c>
      <c r="H343">
        <f>_xlfn.XLOOKUP($A343,weather_2yrs!$A:$A,weather_2yrs!B:B)</f>
        <v>79.2</v>
      </c>
      <c r="I343">
        <f>_xlfn.XLOOKUP($A343,weather_2yrs!$A:$A,weather_2yrs!C:C)</f>
        <v>0</v>
      </c>
      <c r="J343">
        <f>_xlfn.XLOOKUP($A343,weather_2yrs!$A:$A,weather_2yrs!D:D)</f>
        <v>0</v>
      </c>
      <c r="K343">
        <f>_xlfn.XLOOKUP($A343,weather_2yrs!$A:$A,weather_2yrs!E:E)</f>
        <v>56.3</v>
      </c>
      <c r="L343">
        <f>_xlfn.XLOOKUP($A343,sales!$A:$A,sales!B:B)</f>
        <v>1</v>
      </c>
      <c r="M343" t="str">
        <f>_xlfn.XLOOKUP($A343,sales!$A:$A,sales!C:C)</f>
        <v>Miami Beach</v>
      </c>
      <c r="N343">
        <f>_xlfn.XLOOKUP($A343,sales!$A:$A,sales!D:D)</f>
        <v>261</v>
      </c>
      <c r="O343">
        <f>_xlfn.XLOOKUP($A343,sales!$A:$A,sales!E:E)</f>
        <v>4544.2700000000004</v>
      </c>
      <c r="P343" s="4">
        <f t="shared" si="17"/>
        <v>17.410996168582376</v>
      </c>
    </row>
    <row r="344" spans="1:16" x14ac:dyDescent="0.25">
      <c r="A344" s="1">
        <v>45269</v>
      </c>
      <c r="B344" s="1" t="str">
        <f t="shared" si="15"/>
        <v>Saturday</v>
      </c>
      <c r="C344" s="1" t="b">
        <f t="shared" si="16"/>
        <v>1</v>
      </c>
      <c r="D344">
        <f>VLOOKUP($A344,survey_2yrs!A:B, 2)</f>
        <v>47.7</v>
      </c>
      <c r="E344">
        <f>VLOOKUP($A344,survey_2yrs!$A:C, 3)</f>
        <v>52.3</v>
      </c>
      <c r="F344">
        <f>VLOOKUP($A344,survey_2yrs!$A:D, 4)</f>
        <v>48.6</v>
      </c>
      <c r="G344">
        <f>_xlfn.XLOOKUP(A344,survey_2yrs!A:A,survey_2yrs!E:E)</f>
        <v>51.4</v>
      </c>
      <c r="H344">
        <f>_xlfn.XLOOKUP($A344,weather_2yrs!$A:$A,weather_2yrs!B:B)</f>
        <v>78.400000000000006</v>
      </c>
      <c r="I344">
        <f>_xlfn.XLOOKUP($A344,weather_2yrs!$A:$A,weather_2yrs!C:C)</f>
        <v>0</v>
      </c>
      <c r="J344">
        <f>_xlfn.XLOOKUP($A344,weather_2yrs!$A:$A,weather_2yrs!D:D)</f>
        <v>0</v>
      </c>
      <c r="K344">
        <f>_xlfn.XLOOKUP($A344,weather_2yrs!$A:$A,weather_2yrs!E:E)</f>
        <v>50.6</v>
      </c>
      <c r="L344">
        <f>_xlfn.XLOOKUP($A344,sales!$A:$A,sales!B:B)</f>
        <v>1</v>
      </c>
      <c r="M344" t="str">
        <f>_xlfn.XLOOKUP($A344,sales!$A:$A,sales!C:C)</f>
        <v>Miami Beach</v>
      </c>
      <c r="N344">
        <f>_xlfn.XLOOKUP($A344,sales!$A:$A,sales!D:D)</f>
        <v>317</v>
      </c>
      <c r="O344">
        <f>_xlfn.XLOOKUP($A344,sales!$A:$A,sales!E:E)</f>
        <v>5435.43</v>
      </c>
      <c r="P344" s="4">
        <f t="shared" si="17"/>
        <v>17.146466876971608</v>
      </c>
    </row>
    <row r="345" spans="1:16" x14ac:dyDescent="0.25">
      <c r="A345" s="1">
        <v>45270</v>
      </c>
      <c r="B345" s="1" t="str">
        <f t="shared" si="15"/>
        <v>Sunday</v>
      </c>
      <c r="C345" s="1" t="b">
        <f t="shared" si="16"/>
        <v>1</v>
      </c>
      <c r="D345">
        <f>VLOOKUP($A345,survey_2yrs!A:B, 2)</f>
        <v>48.2</v>
      </c>
      <c r="E345">
        <f>VLOOKUP($A345,survey_2yrs!$A:C, 3)</f>
        <v>51.8</v>
      </c>
      <c r="F345">
        <f>VLOOKUP($A345,survey_2yrs!$A:D, 4)</f>
        <v>50.7</v>
      </c>
      <c r="G345">
        <f>_xlfn.XLOOKUP(A345,survey_2yrs!A:A,survey_2yrs!E:E)</f>
        <v>49.3</v>
      </c>
      <c r="H345">
        <f>_xlfn.XLOOKUP($A345,weather_2yrs!$A:$A,weather_2yrs!B:B)</f>
        <v>83.7</v>
      </c>
      <c r="I345">
        <f>_xlfn.XLOOKUP($A345,weather_2yrs!$A:$A,weather_2yrs!C:C)</f>
        <v>0</v>
      </c>
      <c r="J345">
        <f>_xlfn.XLOOKUP($A345,weather_2yrs!$A:$A,weather_2yrs!D:D)</f>
        <v>0</v>
      </c>
      <c r="K345">
        <f>_xlfn.XLOOKUP($A345,weather_2yrs!$A:$A,weather_2yrs!E:E)</f>
        <v>59.3</v>
      </c>
      <c r="L345">
        <f>_xlfn.XLOOKUP($A345,sales!$A:$A,sales!B:B)</f>
        <v>1</v>
      </c>
      <c r="M345" t="str">
        <f>_xlfn.XLOOKUP($A345,sales!$A:$A,sales!C:C)</f>
        <v>Miami Beach</v>
      </c>
      <c r="N345">
        <f>_xlfn.XLOOKUP($A345,sales!$A:$A,sales!D:D)</f>
        <v>332</v>
      </c>
      <c r="O345">
        <f>_xlfn.XLOOKUP($A345,sales!$A:$A,sales!E:E)</f>
        <v>6091.8</v>
      </c>
      <c r="P345" s="4">
        <f t="shared" si="17"/>
        <v>18.348795180722892</v>
      </c>
    </row>
    <row r="346" spans="1:16" x14ac:dyDescent="0.25">
      <c r="A346" s="1">
        <v>45271</v>
      </c>
      <c r="B346" s="1" t="str">
        <f t="shared" si="15"/>
        <v>Monday</v>
      </c>
      <c r="C346" s="1" t="b">
        <f t="shared" si="16"/>
        <v>0</v>
      </c>
      <c r="D346">
        <f>VLOOKUP($A346,survey_2yrs!A:B, 2)</f>
        <v>47.1</v>
      </c>
      <c r="E346">
        <f>VLOOKUP($A346,survey_2yrs!$A:C, 3)</f>
        <v>52.9</v>
      </c>
      <c r="F346">
        <f>VLOOKUP($A346,survey_2yrs!$A:D, 4)</f>
        <v>45.1</v>
      </c>
      <c r="G346">
        <f>_xlfn.XLOOKUP(A346,survey_2yrs!A:A,survey_2yrs!E:E)</f>
        <v>54.9</v>
      </c>
      <c r="H346">
        <f>_xlfn.XLOOKUP($A346,weather_2yrs!$A:$A,weather_2yrs!B:B)</f>
        <v>72.8</v>
      </c>
      <c r="I346">
        <f>_xlfn.XLOOKUP($A346,weather_2yrs!$A:$A,weather_2yrs!C:C)</f>
        <v>0</v>
      </c>
      <c r="J346">
        <f>_xlfn.XLOOKUP($A346,weather_2yrs!$A:$A,weather_2yrs!D:D)</f>
        <v>0</v>
      </c>
      <c r="K346">
        <f>_xlfn.XLOOKUP($A346,weather_2yrs!$A:$A,weather_2yrs!E:E)</f>
        <v>52.5</v>
      </c>
      <c r="L346">
        <f>_xlfn.XLOOKUP($A346,sales!$A:$A,sales!B:B)</f>
        <v>1</v>
      </c>
      <c r="M346" t="str">
        <f>_xlfn.XLOOKUP($A346,sales!$A:$A,sales!C:C)</f>
        <v>Miami Beach</v>
      </c>
      <c r="N346">
        <f>_xlfn.XLOOKUP($A346,sales!$A:$A,sales!D:D)</f>
        <v>224</v>
      </c>
      <c r="O346">
        <f>_xlfn.XLOOKUP($A346,sales!$A:$A,sales!E:E)</f>
        <v>4209.74</v>
      </c>
      <c r="P346" s="4">
        <f t="shared" si="17"/>
        <v>18.79348214285714</v>
      </c>
    </row>
    <row r="347" spans="1:16" x14ac:dyDescent="0.25">
      <c r="A347" s="1">
        <v>45272</v>
      </c>
      <c r="B347" s="1" t="str">
        <f t="shared" si="15"/>
        <v>Tuesday</v>
      </c>
      <c r="C347" s="1" t="b">
        <f t="shared" si="16"/>
        <v>0</v>
      </c>
      <c r="D347">
        <f>VLOOKUP($A347,survey_2yrs!A:B, 2)</f>
        <v>49.5</v>
      </c>
      <c r="E347">
        <f>VLOOKUP($A347,survey_2yrs!$A:C, 3)</f>
        <v>50.5</v>
      </c>
      <c r="F347">
        <f>VLOOKUP($A347,survey_2yrs!$A:D, 4)</f>
        <v>42.7</v>
      </c>
      <c r="G347">
        <f>_xlfn.XLOOKUP(A347,survey_2yrs!A:A,survey_2yrs!E:E)</f>
        <v>57.3</v>
      </c>
      <c r="H347">
        <f>_xlfn.XLOOKUP($A347,weather_2yrs!$A:$A,weather_2yrs!B:B)</f>
        <v>83.6</v>
      </c>
      <c r="I347">
        <f>_xlfn.XLOOKUP($A347,weather_2yrs!$A:$A,weather_2yrs!C:C)</f>
        <v>0</v>
      </c>
      <c r="J347">
        <f>_xlfn.XLOOKUP($A347,weather_2yrs!$A:$A,weather_2yrs!D:D)</f>
        <v>0</v>
      </c>
      <c r="K347">
        <f>_xlfn.XLOOKUP($A347,weather_2yrs!$A:$A,weather_2yrs!E:E)</f>
        <v>49.9</v>
      </c>
      <c r="L347">
        <f>_xlfn.XLOOKUP($A347,sales!$A:$A,sales!B:B)</f>
        <v>1</v>
      </c>
      <c r="M347" t="str">
        <f>_xlfn.XLOOKUP($A347,sales!$A:$A,sales!C:C)</f>
        <v>Miami Beach</v>
      </c>
      <c r="N347">
        <f>_xlfn.XLOOKUP($A347,sales!$A:$A,sales!D:D)</f>
        <v>302</v>
      </c>
      <c r="O347">
        <f>_xlfn.XLOOKUP($A347,sales!$A:$A,sales!E:E)</f>
        <v>5661.86</v>
      </c>
      <c r="P347" s="4">
        <f t="shared" si="17"/>
        <v>18.747880794701985</v>
      </c>
    </row>
    <row r="348" spans="1:16" x14ac:dyDescent="0.25">
      <c r="A348" s="1">
        <v>45273</v>
      </c>
      <c r="B348" s="1" t="str">
        <f t="shared" si="15"/>
        <v>Wednesday</v>
      </c>
      <c r="C348" s="1" t="b">
        <f t="shared" si="16"/>
        <v>0</v>
      </c>
      <c r="D348">
        <f>VLOOKUP($A348,survey_2yrs!A:B, 2)</f>
        <v>47.9</v>
      </c>
      <c r="E348">
        <f>VLOOKUP($A348,survey_2yrs!$A:C, 3)</f>
        <v>52.1</v>
      </c>
      <c r="F348">
        <f>VLOOKUP($A348,survey_2yrs!$A:D, 4)</f>
        <v>43.7</v>
      </c>
      <c r="G348">
        <f>_xlfn.XLOOKUP(A348,survey_2yrs!A:A,survey_2yrs!E:E)</f>
        <v>56.3</v>
      </c>
      <c r="H348">
        <f>_xlfn.XLOOKUP($A348,weather_2yrs!$A:$A,weather_2yrs!B:B)</f>
        <v>78.400000000000006</v>
      </c>
      <c r="I348">
        <f>_xlfn.XLOOKUP($A348,weather_2yrs!$A:$A,weather_2yrs!C:C)</f>
        <v>0</v>
      </c>
      <c r="J348">
        <f>_xlfn.XLOOKUP($A348,weather_2yrs!$A:$A,weather_2yrs!D:D)</f>
        <v>0</v>
      </c>
      <c r="K348">
        <f>_xlfn.XLOOKUP($A348,weather_2yrs!$A:$A,weather_2yrs!E:E)</f>
        <v>57</v>
      </c>
      <c r="L348">
        <f>_xlfn.XLOOKUP($A348,sales!$A:$A,sales!B:B)</f>
        <v>1</v>
      </c>
      <c r="M348" t="str">
        <f>_xlfn.XLOOKUP($A348,sales!$A:$A,sales!C:C)</f>
        <v>Miami Beach</v>
      </c>
      <c r="N348">
        <f>_xlfn.XLOOKUP($A348,sales!$A:$A,sales!D:D)</f>
        <v>279</v>
      </c>
      <c r="O348">
        <f>_xlfn.XLOOKUP($A348,sales!$A:$A,sales!E:E)</f>
        <v>5048.2</v>
      </c>
      <c r="P348" s="4">
        <f t="shared" si="17"/>
        <v>18.093906810035843</v>
      </c>
    </row>
    <row r="349" spans="1:16" x14ac:dyDescent="0.25">
      <c r="A349" s="1">
        <v>45274</v>
      </c>
      <c r="B349" s="1" t="str">
        <f t="shared" si="15"/>
        <v>Thursday</v>
      </c>
      <c r="C349" s="1" t="b">
        <f t="shared" si="16"/>
        <v>0</v>
      </c>
      <c r="D349">
        <f>VLOOKUP($A349,survey_2yrs!A:B, 2)</f>
        <v>48.5</v>
      </c>
      <c r="E349">
        <f>VLOOKUP($A349,survey_2yrs!$A:C, 3)</f>
        <v>51.5</v>
      </c>
      <c r="F349">
        <f>VLOOKUP($A349,survey_2yrs!$A:D, 4)</f>
        <v>44.5</v>
      </c>
      <c r="G349">
        <f>_xlfn.XLOOKUP(A349,survey_2yrs!A:A,survey_2yrs!E:E)</f>
        <v>55.5</v>
      </c>
      <c r="H349">
        <f>_xlfn.XLOOKUP($A349,weather_2yrs!$A:$A,weather_2yrs!B:B)</f>
        <v>78.2</v>
      </c>
      <c r="I349">
        <f>_xlfn.XLOOKUP($A349,weather_2yrs!$A:$A,weather_2yrs!C:C)</f>
        <v>0</v>
      </c>
      <c r="J349">
        <f>_xlfn.XLOOKUP($A349,weather_2yrs!$A:$A,weather_2yrs!D:D)</f>
        <v>0</v>
      </c>
      <c r="K349">
        <f>_xlfn.XLOOKUP($A349,weather_2yrs!$A:$A,weather_2yrs!E:E)</f>
        <v>49.2</v>
      </c>
      <c r="L349">
        <f>_xlfn.XLOOKUP($A349,sales!$A:$A,sales!B:B)</f>
        <v>1</v>
      </c>
      <c r="M349" t="str">
        <f>_xlfn.XLOOKUP($A349,sales!$A:$A,sales!C:C)</f>
        <v>Miami Beach</v>
      </c>
      <c r="N349">
        <f>_xlfn.XLOOKUP($A349,sales!$A:$A,sales!D:D)</f>
        <v>219</v>
      </c>
      <c r="O349">
        <f>_xlfn.XLOOKUP($A349,sales!$A:$A,sales!E:E)</f>
        <v>4146.1099999999997</v>
      </c>
      <c r="P349" s="4">
        <f t="shared" si="17"/>
        <v>18.932009132420088</v>
      </c>
    </row>
    <row r="350" spans="1:16" x14ac:dyDescent="0.25">
      <c r="A350" s="1">
        <v>45275</v>
      </c>
      <c r="B350" s="1" t="str">
        <f t="shared" si="15"/>
        <v>Friday</v>
      </c>
      <c r="C350" s="1" t="b">
        <f t="shared" si="16"/>
        <v>0</v>
      </c>
      <c r="D350">
        <f>VLOOKUP($A350,survey_2yrs!A:B, 2)</f>
        <v>47.2</v>
      </c>
      <c r="E350">
        <f>VLOOKUP($A350,survey_2yrs!$A:C, 3)</f>
        <v>52.8</v>
      </c>
      <c r="F350">
        <f>VLOOKUP($A350,survey_2yrs!$A:D, 4)</f>
        <v>44.4</v>
      </c>
      <c r="G350">
        <f>_xlfn.XLOOKUP(A350,survey_2yrs!A:A,survey_2yrs!E:E)</f>
        <v>55.6</v>
      </c>
      <c r="H350">
        <f>_xlfn.XLOOKUP($A350,weather_2yrs!$A:$A,weather_2yrs!B:B)</f>
        <v>73.3</v>
      </c>
      <c r="I350">
        <f>_xlfn.XLOOKUP($A350,weather_2yrs!$A:$A,weather_2yrs!C:C)</f>
        <v>0</v>
      </c>
      <c r="J350">
        <f>_xlfn.XLOOKUP($A350,weather_2yrs!$A:$A,weather_2yrs!D:D)</f>
        <v>0</v>
      </c>
      <c r="K350">
        <f>_xlfn.XLOOKUP($A350,weather_2yrs!$A:$A,weather_2yrs!E:E)</f>
        <v>45</v>
      </c>
      <c r="L350">
        <f>_xlfn.XLOOKUP($A350,sales!$A:$A,sales!B:B)</f>
        <v>1</v>
      </c>
      <c r="M350" t="str">
        <f>_xlfn.XLOOKUP($A350,sales!$A:$A,sales!C:C)</f>
        <v>Miami Beach</v>
      </c>
      <c r="N350">
        <f>_xlfn.XLOOKUP($A350,sales!$A:$A,sales!D:D)</f>
        <v>227</v>
      </c>
      <c r="O350">
        <f>_xlfn.XLOOKUP($A350,sales!$A:$A,sales!E:E)</f>
        <v>4544.1099999999997</v>
      </c>
      <c r="P350" s="4">
        <f t="shared" si="17"/>
        <v>20.018105726872246</v>
      </c>
    </row>
    <row r="351" spans="1:16" x14ac:dyDescent="0.25">
      <c r="A351" s="1">
        <v>45276</v>
      </c>
      <c r="B351" s="1" t="str">
        <f t="shared" si="15"/>
        <v>Saturday</v>
      </c>
      <c r="C351" s="1" t="b">
        <f t="shared" si="16"/>
        <v>1</v>
      </c>
      <c r="D351">
        <f>VLOOKUP($A351,survey_2yrs!A:B, 2)</f>
        <v>50.4</v>
      </c>
      <c r="E351">
        <f>VLOOKUP($A351,survey_2yrs!$A:C, 3)</f>
        <v>49.6</v>
      </c>
      <c r="F351">
        <f>VLOOKUP($A351,survey_2yrs!$A:D, 4)</f>
        <v>51.4</v>
      </c>
      <c r="G351">
        <f>_xlfn.XLOOKUP(A351,survey_2yrs!A:A,survey_2yrs!E:E)</f>
        <v>48.6</v>
      </c>
      <c r="H351">
        <f>_xlfn.XLOOKUP($A351,weather_2yrs!$A:$A,weather_2yrs!B:B)</f>
        <v>78.3</v>
      </c>
      <c r="I351">
        <f>_xlfn.XLOOKUP($A351,weather_2yrs!$A:$A,weather_2yrs!C:C)</f>
        <v>0</v>
      </c>
      <c r="J351">
        <f>_xlfn.XLOOKUP($A351,weather_2yrs!$A:$A,weather_2yrs!D:D)</f>
        <v>0</v>
      </c>
      <c r="K351">
        <f>_xlfn.XLOOKUP($A351,weather_2yrs!$A:$A,weather_2yrs!E:E)</f>
        <v>54.7</v>
      </c>
      <c r="L351">
        <f>_xlfn.XLOOKUP($A351,sales!$A:$A,sales!B:B)</f>
        <v>1</v>
      </c>
      <c r="M351" t="str">
        <f>_xlfn.XLOOKUP($A351,sales!$A:$A,sales!C:C)</f>
        <v>Miami Beach</v>
      </c>
      <c r="N351">
        <f>_xlfn.XLOOKUP($A351,sales!$A:$A,sales!D:D)</f>
        <v>315</v>
      </c>
      <c r="O351">
        <f>_xlfn.XLOOKUP($A351,sales!$A:$A,sales!E:E)</f>
        <v>5093.63</v>
      </c>
      <c r="P351" s="4">
        <f t="shared" si="17"/>
        <v>16.17025396825397</v>
      </c>
    </row>
    <row r="352" spans="1:16" x14ac:dyDescent="0.25">
      <c r="A352" s="1">
        <v>45277</v>
      </c>
      <c r="B352" s="1" t="str">
        <f t="shared" si="15"/>
        <v>Sunday</v>
      </c>
      <c r="C352" s="1" t="b">
        <f t="shared" si="16"/>
        <v>1</v>
      </c>
      <c r="D352">
        <f>VLOOKUP($A352,survey_2yrs!A:B, 2)</f>
        <v>47.2</v>
      </c>
      <c r="E352">
        <f>VLOOKUP($A352,survey_2yrs!$A:C, 3)</f>
        <v>52.8</v>
      </c>
      <c r="F352">
        <f>VLOOKUP($A352,survey_2yrs!$A:D, 4)</f>
        <v>51.1</v>
      </c>
      <c r="G352">
        <f>_xlfn.XLOOKUP(A352,survey_2yrs!A:A,survey_2yrs!E:E)</f>
        <v>48.9</v>
      </c>
      <c r="H352">
        <f>_xlfn.XLOOKUP($A352,weather_2yrs!$A:$A,weather_2yrs!B:B)</f>
        <v>74.900000000000006</v>
      </c>
      <c r="I352">
        <f>_xlfn.XLOOKUP($A352,weather_2yrs!$A:$A,weather_2yrs!C:C)</f>
        <v>0.45</v>
      </c>
      <c r="J352">
        <f>_xlfn.XLOOKUP($A352,weather_2yrs!$A:$A,weather_2yrs!D:D)</f>
        <v>1</v>
      </c>
      <c r="K352">
        <f>_xlfn.XLOOKUP($A352,weather_2yrs!$A:$A,weather_2yrs!E:E)</f>
        <v>53.7</v>
      </c>
      <c r="L352">
        <f>_xlfn.XLOOKUP($A352,sales!$A:$A,sales!B:B)</f>
        <v>1</v>
      </c>
      <c r="M352" t="str">
        <f>_xlfn.XLOOKUP($A352,sales!$A:$A,sales!C:C)</f>
        <v>Miami Beach</v>
      </c>
      <c r="N352">
        <f>_xlfn.XLOOKUP($A352,sales!$A:$A,sales!D:D)</f>
        <v>285</v>
      </c>
      <c r="O352">
        <f>_xlfn.XLOOKUP($A352,sales!$A:$A,sales!E:E)</f>
        <v>5302.86</v>
      </c>
      <c r="P352" s="4">
        <f t="shared" si="17"/>
        <v>18.606526315789473</v>
      </c>
    </row>
    <row r="353" spans="1:16" x14ac:dyDescent="0.25">
      <c r="A353" s="1">
        <v>45278</v>
      </c>
      <c r="B353" s="1" t="str">
        <f t="shared" si="15"/>
        <v>Monday</v>
      </c>
      <c r="C353" s="1" t="b">
        <f t="shared" si="16"/>
        <v>0</v>
      </c>
      <c r="D353">
        <f>VLOOKUP($A353,survey_2yrs!A:B, 2)</f>
        <v>47.4</v>
      </c>
      <c r="E353">
        <f>VLOOKUP($A353,survey_2yrs!$A:C, 3)</f>
        <v>52.6</v>
      </c>
      <c r="F353">
        <f>VLOOKUP($A353,survey_2yrs!$A:D, 4)</f>
        <v>45.5</v>
      </c>
      <c r="G353">
        <f>_xlfn.XLOOKUP(A353,survey_2yrs!A:A,survey_2yrs!E:E)</f>
        <v>54.5</v>
      </c>
      <c r="H353">
        <f>_xlfn.XLOOKUP($A353,weather_2yrs!$A:$A,weather_2yrs!B:B)</f>
        <v>69.900000000000006</v>
      </c>
      <c r="I353">
        <f>_xlfn.XLOOKUP($A353,weather_2yrs!$A:$A,weather_2yrs!C:C)</f>
        <v>0</v>
      </c>
      <c r="J353">
        <f>_xlfn.XLOOKUP($A353,weather_2yrs!$A:$A,weather_2yrs!D:D)</f>
        <v>0</v>
      </c>
      <c r="K353">
        <f>_xlfn.XLOOKUP($A353,weather_2yrs!$A:$A,weather_2yrs!E:E)</f>
        <v>44</v>
      </c>
      <c r="L353">
        <f>_xlfn.XLOOKUP($A353,sales!$A:$A,sales!B:B)</f>
        <v>1</v>
      </c>
      <c r="M353" t="str">
        <f>_xlfn.XLOOKUP($A353,sales!$A:$A,sales!C:C)</f>
        <v>Miami Beach</v>
      </c>
      <c r="N353">
        <f>_xlfn.XLOOKUP($A353,sales!$A:$A,sales!D:D)</f>
        <v>215</v>
      </c>
      <c r="O353">
        <f>_xlfn.XLOOKUP($A353,sales!$A:$A,sales!E:E)</f>
        <v>4115.13</v>
      </c>
      <c r="P353" s="4">
        <f t="shared" si="17"/>
        <v>19.140139534883723</v>
      </c>
    </row>
    <row r="354" spans="1:16" x14ac:dyDescent="0.25">
      <c r="A354" s="1">
        <v>45279</v>
      </c>
      <c r="B354" s="1" t="str">
        <f t="shared" si="15"/>
        <v>Tuesday</v>
      </c>
      <c r="C354" s="1" t="b">
        <f t="shared" si="16"/>
        <v>0</v>
      </c>
      <c r="D354">
        <f>VLOOKUP($A354,survey_2yrs!A:B, 2)</f>
        <v>48.2</v>
      </c>
      <c r="E354">
        <f>VLOOKUP($A354,survey_2yrs!$A:C, 3)</f>
        <v>51.8</v>
      </c>
      <c r="F354">
        <f>VLOOKUP($A354,survey_2yrs!$A:D, 4)</f>
        <v>43.5</v>
      </c>
      <c r="G354">
        <f>_xlfn.XLOOKUP(A354,survey_2yrs!A:A,survey_2yrs!E:E)</f>
        <v>56.5</v>
      </c>
      <c r="H354">
        <f>_xlfn.XLOOKUP($A354,weather_2yrs!$A:$A,weather_2yrs!B:B)</f>
        <v>76</v>
      </c>
      <c r="I354">
        <f>_xlfn.XLOOKUP($A354,weather_2yrs!$A:$A,weather_2yrs!C:C)</f>
        <v>0</v>
      </c>
      <c r="J354">
        <f>_xlfn.XLOOKUP($A354,weather_2yrs!$A:$A,weather_2yrs!D:D)</f>
        <v>0</v>
      </c>
      <c r="K354">
        <f>_xlfn.XLOOKUP($A354,weather_2yrs!$A:$A,weather_2yrs!E:E)</f>
        <v>54.3</v>
      </c>
      <c r="L354">
        <f>_xlfn.XLOOKUP($A354,sales!$A:$A,sales!B:B)</f>
        <v>1</v>
      </c>
      <c r="M354" t="str">
        <f>_xlfn.XLOOKUP($A354,sales!$A:$A,sales!C:C)</f>
        <v>Miami Beach</v>
      </c>
      <c r="N354">
        <f>_xlfn.XLOOKUP($A354,sales!$A:$A,sales!D:D)</f>
        <v>234</v>
      </c>
      <c r="O354">
        <f>_xlfn.XLOOKUP($A354,sales!$A:$A,sales!E:E)</f>
        <v>4485.12</v>
      </c>
      <c r="P354" s="4">
        <f t="shared" si="17"/>
        <v>19.167179487179485</v>
      </c>
    </row>
    <row r="355" spans="1:16" x14ac:dyDescent="0.25">
      <c r="A355" s="1">
        <v>45280</v>
      </c>
      <c r="B355" s="1" t="str">
        <f t="shared" si="15"/>
        <v>Wednesday</v>
      </c>
      <c r="C355" s="1" t="b">
        <f t="shared" si="16"/>
        <v>0</v>
      </c>
      <c r="D355">
        <f>VLOOKUP($A355,survey_2yrs!A:B, 2)</f>
        <v>48.7</v>
      </c>
      <c r="E355">
        <f>VLOOKUP($A355,survey_2yrs!$A:C, 3)</f>
        <v>51.3</v>
      </c>
      <c r="F355">
        <f>VLOOKUP($A355,survey_2yrs!$A:D, 4)</f>
        <v>43.2</v>
      </c>
      <c r="G355">
        <f>_xlfn.XLOOKUP(A355,survey_2yrs!A:A,survey_2yrs!E:E)</f>
        <v>56.8</v>
      </c>
      <c r="H355">
        <f>_xlfn.XLOOKUP($A355,weather_2yrs!$A:$A,weather_2yrs!B:B)</f>
        <v>76.900000000000006</v>
      </c>
      <c r="I355">
        <f>_xlfn.XLOOKUP($A355,weather_2yrs!$A:$A,weather_2yrs!C:C)</f>
        <v>0</v>
      </c>
      <c r="J355">
        <f>_xlfn.XLOOKUP($A355,weather_2yrs!$A:$A,weather_2yrs!D:D)</f>
        <v>0</v>
      </c>
      <c r="K355">
        <f>_xlfn.XLOOKUP($A355,weather_2yrs!$A:$A,weather_2yrs!E:E)</f>
        <v>52</v>
      </c>
      <c r="L355">
        <f>_xlfn.XLOOKUP($A355,sales!$A:$A,sales!B:B)</f>
        <v>1</v>
      </c>
      <c r="M355" t="str">
        <f>_xlfn.XLOOKUP($A355,sales!$A:$A,sales!C:C)</f>
        <v>Miami Beach</v>
      </c>
      <c r="N355">
        <f>_xlfn.XLOOKUP($A355,sales!$A:$A,sales!D:D)</f>
        <v>290</v>
      </c>
      <c r="O355">
        <f>_xlfn.XLOOKUP($A355,sales!$A:$A,sales!E:E)</f>
        <v>5598.24</v>
      </c>
      <c r="P355" s="4">
        <f t="shared" si="17"/>
        <v>19.304275862068966</v>
      </c>
    </row>
    <row r="356" spans="1:16" x14ac:dyDescent="0.25">
      <c r="A356" s="1">
        <v>45281</v>
      </c>
      <c r="B356" s="1" t="str">
        <f t="shared" si="15"/>
        <v>Thursday</v>
      </c>
      <c r="C356" s="1" t="b">
        <f t="shared" si="16"/>
        <v>0</v>
      </c>
      <c r="D356">
        <f>VLOOKUP($A356,survey_2yrs!A:B, 2)</f>
        <v>48.9</v>
      </c>
      <c r="E356">
        <f>VLOOKUP($A356,survey_2yrs!$A:C, 3)</f>
        <v>51.1</v>
      </c>
      <c r="F356">
        <f>VLOOKUP($A356,survey_2yrs!$A:D, 4)</f>
        <v>43</v>
      </c>
      <c r="G356">
        <f>_xlfn.XLOOKUP(A356,survey_2yrs!A:A,survey_2yrs!E:E)</f>
        <v>57</v>
      </c>
      <c r="H356">
        <f>_xlfn.XLOOKUP($A356,weather_2yrs!$A:$A,weather_2yrs!B:B)</f>
        <v>79.2</v>
      </c>
      <c r="I356">
        <f>_xlfn.XLOOKUP($A356,weather_2yrs!$A:$A,weather_2yrs!C:C)</f>
        <v>2.35</v>
      </c>
      <c r="J356">
        <f>_xlfn.XLOOKUP($A356,weather_2yrs!$A:$A,weather_2yrs!D:D)</f>
        <v>1</v>
      </c>
      <c r="K356">
        <f>_xlfn.XLOOKUP($A356,weather_2yrs!$A:$A,weather_2yrs!E:E)</f>
        <v>47.7</v>
      </c>
      <c r="L356">
        <f>_xlfn.XLOOKUP($A356,sales!$A:$A,sales!B:B)</f>
        <v>1</v>
      </c>
      <c r="M356" t="str">
        <f>_xlfn.XLOOKUP($A356,sales!$A:$A,sales!C:C)</f>
        <v>Miami Beach</v>
      </c>
      <c r="N356">
        <f>_xlfn.XLOOKUP($A356,sales!$A:$A,sales!D:D)</f>
        <v>230</v>
      </c>
      <c r="O356">
        <f>_xlfn.XLOOKUP($A356,sales!$A:$A,sales!E:E)</f>
        <v>4008.45</v>
      </c>
      <c r="P356" s="4">
        <f t="shared" si="17"/>
        <v>17.428043478260868</v>
      </c>
    </row>
    <row r="357" spans="1:16" x14ac:dyDescent="0.25">
      <c r="A357" s="1">
        <v>45282</v>
      </c>
      <c r="B357" s="1" t="str">
        <f t="shared" si="15"/>
        <v>Friday</v>
      </c>
      <c r="C357" s="1" t="b">
        <f t="shared" si="16"/>
        <v>0</v>
      </c>
      <c r="D357">
        <f>VLOOKUP($A357,survey_2yrs!A:B, 2)</f>
        <v>48.2</v>
      </c>
      <c r="E357">
        <f>VLOOKUP($A357,survey_2yrs!$A:C, 3)</f>
        <v>51.8</v>
      </c>
      <c r="F357">
        <f>VLOOKUP($A357,survey_2yrs!$A:D, 4)</f>
        <v>45.2</v>
      </c>
      <c r="G357">
        <f>_xlfn.XLOOKUP(A357,survey_2yrs!A:A,survey_2yrs!E:E)</f>
        <v>54.8</v>
      </c>
      <c r="H357">
        <f>_xlfn.XLOOKUP($A357,weather_2yrs!$A:$A,weather_2yrs!B:B)</f>
        <v>75.400000000000006</v>
      </c>
      <c r="I357">
        <f>_xlfn.XLOOKUP($A357,weather_2yrs!$A:$A,weather_2yrs!C:C)</f>
        <v>0</v>
      </c>
      <c r="J357">
        <f>_xlfn.XLOOKUP($A357,weather_2yrs!$A:$A,weather_2yrs!D:D)</f>
        <v>0</v>
      </c>
      <c r="K357">
        <f>_xlfn.XLOOKUP($A357,weather_2yrs!$A:$A,weather_2yrs!E:E)</f>
        <v>35</v>
      </c>
      <c r="L357">
        <f>_xlfn.XLOOKUP($A357,sales!$A:$A,sales!B:B)</f>
        <v>1</v>
      </c>
      <c r="M357" t="str">
        <f>_xlfn.XLOOKUP($A357,sales!$A:$A,sales!C:C)</f>
        <v>Miami Beach</v>
      </c>
      <c r="N357">
        <f>_xlfn.XLOOKUP($A357,sales!$A:$A,sales!D:D)</f>
        <v>268</v>
      </c>
      <c r="O357">
        <f>_xlfn.XLOOKUP($A357,sales!$A:$A,sales!E:E)</f>
        <v>4949.34</v>
      </c>
      <c r="P357" s="4">
        <f t="shared" si="17"/>
        <v>18.467686567164179</v>
      </c>
    </row>
    <row r="358" spans="1:16" x14ac:dyDescent="0.25">
      <c r="A358" s="1">
        <v>45283</v>
      </c>
      <c r="B358" s="1" t="str">
        <f t="shared" si="15"/>
        <v>Saturday</v>
      </c>
      <c r="C358" s="1" t="b">
        <f t="shared" si="16"/>
        <v>1</v>
      </c>
      <c r="D358">
        <f>VLOOKUP($A358,survey_2yrs!A:B, 2)</f>
        <v>50.3</v>
      </c>
      <c r="E358">
        <f>VLOOKUP($A358,survey_2yrs!$A:C, 3)</f>
        <v>49.7</v>
      </c>
      <c r="F358">
        <f>VLOOKUP($A358,survey_2yrs!$A:D, 4)</f>
        <v>50.7</v>
      </c>
      <c r="G358">
        <f>_xlfn.XLOOKUP(A358,survey_2yrs!A:A,survey_2yrs!E:E)</f>
        <v>49.3</v>
      </c>
      <c r="H358">
        <f>_xlfn.XLOOKUP($A358,weather_2yrs!$A:$A,weather_2yrs!B:B)</f>
        <v>77.3</v>
      </c>
      <c r="I358">
        <f>_xlfn.XLOOKUP($A358,weather_2yrs!$A:$A,weather_2yrs!C:C)</f>
        <v>0</v>
      </c>
      <c r="J358">
        <f>_xlfn.XLOOKUP($A358,weather_2yrs!$A:$A,weather_2yrs!D:D)</f>
        <v>0</v>
      </c>
      <c r="K358">
        <f>_xlfn.XLOOKUP($A358,weather_2yrs!$A:$A,weather_2yrs!E:E)</f>
        <v>51</v>
      </c>
      <c r="L358">
        <f>_xlfn.XLOOKUP($A358,sales!$A:$A,sales!B:B)</f>
        <v>1</v>
      </c>
      <c r="M358" t="str">
        <f>_xlfn.XLOOKUP($A358,sales!$A:$A,sales!C:C)</f>
        <v>Miami Beach</v>
      </c>
      <c r="N358">
        <f>_xlfn.XLOOKUP($A358,sales!$A:$A,sales!D:D)</f>
        <v>280</v>
      </c>
      <c r="O358">
        <f>_xlfn.XLOOKUP($A358,sales!$A:$A,sales!E:E)</f>
        <v>4947.78</v>
      </c>
      <c r="P358" s="4">
        <f t="shared" si="17"/>
        <v>17.670642857142855</v>
      </c>
    </row>
    <row r="359" spans="1:16" x14ac:dyDescent="0.25">
      <c r="A359" s="1">
        <v>45284</v>
      </c>
      <c r="B359" s="1" t="str">
        <f t="shared" si="15"/>
        <v>Sunday</v>
      </c>
      <c r="C359" s="1" t="b">
        <f t="shared" si="16"/>
        <v>1</v>
      </c>
      <c r="D359">
        <f>VLOOKUP($A359,survey_2yrs!A:B, 2)</f>
        <v>49.6</v>
      </c>
      <c r="E359">
        <f>VLOOKUP($A359,survey_2yrs!$A:C, 3)</f>
        <v>50.4</v>
      </c>
      <c r="F359">
        <f>VLOOKUP($A359,survey_2yrs!$A:D, 4)</f>
        <v>49.6</v>
      </c>
      <c r="G359">
        <f>_xlfn.XLOOKUP(A359,survey_2yrs!A:A,survey_2yrs!E:E)</f>
        <v>50.4</v>
      </c>
      <c r="H359">
        <f>_xlfn.XLOOKUP($A359,weather_2yrs!$A:$A,weather_2yrs!B:B)</f>
        <v>70.8</v>
      </c>
      <c r="I359">
        <f>_xlfn.XLOOKUP($A359,weather_2yrs!$A:$A,weather_2yrs!C:C)</f>
        <v>0</v>
      </c>
      <c r="J359">
        <f>_xlfn.XLOOKUP($A359,weather_2yrs!$A:$A,weather_2yrs!D:D)</f>
        <v>0</v>
      </c>
      <c r="K359">
        <f>_xlfn.XLOOKUP($A359,weather_2yrs!$A:$A,weather_2yrs!E:E)</f>
        <v>49</v>
      </c>
      <c r="L359">
        <f>_xlfn.XLOOKUP($A359,sales!$A:$A,sales!B:B)</f>
        <v>1</v>
      </c>
      <c r="M359" t="str">
        <f>_xlfn.XLOOKUP($A359,sales!$A:$A,sales!C:C)</f>
        <v>Miami Beach</v>
      </c>
      <c r="N359">
        <f>_xlfn.XLOOKUP($A359,sales!$A:$A,sales!D:D)</f>
        <v>261</v>
      </c>
      <c r="O359">
        <f>_xlfn.XLOOKUP($A359,sales!$A:$A,sales!E:E)</f>
        <v>4378.29</v>
      </c>
      <c r="P359" s="4">
        <f t="shared" si="17"/>
        <v>16.775057471264368</v>
      </c>
    </row>
    <row r="360" spans="1:16" x14ac:dyDescent="0.25">
      <c r="A360" s="1">
        <v>45285</v>
      </c>
      <c r="B360" s="1" t="str">
        <f t="shared" si="15"/>
        <v>Monday</v>
      </c>
      <c r="C360" s="1" t="b">
        <f t="shared" si="16"/>
        <v>0</v>
      </c>
      <c r="D360">
        <f>VLOOKUP($A360,survey_2yrs!A:B, 2)</f>
        <v>47.7</v>
      </c>
      <c r="E360">
        <f>VLOOKUP($A360,survey_2yrs!$A:C, 3)</f>
        <v>52.3</v>
      </c>
      <c r="F360">
        <f>VLOOKUP($A360,survey_2yrs!$A:D, 4)</f>
        <v>44.9</v>
      </c>
      <c r="G360">
        <f>_xlfn.XLOOKUP(A360,survey_2yrs!A:A,survey_2yrs!E:E)</f>
        <v>55.1</v>
      </c>
      <c r="H360">
        <f>_xlfn.XLOOKUP($A360,weather_2yrs!$A:$A,weather_2yrs!B:B)</f>
        <v>80.8</v>
      </c>
      <c r="I360">
        <f>_xlfn.XLOOKUP($A360,weather_2yrs!$A:$A,weather_2yrs!C:C)</f>
        <v>0</v>
      </c>
      <c r="J360">
        <f>_xlfn.XLOOKUP($A360,weather_2yrs!$A:$A,weather_2yrs!D:D)</f>
        <v>0</v>
      </c>
      <c r="K360">
        <f>_xlfn.XLOOKUP($A360,weather_2yrs!$A:$A,weather_2yrs!E:E)</f>
        <v>50.1</v>
      </c>
      <c r="L360">
        <f>_xlfn.XLOOKUP($A360,sales!$A:$A,sales!B:B)</f>
        <v>1</v>
      </c>
      <c r="M360" t="str">
        <f>_xlfn.XLOOKUP($A360,sales!$A:$A,sales!C:C)</f>
        <v>Miami Beach</v>
      </c>
      <c r="N360">
        <f>_xlfn.XLOOKUP($A360,sales!$A:$A,sales!D:D)</f>
        <v>251</v>
      </c>
      <c r="O360">
        <f>_xlfn.XLOOKUP($A360,sales!$A:$A,sales!E:E)</f>
        <v>4865.9399999999996</v>
      </c>
      <c r="P360" s="4">
        <f t="shared" si="17"/>
        <v>19.386215139442228</v>
      </c>
    </row>
    <row r="361" spans="1:16" x14ac:dyDescent="0.25">
      <c r="A361" s="1">
        <v>45286</v>
      </c>
      <c r="B361" s="1" t="str">
        <f t="shared" si="15"/>
        <v>Tuesday</v>
      </c>
      <c r="C361" s="1" t="b">
        <f t="shared" si="16"/>
        <v>0</v>
      </c>
      <c r="D361">
        <f>VLOOKUP($A361,survey_2yrs!A:B, 2)</f>
        <v>47.2</v>
      </c>
      <c r="E361">
        <f>VLOOKUP($A361,survey_2yrs!$A:C, 3)</f>
        <v>52.8</v>
      </c>
      <c r="F361">
        <f>VLOOKUP($A361,survey_2yrs!$A:D, 4)</f>
        <v>43.5</v>
      </c>
      <c r="G361">
        <f>_xlfn.XLOOKUP(A361,survey_2yrs!A:A,survey_2yrs!E:E)</f>
        <v>56.5</v>
      </c>
      <c r="H361">
        <f>_xlfn.XLOOKUP($A361,weather_2yrs!$A:$A,weather_2yrs!B:B)</f>
        <v>69.8</v>
      </c>
      <c r="I361">
        <f>_xlfn.XLOOKUP($A361,weather_2yrs!$A:$A,weather_2yrs!C:C)</f>
        <v>0</v>
      </c>
      <c r="J361">
        <f>_xlfn.XLOOKUP($A361,weather_2yrs!$A:$A,weather_2yrs!D:D)</f>
        <v>0</v>
      </c>
      <c r="K361">
        <f>_xlfn.XLOOKUP($A361,weather_2yrs!$A:$A,weather_2yrs!E:E)</f>
        <v>48.9</v>
      </c>
      <c r="L361">
        <f>_xlfn.XLOOKUP($A361,sales!$A:$A,sales!B:B)</f>
        <v>1</v>
      </c>
      <c r="M361" t="str">
        <f>_xlfn.XLOOKUP($A361,sales!$A:$A,sales!C:C)</f>
        <v>Miami Beach</v>
      </c>
      <c r="N361">
        <f>_xlfn.XLOOKUP($A361,sales!$A:$A,sales!D:D)</f>
        <v>197</v>
      </c>
      <c r="O361">
        <f>_xlfn.XLOOKUP($A361,sales!$A:$A,sales!E:E)</f>
        <v>3749.65</v>
      </c>
      <c r="P361" s="4">
        <f t="shared" si="17"/>
        <v>19.033756345177665</v>
      </c>
    </row>
    <row r="362" spans="1:16" x14ac:dyDescent="0.25">
      <c r="A362" s="1">
        <v>45287</v>
      </c>
      <c r="B362" s="1" t="str">
        <f t="shared" si="15"/>
        <v>Wednesday</v>
      </c>
      <c r="C362" s="1" t="b">
        <f t="shared" si="16"/>
        <v>0</v>
      </c>
      <c r="D362">
        <f>VLOOKUP($A362,survey_2yrs!A:B, 2)</f>
        <v>49.1</v>
      </c>
      <c r="E362">
        <f>VLOOKUP($A362,survey_2yrs!$A:C, 3)</f>
        <v>50.9</v>
      </c>
      <c r="F362">
        <f>VLOOKUP($A362,survey_2yrs!$A:D, 4)</f>
        <v>45</v>
      </c>
      <c r="G362">
        <f>_xlfn.XLOOKUP(A362,survey_2yrs!A:A,survey_2yrs!E:E)</f>
        <v>55</v>
      </c>
      <c r="H362">
        <f>_xlfn.XLOOKUP($A362,weather_2yrs!$A:$A,weather_2yrs!B:B)</f>
        <v>80.099999999999994</v>
      </c>
      <c r="I362">
        <f>_xlfn.XLOOKUP($A362,weather_2yrs!$A:$A,weather_2yrs!C:C)</f>
        <v>0</v>
      </c>
      <c r="J362">
        <f>_xlfn.XLOOKUP($A362,weather_2yrs!$A:$A,weather_2yrs!D:D)</f>
        <v>0</v>
      </c>
      <c r="K362">
        <f>_xlfn.XLOOKUP($A362,weather_2yrs!$A:$A,weather_2yrs!E:E)</f>
        <v>53.3</v>
      </c>
      <c r="L362">
        <f>_xlfn.XLOOKUP($A362,sales!$A:$A,sales!B:B)</f>
        <v>1</v>
      </c>
      <c r="M362" t="str">
        <f>_xlfn.XLOOKUP($A362,sales!$A:$A,sales!C:C)</f>
        <v>Miami Beach</v>
      </c>
      <c r="N362">
        <f>_xlfn.XLOOKUP($A362,sales!$A:$A,sales!D:D)</f>
        <v>268</v>
      </c>
      <c r="O362">
        <f>_xlfn.XLOOKUP($A362,sales!$A:$A,sales!E:E)</f>
        <v>5522.61</v>
      </c>
      <c r="P362" s="4">
        <f t="shared" si="17"/>
        <v>20.606753731343282</v>
      </c>
    </row>
    <row r="363" spans="1:16" x14ac:dyDescent="0.25">
      <c r="A363" s="1">
        <v>45288</v>
      </c>
      <c r="B363" s="1" t="str">
        <f t="shared" si="15"/>
        <v>Thursday</v>
      </c>
      <c r="C363" s="1" t="b">
        <f t="shared" si="16"/>
        <v>0</v>
      </c>
      <c r="D363">
        <f>VLOOKUP($A363,survey_2yrs!A:B, 2)</f>
        <v>48.8</v>
      </c>
      <c r="E363">
        <f>VLOOKUP($A363,survey_2yrs!$A:C, 3)</f>
        <v>51.2</v>
      </c>
      <c r="F363">
        <f>VLOOKUP($A363,survey_2yrs!$A:D, 4)</f>
        <v>44.5</v>
      </c>
      <c r="G363">
        <f>_xlfn.XLOOKUP(A363,survey_2yrs!A:A,survey_2yrs!E:E)</f>
        <v>55.5</v>
      </c>
      <c r="H363">
        <f>_xlfn.XLOOKUP($A363,weather_2yrs!$A:$A,weather_2yrs!B:B)</f>
        <v>75.099999999999994</v>
      </c>
      <c r="I363">
        <f>_xlfn.XLOOKUP($A363,weather_2yrs!$A:$A,weather_2yrs!C:C)</f>
        <v>0</v>
      </c>
      <c r="J363">
        <f>_xlfn.XLOOKUP($A363,weather_2yrs!$A:$A,weather_2yrs!D:D)</f>
        <v>0</v>
      </c>
      <c r="K363">
        <f>_xlfn.XLOOKUP($A363,weather_2yrs!$A:$A,weather_2yrs!E:E)</f>
        <v>53.3</v>
      </c>
      <c r="L363">
        <f>_xlfn.XLOOKUP($A363,sales!$A:$A,sales!B:B)</f>
        <v>1</v>
      </c>
      <c r="M363" t="str">
        <f>_xlfn.XLOOKUP($A363,sales!$A:$A,sales!C:C)</f>
        <v>Miami Beach</v>
      </c>
      <c r="N363">
        <f>_xlfn.XLOOKUP($A363,sales!$A:$A,sales!D:D)</f>
        <v>187</v>
      </c>
      <c r="O363">
        <f>_xlfn.XLOOKUP($A363,sales!$A:$A,sales!E:E)</f>
        <v>3298.56</v>
      </c>
      <c r="P363" s="4">
        <f t="shared" si="17"/>
        <v>17.639358288770055</v>
      </c>
    </row>
    <row r="364" spans="1:16" x14ac:dyDescent="0.25">
      <c r="A364" s="1">
        <v>45289</v>
      </c>
      <c r="B364" s="1" t="str">
        <f t="shared" si="15"/>
        <v>Friday</v>
      </c>
      <c r="C364" s="1" t="b">
        <f t="shared" si="16"/>
        <v>0</v>
      </c>
      <c r="D364">
        <f>VLOOKUP($A364,survey_2yrs!A:B, 2)</f>
        <v>48.1</v>
      </c>
      <c r="E364">
        <f>VLOOKUP($A364,survey_2yrs!$A:C, 3)</f>
        <v>51.9</v>
      </c>
      <c r="F364">
        <f>VLOOKUP($A364,survey_2yrs!$A:D, 4)</f>
        <v>43.5</v>
      </c>
      <c r="G364">
        <f>_xlfn.XLOOKUP(A364,survey_2yrs!A:A,survey_2yrs!E:E)</f>
        <v>56.5</v>
      </c>
      <c r="H364">
        <f>_xlfn.XLOOKUP($A364,weather_2yrs!$A:$A,weather_2yrs!B:B)</f>
        <v>72.900000000000006</v>
      </c>
      <c r="I364">
        <f>_xlfn.XLOOKUP($A364,weather_2yrs!$A:$A,weather_2yrs!C:C)</f>
        <v>0</v>
      </c>
      <c r="J364">
        <f>_xlfn.XLOOKUP($A364,weather_2yrs!$A:$A,weather_2yrs!D:D)</f>
        <v>0</v>
      </c>
      <c r="K364">
        <f>_xlfn.XLOOKUP($A364,weather_2yrs!$A:$A,weather_2yrs!E:E)</f>
        <v>47.4</v>
      </c>
      <c r="L364">
        <f>_xlfn.XLOOKUP($A364,sales!$A:$A,sales!B:B)</f>
        <v>1</v>
      </c>
      <c r="M364" t="str">
        <f>_xlfn.XLOOKUP($A364,sales!$A:$A,sales!C:C)</f>
        <v>Miami Beach</v>
      </c>
      <c r="N364">
        <f>_xlfn.XLOOKUP($A364,sales!$A:$A,sales!D:D)</f>
        <v>253</v>
      </c>
      <c r="O364">
        <f>_xlfn.XLOOKUP($A364,sales!$A:$A,sales!E:E)</f>
        <v>5082.57</v>
      </c>
      <c r="P364" s="4">
        <f t="shared" si="17"/>
        <v>20.089209486166006</v>
      </c>
    </row>
    <row r="365" spans="1:16" x14ac:dyDescent="0.25">
      <c r="A365" s="1">
        <v>45290</v>
      </c>
      <c r="B365" s="1" t="str">
        <f t="shared" si="15"/>
        <v>Saturday</v>
      </c>
      <c r="C365" s="1" t="b">
        <f t="shared" si="16"/>
        <v>1</v>
      </c>
      <c r="D365">
        <f>VLOOKUP($A365,survey_2yrs!A:B, 2)</f>
        <v>50.2</v>
      </c>
      <c r="E365">
        <f>VLOOKUP($A365,survey_2yrs!$A:C, 3)</f>
        <v>49.8</v>
      </c>
      <c r="F365">
        <f>VLOOKUP($A365,survey_2yrs!$A:D, 4)</f>
        <v>49.9</v>
      </c>
      <c r="G365">
        <f>_xlfn.XLOOKUP(A365,survey_2yrs!A:A,survey_2yrs!E:E)</f>
        <v>50.1</v>
      </c>
      <c r="H365">
        <f>_xlfn.XLOOKUP($A365,weather_2yrs!$A:$A,weather_2yrs!B:B)</f>
        <v>75.099999999999994</v>
      </c>
      <c r="I365">
        <f>_xlfn.XLOOKUP($A365,weather_2yrs!$A:$A,weather_2yrs!C:C)</f>
        <v>0</v>
      </c>
      <c r="J365">
        <f>_xlfn.XLOOKUP($A365,weather_2yrs!$A:$A,weather_2yrs!D:D)</f>
        <v>0</v>
      </c>
      <c r="K365">
        <f>_xlfn.XLOOKUP($A365,weather_2yrs!$A:$A,weather_2yrs!E:E)</f>
        <v>40.5</v>
      </c>
      <c r="L365">
        <f>_xlfn.XLOOKUP($A365,sales!$A:$A,sales!B:B)</f>
        <v>1</v>
      </c>
      <c r="M365" t="str">
        <f>_xlfn.XLOOKUP($A365,sales!$A:$A,sales!C:C)</f>
        <v>Miami Beach</v>
      </c>
      <c r="N365">
        <f>_xlfn.XLOOKUP($A365,sales!$A:$A,sales!D:D)</f>
        <v>283</v>
      </c>
      <c r="O365">
        <f>_xlfn.XLOOKUP($A365,sales!$A:$A,sales!E:E)</f>
        <v>5336.93</v>
      </c>
      <c r="P365" s="4">
        <f t="shared" si="17"/>
        <v>18.858409893992935</v>
      </c>
    </row>
    <row r="366" spans="1:16" x14ac:dyDescent="0.25">
      <c r="A366" s="1">
        <v>45291</v>
      </c>
      <c r="B366" s="1" t="str">
        <f t="shared" si="15"/>
        <v>Sunday</v>
      </c>
      <c r="C366" s="1" t="b">
        <f t="shared" si="16"/>
        <v>1</v>
      </c>
      <c r="D366">
        <f>VLOOKUP($A366,survey_2yrs!A:B, 2)</f>
        <v>49</v>
      </c>
      <c r="E366">
        <f>VLOOKUP($A366,survey_2yrs!$A:C, 3)</f>
        <v>51</v>
      </c>
      <c r="F366">
        <f>VLOOKUP($A366,survey_2yrs!$A:D, 4)</f>
        <v>49.5</v>
      </c>
      <c r="G366">
        <f>_xlfn.XLOOKUP(A366,survey_2yrs!A:A,survey_2yrs!E:E)</f>
        <v>50.5</v>
      </c>
      <c r="H366">
        <f>_xlfn.XLOOKUP($A366,weather_2yrs!$A:$A,weather_2yrs!B:B)</f>
        <v>77.2</v>
      </c>
      <c r="I366">
        <f>_xlfn.XLOOKUP($A366,weather_2yrs!$A:$A,weather_2yrs!C:C)</f>
        <v>0</v>
      </c>
      <c r="J366">
        <f>_xlfn.XLOOKUP($A366,weather_2yrs!$A:$A,weather_2yrs!D:D)</f>
        <v>0</v>
      </c>
      <c r="K366">
        <f>_xlfn.XLOOKUP($A366,weather_2yrs!$A:$A,weather_2yrs!E:E)</f>
        <v>37.799999999999997</v>
      </c>
      <c r="L366">
        <f>_xlfn.XLOOKUP($A366,sales!$A:$A,sales!B:B)</f>
        <v>1</v>
      </c>
      <c r="M366" t="str">
        <f>_xlfn.XLOOKUP($A366,sales!$A:$A,sales!C:C)</f>
        <v>Miami Beach</v>
      </c>
      <c r="N366">
        <f>_xlfn.XLOOKUP($A366,sales!$A:$A,sales!D:D)</f>
        <v>267</v>
      </c>
      <c r="O366">
        <f>_xlfn.XLOOKUP($A366,sales!$A:$A,sales!E:E)</f>
        <v>4660.6899999999996</v>
      </c>
      <c r="P366" s="4">
        <f t="shared" si="17"/>
        <v>17.455767790262172</v>
      </c>
    </row>
    <row r="367" spans="1:16" x14ac:dyDescent="0.25">
      <c r="A367" s="1">
        <v>45292</v>
      </c>
      <c r="B367" s="1" t="str">
        <f t="shared" si="15"/>
        <v>Monday</v>
      </c>
      <c r="C367" s="1" t="b">
        <f t="shared" si="16"/>
        <v>0</v>
      </c>
      <c r="D367">
        <f>VLOOKUP($A367,survey_2yrs!A:B, 2)</f>
        <v>46.7</v>
      </c>
      <c r="E367">
        <f>VLOOKUP($A367,survey_2yrs!$A:C, 3)</f>
        <v>53.3</v>
      </c>
      <c r="F367">
        <f>VLOOKUP($A367,survey_2yrs!$A:D, 4)</f>
        <v>45.3</v>
      </c>
      <c r="G367">
        <f>_xlfn.XLOOKUP(A367,survey_2yrs!A:A,survey_2yrs!E:E)</f>
        <v>54.7</v>
      </c>
      <c r="H367">
        <f>_xlfn.XLOOKUP($A367,weather_2yrs!$A:$A,weather_2yrs!B:B)</f>
        <v>74.400000000000006</v>
      </c>
      <c r="I367">
        <f>_xlfn.XLOOKUP($A367,weather_2yrs!$A:$A,weather_2yrs!C:C)</f>
        <v>0.67</v>
      </c>
      <c r="J367">
        <f>_xlfn.XLOOKUP($A367,weather_2yrs!$A:$A,weather_2yrs!D:D)</f>
        <v>1</v>
      </c>
      <c r="K367">
        <f>_xlfn.XLOOKUP($A367,weather_2yrs!$A:$A,weather_2yrs!E:E)</f>
        <v>49.5</v>
      </c>
      <c r="L367">
        <f>_xlfn.XLOOKUP($A367,sales!$A:$A,sales!B:B)</f>
        <v>1</v>
      </c>
      <c r="M367" t="str">
        <f>_xlfn.XLOOKUP($A367,sales!$A:$A,sales!C:C)</f>
        <v>Miami Beach</v>
      </c>
      <c r="N367">
        <f>_xlfn.XLOOKUP($A367,sales!$A:$A,sales!D:D)</f>
        <v>224</v>
      </c>
      <c r="O367">
        <f>_xlfn.XLOOKUP($A367,sales!$A:$A,sales!E:E)</f>
        <v>3936.85</v>
      </c>
      <c r="P367" s="4">
        <f t="shared" si="17"/>
        <v>17.575223214285714</v>
      </c>
    </row>
    <row r="368" spans="1:16" x14ac:dyDescent="0.25">
      <c r="A368" s="1">
        <v>45293</v>
      </c>
      <c r="B368" s="1" t="str">
        <f t="shared" si="15"/>
        <v>Tuesday</v>
      </c>
      <c r="C368" s="1" t="b">
        <f t="shared" si="16"/>
        <v>0</v>
      </c>
      <c r="D368">
        <f>VLOOKUP($A368,survey_2yrs!A:B, 2)</f>
        <v>47.2</v>
      </c>
      <c r="E368">
        <f>VLOOKUP($A368,survey_2yrs!$A:C, 3)</f>
        <v>52.8</v>
      </c>
      <c r="F368">
        <f>VLOOKUP($A368,survey_2yrs!$A:D, 4)</f>
        <v>45.2</v>
      </c>
      <c r="G368">
        <f>_xlfn.XLOOKUP(A368,survey_2yrs!A:A,survey_2yrs!E:E)</f>
        <v>54.8</v>
      </c>
      <c r="H368">
        <f>_xlfn.XLOOKUP($A368,weather_2yrs!$A:$A,weather_2yrs!B:B)</f>
        <v>73.900000000000006</v>
      </c>
      <c r="I368">
        <f>_xlfn.XLOOKUP($A368,weather_2yrs!$A:$A,weather_2yrs!C:C)</f>
        <v>0</v>
      </c>
      <c r="J368">
        <f>_xlfn.XLOOKUP($A368,weather_2yrs!$A:$A,weather_2yrs!D:D)</f>
        <v>0</v>
      </c>
      <c r="K368">
        <f>_xlfn.XLOOKUP($A368,weather_2yrs!$A:$A,weather_2yrs!E:E)</f>
        <v>45.8</v>
      </c>
      <c r="L368">
        <f>_xlfn.XLOOKUP($A368,sales!$A:$A,sales!B:B)</f>
        <v>1</v>
      </c>
      <c r="M368" t="str">
        <f>_xlfn.XLOOKUP($A368,sales!$A:$A,sales!C:C)</f>
        <v>Miami Beach</v>
      </c>
      <c r="N368">
        <f>_xlfn.XLOOKUP($A368,sales!$A:$A,sales!D:D)</f>
        <v>241</v>
      </c>
      <c r="O368">
        <f>_xlfn.XLOOKUP($A368,sales!$A:$A,sales!E:E)</f>
        <v>4388.3900000000003</v>
      </c>
      <c r="P368" s="4">
        <f t="shared" si="17"/>
        <v>18.209087136929462</v>
      </c>
    </row>
    <row r="369" spans="1:16" x14ac:dyDescent="0.25">
      <c r="A369" s="1">
        <v>45294</v>
      </c>
      <c r="B369" s="1" t="str">
        <f t="shared" si="15"/>
        <v>Wednesday</v>
      </c>
      <c r="C369" s="1" t="b">
        <f t="shared" si="16"/>
        <v>0</v>
      </c>
      <c r="D369">
        <f>VLOOKUP($A369,survey_2yrs!A:B, 2)</f>
        <v>48.8</v>
      </c>
      <c r="E369">
        <f>VLOOKUP($A369,survey_2yrs!$A:C, 3)</f>
        <v>51.2</v>
      </c>
      <c r="F369">
        <f>VLOOKUP($A369,survey_2yrs!$A:D, 4)</f>
        <v>44.3</v>
      </c>
      <c r="G369">
        <f>_xlfn.XLOOKUP(A369,survey_2yrs!A:A,survey_2yrs!E:E)</f>
        <v>55.7</v>
      </c>
      <c r="H369">
        <f>_xlfn.XLOOKUP($A369,weather_2yrs!$A:$A,weather_2yrs!B:B)</f>
        <v>72.5</v>
      </c>
      <c r="I369">
        <f>_xlfn.XLOOKUP($A369,weather_2yrs!$A:$A,weather_2yrs!C:C)</f>
        <v>0.04</v>
      </c>
      <c r="J369">
        <f>_xlfn.XLOOKUP($A369,weather_2yrs!$A:$A,weather_2yrs!D:D)</f>
        <v>1</v>
      </c>
      <c r="K369">
        <f>_xlfn.XLOOKUP($A369,weather_2yrs!$A:$A,weather_2yrs!E:E)</f>
        <v>38.299999999999997</v>
      </c>
      <c r="L369">
        <f>_xlfn.XLOOKUP($A369,sales!$A:$A,sales!B:B)</f>
        <v>1</v>
      </c>
      <c r="M369" t="str">
        <f>_xlfn.XLOOKUP($A369,sales!$A:$A,sales!C:C)</f>
        <v>Miami Beach</v>
      </c>
      <c r="N369">
        <f>_xlfn.XLOOKUP($A369,sales!$A:$A,sales!D:D)</f>
        <v>230</v>
      </c>
      <c r="O369">
        <f>_xlfn.XLOOKUP($A369,sales!$A:$A,sales!E:E)</f>
        <v>4218.71</v>
      </c>
      <c r="P369" s="4">
        <f t="shared" si="17"/>
        <v>18.342217391304349</v>
      </c>
    </row>
    <row r="370" spans="1:16" x14ac:dyDescent="0.25">
      <c r="A370" s="1">
        <v>45295</v>
      </c>
      <c r="B370" s="1" t="str">
        <f t="shared" si="15"/>
        <v>Thursday</v>
      </c>
      <c r="C370" s="1" t="b">
        <f t="shared" si="16"/>
        <v>0</v>
      </c>
      <c r="D370">
        <f>VLOOKUP($A370,survey_2yrs!A:B, 2)</f>
        <v>50.4</v>
      </c>
      <c r="E370">
        <f>VLOOKUP($A370,survey_2yrs!$A:C, 3)</f>
        <v>49.6</v>
      </c>
      <c r="F370">
        <f>VLOOKUP($A370,survey_2yrs!$A:D, 4)</f>
        <v>45.4</v>
      </c>
      <c r="G370">
        <f>_xlfn.XLOOKUP(A370,survey_2yrs!A:A,survey_2yrs!E:E)</f>
        <v>54.6</v>
      </c>
      <c r="H370">
        <f>_xlfn.XLOOKUP($A370,weather_2yrs!$A:$A,weather_2yrs!B:B)</f>
        <v>73.8</v>
      </c>
      <c r="I370">
        <f>_xlfn.XLOOKUP($A370,weather_2yrs!$A:$A,weather_2yrs!C:C)</f>
        <v>1.57</v>
      </c>
      <c r="J370">
        <f>_xlfn.XLOOKUP($A370,weather_2yrs!$A:$A,weather_2yrs!D:D)</f>
        <v>1</v>
      </c>
      <c r="K370">
        <f>_xlfn.XLOOKUP($A370,weather_2yrs!$A:$A,weather_2yrs!E:E)</f>
        <v>43.7</v>
      </c>
      <c r="L370">
        <f>_xlfn.XLOOKUP($A370,sales!$A:$A,sales!B:B)</f>
        <v>1</v>
      </c>
      <c r="M370" t="str">
        <f>_xlfn.XLOOKUP($A370,sales!$A:$A,sales!C:C)</f>
        <v>Miami Beach</v>
      </c>
      <c r="N370">
        <f>_xlfn.XLOOKUP($A370,sales!$A:$A,sales!D:D)</f>
        <v>221</v>
      </c>
      <c r="O370">
        <f>_xlfn.XLOOKUP($A370,sales!$A:$A,sales!E:E)</f>
        <v>4057.52</v>
      </c>
      <c r="P370" s="4">
        <f t="shared" si="17"/>
        <v>18.359819004524887</v>
      </c>
    </row>
    <row r="371" spans="1:16" x14ac:dyDescent="0.25">
      <c r="A371" s="1">
        <v>45296</v>
      </c>
      <c r="B371" s="1" t="str">
        <f t="shared" si="15"/>
        <v>Friday</v>
      </c>
      <c r="C371" s="1" t="b">
        <f t="shared" si="16"/>
        <v>0</v>
      </c>
      <c r="D371">
        <f>VLOOKUP($A371,survey_2yrs!A:B, 2)</f>
        <v>49.6</v>
      </c>
      <c r="E371">
        <f>VLOOKUP($A371,survey_2yrs!$A:C, 3)</f>
        <v>50.4</v>
      </c>
      <c r="F371">
        <f>VLOOKUP($A371,survey_2yrs!$A:D, 4)</f>
        <v>44.2</v>
      </c>
      <c r="G371">
        <f>_xlfn.XLOOKUP(A371,survey_2yrs!A:A,survey_2yrs!E:E)</f>
        <v>55.8</v>
      </c>
      <c r="H371">
        <f>_xlfn.XLOOKUP($A371,weather_2yrs!$A:$A,weather_2yrs!B:B)</f>
        <v>69</v>
      </c>
      <c r="I371">
        <f>_xlfn.XLOOKUP($A371,weather_2yrs!$A:$A,weather_2yrs!C:C)</f>
        <v>0</v>
      </c>
      <c r="J371">
        <f>_xlfn.XLOOKUP($A371,weather_2yrs!$A:$A,weather_2yrs!D:D)</f>
        <v>0</v>
      </c>
      <c r="K371">
        <f>_xlfn.XLOOKUP($A371,weather_2yrs!$A:$A,weather_2yrs!E:E)</f>
        <v>46.6</v>
      </c>
      <c r="L371">
        <f>_xlfn.XLOOKUP($A371,sales!$A:$A,sales!B:B)</f>
        <v>1</v>
      </c>
      <c r="M371" t="str">
        <f>_xlfn.XLOOKUP($A371,sales!$A:$A,sales!C:C)</f>
        <v>Miami Beach</v>
      </c>
      <c r="N371">
        <f>_xlfn.XLOOKUP($A371,sales!$A:$A,sales!D:D)</f>
        <v>242</v>
      </c>
      <c r="O371">
        <f>_xlfn.XLOOKUP($A371,sales!$A:$A,sales!E:E)</f>
        <v>4407.95</v>
      </c>
      <c r="P371" s="4">
        <f t="shared" si="17"/>
        <v>18.214669421487603</v>
      </c>
    </row>
    <row r="372" spans="1:16" x14ac:dyDescent="0.25">
      <c r="A372" s="1">
        <v>45297</v>
      </c>
      <c r="B372" s="1" t="str">
        <f t="shared" si="15"/>
        <v>Saturday</v>
      </c>
      <c r="C372" s="1" t="b">
        <f t="shared" si="16"/>
        <v>1</v>
      </c>
      <c r="D372">
        <f>VLOOKUP($A372,survey_2yrs!A:B, 2)</f>
        <v>50.2</v>
      </c>
      <c r="E372">
        <f>VLOOKUP($A372,survey_2yrs!$A:C, 3)</f>
        <v>49.8</v>
      </c>
      <c r="F372">
        <f>VLOOKUP($A372,survey_2yrs!$A:D, 4)</f>
        <v>52.1</v>
      </c>
      <c r="G372">
        <f>_xlfn.XLOOKUP(A372,survey_2yrs!A:A,survey_2yrs!E:E)</f>
        <v>47.9</v>
      </c>
      <c r="H372">
        <f>_xlfn.XLOOKUP($A372,weather_2yrs!$A:$A,weather_2yrs!B:B)</f>
        <v>77.599999999999994</v>
      </c>
      <c r="I372">
        <f>_xlfn.XLOOKUP($A372,weather_2yrs!$A:$A,weather_2yrs!C:C)</f>
        <v>0</v>
      </c>
      <c r="J372">
        <f>_xlfn.XLOOKUP($A372,weather_2yrs!$A:$A,weather_2yrs!D:D)</f>
        <v>0</v>
      </c>
      <c r="K372">
        <f>_xlfn.XLOOKUP($A372,weather_2yrs!$A:$A,weather_2yrs!E:E)</f>
        <v>45.5</v>
      </c>
      <c r="L372">
        <f>_xlfn.XLOOKUP($A372,sales!$A:$A,sales!B:B)</f>
        <v>1</v>
      </c>
      <c r="M372" t="str">
        <f>_xlfn.XLOOKUP($A372,sales!$A:$A,sales!C:C)</f>
        <v>Miami Beach</v>
      </c>
      <c r="N372">
        <f>_xlfn.XLOOKUP($A372,sales!$A:$A,sales!D:D)</f>
        <v>296</v>
      </c>
      <c r="O372">
        <f>_xlfn.XLOOKUP($A372,sales!$A:$A,sales!E:E)</f>
        <v>5852.98</v>
      </c>
      <c r="P372" s="4">
        <f t="shared" si="17"/>
        <v>19.77358108108108</v>
      </c>
    </row>
    <row r="373" spans="1:16" x14ac:dyDescent="0.25">
      <c r="A373" s="1">
        <v>45298</v>
      </c>
      <c r="B373" s="1" t="str">
        <f t="shared" si="15"/>
        <v>Sunday</v>
      </c>
      <c r="C373" s="1" t="b">
        <f t="shared" si="16"/>
        <v>1</v>
      </c>
      <c r="D373">
        <f>VLOOKUP($A373,survey_2yrs!A:B, 2)</f>
        <v>49.8</v>
      </c>
      <c r="E373">
        <f>VLOOKUP($A373,survey_2yrs!$A:C, 3)</f>
        <v>50.2</v>
      </c>
      <c r="F373">
        <f>VLOOKUP($A373,survey_2yrs!$A:D, 4)</f>
        <v>50.3</v>
      </c>
      <c r="G373">
        <f>_xlfn.XLOOKUP(A373,survey_2yrs!A:A,survey_2yrs!E:E)</f>
        <v>49.7</v>
      </c>
      <c r="H373">
        <f>_xlfn.XLOOKUP($A373,weather_2yrs!$A:$A,weather_2yrs!B:B)</f>
        <v>76.099999999999994</v>
      </c>
      <c r="I373">
        <f>_xlfn.XLOOKUP($A373,weather_2yrs!$A:$A,weather_2yrs!C:C)</f>
        <v>0</v>
      </c>
      <c r="J373">
        <f>_xlfn.XLOOKUP($A373,weather_2yrs!$A:$A,weather_2yrs!D:D)</f>
        <v>0</v>
      </c>
      <c r="K373">
        <f>_xlfn.XLOOKUP($A373,weather_2yrs!$A:$A,weather_2yrs!E:E)</f>
        <v>46.8</v>
      </c>
      <c r="L373">
        <f>_xlfn.XLOOKUP($A373,sales!$A:$A,sales!B:B)</f>
        <v>1</v>
      </c>
      <c r="M373" t="str">
        <f>_xlfn.XLOOKUP($A373,sales!$A:$A,sales!C:C)</f>
        <v>Miami Beach</v>
      </c>
      <c r="N373">
        <f>_xlfn.XLOOKUP($A373,sales!$A:$A,sales!D:D)</f>
        <v>285</v>
      </c>
      <c r="O373">
        <f>_xlfn.XLOOKUP($A373,sales!$A:$A,sales!E:E)</f>
        <v>5750.89</v>
      </c>
      <c r="P373" s="4">
        <f t="shared" si="17"/>
        <v>20.178561403508773</v>
      </c>
    </row>
    <row r="374" spans="1:16" x14ac:dyDescent="0.25">
      <c r="A374" s="1">
        <v>45299</v>
      </c>
      <c r="B374" s="1" t="str">
        <f t="shared" si="15"/>
        <v>Monday</v>
      </c>
      <c r="C374" s="1" t="b">
        <f t="shared" si="16"/>
        <v>0</v>
      </c>
      <c r="D374">
        <f>VLOOKUP($A374,survey_2yrs!A:B, 2)</f>
        <v>49.6</v>
      </c>
      <c r="E374">
        <f>VLOOKUP($A374,survey_2yrs!$A:C, 3)</f>
        <v>50.4</v>
      </c>
      <c r="F374">
        <f>VLOOKUP($A374,survey_2yrs!$A:D, 4)</f>
        <v>45.4</v>
      </c>
      <c r="G374">
        <f>_xlfn.XLOOKUP(A374,survey_2yrs!A:A,survey_2yrs!E:E)</f>
        <v>54.6</v>
      </c>
      <c r="H374">
        <f>_xlfn.XLOOKUP($A374,weather_2yrs!$A:$A,weather_2yrs!B:B)</f>
        <v>71.8</v>
      </c>
      <c r="I374">
        <f>_xlfn.XLOOKUP($A374,weather_2yrs!$A:$A,weather_2yrs!C:C)</f>
        <v>0</v>
      </c>
      <c r="J374">
        <f>_xlfn.XLOOKUP($A374,weather_2yrs!$A:$A,weather_2yrs!D:D)</f>
        <v>0</v>
      </c>
      <c r="K374">
        <f>_xlfn.XLOOKUP($A374,weather_2yrs!$A:$A,weather_2yrs!E:E)</f>
        <v>41.8</v>
      </c>
      <c r="L374">
        <f>_xlfn.XLOOKUP($A374,sales!$A:$A,sales!B:B)</f>
        <v>1</v>
      </c>
      <c r="M374" t="str">
        <f>_xlfn.XLOOKUP($A374,sales!$A:$A,sales!C:C)</f>
        <v>Miami Beach</v>
      </c>
      <c r="N374">
        <f>_xlfn.XLOOKUP($A374,sales!$A:$A,sales!D:D)</f>
        <v>213</v>
      </c>
      <c r="O374">
        <f>_xlfn.XLOOKUP($A374,sales!$A:$A,sales!E:E)</f>
        <v>3858.66</v>
      </c>
      <c r="P374" s="4">
        <f t="shared" si="17"/>
        <v>18.115774647887324</v>
      </c>
    </row>
    <row r="375" spans="1:16" x14ac:dyDescent="0.25">
      <c r="A375" s="1">
        <v>45300</v>
      </c>
      <c r="B375" s="1" t="str">
        <f t="shared" si="15"/>
        <v>Tuesday</v>
      </c>
      <c r="C375" s="1" t="b">
        <f t="shared" si="16"/>
        <v>0</v>
      </c>
      <c r="D375">
        <f>VLOOKUP($A375,survey_2yrs!A:B, 2)</f>
        <v>48.8</v>
      </c>
      <c r="E375">
        <f>VLOOKUP($A375,survey_2yrs!$A:C, 3)</f>
        <v>51.2</v>
      </c>
      <c r="F375">
        <f>VLOOKUP($A375,survey_2yrs!$A:D, 4)</f>
        <v>44.4</v>
      </c>
      <c r="G375">
        <f>_xlfn.XLOOKUP(A375,survey_2yrs!A:A,survey_2yrs!E:E)</f>
        <v>55.6</v>
      </c>
      <c r="H375">
        <f>_xlfn.XLOOKUP($A375,weather_2yrs!$A:$A,weather_2yrs!B:B)</f>
        <v>76.400000000000006</v>
      </c>
      <c r="I375">
        <f>_xlfn.XLOOKUP($A375,weather_2yrs!$A:$A,weather_2yrs!C:C)</f>
        <v>0</v>
      </c>
      <c r="J375">
        <f>_xlfn.XLOOKUP($A375,weather_2yrs!$A:$A,weather_2yrs!D:D)</f>
        <v>0</v>
      </c>
      <c r="K375">
        <f>_xlfn.XLOOKUP($A375,weather_2yrs!$A:$A,weather_2yrs!E:E)</f>
        <v>51.6</v>
      </c>
      <c r="L375">
        <f>_xlfn.XLOOKUP($A375,sales!$A:$A,sales!B:B)</f>
        <v>1</v>
      </c>
      <c r="M375" t="str">
        <f>_xlfn.XLOOKUP($A375,sales!$A:$A,sales!C:C)</f>
        <v>Miami Beach</v>
      </c>
      <c r="N375">
        <f>_xlfn.XLOOKUP($A375,sales!$A:$A,sales!D:D)</f>
        <v>250</v>
      </c>
      <c r="O375">
        <f>_xlfn.XLOOKUP($A375,sales!$A:$A,sales!E:E)</f>
        <v>4349.91</v>
      </c>
      <c r="P375" s="4">
        <f t="shared" si="17"/>
        <v>17.399639999999998</v>
      </c>
    </row>
    <row r="376" spans="1:16" x14ac:dyDescent="0.25">
      <c r="A376" s="1">
        <v>45301</v>
      </c>
      <c r="B376" s="1" t="str">
        <f t="shared" si="15"/>
        <v>Wednesday</v>
      </c>
      <c r="C376" s="1" t="b">
        <f t="shared" si="16"/>
        <v>0</v>
      </c>
      <c r="D376">
        <f>VLOOKUP($A376,survey_2yrs!A:B, 2)</f>
        <v>48.3</v>
      </c>
      <c r="E376">
        <f>VLOOKUP($A376,survey_2yrs!$A:C, 3)</f>
        <v>51.7</v>
      </c>
      <c r="F376">
        <f>VLOOKUP($A376,survey_2yrs!$A:D, 4)</f>
        <v>44.8</v>
      </c>
      <c r="G376">
        <f>_xlfn.XLOOKUP(A376,survey_2yrs!A:A,survey_2yrs!E:E)</f>
        <v>55.2</v>
      </c>
      <c r="H376">
        <f>_xlfn.XLOOKUP($A376,weather_2yrs!$A:$A,weather_2yrs!B:B)</f>
        <v>76.099999999999994</v>
      </c>
      <c r="I376">
        <f>_xlfn.XLOOKUP($A376,weather_2yrs!$A:$A,weather_2yrs!C:C)</f>
        <v>0</v>
      </c>
      <c r="J376">
        <f>_xlfn.XLOOKUP($A376,weather_2yrs!$A:$A,weather_2yrs!D:D)</f>
        <v>0</v>
      </c>
      <c r="K376">
        <f>_xlfn.XLOOKUP($A376,weather_2yrs!$A:$A,weather_2yrs!E:E)</f>
        <v>35.1</v>
      </c>
      <c r="L376">
        <f>_xlfn.XLOOKUP($A376,sales!$A:$A,sales!B:B)</f>
        <v>1</v>
      </c>
      <c r="M376" t="str">
        <f>_xlfn.XLOOKUP($A376,sales!$A:$A,sales!C:C)</f>
        <v>Miami Beach</v>
      </c>
      <c r="N376">
        <f>_xlfn.XLOOKUP($A376,sales!$A:$A,sales!D:D)</f>
        <v>271</v>
      </c>
      <c r="O376">
        <f>_xlfn.XLOOKUP($A376,sales!$A:$A,sales!E:E)</f>
        <v>5034.05</v>
      </c>
      <c r="P376" s="4">
        <f t="shared" si="17"/>
        <v>18.575830258302584</v>
      </c>
    </row>
    <row r="377" spans="1:16" x14ac:dyDescent="0.25">
      <c r="A377" s="1">
        <v>45302</v>
      </c>
      <c r="B377" s="1" t="str">
        <f t="shared" si="15"/>
        <v>Thursday</v>
      </c>
      <c r="C377" s="1" t="b">
        <f t="shared" si="16"/>
        <v>0</v>
      </c>
      <c r="D377">
        <f>VLOOKUP($A377,survey_2yrs!A:B, 2)</f>
        <v>50.5</v>
      </c>
      <c r="E377">
        <f>VLOOKUP($A377,survey_2yrs!$A:C, 3)</f>
        <v>49.5</v>
      </c>
      <c r="F377">
        <f>VLOOKUP($A377,survey_2yrs!$A:D, 4)</f>
        <v>43</v>
      </c>
      <c r="G377">
        <f>_xlfn.XLOOKUP(A377,survey_2yrs!A:A,survey_2yrs!E:E)</f>
        <v>57</v>
      </c>
      <c r="H377">
        <f>_xlfn.XLOOKUP($A377,weather_2yrs!$A:$A,weather_2yrs!B:B)</f>
        <v>74.900000000000006</v>
      </c>
      <c r="I377">
        <f>_xlfn.XLOOKUP($A377,weather_2yrs!$A:$A,weather_2yrs!C:C)</f>
        <v>0.08</v>
      </c>
      <c r="J377">
        <f>_xlfn.XLOOKUP($A377,weather_2yrs!$A:$A,weather_2yrs!D:D)</f>
        <v>1</v>
      </c>
      <c r="K377">
        <f>_xlfn.XLOOKUP($A377,weather_2yrs!$A:$A,weather_2yrs!E:E)</f>
        <v>39.200000000000003</v>
      </c>
      <c r="L377">
        <f>_xlfn.XLOOKUP($A377,sales!$A:$A,sales!B:B)</f>
        <v>1</v>
      </c>
      <c r="M377" t="str">
        <f>_xlfn.XLOOKUP($A377,sales!$A:$A,sales!C:C)</f>
        <v>Miami Beach</v>
      </c>
      <c r="N377">
        <f>_xlfn.XLOOKUP($A377,sales!$A:$A,sales!D:D)</f>
        <v>236</v>
      </c>
      <c r="O377">
        <f>_xlfn.XLOOKUP($A377,sales!$A:$A,sales!E:E)</f>
        <v>4136.0200000000004</v>
      </c>
      <c r="P377" s="4">
        <f t="shared" si="17"/>
        <v>17.525508474576274</v>
      </c>
    </row>
    <row r="378" spans="1:16" x14ac:dyDescent="0.25">
      <c r="A378" s="1">
        <v>45303</v>
      </c>
      <c r="B378" s="1" t="str">
        <f t="shared" si="15"/>
        <v>Friday</v>
      </c>
      <c r="C378" s="1" t="b">
        <f t="shared" si="16"/>
        <v>0</v>
      </c>
      <c r="D378">
        <f>VLOOKUP($A378,survey_2yrs!A:B, 2)</f>
        <v>50.4</v>
      </c>
      <c r="E378">
        <f>VLOOKUP($A378,survey_2yrs!$A:C, 3)</f>
        <v>49.6</v>
      </c>
      <c r="F378">
        <f>VLOOKUP($A378,survey_2yrs!$A:D, 4)</f>
        <v>45.3</v>
      </c>
      <c r="G378">
        <f>_xlfn.XLOOKUP(A378,survey_2yrs!A:A,survey_2yrs!E:E)</f>
        <v>54.7</v>
      </c>
      <c r="H378">
        <f>_xlfn.XLOOKUP($A378,weather_2yrs!$A:$A,weather_2yrs!B:B)</f>
        <v>79.2</v>
      </c>
      <c r="I378">
        <f>_xlfn.XLOOKUP($A378,weather_2yrs!$A:$A,weather_2yrs!C:C)</f>
        <v>0</v>
      </c>
      <c r="J378">
        <f>_xlfn.XLOOKUP($A378,weather_2yrs!$A:$A,weather_2yrs!D:D)</f>
        <v>0</v>
      </c>
      <c r="K378">
        <f>_xlfn.XLOOKUP($A378,weather_2yrs!$A:$A,weather_2yrs!E:E)</f>
        <v>44.7</v>
      </c>
      <c r="L378">
        <f>_xlfn.XLOOKUP($A378,sales!$A:$A,sales!B:B)</f>
        <v>1</v>
      </c>
      <c r="M378" t="str">
        <f>_xlfn.XLOOKUP($A378,sales!$A:$A,sales!C:C)</f>
        <v>Miami Beach</v>
      </c>
      <c r="N378">
        <f>_xlfn.XLOOKUP($A378,sales!$A:$A,sales!D:D)</f>
        <v>263</v>
      </c>
      <c r="O378">
        <f>_xlfn.XLOOKUP($A378,sales!$A:$A,sales!E:E)</f>
        <v>4749.59</v>
      </c>
      <c r="P378" s="4">
        <f t="shared" si="17"/>
        <v>18.059277566539926</v>
      </c>
    </row>
    <row r="379" spans="1:16" x14ac:dyDescent="0.25">
      <c r="A379" s="1">
        <v>45304</v>
      </c>
      <c r="B379" s="1" t="str">
        <f t="shared" si="15"/>
        <v>Saturday</v>
      </c>
      <c r="C379" s="1" t="b">
        <f t="shared" si="16"/>
        <v>1</v>
      </c>
      <c r="D379">
        <f>VLOOKUP($A379,survey_2yrs!A:B, 2)</f>
        <v>47.6</v>
      </c>
      <c r="E379">
        <f>VLOOKUP($A379,survey_2yrs!$A:C, 3)</f>
        <v>52.4</v>
      </c>
      <c r="F379">
        <f>VLOOKUP($A379,survey_2yrs!$A:D, 4)</f>
        <v>51</v>
      </c>
      <c r="G379">
        <f>_xlfn.XLOOKUP(A379,survey_2yrs!A:A,survey_2yrs!E:E)</f>
        <v>49</v>
      </c>
      <c r="H379">
        <f>_xlfn.XLOOKUP($A379,weather_2yrs!$A:$A,weather_2yrs!B:B)</f>
        <v>69</v>
      </c>
      <c r="I379">
        <f>_xlfn.XLOOKUP($A379,weather_2yrs!$A:$A,weather_2yrs!C:C)</f>
        <v>0</v>
      </c>
      <c r="J379">
        <f>_xlfn.XLOOKUP($A379,weather_2yrs!$A:$A,weather_2yrs!D:D)</f>
        <v>0</v>
      </c>
      <c r="K379">
        <f>_xlfn.XLOOKUP($A379,weather_2yrs!$A:$A,weather_2yrs!E:E)</f>
        <v>46.4</v>
      </c>
      <c r="L379">
        <f>_xlfn.XLOOKUP($A379,sales!$A:$A,sales!B:B)</f>
        <v>1</v>
      </c>
      <c r="M379" t="str">
        <f>_xlfn.XLOOKUP($A379,sales!$A:$A,sales!C:C)</f>
        <v>Miami Beach</v>
      </c>
      <c r="N379">
        <f>_xlfn.XLOOKUP($A379,sales!$A:$A,sales!D:D)</f>
        <v>269</v>
      </c>
      <c r="O379">
        <f>_xlfn.XLOOKUP($A379,sales!$A:$A,sales!E:E)</f>
        <v>4943.2</v>
      </c>
      <c r="P379" s="4">
        <f t="shared" si="17"/>
        <v>18.37620817843866</v>
      </c>
    </row>
    <row r="380" spans="1:16" x14ac:dyDescent="0.25">
      <c r="A380" s="1">
        <v>45305</v>
      </c>
      <c r="B380" s="1" t="str">
        <f t="shared" si="15"/>
        <v>Sunday</v>
      </c>
      <c r="C380" s="1" t="b">
        <f t="shared" si="16"/>
        <v>1</v>
      </c>
      <c r="D380">
        <f>VLOOKUP($A380,survey_2yrs!A:B, 2)</f>
        <v>50.5</v>
      </c>
      <c r="E380">
        <f>VLOOKUP($A380,survey_2yrs!$A:C, 3)</f>
        <v>49.5</v>
      </c>
      <c r="F380">
        <f>VLOOKUP($A380,survey_2yrs!$A:D, 4)</f>
        <v>51.4</v>
      </c>
      <c r="G380">
        <f>_xlfn.XLOOKUP(A380,survey_2yrs!A:A,survey_2yrs!E:E)</f>
        <v>48.6</v>
      </c>
      <c r="H380">
        <f>_xlfn.XLOOKUP($A380,weather_2yrs!$A:$A,weather_2yrs!B:B)</f>
        <v>67.3</v>
      </c>
      <c r="I380">
        <f>_xlfn.XLOOKUP($A380,weather_2yrs!$A:$A,weather_2yrs!C:C)</f>
        <v>0</v>
      </c>
      <c r="J380">
        <f>_xlfn.XLOOKUP($A380,weather_2yrs!$A:$A,weather_2yrs!D:D)</f>
        <v>0</v>
      </c>
      <c r="K380">
        <f>_xlfn.XLOOKUP($A380,weather_2yrs!$A:$A,weather_2yrs!E:E)</f>
        <v>42</v>
      </c>
      <c r="L380">
        <f>_xlfn.XLOOKUP($A380,sales!$A:$A,sales!B:B)</f>
        <v>1</v>
      </c>
      <c r="M380" t="str">
        <f>_xlfn.XLOOKUP($A380,sales!$A:$A,sales!C:C)</f>
        <v>Miami Beach</v>
      </c>
      <c r="N380">
        <f>_xlfn.XLOOKUP($A380,sales!$A:$A,sales!D:D)</f>
        <v>246</v>
      </c>
      <c r="O380">
        <f>_xlfn.XLOOKUP($A380,sales!$A:$A,sales!E:E)</f>
        <v>4433.2299999999996</v>
      </c>
      <c r="P380" s="4">
        <f t="shared" si="17"/>
        <v>18.021260162601624</v>
      </c>
    </row>
    <row r="381" spans="1:16" x14ac:dyDescent="0.25">
      <c r="A381" s="1">
        <v>45306</v>
      </c>
      <c r="B381" s="1" t="str">
        <f t="shared" si="15"/>
        <v>Monday</v>
      </c>
      <c r="C381" s="1" t="b">
        <f t="shared" si="16"/>
        <v>0</v>
      </c>
      <c r="D381">
        <f>VLOOKUP($A381,survey_2yrs!A:B, 2)</f>
        <v>50.9</v>
      </c>
      <c r="E381">
        <f>VLOOKUP($A381,survey_2yrs!$A:C, 3)</f>
        <v>49.1</v>
      </c>
      <c r="F381">
        <f>VLOOKUP($A381,survey_2yrs!$A:D, 4)</f>
        <v>45.6</v>
      </c>
      <c r="G381">
        <f>_xlfn.XLOOKUP(A381,survey_2yrs!A:A,survey_2yrs!E:E)</f>
        <v>54.4</v>
      </c>
      <c r="H381">
        <f>_xlfn.XLOOKUP($A381,weather_2yrs!$A:$A,weather_2yrs!B:B)</f>
        <v>70.7</v>
      </c>
      <c r="I381">
        <f>_xlfn.XLOOKUP($A381,weather_2yrs!$A:$A,weather_2yrs!C:C)</f>
        <v>0</v>
      </c>
      <c r="J381">
        <f>_xlfn.XLOOKUP($A381,weather_2yrs!$A:$A,weather_2yrs!D:D)</f>
        <v>0</v>
      </c>
      <c r="K381">
        <f>_xlfn.XLOOKUP($A381,weather_2yrs!$A:$A,weather_2yrs!E:E)</f>
        <v>45.2</v>
      </c>
      <c r="L381">
        <f>_xlfn.XLOOKUP($A381,sales!$A:$A,sales!B:B)</f>
        <v>1</v>
      </c>
      <c r="M381" t="str">
        <f>_xlfn.XLOOKUP($A381,sales!$A:$A,sales!C:C)</f>
        <v>Miami Beach</v>
      </c>
      <c r="N381">
        <f>_xlfn.XLOOKUP($A381,sales!$A:$A,sales!D:D)</f>
        <v>223</v>
      </c>
      <c r="O381">
        <f>_xlfn.XLOOKUP($A381,sales!$A:$A,sales!E:E)</f>
        <v>4120.47</v>
      </c>
      <c r="P381" s="4">
        <f t="shared" si="17"/>
        <v>18.477443946188341</v>
      </c>
    </row>
    <row r="382" spans="1:16" x14ac:dyDescent="0.25">
      <c r="A382" s="1">
        <v>45307</v>
      </c>
      <c r="B382" s="1" t="str">
        <f t="shared" si="15"/>
        <v>Tuesday</v>
      </c>
      <c r="C382" s="1" t="b">
        <f t="shared" si="16"/>
        <v>0</v>
      </c>
      <c r="D382">
        <f>VLOOKUP($A382,survey_2yrs!A:B, 2)</f>
        <v>48.2</v>
      </c>
      <c r="E382">
        <f>VLOOKUP($A382,survey_2yrs!$A:C, 3)</f>
        <v>51.8</v>
      </c>
      <c r="F382">
        <f>VLOOKUP($A382,survey_2yrs!$A:D, 4)</f>
        <v>45.4</v>
      </c>
      <c r="G382">
        <f>_xlfn.XLOOKUP(A382,survey_2yrs!A:A,survey_2yrs!E:E)</f>
        <v>54.6</v>
      </c>
      <c r="H382">
        <f>_xlfn.XLOOKUP($A382,weather_2yrs!$A:$A,weather_2yrs!B:B)</f>
        <v>77</v>
      </c>
      <c r="I382">
        <f>_xlfn.XLOOKUP($A382,weather_2yrs!$A:$A,weather_2yrs!C:C)</f>
        <v>0</v>
      </c>
      <c r="J382">
        <f>_xlfn.XLOOKUP($A382,weather_2yrs!$A:$A,weather_2yrs!D:D)</f>
        <v>0</v>
      </c>
      <c r="K382">
        <f>_xlfn.XLOOKUP($A382,weather_2yrs!$A:$A,weather_2yrs!E:E)</f>
        <v>43.4</v>
      </c>
      <c r="L382">
        <f>_xlfn.XLOOKUP($A382,sales!$A:$A,sales!B:B)</f>
        <v>1</v>
      </c>
      <c r="M382" t="str">
        <f>_xlfn.XLOOKUP($A382,sales!$A:$A,sales!C:C)</f>
        <v>Miami Beach</v>
      </c>
      <c r="N382">
        <f>_xlfn.XLOOKUP($A382,sales!$A:$A,sales!D:D)</f>
        <v>260</v>
      </c>
      <c r="O382">
        <f>_xlfn.XLOOKUP($A382,sales!$A:$A,sales!E:E)</f>
        <v>4831.4799999999996</v>
      </c>
      <c r="P382" s="4">
        <f t="shared" si="17"/>
        <v>18.582615384615384</v>
      </c>
    </row>
    <row r="383" spans="1:16" x14ac:dyDescent="0.25">
      <c r="A383" s="1">
        <v>45308</v>
      </c>
      <c r="B383" s="1" t="str">
        <f t="shared" si="15"/>
        <v>Wednesday</v>
      </c>
      <c r="C383" s="1" t="b">
        <f t="shared" si="16"/>
        <v>0</v>
      </c>
      <c r="D383">
        <f>VLOOKUP($A383,survey_2yrs!A:B, 2)</f>
        <v>51.2</v>
      </c>
      <c r="E383">
        <f>VLOOKUP($A383,survey_2yrs!$A:C, 3)</f>
        <v>48.8</v>
      </c>
      <c r="F383">
        <f>VLOOKUP($A383,survey_2yrs!$A:D, 4)</f>
        <v>45.7</v>
      </c>
      <c r="G383">
        <f>_xlfn.XLOOKUP(A383,survey_2yrs!A:A,survey_2yrs!E:E)</f>
        <v>54.3</v>
      </c>
      <c r="H383">
        <f>_xlfn.XLOOKUP($A383,weather_2yrs!$A:$A,weather_2yrs!B:B)</f>
        <v>73.8</v>
      </c>
      <c r="I383">
        <f>_xlfn.XLOOKUP($A383,weather_2yrs!$A:$A,weather_2yrs!C:C)</f>
        <v>0</v>
      </c>
      <c r="J383">
        <f>_xlfn.XLOOKUP($A383,weather_2yrs!$A:$A,weather_2yrs!D:D)</f>
        <v>0</v>
      </c>
      <c r="K383">
        <f>_xlfn.XLOOKUP($A383,weather_2yrs!$A:$A,weather_2yrs!E:E)</f>
        <v>38.799999999999997</v>
      </c>
      <c r="L383">
        <f>_xlfn.XLOOKUP($A383,sales!$A:$A,sales!B:B)</f>
        <v>1</v>
      </c>
      <c r="M383" t="str">
        <f>_xlfn.XLOOKUP($A383,sales!$A:$A,sales!C:C)</f>
        <v>Miami Beach</v>
      </c>
      <c r="N383">
        <f>_xlfn.XLOOKUP($A383,sales!$A:$A,sales!D:D)</f>
        <v>242</v>
      </c>
      <c r="O383">
        <f>_xlfn.XLOOKUP($A383,sales!$A:$A,sales!E:E)</f>
        <v>4810.92</v>
      </c>
      <c r="P383" s="4">
        <f t="shared" si="17"/>
        <v>19.8798347107438</v>
      </c>
    </row>
    <row r="384" spans="1:16" x14ac:dyDescent="0.25">
      <c r="A384" s="1">
        <v>45309</v>
      </c>
      <c r="B384" s="1" t="str">
        <f t="shared" si="15"/>
        <v>Thursday</v>
      </c>
      <c r="C384" s="1" t="b">
        <f t="shared" si="16"/>
        <v>0</v>
      </c>
      <c r="D384">
        <f>VLOOKUP($A384,survey_2yrs!A:B, 2)</f>
        <v>50.2</v>
      </c>
      <c r="E384">
        <f>VLOOKUP($A384,survey_2yrs!$A:C, 3)</f>
        <v>49.8</v>
      </c>
      <c r="F384">
        <f>VLOOKUP($A384,survey_2yrs!$A:D, 4)</f>
        <v>45.2</v>
      </c>
      <c r="G384">
        <f>_xlfn.XLOOKUP(A384,survey_2yrs!A:A,survey_2yrs!E:E)</f>
        <v>54.8</v>
      </c>
      <c r="H384">
        <f>_xlfn.XLOOKUP($A384,weather_2yrs!$A:$A,weather_2yrs!B:B)</f>
        <v>70.8</v>
      </c>
      <c r="I384">
        <f>_xlfn.XLOOKUP($A384,weather_2yrs!$A:$A,weather_2yrs!C:C)</f>
        <v>0</v>
      </c>
      <c r="J384">
        <f>_xlfn.XLOOKUP($A384,weather_2yrs!$A:$A,weather_2yrs!D:D)</f>
        <v>0</v>
      </c>
      <c r="K384">
        <f>_xlfn.XLOOKUP($A384,weather_2yrs!$A:$A,weather_2yrs!E:E)</f>
        <v>42.9</v>
      </c>
      <c r="L384">
        <f>_xlfn.XLOOKUP($A384,sales!$A:$A,sales!B:B)</f>
        <v>1</v>
      </c>
      <c r="M384" t="str">
        <f>_xlfn.XLOOKUP($A384,sales!$A:$A,sales!C:C)</f>
        <v>Miami Beach</v>
      </c>
      <c r="N384">
        <f>_xlfn.XLOOKUP($A384,sales!$A:$A,sales!D:D)</f>
        <v>246</v>
      </c>
      <c r="O384">
        <f>_xlfn.XLOOKUP($A384,sales!$A:$A,sales!E:E)</f>
        <v>4036.01</v>
      </c>
      <c r="P384" s="4">
        <f t="shared" si="17"/>
        <v>16.406544715447154</v>
      </c>
    </row>
    <row r="385" spans="1:16" x14ac:dyDescent="0.25">
      <c r="A385" s="1">
        <v>45310</v>
      </c>
      <c r="B385" s="1" t="str">
        <f t="shared" si="15"/>
        <v>Friday</v>
      </c>
      <c r="C385" s="1" t="b">
        <f t="shared" si="16"/>
        <v>0</v>
      </c>
      <c r="D385">
        <f>VLOOKUP($A385,survey_2yrs!A:B, 2)</f>
        <v>48.6</v>
      </c>
      <c r="E385">
        <f>VLOOKUP($A385,survey_2yrs!$A:C, 3)</f>
        <v>51.4</v>
      </c>
      <c r="F385">
        <f>VLOOKUP($A385,survey_2yrs!$A:D, 4)</f>
        <v>45.6</v>
      </c>
      <c r="G385">
        <f>_xlfn.XLOOKUP(A385,survey_2yrs!A:A,survey_2yrs!E:E)</f>
        <v>54.4</v>
      </c>
      <c r="H385">
        <f>_xlfn.XLOOKUP($A385,weather_2yrs!$A:$A,weather_2yrs!B:B)</f>
        <v>69</v>
      </c>
      <c r="I385">
        <f>_xlfn.XLOOKUP($A385,weather_2yrs!$A:$A,weather_2yrs!C:C)</f>
        <v>0</v>
      </c>
      <c r="J385">
        <f>_xlfn.XLOOKUP($A385,weather_2yrs!$A:$A,weather_2yrs!D:D)</f>
        <v>0</v>
      </c>
      <c r="K385">
        <f>_xlfn.XLOOKUP($A385,weather_2yrs!$A:$A,weather_2yrs!E:E)</f>
        <v>44.9</v>
      </c>
      <c r="L385">
        <f>_xlfn.XLOOKUP($A385,sales!$A:$A,sales!B:B)</f>
        <v>1</v>
      </c>
      <c r="M385" t="str">
        <f>_xlfn.XLOOKUP($A385,sales!$A:$A,sales!C:C)</f>
        <v>Miami Beach</v>
      </c>
      <c r="N385">
        <f>_xlfn.XLOOKUP($A385,sales!$A:$A,sales!D:D)</f>
        <v>202</v>
      </c>
      <c r="O385">
        <f>_xlfn.XLOOKUP($A385,sales!$A:$A,sales!E:E)</f>
        <v>3328.32</v>
      </c>
      <c r="P385" s="4">
        <f t="shared" si="17"/>
        <v>16.476831683168317</v>
      </c>
    </row>
    <row r="386" spans="1:16" x14ac:dyDescent="0.25">
      <c r="A386" s="1">
        <v>45311</v>
      </c>
      <c r="B386" s="1" t="str">
        <f t="shared" si="15"/>
        <v>Saturday</v>
      </c>
      <c r="C386" s="1" t="b">
        <f t="shared" si="16"/>
        <v>1</v>
      </c>
      <c r="D386">
        <f>VLOOKUP($A386,survey_2yrs!A:B, 2)</f>
        <v>49</v>
      </c>
      <c r="E386">
        <f>VLOOKUP($A386,survey_2yrs!$A:C, 3)</f>
        <v>51</v>
      </c>
      <c r="F386">
        <f>VLOOKUP($A386,survey_2yrs!$A:D, 4)</f>
        <v>50.2</v>
      </c>
      <c r="G386">
        <f>_xlfn.XLOOKUP(A386,survey_2yrs!A:A,survey_2yrs!E:E)</f>
        <v>49.8</v>
      </c>
      <c r="H386">
        <f>_xlfn.XLOOKUP($A386,weather_2yrs!$A:$A,weather_2yrs!B:B)</f>
        <v>84.3</v>
      </c>
      <c r="I386">
        <f>_xlfn.XLOOKUP($A386,weather_2yrs!$A:$A,weather_2yrs!C:C)</f>
        <v>0</v>
      </c>
      <c r="J386">
        <f>_xlfn.XLOOKUP($A386,weather_2yrs!$A:$A,weather_2yrs!D:D)</f>
        <v>0</v>
      </c>
      <c r="K386">
        <f>_xlfn.XLOOKUP($A386,weather_2yrs!$A:$A,weather_2yrs!E:E)</f>
        <v>59.3</v>
      </c>
      <c r="L386">
        <f>_xlfn.XLOOKUP($A386,sales!$A:$A,sales!B:B)</f>
        <v>1</v>
      </c>
      <c r="M386" t="str">
        <f>_xlfn.XLOOKUP($A386,sales!$A:$A,sales!C:C)</f>
        <v>Miami Beach</v>
      </c>
      <c r="N386">
        <f>_xlfn.XLOOKUP($A386,sales!$A:$A,sales!D:D)</f>
        <v>361</v>
      </c>
      <c r="O386">
        <f>_xlfn.XLOOKUP($A386,sales!$A:$A,sales!E:E)</f>
        <v>6966.1</v>
      </c>
      <c r="P386" s="4">
        <f t="shared" si="17"/>
        <v>19.296675900277009</v>
      </c>
    </row>
    <row r="387" spans="1:16" x14ac:dyDescent="0.25">
      <c r="A387" s="1">
        <v>45312</v>
      </c>
      <c r="B387" s="1" t="str">
        <f t="shared" ref="B387:B450" si="18">TEXT(A387, "dddd")</f>
        <v>Sunday</v>
      </c>
      <c r="C387" s="1" t="b">
        <f t="shared" ref="C387:C450" si="19">IF(WEEKDAY(A387,2)&gt;5,TRUE,FALSE)</f>
        <v>1</v>
      </c>
      <c r="D387">
        <f>VLOOKUP($A387,survey_2yrs!A:B, 2)</f>
        <v>49.2</v>
      </c>
      <c r="E387">
        <f>VLOOKUP($A387,survey_2yrs!$A:C, 3)</f>
        <v>50.8</v>
      </c>
      <c r="F387">
        <f>VLOOKUP($A387,survey_2yrs!$A:D, 4)</f>
        <v>51</v>
      </c>
      <c r="G387">
        <f>_xlfn.XLOOKUP(A387,survey_2yrs!A:A,survey_2yrs!E:E)</f>
        <v>49</v>
      </c>
      <c r="H387">
        <f>_xlfn.XLOOKUP($A387,weather_2yrs!$A:$A,weather_2yrs!B:B)</f>
        <v>73.400000000000006</v>
      </c>
      <c r="I387">
        <f>_xlfn.XLOOKUP($A387,weather_2yrs!$A:$A,weather_2yrs!C:C)</f>
        <v>0</v>
      </c>
      <c r="J387">
        <f>_xlfn.XLOOKUP($A387,weather_2yrs!$A:$A,weather_2yrs!D:D)</f>
        <v>0</v>
      </c>
      <c r="K387">
        <f>_xlfn.XLOOKUP($A387,weather_2yrs!$A:$A,weather_2yrs!E:E)</f>
        <v>43.6</v>
      </c>
      <c r="L387">
        <f>_xlfn.XLOOKUP($A387,sales!$A:$A,sales!B:B)</f>
        <v>1</v>
      </c>
      <c r="M387" t="str">
        <f>_xlfn.XLOOKUP($A387,sales!$A:$A,sales!C:C)</f>
        <v>Miami Beach</v>
      </c>
      <c r="N387">
        <f>_xlfn.XLOOKUP($A387,sales!$A:$A,sales!D:D)</f>
        <v>249</v>
      </c>
      <c r="O387">
        <f>_xlfn.XLOOKUP($A387,sales!$A:$A,sales!E:E)</f>
        <v>5037.53</v>
      </c>
      <c r="P387" s="4">
        <f t="shared" ref="P387:P450" si="20">O387/N387</f>
        <v>20.231044176706828</v>
      </c>
    </row>
    <row r="388" spans="1:16" x14ac:dyDescent="0.25">
      <c r="A388" s="1">
        <v>45313</v>
      </c>
      <c r="B388" s="1" t="str">
        <f t="shared" si="18"/>
        <v>Monday</v>
      </c>
      <c r="C388" s="1" t="b">
        <f t="shared" si="19"/>
        <v>0</v>
      </c>
      <c r="D388">
        <f>VLOOKUP($A388,survey_2yrs!A:B, 2)</f>
        <v>50.2</v>
      </c>
      <c r="E388">
        <f>VLOOKUP($A388,survey_2yrs!$A:C, 3)</f>
        <v>49.8</v>
      </c>
      <c r="F388">
        <f>VLOOKUP($A388,survey_2yrs!$A:D, 4)</f>
        <v>45.6</v>
      </c>
      <c r="G388">
        <f>_xlfn.XLOOKUP(A388,survey_2yrs!A:A,survey_2yrs!E:E)</f>
        <v>54.4</v>
      </c>
      <c r="H388">
        <f>_xlfn.XLOOKUP($A388,weather_2yrs!$A:$A,weather_2yrs!B:B)</f>
        <v>69.7</v>
      </c>
      <c r="I388">
        <f>_xlfn.XLOOKUP($A388,weather_2yrs!$A:$A,weather_2yrs!C:C)</f>
        <v>0.37</v>
      </c>
      <c r="J388">
        <f>_xlfn.XLOOKUP($A388,weather_2yrs!$A:$A,weather_2yrs!D:D)</f>
        <v>1</v>
      </c>
      <c r="K388">
        <f>_xlfn.XLOOKUP($A388,weather_2yrs!$A:$A,weather_2yrs!E:E)</f>
        <v>35</v>
      </c>
      <c r="L388">
        <f>_xlfn.XLOOKUP($A388,sales!$A:$A,sales!B:B)</f>
        <v>1</v>
      </c>
      <c r="M388" t="str">
        <f>_xlfn.XLOOKUP($A388,sales!$A:$A,sales!C:C)</f>
        <v>Miami Beach</v>
      </c>
      <c r="N388">
        <f>_xlfn.XLOOKUP($A388,sales!$A:$A,sales!D:D)</f>
        <v>218</v>
      </c>
      <c r="O388">
        <f>_xlfn.XLOOKUP($A388,sales!$A:$A,sales!E:E)</f>
        <v>4168.97</v>
      </c>
      <c r="P388" s="4">
        <f t="shared" si="20"/>
        <v>19.123715596330275</v>
      </c>
    </row>
    <row r="389" spans="1:16" x14ac:dyDescent="0.25">
      <c r="A389" s="1">
        <v>45314</v>
      </c>
      <c r="B389" s="1" t="str">
        <f t="shared" si="18"/>
        <v>Tuesday</v>
      </c>
      <c r="C389" s="1" t="b">
        <f t="shared" si="19"/>
        <v>0</v>
      </c>
      <c r="D389">
        <f>VLOOKUP($A389,survey_2yrs!A:B, 2)</f>
        <v>49.8</v>
      </c>
      <c r="E389">
        <f>VLOOKUP($A389,survey_2yrs!$A:C, 3)</f>
        <v>50.2</v>
      </c>
      <c r="F389">
        <f>VLOOKUP($A389,survey_2yrs!$A:D, 4)</f>
        <v>44.4</v>
      </c>
      <c r="G389">
        <f>_xlfn.XLOOKUP(A389,survey_2yrs!A:A,survey_2yrs!E:E)</f>
        <v>55.6</v>
      </c>
      <c r="H389">
        <f>_xlfn.XLOOKUP($A389,weather_2yrs!$A:$A,weather_2yrs!B:B)</f>
        <v>71.5</v>
      </c>
      <c r="I389">
        <f>_xlfn.XLOOKUP($A389,weather_2yrs!$A:$A,weather_2yrs!C:C)</f>
        <v>0</v>
      </c>
      <c r="J389">
        <f>_xlfn.XLOOKUP($A389,weather_2yrs!$A:$A,weather_2yrs!D:D)</f>
        <v>0</v>
      </c>
      <c r="K389">
        <f>_xlfn.XLOOKUP($A389,weather_2yrs!$A:$A,weather_2yrs!E:E)</f>
        <v>35</v>
      </c>
      <c r="L389">
        <f>_xlfn.XLOOKUP($A389,sales!$A:$A,sales!B:B)</f>
        <v>1</v>
      </c>
      <c r="M389" t="str">
        <f>_xlfn.XLOOKUP($A389,sales!$A:$A,sales!C:C)</f>
        <v>Miami Beach</v>
      </c>
      <c r="N389">
        <f>_xlfn.XLOOKUP($A389,sales!$A:$A,sales!D:D)</f>
        <v>239</v>
      </c>
      <c r="O389">
        <f>_xlfn.XLOOKUP($A389,sales!$A:$A,sales!E:E)</f>
        <v>4463.25</v>
      </c>
      <c r="P389" s="4">
        <f t="shared" si="20"/>
        <v>18.67468619246862</v>
      </c>
    </row>
    <row r="390" spans="1:16" x14ac:dyDescent="0.25">
      <c r="A390" s="1">
        <v>45315</v>
      </c>
      <c r="B390" s="1" t="str">
        <f t="shared" si="18"/>
        <v>Wednesday</v>
      </c>
      <c r="C390" s="1" t="b">
        <f t="shared" si="19"/>
        <v>0</v>
      </c>
      <c r="D390">
        <f>VLOOKUP($A390,survey_2yrs!A:B, 2)</f>
        <v>49.5</v>
      </c>
      <c r="E390">
        <f>VLOOKUP($A390,survey_2yrs!$A:C, 3)</f>
        <v>50.5</v>
      </c>
      <c r="F390">
        <f>VLOOKUP($A390,survey_2yrs!$A:D, 4)</f>
        <v>45.2</v>
      </c>
      <c r="G390">
        <f>_xlfn.XLOOKUP(A390,survey_2yrs!A:A,survey_2yrs!E:E)</f>
        <v>54.8</v>
      </c>
      <c r="H390">
        <f>_xlfn.XLOOKUP($A390,weather_2yrs!$A:$A,weather_2yrs!B:B)</f>
        <v>72.7</v>
      </c>
      <c r="I390">
        <f>_xlfn.XLOOKUP($A390,weather_2yrs!$A:$A,weather_2yrs!C:C)</f>
        <v>0</v>
      </c>
      <c r="J390">
        <f>_xlfn.XLOOKUP($A390,weather_2yrs!$A:$A,weather_2yrs!D:D)</f>
        <v>0</v>
      </c>
      <c r="K390">
        <f>_xlfn.XLOOKUP($A390,weather_2yrs!$A:$A,weather_2yrs!E:E)</f>
        <v>45.4</v>
      </c>
      <c r="L390">
        <f>_xlfn.XLOOKUP($A390,sales!$A:$A,sales!B:B)</f>
        <v>1</v>
      </c>
      <c r="M390" t="str">
        <f>_xlfn.XLOOKUP($A390,sales!$A:$A,sales!C:C)</f>
        <v>Miami Beach</v>
      </c>
      <c r="N390">
        <f>_xlfn.XLOOKUP($A390,sales!$A:$A,sales!D:D)</f>
        <v>217</v>
      </c>
      <c r="O390">
        <f>_xlfn.XLOOKUP($A390,sales!$A:$A,sales!E:E)</f>
        <v>4287.29</v>
      </c>
      <c r="P390" s="4">
        <f t="shared" si="20"/>
        <v>19.757096774193549</v>
      </c>
    </row>
    <row r="391" spans="1:16" x14ac:dyDescent="0.25">
      <c r="A391" s="1">
        <v>45316</v>
      </c>
      <c r="B391" s="1" t="str">
        <f t="shared" si="18"/>
        <v>Thursday</v>
      </c>
      <c r="C391" s="1" t="b">
        <f t="shared" si="19"/>
        <v>0</v>
      </c>
      <c r="D391">
        <f>VLOOKUP($A391,survey_2yrs!A:B, 2)</f>
        <v>50.9</v>
      </c>
      <c r="E391">
        <f>VLOOKUP($A391,survey_2yrs!$A:C, 3)</f>
        <v>49.1</v>
      </c>
      <c r="F391">
        <f>VLOOKUP($A391,survey_2yrs!$A:D, 4)</f>
        <v>45.2</v>
      </c>
      <c r="G391">
        <f>_xlfn.XLOOKUP(A391,survey_2yrs!A:A,survey_2yrs!E:E)</f>
        <v>54.8</v>
      </c>
      <c r="H391">
        <f>_xlfn.XLOOKUP($A391,weather_2yrs!$A:$A,weather_2yrs!B:B)</f>
        <v>75</v>
      </c>
      <c r="I391">
        <f>_xlfn.XLOOKUP($A391,weather_2yrs!$A:$A,weather_2yrs!C:C)</f>
        <v>0.45</v>
      </c>
      <c r="J391">
        <f>_xlfn.XLOOKUP($A391,weather_2yrs!$A:$A,weather_2yrs!D:D)</f>
        <v>1</v>
      </c>
      <c r="K391">
        <f>_xlfn.XLOOKUP($A391,weather_2yrs!$A:$A,weather_2yrs!E:E)</f>
        <v>40.299999999999997</v>
      </c>
      <c r="L391">
        <f>_xlfn.XLOOKUP($A391,sales!$A:$A,sales!B:B)</f>
        <v>1</v>
      </c>
      <c r="M391" t="str">
        <f>_xlfn.XLOOKUP($A391,sales!$A:$A,sales!C:C)</f>
        <v>Miami Beach</v>
      </c>
      <c r="N391">
        <f>_xlfn.XLOOKUP($A391,sales!$A:$A,sales!D:D)</f>
        <v>249</v>
      </c>
      <c r="O391">
        <f>_xlfn.XLOOKUP($A391,sales!$A:$A,sales!E:E)</f>
        <v>4466.66</v>
      </c>
      <c r="P391" s="4">
        <f t="shared" si="20"/>
        <v>17.938393574297187</v>
      </c>
    </row>
    <row r="392" spans="1:16" x14ac:dyDescent="0.25">
      <c r="A392" s="1">
        <v>45317</v>
      </c>
      <c r="B392" s="1" t="str">
        <f t="shared" si="18"/>
        <v>Friday</v>
      </c>
      <c r="C392" s="1" t="b">
        <f t="shared" si="19"/>
        <v>0</v>
      </c>
      <c r="D392">
        <f>VLOOKUP($A392,survey_2yrs!A:B, 2)</f>
        <v>50.4</v>
      </c>
      <c r="E392">
        <f>VLOOKUP($A392,survey_2yrs!$A:C, 3)</f>
        <v>49.6</v>
      </c>
      <c r="F392">
        <f>VLOOKUP($A392,survey_2yrs!$A:D, 4)</f>
        <v>44.6</v>
      </c>
      <c r="G392">
        <f>_xlfn.XLOOKUP(A392,survey_2yrs!A:A,survey_2yrs!E:E)</f>
        <v>55.4</v>
      </c>
      <c r="H392">
        <f>_xlfn.XLOOKUP($A392,weather_2yrs!$A:$A,weather_2yrs!B:B)</f>
        <v>70</v>
      </c>
      <c r="I392">
        <f>_xlfn.XLOOKUP($A392,weather_2yrs!$A:$A,weather_2yrs!C:C)</f>
        <v>0</v>
      </c>
      <c r="J392">
        <f>_xlfn.XLOOKUP($A392,weather_2yrs!$A:$A,weather_2yrs!D:D)</f>
        <v>0</v>
      </c>
      <c r="K392">
        <f>_xlfn.XLOOKUP($A392,weather_2yrs!$A:$A,weather_2yrs!E:E)</f>
        <v>35</v>
      </c>
      <c r="L392">
        <f>_xlfn.XLOOKUP($A392,sales!$A:$A,sales!B:B)</f>
        <v>1</v>
      </c>
      <c r="M392" t="str">
        <f>_xlfn.XLOOKUP($A392,sales!$A:$A,sales!C:C)</f>
        <v>Miami Beach</v>
      </c>
      <c r="N392">
        <f>_xlfn.XLOOKUP($A392,sales!$A:$A,sales!D:D)</f>
        <v>224</v>
      </c>
      <c r="O392">
        <f>_xlfn.XLOOKUP($A392,sales!$A:$A,sales!E:E)</f>
        <v>3874.09</v>
      </c>
      <c r="P392" s="4">
        <f t="shared" si="20"/>
        <v>17.295044642857142</v>
      </c>
    </row>
    <row r="393" spans="1:16" x14ac:dyDescent="0.25">
      <c r="A393" s="1">
        <v>45318</v>
      </c>
      <c r="B393" s="1" t="str">
        <f t="shared" si="18"/>
        <v>Saturday</v>
      </c>
      <c r="C393" s="1" t="b">
        <f t="shared" si="19"/>
        <v>1</v>
      </c>
      <c r="D393">
        <f>VLOOKUP($A393,survey_2yrs!A:B, 2)</f>
        <v>51.7</v>
      </c>
      <c r="E393">
        <f>VLOOKUP($A393,survey_2yrs!$A:C, 3)</f>
        <v>48.3</v>
      </c>
      <c r="F393">
        <f>VLOOKUP($A393,survey_2yrs!$A:D, 4)</f>
        <v>51.7</v>
      </c>
      <c r="G393">
        <f>_xlfn.XLOOKUP(A393,survey_2yrs!A:A,survey_2yrs!E:E)</f>
        <v>48.3</v>
      </c>
      <c r="H393">
        <f>_xlfn.XLOOKUP($A393,weather_2yrs!$A:$A,weather_2yrs!B:B)</f>
        <v>69.7</v>
      </c>
      <c r="I393">
        <f>_xlfn.XLOOKUP($A393,weather_2yrs!$A:$A,weather_2yrs!C:C)</f>
        <v>0</v>
      </c>
      <c r="J393">
        <f>_xlfn.XLOOKUP($A393,weather_2yrs!$A:$A,weather_2yrs!D:D)</f>
        <v>0</v>
      </c>
      <c r="K393">
        <f>_xlfn.XLOOKUP($A393,weather_2yrs!$A:$A,weather_2yrs!E:E)</f>
        <v>37.1</v>
      </c>
      <c r="L393">
        <f>_xlfn.XLOOKUP($A393,sales!$A:$A,sales!B:B)</f>
        <v>1</v>
      </c>
      <c r="M393" t="str">
        <f>_xlfn.XLOOKUP($A393,sales!$A:$A,sales!C:C)</f>
        <v>Miami Beach</v>
      </c>
      <c r="N393">
        <f>_xlfn.XLOOKUP($A393,sales!$A:$A,sales!D:D)</f>
        <v>258</v>
      </c>
      <c r="O393">
        <f>_xlfn.XLOOKUP($A393,sales!$A:$A,sales!E:E)</f>
        <v>4854.6000000000004</v>
      </c>
      <c r="P393" s="4">
        <f t="shared" si="20"/>
        <v>18.816279069767443</v>
      </c>
    </row>
    <row r="394" spans="1:16" x14ac:dyDescent="0.25">
      <c r="A394" s="1">
        <v>45319</v>
      </c>
      <c r="B394" s="1" t="str">
        <f t="shared" si="18"/>
        <v>Sunday</v>
      </c>
      <c r="C394" s="1" t="b">
        <f t="shared" si="19"/>
        <v>1</v>
      </c>
      <c r="D394">
        <f>VLOOKUP($A394,survey_2yrs!A:B, 2)</f>
        <v>50.9</v>
      </c>
      <c r="E394">
        <f>VLOOKUP($A394,survey_2yrs!$A:C, 3)</f>
        <v>49.1</v>
      </c>
      <c r="F394">
        <f>VLOOKUP($A394,survey_2yrs!$A:D, 4)</f>
        <v>51.1</v>
      </c>
      <c r="G394">
        <f>_xlfn.XLOOKUP(A394,survey_2yrs!A:A,survey_2yrs!E:E)</f>
        <v>48.9</v>
      </c>
      <c r="H394">
        <f>_xlfn.XLOOKUP($A394,weather_2yrs!$A:$A,weather_2yrs!B:B)</f>
        <v>70.3</v>
      </c>
      <c r="I394">
        <f>_xlfn.XLOOKUP($A394,weather_2yrs!$A:$A,weather_2yrs!C:C)</f>
        <v>0</v>
      </c>
      <c r="J394">
        <f>_xlfn.XLOOKUP($A394,weather_2yrs!$A:$A,weather_2yrs!D:D)</f>
        <v>0</v>
      </c>
      <c r="K394">
        <f>_xlfn.XLOOKUP($A394,weather_2yrs!$A:$A,weather_2yrs!E:E)</f>
        <v>39.200000000000003</v>
      </c>
      <c r="L394">
        <f>_xlfn.XLOOKUP($A394,sales!$A:$A,sales!B:B)</f>
        <v>1</v>
      </c>
      <c r="M394" t="str">
        <f>_xlfn.XLOOKUP($A394,sales!$A:$A,sales!C:C)</f>
        <v>Miami Beach</v>
      </c>
      <c r="N394">
        <f>_xlfn.XLOOKUP($A394,sales!$A:$A,sales!D:D)</f>
        <v>254</v>
      </c>
      <c r="O394">
        <f>_xlfn.XLOOKUP($A394,sales!$A:$A,sales!E:E)</f>
        <v>4540.74</v>
      </c>
      <c r="P394" s="4">
        <f t="shared" si="20"/>
        <v>17.876929133858265</v>
      </c>
    </row>
    <row r="395" spans="1:16" x14ac:dyDescent="0.25">
      <c r="A395" s="1">
        <v>45320</v>
      </c>
      <c r="B395" s="1" t="str">
        <f t="shared" si="18"/>
        <v>Monday</v>
      </c>
      <c r="C395" s="1" t="b">
        <f t="shared" si="19"/>
        <v>0</v>
      </c>
      <c r="D395">
        <f>VLOOKUP($A395,survey_2yrs!A:B, 2)</f>
        <v>51.1</v>
      </c>
      <c r="E395">
        <f>VLOOKUP($A395,survey_2yrs!$A:C, 3)</f>
        <v>48.9</v>
      </c>
      <c r="F395">
        <f>VLOOKUP($A395,survey_2yrs!$A:D, 4)</f>
        <v>45.2</v>
      </c>
      <c r="G395">
        <f>_xlfn.XLOOKUP(A395,survey_2yrs!A:A,survey_2yrs!E:E)</f>
        <v>54.8</v>
      </c>
      <c r="H395">
        <f>_xlfn.XLOOKUP($A395,weather_2yrs!$A:$A,weather_2yrs!B:B)</f>
        <v>67.900000000000006</v>
      </c>
      <c r="I395">
        <f>_xlfn.XLOOKUP($A395,weather_2yrs!$A:$A,weather_2yrs!C:C)</f>
        <v>0</v>
      </c>
      <c r="J395">
        <f>_xlfn.XLOOKUP($A395,weather_2yrs!$A:$A,weather_2yrs!D:D)</f>
        <v>0</v>
      </c>
      <c r="K395">
        <f>_xlfn.XLOOKUP($A395,weather_2yrs!$A:$A,weather_2yrs!E:E)</f>
        <v>47.5</v>
      </c>
      <c r="L395">
        <f>_xlfn.XLOOKUP($A395,sales!$A:$A,sales!B:B)</f>
        <v>1</v>
      </c>
      <c r="M395" t="str">
        <f>_xlfn.XLOOKUP($A395,sales!$A:$A,sales!C:C)</f>
        <v>Miami Beach</v>
      </c>
      <c r="N395">
        <f>_xlfn.XLOOKUP($A395,sales!$A:$A,sales!D:D)</f>
        <v>221</v>
      </c>
      <c r="O395">
        <f>_xlfn.XLOOKUP($A395,sales!$A:$A,sales!E:E)</f>
        <v>4165.3500000000004</v>
      </c>
      <c r="P395" s="4">
        <f t="shared" si="20"/>
        <v>18.847737556561089</v>
      </c>
    </row>
    <row r="396" spans="1:16" x14ac:dyDescent="0.25">
      <c r="A396" s="1">
        <v>45321</v>
      </c>
      <c r="B396" s="1" t="str">
        <f t="shared" si="18"/>
        <v>Tuesday</v>
      </c>
      <c r="C396" s="1" t="b">
        <f t="shared" si="19"/>
        <v>0</v>
      </c>
      <c r="D396">
        <f>VLOOKUP($A396,survey_2yrs!A:B, 2)</f>
        <v>50.8</v>
      </c>
      <c r="E396">
        <f>VLOOKUP($A396,survey_2yrs!$A:C, 3)</f>
        <v>49.2</v>
      </c>
      <c r="F396">
        <f>VLOOKUP($A396,survey_2yrs!$A:D, 4)</f>
        <v>45.9</v>
      </c>
      <c r="G396">
        <f>_xlfn.XLOOKUP(A396,survey_2yrs!A:A,survey_2yrs!E:E)</f>
        <v>54.1</v>
      </c>
      <c r="H396">
        <f>_xlfn.XLOOKUP($A396,weather_2yrs!$A:$A,weather_2yrs!B:B)</f>
        <v>69.400000000000006</v>
      </c>
      <c r="I396">
        <f>_xlfn.XLOOKUP($A396,weather_2yrs!$A:$A,weather_2yrs!C:C)</f>
        <v>1.26</v>
      </c>
      <c r="J396">
        <f>_xlfn.XLOOKUP($A396,weather_2yrs!$A:$A,weather_2yrs!D:D)</f>
        <v>1</v>
      </c>
      <c r="K396">
        <f>_xlfn.XLOOKUP($A396,weather_2yrs!$A:$A,weather_2yrs!E:E)</f>
        <v>35</v>
      </c>
      <c r="L396">
        <f>_xlfn.XLOOKUP($A396,sales!$A:$A,sales!B:B)</f>
        <v>1</v>
      </c>
      <c r="M396" t="str">
        <f>_xlfn.XLOOKUP($A396,sales!$A:$A,sales!C:C)</f>
        <v>Miami Beach</v>
      </c>
      <c r="N396">
        <f>_xlfn.XLOOKUP($A396,sales!$A:$A,sales!D:D)</f>
        <v>190</v>
      </c>
      <c r="O396">
        <f>_xlfn.XLOOKUP($A396,sales!$A:$A,sales!E:E)</f>
        <v>3487.72</v>
      </c>
      <c r="P396" s="4">
        <f t="shared" si="20"/>
        <v>18.356421052631578</v>
      </c>
    </row>
    <row r="397" spans="1:16" x14ac:dyDescent="0.25">
      <c r="A397" s="1">
        <v>45322</v>
      </c>
      <c r="B397" s="1" t="str">
        <f t="shared" si="18"/>
        <v>Wednesday</v>
      </c>
      <c r="C397" s="1" t="b">
        <f t="shared" si="19"/>
        <v>0</v>
      </c>
      <c r="D397">
        <f>VLOOKUP($A397,survey_2yrs!A:B, 2)</f>
        <v>51</v>
      </c>
      <c r="E397">
        <f>VLOOKUP($A397,survey_2yrs!$A:C, 3)</f>
        <v>49</v>
      </c>
      <c r="F397">
        <f>VLOOKUP($A397,survey_2yrs!$A:D, 4)</f>
        <v>46.5</v>
      </c>
      <c r="G397">
        <f>_xlfn.XLOOKUP(A397,survey_2yrs!A:A,survey_2yrs!E:E)</f>
        <v>53.5</v>
      </c>
      <c r="H397">
        <f>_xlfn.XLOOKUP($A397,weather_2yrs!$A:$A,weather_2yrs!B:B)</f>
        <v>71.900000000000006</v>
      </c>
      <c r="I397">
        <f>_xlfn.XLOOKUP($A397,weather_2yrs!$A:$A,weather_2yrs!C:C)</f>
        <v>0.86</v>
      </c>
      <c r="J397">
        <f>_xlfn.XLOOKUP($A397,weather_2yrs!$A:$A,weather_2yrs!D:D)</f>
        <v>1</v>
      </c>
      <c r="K397">
        <f>_xlfn.XLOOKUP($A397,weather_2yrs!$A:$A,weather_2yrs!E:E)</f>
        <v>43</v>
      </c>
      <c r="L397">
        <f>_xlfn.XLOOKUP($A397,sales!$A:$A,sales!B:B)</f>
        <v>1</v>
      </c>
      <c r="M397" t="str">
        <f>_xlfn.XLOOKUP($A397,sales!$A:$A,sales!C:C)</f>
        <v>Miami Beach</v>
      </c>
      <c r="N397">
        <f>_xlfn.XLOOKUP($A397,sales!$A:$A,sales!D:D)</f>
        <v>235</v>
      </c>
      <c r="O397">
        <f>_xlfn.XLOOKUP($A397,sales!$A:$A,sales!E:E)</f>
        <v>4430.6499999999996</v>
      </c>
      <c r="P397" s="4">
        <f t="shared" si="20"/>
        <v>18.853829787234041</v>
      </c>
    </row>
    <row r="398" spans="1:16" x14ac:dyDescent="0.25">
      <c r="A398" s="1">
        <v>45323</v>
      </c>
      <c r="B398" s="1" t="str">
        <f t="shared" si="18"/>
        <v>Thursday</v>
      </c>
      <c r="C398" s="1" t="b">
        <f t="shared" si="19"/>
        <v>0</v>
      </c>
      <c r="D398">
        <f>VLOOKUP($A398,survey_2yrs!A:B, 2)</f>
        <v>50.5</v>
      </c>
      <c r="E398">
        <f>VLOOKUP($A398,survey_2yrs!$A:C, 3)</f>
        <v>49.5</v>
      </c>
      <c r="F398">
        <f>VLOOKUP($A398,survey_2yrs!$A:D, 4)</f>
        <v>45.4</v>
      </c>
      <c r="G398">
        <f>_xlfn.XLOOKUP(A398,survey_2yrs!A:A,survey_2yrs!E:E)</f>
        <v>54.6</v>
      </c>
      <c r="H398">
        <f>_xlfn.XLOOKUP($A398,weather_2yrs!$A:$A,weather_2yrs!B:B)</f>
        <v>67</v>
      </c>
      <c r="I398">
        <f>_xlfn.XLOOKUP($A398,weather_2yrs!$A:$A,weather_2yrs!C:C)</f>
        <v>0</v>
      </c>
      <c r="J398">
        <f>_xlfn.XLOOKUP($A398,weather_2yrs!$A:$A,weather_2yrs!D:D)</f>
        <v>0</v>
      </c>
      <c r="K398">
        <f>_xlfn.XLOOKUP($A398,weather_2yrs!$A:$A,weather_2yrs!E:E)</f>
        <v>49.1</v>
      </c>
      <c r="L398">
        <f>_xlfn.XLOOKUP($A398,sales!$A:$A,sales!B:B)</f>
        <v>1</v>
      </c>
      <c r="M398" t="str">
        <f>_xlfn.XLOOKUP($A398,sales!$A:$A,sales!C:C)</f>
        <v>Miami Beach</v>
      </c>
      <c r="N398">
        <f>_xlfn.XLOOKUP($A398,sales!$A:$A,sales!D:D)</f>
        <v>237</v>
      </c>
      <c r="O398">
        <f>_xlfn.XLOOKUP($A398,sales!$A:$A,sales!E:E)</f>
        <v>4266.01</v>
      </c>
      <c r="P398" s="4">
        <f t="shared" si="20"/>
        <v>18.000042194092828</v>
      </c>
    </row>
    <row r="399" spans="1:16" x14ac:dyDescent="0.25">
      <c r="A399" s="1">
        <v>45324</v>
      </c>
      <c r="B399" s="1" t="str">
        <f t="shared" si="18"/>
        <v>Friday</v>
      </c>
      <c r="C399" s="1" t="b">
        <f t="shared" si="19"/>
        <v>0</v>
      </c>
      <c r="D399">
        <f>VLOOKUP($A399,survey_2yrs!A:B, 2)</f>
        <v>51.2</v>
      </c>
      <c r="E399">
        <f>VLOOKUP($A399,survey_2yrs!$A:C, 3)</f>
        <v>48.8</v>
      </c>
      <c r="F399">
        <f>VLOOKUP($A399,survey_2yrs!$A:D, 4)</f>
        <v>43.2</v>
      </c>
      <c r="G399">
        <f>_xlfn.XLOOKUP(A399,survey_2yrs!A:A,survey_2yrs!E:E)</f>
        <v>56.8</v>
      </c>
      <c r="H399">
        <f>_xlfn.XLOOKUP($A399,weather_2yrs!$A:$A,weather_2yrs!B:B)</f>
        <v>69</v>
      </c>
      <c r="I399">
        <f>_xlfn.XLOOKUP($A399,weather_2yrs!$A:$A,weather_2yrs!C:C)</f>
        <v>0</v>
      </c>
      <c r="J399">
        <f>_xlfn.XLOOKUP($A399,weather_2yrs!$A:$A,weather_2yrs!D:D)</f>
        <v>0</v>
      </c>
      <c r="K399">
        <f>_xlfn.XLOOKUP($A399,weather_2yrs!$A:$A,weather_2yrs!E:E)</f>
        <v>44.2</v>
      </c>
      <c r="L399">
        <f>_xlfn.XLOOKUP($A399,sales!$A:$A,sales!B:B)</f>
        <v>1</v>
      </c>
      <c r="M399" t="str">
        <f>_xlfn.XLOOKUP($A399,sales!$A:$A,sales!C:C)</f>
        <v>Miami Beach</v>
      </c>
      <c r="N399">
        <f>_xlfn.XLOOKUP($A399,sales!$A:$A,sales!D:D)</f>
        <v>232</v>
      </c>
      <c r="O399">
        <f>_xlfn.XLOOKUP($A399,sales!$A:$A,sales!E:E)</f>
        <v>4299.08</v>
      </c>
      <c r="P399" s="4">
        <f t="shared" si="20"/>
        <v>18.530517241379311</v>
      </c>
    </row>
    <row r="400" spans="1:16" x14ac:dyDescent="0.25">
      <c r="A400" s="1">
        <v>45325</v>
      </c>
      <c r="B400" s="1" t="str">
        <f t="shared" si="18"/>
        <v>Saturday</v>
      </c>
      <c r="C400" s="1" t="b">
        <f t="shared" si="19"/>
        <v>1</v>
      </c>
      <c r="D400">
        <f>VLOOKUP($A400,survey_2yrs!A:B, 2)</f>
        <v>50.4</v>
      </c>
      <c r="E400">
        <f>VLOOKUP($A400,survey_2yrs!$A:C, 3)</f>
        <v>49.6</v>
      </c>
      <c r="F400">
        <f>VLOOKUP($A400,survey_2yrs!$A:D, 4)</f>
        <v>50.7</v>
      </c>
      <c r="G400">
        <f>_xlfn.XLOOKUP(A400,survey_2yrs!A:A,survey_2yrs!E:E)</f>
        <v>49.3</v>
      </c>
      <c r="H400">
        <f>_xlfn.XLOOKUP($A400,weather_2yrs!$A:$A,weather_2yrs!B:B)</f>
        <v>67.900000000000006</v>
      </c>
      <c r="I400">
        <f>_xlfn.XLOOKUP($A400,weather_2yrs!$A:$A,weather_2yrs!C:C)</f>
        <v>0</v>
      </c>
      <c r="J400">
        <f>_xlfn.XLOOKUP($A400,weather_2yrs!$A:$A,weather_2yrs!D:D)</f>
        <v>0</v>
      </c>
      <c r="K400">
        <f>_xlfn.XLOOKUP($A400,weather_2yrs!$A:$A,weather_2yrs!E:E)</f>
        <v>37.299999999999997</v>
      </c>
      <c r="L400">
        <f>_xlfn.XLOOKUP($A400,sales!$A:$A,sales!B:B)</f>
        <v>1</v>
      </c>
      <c r="M400" t="str">
        <f>_xlfn.XLOOKUP($A400,sales!$A:$A,sales!C:C)</f>
        <v>Miami Beach</v>
      </c>
      <c r="N400">
        <f>_xlfn.XLOOKUP($A400,sales!$A:$A,sales!D:D)</f>
        <v>275</v>
      </c>
      <c r="O400">
        <f>_xlfn.XLOOKUP($A400,sales!$A:$A,sales!E:E)</f>
        <v>5187.8599999999997</v>
      </c>
      <c r="P400" s="4">
        <f t="shared" si="20"/>
        <v>18.864945454545452</v>
      </c>
    </row>
    <row r="401" spans="1:16" x14ac:dyDescent="0.25">
      <c r="A401" s="1">
        <v>45326</v>
      </c>
      <c r="B401" s="1" t="str">
        <f t="shared" si="18"/>
        <v>Sunday</v>
      </c>
      <c r="C401" s="1" t="b">
        <f t="shared" si="19"/>
        <v>1</v>
      </c>
      <c r="D401">
        <f>VLOOKUP($A401,survey_2yrs!A:B, 2)</f>
        <v>50.7</v>
      </c>
      <c r="E401">
        <f>VLOOKUP($A401,survey_2yrs!$A:C, 3)</f>
        <v>49.3</v>
      </c>
      <c r="F401">
        <f>VLOOKUP($A401,survey_2yrs!$A:D, 4)</f>
        <v>51.6</v>
      </c>
      <c r="G401">
        <f>_xlfn.XLOOKUP(A401,survey_2yrs!A:A,survey_2yrs!E:E)</f>
        <v>48.4</v>
      </c>
      <c r="H401">
        <f>_xlfn.XLOOKUP($A401,weather_2yrs!$A:$A,weather_2yrs!B:B)</f>
        <v>66.2</v>
      </c>
      <c r="I401">
        <f>_xlfn.XLOOKUP($A401,weather_2yrs!$A:$A,weather_2yrs!C:C)</f>
        <v>1.5</v>
      </c>
      <c r="J401">
        <f>_xlfn.XLOOKUP($A401,weather_2yrs!$A:$A,weather_2yrs!D:D)</f>
        <v>1</v>
      </c>
      <c r="K401">
        <f>_xlfn.XLOOKUP($A401,weather_2yrs!$A:$A,weather_2yrs!E:E)</f>
        <v>35</v>
      </c>
      <c r="L401">
        <f>_xlfn.XLOOKUP($A401,sales!$A:$A,sales!B:B)</f>
        <v>1</v>
      </c>
      <c r="M401" t="str">
        <f>_xlfn.XLOOKUP($A401,sales!$A:$A,sales!C:C)</f>
        <v>Miami Beach</v>
      </c>
      <c r="N401">
        <f>_xlfn.XLOOKUP($A401,sales!$A:$A,sales!D:D)</f>
        <v>220</v>
      </c>
      <c r="O401">
        <f>_xlfn.XLOOKUP($A401,sales!$A:$A,sales!E:E)</f>
        <v>3868.01</v>
      </c>
      <c r="P401" s="4">
        <f t="shared" si="20"/>
        <v>17.581863636363636</v>
      </c>
    </row>
    <row r="402" spans="1:16" x14ac:dyDescent="0.25">
      <c r="A402" s="1">
        <v>45327</v>
      </c>
      <c r="B402" s="1" t="str">
        <f t="shared" si="18"/>
        <v>Monday</v>
      </c>
      <c r="C402" s="1" t="b">
        <f t="shared" si="19"/>
        <v>0</v>
      </c>
      <c r="D402">
        <f>VLOOKUP($A402,survey_2yrs!A:B, 2)</f>
        <v>51.2</v>
      </c>
      <c r="E402">
        <f>VLOOKUP($A402,survey_2yrs!$A:C, 3)</f>
        <v>48.8</v>
      </c>
      <c r="F402">
        <f>VLOOKUP($A402,survey_2yrs!$A:D, 4)</f>
        <v>45.5</v>
      </c>
      <c r="G402">
        <f>_xlfn.XLOOKUP(A402,survey_2yrs!A:A,survey_2yrs!E:E)</f>
        <v>54.5</v>
      </c>
      <c r="H402">
        <f>_xlfn.XLOOKUP($A402,weather_2yrs!$A:$A,weather_2yrs!B:B)</f>
        <v>67.599999999999994</v>
      </c>
      <c r="I402">
        <f>_xlfn.XLOOKUP($A402,weather_2yrs!$A:$A,weather_2yrs!C:C)</f>
        <v>0</v>
      </c>
      <c r="J402">
        <f>_xlfn.XLOOKUP($A402,weather_2yrs!$A:$A,weather_2yrs!D:D)</f>
        <v>0</v>
      </c>
      <c r="K402">
        <f>_xlfn.XLOOKUP($A402,weather_2yrs!$A:$A,weather_2yrs!E:E)</f>
        <v>39.9</v>
      </c>
      <c r="L402">
        <f>_xlfn.XLOOKUP($A402,sales!$A:$A,sales!B:B)</f>
        <v>1</v>
      </c>
      <c r="M402" t="str">
        <f>_xlfn.XLOOKUP($A402,sales!$A:$A,sales!C:C)</f>
        <v>Miami Beach</v>
      </c>
      <c r="N402">
        <f>_xlfn.XLOOKUP($A402,sales!$A:$A,sales!D:D)</f>
        <v>213</v>
      </c>
      <c r="O402">
        <f>_xlfn.XLOOKUP($A402,sales!$A:$A,sales!E:E)</f>
        <v>4194.88</v>
      </c>
      <c r="P402" s="4">
        <f t="shared" si="20"/>
        <v>19.694272300469486</v>
      </c>
    </row>
    <row r="403" spans="1:16" x14ac:dyDescent="0.25">
      <c r="A403" s="1">
        <v>45328</v>
      </c>
      <c r="B403" s="1" t="str">
        <f t="shared" si="18"/>
        <v>Tuesday</v>
      </c>
      <c r="C403" s="1" t="b">
        <f t="shared" si="19"/>
        <v>0</v>
      </c>
      <c r="D403">
        <f>VLOOKUP($A403,survey_2yrs!A:B, 2)</f>
        <v>49.4</v>
      </c>
      <c r="E403">
        <f>VLOOKUP($A403,survey_2yrs!$A:C, 3)</f>
        <v>50.6</v>
      </c>
      <c r="F403">
        <f>VLOOKUP($A403,survey_2yrs!$A:D, 4)</f>
        <v>44.8</v>
      </c>
      <c r="G403">
        <f>_xlfn.XLOOKUP(A403,survey_2yrs!A:A,survey_2yrs!E:E)</f>
        <v>55.2</v>
      </c>
      <c r="H403">
        <f>_xlfn.XLOOKUP($A403,weather_2yrs!$A:$A,weather_2yrs!B:B)</f>
        <v>71.099999999999994</v>
      </c>
      <c r="I403">
        <f>_xlfn.XLOOKUP($A403,weather_2yrs!$A:$A,weather_2yrs!C:C)</f>
        <v>0</v>
      </c>
      <c r="J403">
        <f>_xlfn.XLOOKUP($A403,weather_2yrs!$A:$A,weather_2yrs!D:D)</f>
        <v>0</v>
      </c>
      <c r="K403">
        <f>_xlfn.XLOOKUP($A403,weather_2yrs!$A:$A,weather_2yrs!E:E)</f>
        <v>45.6</v>
      </c>
      <c r="L403">
        <f>_xlfn.XLOOKUP($A403,sales!$A:$A,sales!B:B)</f>
        <v>1</v>
      </c>
      <c r="M403" t="str">
        <f>_xlfn.XLOOKUP($A403,sales!$A:$A,sales!C:C)</f>
        <v>Miami Beach</v>
      </c>
      <c r="N403">
        <f>_xlfn.XLOOKUP($A403,sales!$A:$A,sales!D:D)</f>
        <v>205</v>
      </c>
      <c r="O403">
        <f>_xlfn.XLOOKUP($A403,sales!$A:$A,sales!E:E)</f>
        <v>3768.48</v>
      </c>
      <c r="P403" s="4">
        <f t="shared" si="20"/>
        <v>18.382829268292681</v>
      </c>
    </row>
    <row r="404" spans="1:16" x14ac:dyDescent="0.25">
      <c r="A404" s="1">
        <v>45329</v>
      </c>
      <c r="B404" s="1" t="str">
        <f t="shared" si="18"/>
        <v>Wednesday</v>
      </c>
      <c r="C404" s="1" t="b">
        <f t="shared" si="19"/>
        <v>0</v>
      </c>
      <c r="D404">
        <f>VLOOKUP($A404,survey_2yrs!A:B, 2)</f>
        <v>49.7</v>
      </c>
      <c r="E404">
        <f>VLOOKUP($A404,survey_2yrs!$A:C, 3)</f>
        <v>50.3</v>
      </c>
      <c r="F404">
        <f>VLOOKUP($A404,survey_2yrs!$A:D, 4)</f>
        <v>46</v>
      </c>
      <c r="G404">
        <f>_xlfn.XLOOKUP(A404,survey_2yrs!A:A,survey_2yrs!E:E)</f>
        <v>54</v>
      </c>
      <c r="H404">
        <f>_xlfn.XLOOKUP($A404,weather_2yrs!$A:$A,weather_2yrs!B:B)</f>
        <v>70.900000000000006</v>
      </c>
      <c r="I404">
        <f>_xlfn.XLOOKUP($A404,weather_2yrs!$A:$A,weather_2yrs!C:C)</f>
        <v>0</v>
      </c>
      <c r="J404">
        <f>_xlfn.XLOOKUP($A404,weather_2yrs!$A:$A,weather_2yrs!D:D)</f>
        <v>0</v>
      </c>
      <c r="K404">
        <f>_xlfn.XLOOKUP($A404,weather_2yrs!$A:$A,weather_2yrs!E:E)</f>
        <v>39.6</v>
      </c>
      <c r="L404">
        <f>_xlfn.XLOOKUP($A404,sales!$A:$A,sales!B:B)</f>
        <v>1</v>
      </c>
      <c r="M404" t="str">
        <f>_xlfn.XLOOKUP($A404,sales!$A:$A,sales!C:C)</f>
        <v>Miami Beach</v>
      </c>
      <c r="N404">
        <f>_xlfn.XLOOKUP($A404,sales!$A:$A,sales!D:D)</f>
        <v>235</v>
      </c>
      <c r="O404">
        <f>_xlfn.XLOOKUP($A404,sales!$A:$A,sales!E:E)</f>
        <v>4725.84</v>
      </c>
      <c r="P404" s="4">
        <f t="shared" si="20"/>
        <v>20.109957446808512</v>
      </c>
    </row>
    <row r="405" spans="1:16" x14ac:dyDescent="0.25">
      <c r="A405" s="1">
        <v>45330</v>
      </c>
      <c r="B405" s="1" t="str">
        <f t="shared" si="18"/>
        <v>Thursday</v>
      </c>
      <c r="C405" s="1" t="b">
        <f t="shared" si="19"/>
        <v>0</v>
      </c>
      <c r="D405">
        <f>VLOOKUP($A405,survey_2yrs!A:B, 2)</f>
        <v>48.7</v>
      </c>
      <c r="E405">
        <f>VLOOKUP($A405,survey_2yrs!$A:C, 3)</f>
        <v>51.3</v>
      </c>
      <c r="F405">
        <f>VLOOKUP($A405,survey_2yrs!$A:D, 4)</f>
        <v>46</v>
      </c>
      <c r="G405">
        <f>_xlfn.XLOOKUP(A405,survey_2yrs!A:A,survey_2yrs!E:E)</f>
        <v>54</v>
      </c>
      <c r="H405">
        <f>_xlfn.XLOOKUP($A405,weather_2yrs!$A:$A,weather_2yrs!B:B)</f>
        <v>68.099999999999994</v>
      </c>
      <c r="I405">
        <f>_xlfn.XLOOKUP($A405,weather_2yrs!$A:$A,weather_2yrs!C:C)</f>
        <v>0</v>
      </c>
      <c r="J405">
        <f>_xlfn.XLOOKUP($A405,weather_2yrs!$A:$A,weather_2yrs!D:D)</f>
        <v>0</v>
      </c>
      <c r="K405">
        <f>_xlfn.XLOOKUP($A405,weather_2yrs!$A:$A,weather_2yrs!E:E)</f>
        <v>39.799999999999997</v>
      </c>
      <c r="L405">
        <f>_xlfn.XLOOKUP($A405,sales!$A:$A,sales!B:B)</f>
        <v>1</v>
      </c>
      <c r="M405" t="str">
        <f>_xlfn.XLOOKUP($A405,sales!$A:$A,sales!C:C)</f>
        <v>Miami Beach</v>
      </c>
      <c r="N405">
        <f>_xlfn.XLOOKUP($A405,sales!$A:$A,sales!D:D)</f>
        <v>213</v>
      </c>
      <c r="O405">
        <f>_xlfn.XLOOKUP($A405,sales!$A:$A,sales!E:E)</f>
        <v>4102.28</v>
      </c>
      <c r="P405" s="4">
        <f t="shared" si="20"/>
        <v>19.259530516431923</v>
      </c>
    </row>
    <row r="406" spans="1:16" x14ac:dyDescent="0.25">
      <c r="A406" s="1">
        <v>45331</v>
      </c>
      <c r="B406" s="1" t="str">
        <f t="shared" si="18"/>
        <v>Friday</v>
      </c>
      <c r="C406" s="1" t="b">
        <f t="shared" si="19"/>
        <v>0</v>
      </c>
      <c r="D406">
        <f>VLOOKUP($A406,survey_2yrs!A:B, 2)</f>
        <v>50.9</v>
      </c>
      <c r="E406">
        <f>VLOOKUP($A406,survey_2yrs!$A:C, 3)</f>
        <v>49.1</v>
      </c>
      <c r="F406">
        <f>VLOOKUP($A406,survey_2yrs!$A:D, 4)</f>
        <v>46.9</v>
      </c>
      <c r="G406">
        <f>_xlfn.XLOOKUP(A406,survey_2yrs!A:A,survey_2yrs!E:E)</f>
        <v>53.1</v>
      </c>
      <c r="H406">
        <f>_xlfn.XLOOKUP($A406,weather_2yrs!$A:$A,weather_2yrs!B:B)</f>
        <v>74.900000000000006</v>
      </c>
      <c r="I406">
        <f>_xlfn.XLOOKUP($A406,weather_2yrs!$A:$A,weather_2yrs!C:C)</f>
        <v>1.19</v>
      </c>
      <c r="J406">
        <f>_xlfn.XLOOKUP($A406,weather_2yrs!$A:$A,weather_2yrs!D:D)</f>
        <v>1</v>
      </c>
      <c r="K406">
        <f>_xlfn.XLOOKUP($A406,weather_2yrs!$A:$A,weather_2yrs!E:E)</f>
        <v>35</v>
      </c>
      <c r="L406">
        <f>_xlfn.XLOOKUP($A406,sales!$A:$A,sales!B:B)</f>
        <v>1</v>
      </c>
      <c r="M406" t="str">
        <f>_xlfn.XLOOKUP($A406,sales!$A:$A,sales!C:C)</f>
        <v>Miami Beach</v>
      </c>
      <c r="N406">
        <f>_xlfn.XLOOKUP($A406,sales!$A:$A,sales!D:D)</f>
        <v>213</v>
      </c>
      <c r="O406">
        <f>_xlfn.XLOOKUP($A406,sales!$A:$A,sales!E:E)</f>
        <v>4004.03</v>
      </c>
      <c r="P406" s="4">
        <f t="shared" si="20"/>
        <v>18.798262910798123</v>
      </c>
    </row>
    <row r="407" spans="1:16" x14ac:dyDescent="0.25">
      <c r="A407" s="1">
        <v>45332</v>
      </c>
      <c r="B407" s="1" t="str">
        <f t="shared" si="18"/>
        <v>Saturday</v>
      </c>
      <c r="C407" s="1" t="b">
        <f t="shared" si="19"/>
        <v>1</v>
      </c>
      <c r="D407">
        <f>VLOOKUP($A407,survey_2yrs!A:B, 2)</f>
        <v>49.1</v>
      </c>
      <c r="E407">
        <f>VLOOKUP($A407,survey_2yrs!$A:C, 3)</f>
        <v>50.9</v>
      </c>
      <c r="F407">
        <f>VLOOKUP($A407,survey_2yrs!$A:D, 4)</f>
        <v>52.5</v>
      </c>
      <c r="G407">
        <f>_xlfn.XLOOKUP(A407,survey_2yrs!A:A,survey_2yrs!E:E)</f>
        <v>47.5</v>
      </c>
      <c r="H407">
        <f>_xlfn.XLOOKUP($A407,weather_2yrs!$A:$A,weather_2yrs!B:B)</f>
        <v>65.2</v>
      </c>
      <c r="I407">
        <f>_xlfn.XLOOKUP($A407,weather_2yrs!$A:$A,weather_2yrs!C:C)</f>
        <v>0</v>
      </c>
      <c r="J407">
        <f>_xlfn.XLOOKUP($A407,weather_2yrs!$A:$A,weather_2yrs!D:D)</f>
        <v>0</v>
      </c>
      <c r="K407">
        <f>_xlfn.XLOOKUP($A407,weather_2yrs!$A:$A,weather_2yrs!E:E)</f>
        <v>35</v>
      </c>
      <c r="L407">
        <f>_xlfn.XLOOKUP($A407,sales!$A:$A,sales!B:B)</f>
        <v>1</v>
      </c>
      <c r="M407" t="str">
        <f>_xlfn.XLOOKUP($A407,sales!$A:$A,sales!C:C)</f>
        <v>Miami Beach</v>
      </c>
      <c r="N407">
        <f>_xlfn.XLOOKUP($A407,sales!$A:$A,sales!D:D)</f>
        <v>274</v>
      </c>
      <c r="O407">
        <f>_xlfn.XLOOKUP($A407,sales!$A:$A,sales!E:E)</f>
        <v>5010.63</v>
      </c>
      <c r="P407" s="4">
        <f t="shared" si="20"/>
        <v>18.286970802919708</v>
      </c>
    </row>
    <row r="408" spans="1:16" x14ac:dyDescent="0.25">
      <c r="A408" s="1">
        <v>45333</v>
      </c>
      <c r="B408" s="1" t="str">
        <f t="shared" si="18"/>
        <v>Sunday</v>
      </c>
      <c r="C408" s="1" t="b">
        <f t="shared" si="19"/>
        <v>1</v>
      </c>
      <c r="D408">
        <f>VLOOKUP($A408,survey_2yrs!A:B, 2)</f>
        <v>51.2</v>
      </c>
      <c r="E408">
        <f>VLOOKUP($A408,survey_2yrs!$A:C, 3)</f>
        <v>48.8</v>
      </c>
      <c r="F408">
        <f>VLOOKUP($A408,survey_2yrs!$A:D, 4)</f>
        <v>51.2</v>
      </c>
      <c r="G408">
        <f>_xlfn.XLOOKUP(A408,survey_2yrs!A:A,survey_2yrs!E:E)</f>
        <v>48.8</v>
      </c>
      <c r="H408">
        <f>_xlfn.XLOOKUP($A408,weather_2yrs!$A:$A,weather_2yrs!B:B)</f>
        <v>70.400000000000006</v>
      </c>
      <c r="I408">
        <f>_xlfn.XLOOKUP($A408,weather_2yrs!$A:$A,weather_2yrs!C:C)</f>
        <v>0</v>
      </c>
      <c r="J408">
        <f>_xlfn.XLOOKUP($A408,weather_2yrs!$A:$A,weather_2yrs!D:D)</f>
        <v>0</v>
      </c>
      <c r="K408">
        <f>_xlfn.XLOOKUP($A408,weather_2yrs!$A:$A,weather_2yrs!E:E)</f>
        <v>42.1</v>
      </c>
      <c r="L408">
        <f>_xlfn.XLOOKUP($A408,sales!$A:$A,sales!B:B)</f>
        <v>1</v>
      </c>
      <c r="M408" t="str">
        <f>_xlfn.XLOOKUP($A408,sales!$A:$A,sales!C:C)</f>
        <v>Miami Beach</v>
      </c>
      <c r="N408">
        <f>_xlfn.XLOOKUP($A408,sales!$A:$A,sales!D:D)</f>
        <v>256</v>
      </c>
      <c r="O408">
        <f>_xlfn.XLOOKUP($A408,sales!$A:$A,sales!E:E)</f>
        <v>4604.8100000000004</v>
      </c>
      <c r="P408" s="4">
        <f t="shared" si="20"/>
        <v>17.987539062500002</v>
      </c>
    </row>
    <row r="409" spans="1:16" x14ac:dyDescent="0.25">
      <c r="A409" s="1">
        <v>45334</v>
      </c>
      <c r="B409" s="1" t="str">
        <f t="shared" si="18"/>
        <v>Monday</v>
      </c>
      <c r="C409" s="1" t="b">
        <f t="shared" si="19"/>
        <v>0</v>
      </c>
      <c r="D409">
        <f>VLOOKUP($A409,survey_2yrs!A:B, 2)</f>
        <v>51.3</v>
      </c>
      <c r="E409">
        <f>VLOOKUP($A409,survey_2yrs!$A:C, 3)</f>
        <v>48.7</v>
      </c>
      <c r="F409">
        <f>VLOOKUP($A409,survey_2yrs!$A:D, 4)</f>
        <v>46.9</v>
      </c>
      <c r="G409">
        <f>_xlfn.XLOOKUP(A409,survey_2yrs!A:A,survey_2yrs!E:E)</f>
        <v>53.1</v>
      </c>
      <c r="H409">
        <f>_xlfn.XLOOKUP($A409,weather_2yrs!$A:$A,weather_2yrs!B:B)</f>
        <v>68</v>
      </c>
      <c r="I409">
        <f>_xlfn.XLOOKUP($A409,weather_2yrs!$A:$A,weather_2yrs!C:C)</f>
        <v>0</v>
      </c>
      <c r="J409">
        <f>_xlfn.XLOOKUP($A409,weather_2yrs!$A:$A,weather_2yrs!D:D)</f>
        <v>0</v>
      </c>
      <c r="K409">
        <f>_xlfn.XLOOKUP($A409,weather_2yrs!$A:$A,weather_2yrs!E:E)</f>
        <v>47.9</v>
      </c>
      <c r="L409">
        <f>_xlfn.XLOOKUP($A409,sales!$A:$A,sales!B:B)</f>
        <v>1</v>
      </c>
      <c r="M409" t="str">
        <f>_xlfn.XLOOKUP($A409,sales!$A:$A,sales!C:C)</f>
        <v>Miami Beach</v>
      </c>
      <c r="N409">
        <f>_xlfn.XLOOKUP($A409,sales!$A:$A,sales!D:D)</f>
        <v>219</v>
      </c>
      <c r="O409">
        <f>_xlfn.XLOOKUP($A409,sales!$A:$A,sales!E:E)</f>
        <v>4054.42</v>
      </c>
      <c r="P409" s="4">
        <f t="shared" si="20"/>
        <v>18.513333333333335</v>
      </c>
    </row>
    <row r="410" spans="1:16" x14ac:dyDescent="0.25">
      <c r="A410" s="1">
        <v>45335</v>
      </c>
      <c r="B410" s="1" t="str">
        <f t="shared" si="18"/>
        <v>Tuesday</v>
      </c>
      <c r="C410" s="1" t="b">
        <f t="shared" si="19"/>
        <v>0</v>
      </c>
      <c r="D410">
        <f>VLOOKUP($A410,survey_2yrs!A:B, 2)</f>
        <v>51.9</v>
      </c>
      <c r="E410">
        <f>VLOOKUP($A410,survey_2yrs!$A:C, 3)</f>
        <v>48.1</v>
      </c>
      <c r="F410">
        <f>VLOOKUP($A410,survey_2yrs!$A:D, 4)</f>
        <v>46.1</v>
      </c>
      <c r="G410">
        <f>_xlfn.XLOOKUP(A410,survey_2yrs!A:A,survey_2yrs!E:E)</f>
        <v>53.9</v>
      </c>
      <c r="H410">
        <f>_xlfn.XLOOKUP($A410,weather_2yrs!$A:$A,weather_2yrs!B:B)</f>
        <v>63.6</v>
      </c>
      <c r="I410">
        <f>_xlfn.XLOOKUP($A410,weather_2yrs!$A:$A,weather_2yrs!C:C)</f>
        <v>0</v>
      </c>
      <c r="J410">
        <f>_xlfn.XLOOKUP($A410,weather_2yrs!$A:$A,weather_2yrs!D:D)</f>
        <v>0</v>
      </c>
      <c r="K410">
        <f>_xlfn.XLOOKUP($A410,weather_2yrs!$A:$A,weather_2yrs!E:E)</f>
        <v>47.8</v>
      </c>
      <c r="L410">
        <f>_xlfn.XLOOKUP($A410,sales!$A:$A,sales!B:B)</f>
        <v>1</v>
      </c>
      <c r="M410" t="str">
        <f>_xlfn.XLOOKUP($A410,sales!$A:$A,sales!C:C)</f>
        <v>Miami Beach</v>
      </c>
      <c r="N410">
        <f>_xlfn.XLOOKUP($A410,sales!$A:$A,sales!D:D)</f>
        <v>184</v>
      </c>
      <c r="O410">
        <f>_xlfn.XLOOKUP($A410,sales!$A:$A,sales!E:E)</f>
        <v>3180.54</v>
      </c>
      <c r="P410" s="4">
        <f t="shared" si="20"/>
        <v>17.28554347826087</v>
      </c>
    </row>
    <row r="411" spans="1:16" x14ac:dyDescent="0.25">
      <c r="A411" s="1">
        <v>45336</v>
      </c>
      <c r="B411" s="1" t="str">
        <f t="shared" si="18"/>
        <v>Wednesday</v>
      </c>
      <c r="C411" s="1" t="b">
        <f t="shared" si="19"/>
        <v>0</v>
      </c>
      <c r="D411">
        <f>VLOOKUP($A411,survey_2yrs!A:B, 2)</f>
        <v>52.2</v>
      </c>
      <c r="E411">
        <f>VLOOKUP($A411,survey_2yrs!$A:C, 3)</f>
        <v>47.8</v>
      </c>
      <c r="F411">
        <f>VLOOKUP($A411,survey_2yrs!$A:D, 4)</f>
        <v>47.5</v>
      </c>
      <c r="G411">
        <f>_xlfn.XLOOKUP(A411,survey_2yrs!A:A,survey_2yrs!E:E)</f>
        <v>52.5</v>
      </c>
      <c r="H411">
        <f>_xlfn.XLOOKUP($A411,weather_2yrs!$A:$A,weather_2yrs!B:B)</f>
        <v>67.8</v>
      </c>
      <c r="I411">
        <f>_xlfn.XLOOKUP($A411,weather_2yrs!$A:$A,weather_2yrs!C:C)</f>
        <v>0</v>
      </c>
      <c r="J411">
        <f>_xlfn.XLOOKUP($A411,weather_2yrs!$A:$A,weather_2yrs!D:D)</f>
        <v>0</v>
      </c>
      <c r="K411">
        <f>_xlfn.XLOOKUP($A411,weather_2yrs!$A:$A,weather_2yrs!E:E)</f>
        <v>35</v>
      </c>
      <c r="L411">
        <f>_xlfn.XLOOKUP($A411,sales!$A:$A,sales!B:B)</f>
        <v>1</v>
      </c>
      <c r="M411" t="str">
        <f>_xlfn.XLOOKUP($A411,sales!$A:$A,sales!C:C)</f>
        <v>Miami Beach</v>
      </c>
      <c r="N411">
        <f>_xlfn.XLOOKUP($A411,sales!$A:$A,sales!D:D)</f>
        <v>211</v>
      </c>
      <c r="O411">
        <f>_xlfn.XLOOKUP($A411,sales!$A:$A,sales!E:E)</f>
        <v>3602.85</v>
      </c>
      <c r="P411" s="4">
        <f t="shared" si="20"/>
        <v>17.075118483412322</v>
      </c>
    </row>
    <row r="412" spans="1:16" x14ac:dyDescent="0.25">
      <c r="A412" s="1">
        <v>45337</v>
      </c>
      <c r="B412" s="1" t="str">
        <f t="shared" si="18"/>
        <v>Thursday</v>
      </c>
      <c r="C412" s="1" t="b">
        <f t="shared" si="19"/>
        <v>0</v>
      </c>
      <c r="D412">
        <f>VLOOKUP($A412,survey_2yrs!A:B, 2)</f>
        <v>50.5</v>
      </c>
      <c r="E412">
        <f>VLOOKUP($A412,survey_2yrs!$A:C, 3)</f>
        <v>49.5</v>
      </c>
      <c r="F412">
        <f>VLOOKUP($A412,survey_2yrs!$A:D, 4)</f>
        <v>47.9</v>
      </c>
      <c r="G412">
        <f>_xlfn.XLOOKUP(A412,survey_2yrs!A:A,survey_2yrs!E:E)</f>
        <v>52.1</v>
      </c>
      <c r="H412">
        <f>_xlfn.XLOOKUP($A412,weather_2yrs!$A:$A,weather_2yrs!B:B)</f>
        <v>68.3</v>
      </c>
      <c r="I412">
        <f>_xlfn.XLOOKUP($A412,weather_2yrs!$A:$A,weather_2yrs!C:C)</f>
        <v>0</v>
      </c>
      <c r="J412">
        <f>_xlfn.XLOOKUP($A412,weather_2yrs!$A:$A,weather_2yrs!D:D)</f>
        <v>0</v>
      </c>
      <c r="K412">
        <f>_xlfn.XLOOKUP($A412,weather_2yrs!$A:$A,weather_2yrs!E:E)</f>
        <v>41.8</v>
      </c>
      <c r="L412">
        <f>_xlfn.XLOOKUP($A412,sales!$A:$A,sales!B:B)</f>
        <v>1</v>
      </c>
      <c r="M412" t="str">
        <f>_xlfn.XLOOKUP($A412,sales!$A:$A,sales!C:C)</f>
        <v>Miami Beach</v>
      </c>
      <c r="N412">
        <f>_xlfn.XLOOKUP($A412,sales!$A:$A,sales!D:D)</f>
        <v>238</v>
      </c>
      <c r="O412">
        <f>_xlfn.XLOOKUP($A412,sales!$A:$A,sales!E:E)</f>
        <v>4599.18</v>
      </c>
      <c r="P412" s="4">
        <f t="shared" si="20"/>
        <v>19.324285714285715</v>
      </c>
    </row>
    <row r="413" spans="1:16" x14ac:dyDescent="0.25">
      <c r="A413" s="1">
        <v>45338</v>
      </c>
      <c r="B413" s="1" t="str">
        <f t="shared" si="18"/>
        <v>Friday</v>
      </c>
      <c r="C413" s="1" t="b">
        <f t="shared" si="19"/>
        <v>0</v>
      </c>
      <c r="D413">
        <f>VLOOKUP($A413,survey_2yrs!A:B, 2)</f>
        <v>50.4</v>
      </c>
      <c r="E413">
        <f>VLOOKUP($A413,survey_2yrs!$A:C, 3)</f>
        <v>49.6</v>
      </c>
      <c r="F413">
        <f>VLOOKUP($A413,survey_2yrs!$A:D, 4)</f>
        <v>46.6</v>
      </c>
      <c r="G413">
        <f>_xlfn.XLOOKUP(A413,survey_2yrs!A:A,survey_2yrs!E:E)</f>
        <v>53.4</v>
      </c>
      <c r="H413">
        <f>_xlfn.XLOOKUP($A413,weather_2yrs!$A:$A,weather_2yrs!B:B)</f>
        <v>66.8</v>
      </c>
      <c r="I413">
        <f>_xlfn.XLOOKUP($A413,weather_2yrs!$A:$A,weather_2yrs!C:C)</f>
        <v>0</v>
      </c>
      <c r="J413">
        <f>_xlfn.XLOOKUP($A413,weather_2yrs!$A:$A,weather_2yrs!D:D)</f>
        <v>0</v>
      </c>
      <c r="K413">
        <f>_xlfn.XLOOKUP($A413,weather_2yrs!$A:$A,weather_2yrs!E:E)</f>
        <v>35.799999999999997</v>
      </c>
      <c r="L413">
        <f>_xlfn.XLOOKUP($A413,sales!$A:$A,sales!B:B)</f>
        <v>1</v>
      </c>
      <c r="M413" t="str">
        <f>_xlfn.XLOOKUP($A413,sales!$A:$A,sales!C:C)</f>
        <v>Miami Beach</v>
      </c>
      <c r="N413">
        <f>_xlfn.XLOOKUP($A413,sales!$A:$A,sales!D:D)</f>
        <v>197</v>
      </c>
      <c r="O413">
        <f>_xlfn.XLOOKUP($A413,sales!$A:$A,sales!E:E)</f>
        <v>3557.25</v>
      </c>
      <c r="P413" s="4">
        <f t="shared" si="20"/>
        <v>18.05710659898477</v>
      </c>
    </row>
    <row r="414" spans="1:16" x14ac:dyDescent="0.25">
      <c r="A414" s="1">
        <v>45339</v>
      </c>
      <c r="B414" s="1" t="str">
        <f t="shared" si="18"/>
        <v>Saturday</v>
      </c>
      <c r="C414" s="1" t="b">
        <f t="shared" si="19"/>
        <v>1</v>
      </c>
      <c r="D414">
        <f>VLOOKUP($A414,survey_2yrs!A:B, 2)</f>
        <v>51.7</v>
      </c>
      <c r="E414">
        <f>VLOOKUP($A414,survey_2yrs!$A:C, 3)</f>
        <v>48.3</v>
      </c>
      <c r="F414">
        <f>VLOOKUP($A414,survey_2yrs!$A:D, 4)</f>
        <v>52.5</v>
      </c>
      <c r="G414">
        <f>_xlfn.XLOOKUP(A414,survey_2yrs!A:A,survey_2yrs!E:E)</f>
        <v>47.5</v>
      </c>
      <c r="H414">
        <f>_xlfn.XLOOKUP($A414,weather_2yrs!$A:$A,weather_2yrs!B:B)</f>
        <v>71.7</v>
      </c>
      <c r="I414">
        <f>_xlfn.XLOOKUP($A414,weather_2yrs!$A:$A,weather_2yrs!C:C)</f>
        <v>0</v>
      </c>
      <c r="J414">
        <f>_xlfn.XLOOKUP($A414,weather_2yrs!$A:$A,weather_2yrs!D:D)</f>
        <v>0</v>
      </c>
      <c r="K414">
        <f>_xlfn.XLOOKUP($A414,weather_2yrs!$A:$A,weather_2yrs!E:E)</f>
        <v>35</v>
      </c>
      <c r="L414">
        <f>_xlfn.XLOOKUP($A414,sales!$A:$A,sales!B:B)</f>
        <v>1</v>
      </c>
      <c r="M414" t="str">
        <f>_xlfn.XLOOKUP($A414,sales!$A:$A,sales!C:C)</f>
        <v>Miami Beach</v>
      </c>
      <c r="N414">
        <f>_xlfn.XLOOKUP($A414,sales!$A:$A,sales!D:D)</f>
        <v>286</v>
      </c>
      <c r="O414">
        <f>_xlfn.XLOOKUP($A414,sales!$A:$A,sales!E:E)</f>
        <v>5443.51</v>
      </c>
      <c r="P414" s="4">
        <f t="shared" si="20"/>
        <v>19.03325174825175</v>
      </c>
    </row>
    <row r="415" spans="1:16" x14ac:dyDescent="0.25">
      <c r="A415" s="1">
        <v>45340</v>
      </c>
      <c r="B415" s="1" t="str">
        <f t="shared" si="18"/>
        <v>Sunday</v>
      </c>
      <c r="C415" s="1" t="b">
        <f t="shared" si="19"/>
        <v>1</v>
      </c>
      <c r="D415">
        <f>VLOOKUP($A415,survey_2yrs!A:B, 2)</f>
        <v>51.7</v>
      </c>
      <c r="E415">
        <f>VLOOKUP($A415,survey_2yrs!$A:C, 3)</f>
        <v>48.3</v>
      </c>
      <c r="F415">
        <f>VLOOKUP($A415,survey_2yrs!$A:D, 4)</f>
        <v>53.1</v>
      </c>
      <c r="G415">
        <f>_xlfn.XLOOKUP(A415,survey_2yrs!A:A,survey_2yrs!E:E)</f>
        <v>46.9</v>
      </c>
      <c r="H415">
        <f>_xlfn.XLOOKUP($A415,weather_2yrs!$A:$A,weather_2yrs!B:B)</f>
        <v>64</v>
      </c>
      <c r="I415">
        <f>_xlfn.XLOOKUP($A415,weather_2yrs!$A:$A,weather_2yrs!C:C)</f>
        <v>0.79</v>
      </c>
      <c r="J415">
        <f>_xlfn.XLOOKUP($A415,weather_2yrs!$A:$A,weather_2yrs!D:D)</f>
        <v>1</v>
      </c>
      <c r="K415">
        <f>_xlfn.XLOOKUP($A415,weather_2yrs!$A:$A,weather_2yrs!E:E)</f>
        <v>38.799999999999997</v>
      </c>
      <c r="L415">
        <f>_xlfn.XLOOKUP($A415,sales!$A:$A,sales!B:B)</f>
        <v>1</v>
      </c>
      <c r="M415" t="str">
        <f>_xlfn.XLOOKUP($A415,sales!$A:$A,sales!C:C)</f>
        <v>Miami Beach</v>
      </c>
      <c r="N415">
        <f>_xlfn.XLOOKUP($A415,sales!$A:$A,sales!D:D)</f>
        <v>274</v>
      </c>
      <c r="O415">
        <f>_xlfn.XLOOKUP($A415,sales!$A:$A,sales!E:E)</f>
        <v>4867.79</v>
      </c>
      <c r="P415" s="4">
        <f t="shared" si="20"/>
        <v>17.76565693430657</v>
      </c>
    </row>
    <row r="416" spans="1:16" x14ac:dyDescent="0.25">
      <c r="A416" s="1">
        <v>45341</v>
      </c>
      <c r="B416" s="1" t="str">
        <f t="shared" si="18"/>
        <v>Monday</v>
      </c>
      <c r="C416" s="1" t="b">
        <f t="shared" si="19"/>
        <v>0</v>
      </c>
      <c r="D416">
        <f>VLOOKUP($A416,survey_2yrs!A:B, 2)</f>
        <v>51.6</v>
      </c>
      <c r="E416">
        <f>VLOOKUP($A416,survey_2yrs!$A:C, 3)</f>
        <v>48.4</v>
      </c>
      <c r="F416">
        <f>VLOOKUP($A416,survey_2yrs!$A:D, 4)</f>
        <v>47.3</v>
      </c>
      <c r="G416">
        <f>_xlfn.XLOOKUP(A416,survey_2yrs!A:A,survey_2yrs!E:E)</f>
        <v>52.7</v>
      </c>
      <c r="H416">
        <f>_xlfn.XLOOKUP($A416,weather_2yrs!$A:$A,weather_2yrs!B:B)</f>
        <v>66</v>
      </c>
      <c r="I416">
        <f>_xlfn.XLOOKUP($A416,weather_2yrs!$A:$A,weather_2yrs!C:C)</f>
        <v>0</v>
      </c>
      <c r="J416">
        <f>_xlfn.XLOOKUP($A416,weather_2yrs!$A:$A,weather_2yrs!D:D)</f>
        <v>0</v>
      </c>
      <c r="K416">
        <f>_xlfn.XLOOKUP($A416,weather_2yrs!$A:$A,weather_2yrs!E:E)</f>
        <v>44.6</v>
      </c>
      <c r="L416">
        <f>_xlfn.XLOOKUP($A416,sales!$A:$A,sales!B:B)</f>
        <v>1</v>
      </c>
      <c r="M416" t="str">
        <f>_xlfn.XLOOKUP($A416,sales!$A:$A,sales!C:C)</f>
        <v>Miami Beach</v>
      </c>
      <c r="N416">
        <f>_xlfn.XLOOKUP($A416,sales!$A:$A,sales!D:D)</f>
        <v>207</v>
      </c>
      <c r="O416">
        <f>_xlfn.XLOOKUP($A416,sales!$A:$A,sales!E:E)</f>
        <v>3861.34</v>
      </c>
      <c r="P416" s="4">
        <f t="shared" si="20"/>
        <v>18.653816425120773</v>
      </c>
    </row>
    <row r="417" spans="1:16" x14ac:dyDescent="0.25">
      <c r="A417" s="1">
        <v>45342</v>
      </c>
      <c r="B417" s="1" t="str">
        <f t="shared" si="18"/>
        <v>Tuesday</v>
      </c>
      <c r="C417" s="1" t="b">
        <f t="shared" si="19"/>
        <v>0</v>
      </c>
      <c r="D417">
        <f>VLOOKUP($A417,survey_2yrs!A:B, 2)</f>
        <v>51.1</v>
      </c>
      <c r="E417">
        <f>VLOOKUP($A417,survey_2yrs!$A:C, 3)</f>
        <v>48.9</v>
      </c>
      <c r="F417">
        <f>VLOOKUP($A417,survey_2yrs!$A:D, 4)</f>
        <v>46.4</v>
      </c>
      <c r="G417">
        <f>_xlfn.XLOOKUP(A417,survey_2yrs!A:A,survey_2yrs!E:E)</f>
        <v>53.6</v>
      </c>
      <c r="H417">
        <f>_xlfn.XLOOKUP($A417,weather_2yrs!$A:$A,weather_2yrs!B:B)</f>
        <v>69.8</v>
      </c>
      <c r="I417">
        <f>_xlfn.XLOOKUP($A417,weather_2yrs!$A:$A,weather_2yrs!C:C)</f>
        <v>0</v>
      </c>
      <c r="J417">
        <f>_xlfn.XLOOKUP($A417,weather_2yrs!$A:$A,weather_2yrs!D:D)</f>
        <v>0</v>
      </c>
      <c r="K417">
        <f>_xlfn.XLOOKUP($A417,weather_2yrs!$A:$A,weather_2yrs!E:E)</f>
        <v>37.700000000000003</v>
      </c>
      <c r="L417">
        <f>_xlfn.XLOOKUP($A417,sales!$A:$A,sales!B:B)</f>
        <v>1</v>
      </c>
      <c r="M417" t="str">
        <f>_xlfn.XLOOKUP($A417,sales!$A:$A,sales!C:C)</f>
        <v>Miami Beach</v>
      </c>
      <c r="N417">
        <f>_xlfn.XLOOKUP($A417,sales!$A:$A,sales!D:D)</f>
        <v>242</v>
      </c>
      <c r="O417">
        <f>_xlfn.XLOOKUP($A417,sales!$A:$A,sales!E:E)</f>
        <v>4486.22</v>
      </c>
      <c r="P417" s="4">
        <f t="shared" si="20"/>
        <v>18.538099173553721</v>
      </c>
    </row>
    <row r="418" spans="1:16" x14ac:dyDescent="0.25">
      <c r="A418" s="1">
        <v>45343</v>
      </c>
      <c r="B418" s="1" t="str">
        <f t="shared" si="18"/>
        <v>Wednesday</v>
      </c>
      <c r="C418" s="1" t="b">
        <f t="shared" si="19"/>
        <v>0</v>
      </c>
      <c r="D418">
        <f>VLOOKUP($A418,survey_2yrs!A:B, 2)</f>
        <v>52.4</v>
      </c>
      <c r="E418">
        <f>VLOOKUP($A418,survey_2yrs!$A:C, 3)</f>
        <v>47.6</v>
      </c>
      <c r="F418">
        <f>VLOOKUP($A418,survey_2yrs!$A:D, 4)</f>
        <v>47.2</v>
      </c>
      <c r="G418">
        <f>_xlfn.XLOOKUP(A418,survey_2yrs!A:A,survey_2yrs!E:E)</f>
        <v>52.8</v>
      </c>
      <c r="H418">
        <f>_xlfn.XLOOKUP($A418,weather_2yrs!$A:$A,weather_2yrs!B:B)</f>
        <v>70.900000000000006</v>
      </c>
      <c r="I418">
        <f>_xlfn.XLOOKUP($A418,weather_2yrs!$A:$A,weather_2yrs!C:C)</f>
        <v>0</v>
      </c>
      <c r="J418">
        <f>_xlfn.XLOOKUP($A418,weather_2yrs!$A:$A,weather_2yrs!D:D)</f>
        <v>0</v>
      </c>
      <c r="K418">
        <f>_xlfn.XLOOKUP($A418,weather_2yrs!$A:$A,weather_2yrs!E:E)</f>
        <v>36.700000000000003</v>
      </c>
      <c r="L418">
        <f>_xlfn.XLOOKUP($A418,sales!$A:$A,sales!B:B)</f>
        <v>1</v>
      </c>
      <c r="M418" t="str">
        <f>_xlfn.XLOOKUP($A418,sales!$A:$A,sales!C:C)</f>
        <v>Miami Beach</v>
      </c>
      <c r="N418">
        <f>_xlfn.XLOOKUP($A418,sales!$A:$A,sales!D:D)</f>
        <v>214</v>
      </c>
      <c r="O418">
        <f>_xlfn.XLOOKUP($A418,sales!$A:$A,sales!E:E)</f>
        <v>4134.96</v>
      </c>
      <c r="P418" s="4">
        <f t="shared" si="20"/>
        <v>19.322242990654207</v>
      </c>
    </row>
    <row r="419" spans="1:16" x14ac:dyDescent="0.25">
      <c r="A419" s="1">
        <v>45344</v>
      </c>
      <c r="B419" s="1" t="str">
        <f t="shared" si="18"/>
        <v>Thursday</v>
      </c>
      <c r="C419" s="1" t="b">
        <f t="shared" si="19"/>
        <v>0</v>
      </c>
      <c r="D419">
        <f>VLOOKUP($A419,survey_2yrs!A:B, 2)</f>
        <v>50.5</v>
      </c>
      <c r="E419">
        <f>VLOOKUP($A419,survey_2yrs!$A:C, 3)</f>
        <v>49.5</v>
      </c>
      <c r="F419">
        <f>VLOOKUP($A419,survey_2yrs!$A:D, 4)</f>
        <v>47.7</v>
      </c>
      <c r="G419">
        <f>_xlfn.XLOOKUP(A419,survey_2yrs!A:A,survey_2yrs!E:E)</f>
        <v>52.3</v>
      </c>
      <c r="H419">
        <f>_xlfn.XLOOKUP($A419,weather_2yrs!$A:$A,weather_2yrs!B:B)</f>
        <v>72</v>
      </c>
      <c r="I419">
        <f>_xlfn.XLOOKUP($A419,weather_2yrs!$A:$A,weather_2yrs!C:C)</f>
        <v>0</v>
      </c>
      <c r="J419">
        <f>_xlfn.XLOOKUP($A419,weather_2yrs!$A:$A,weather_2yrs!D:D)</f>
        <v>0</v>
      </c>
      <c r="K419">
        <f>_xlfn.XLOOKUP($A419,weather_2yrs!$A:$A,weather_2yrs!E:E)</f>
        <v>36.9</v>
      </c>
      <c r="L419">
        <f>_xlfn.XLOOKUP($A419,sales!$A:$A,sales!B:B)</f>
        <v>1</v>
      </c>
      <c r="M419" t="str">
        <f>_xlfn.XLOOKUP($A419,sales!$A:$A,sales!C:C)</f>
        <v>Miami Beach</v>
      </c>
      <c r="N419">
        <f>_xlfn.XLOOKUP($A419,sales!$A:$A,sales!D:D)</f>
        <v>243</v>
      </c>
      <c r="O419">
        <f>_xlfn.XLOOKUP($A419,sales!$A:$A,sales!E:E)</f>
        <v>4565.5200000000004</v>
      </c>
      <c r="P419" s="4">
        <f t="shared" si="20"/>
        <v>18.788148148148149</v>
      </c>
    </row>
    <row r="420" spans="1:16" x14ac:dyDescent="0.25">
      <c r="A420" s="1">
        <v>45345</v>
      </c>
      <c r="B420" s="1" t="str">
        <f t="shared" si="18"/>
        <v>Friday</v>
      </c>
      <c r="C420" s="1" t="b">
        <f t="shared" si="19"/>
        <v>0</v>
      </c>
      <c r="D420">
        <f>VLOOKUP($A420,survey_2yrs!A:B, 2)</f>
        <v>52.4</v>
      </c>
      <c r="E420">
        <f>VLOOKUP($A420,survey_2yrs!$A:C, 3)</f>
        <v>47.6</v>
      </c>
      <c r="F420">
        <f>VLOOKUP($A420,survey_2yrs!$A:D, 4)</f>
        <v>48.2</v>
      </c>
      <c r="G420">
        <f>_xlfn.XLOOKUP(A420,survey_2yrs!A:A,survey_2yrs!E:E)</f>
        <v>51.8</v>
      </c>
      <c r="H420">
        <f>_xlfn.XLOOKUP($A420,weather_2yrs!$A:$A,weather_2yrs!B:B)</f>
        <v>65.099999999999994</v>
      </c>
      <c r="I420">
        <f>_xlfn.XLOOKUP($A420,weather_2yrs!$A:$A,weather_2yrs!C:C)</f>
        <v>1.41</v>
      </c>
      <c r="J420">
        <f>_xlfn.XLOOKUP($A420,weather_2yrs!$A:$A,weather_2yrs!D:D)</f>
        <v>1</v>
      </c>
      <c r="K420">
        <f>_xlfn.XLOOKUP($A420,weather_2yrs!$A:$A,weather_2yrs!E:E)</f>
        <v>41.8</v>
      </c>
      <c r="L420">
        <f>_xlfn.XLOOKUP($A420,sales!$A:$A,sales!B:B)</f>
        <v>1</v>
      </c>
      <c r="M420" t="str">
        <f>_xlfn.XLOOKUP($A420,sales!$A:$A,sales!C:C)</f>
        <v>Miami Beach</v>
      </c>
      <c r="N420">
        <f>_xlfn.XLOOKUP($A420,sales!$A:$A,sales!D:D)</f>
        <v>223</v>
      </c>
      <c r="O420">
        <f>_xlfn.XLOOKUP($A420,sales!$A:$A,sales!E:E)</f>
        <v>4139.92</v>
      </c>
      <c r="P420" s="4">
        <f t="shared" si="20"/>
        <v>18.564663677130046</v>
      </c>
    </row>
    <row r="421" spans="1:16" x14ac:dyDescent="0.25">
      <c r="A421" s="1">
        <v>45346</v>
      </c>
      <c r="B421" s="1" t="str">
        <f t="shared" si="18"/>
        <v>Saturday</v>
      </c>
      <c r="C421" s="1" t="b">
        <f t="shared" si="19"/>
        <v>1</v>
      </c>
      <c r="D421">
        <f>VLOOKUP($A421,survey_2yrs!A:B, 2)</f>
        <v>51.8</v>
      </c>
      <c r="E421">
        <f>VLOOKUP($A421,survey_2yrs!$A:C, 3)</f>
        <v>48.2</v>
      </c>
      <c r="F421">
        <f>VLOOKUP($A421,survey_2yrs!$A:D, 4)</f>
        <v>51.2</v>
      </c>
      <c r="G421">
        <f>_xlfn.XLOOKUP(A421,survey_2yrs!A:A,survey_2yrs!E:E)</f>
        <v>48.8</v>
      </c>
      <c r="H421">
        <f>_xlfn.XLOOKUP($A421,weather_2yrs!$A:$A,weather_2yrs!B:B)</f>
        <v>63.6</v>
      </c>
      <c r="I421">
        <f>_xlfn.XLOOKUP($A421,weather_2yrs!$A:$A,weather_2yrs!C:C)</f>
        <v>0</v>
      </c>
      <c r="J421">
        <f>_xlfn.XLOOKUP($A421,weather_2yrs!$A:$A,weather_2yrs!D:D)</f>
        <v>0</v>
      </c>
      <c r="K421">
        <f>_xlfn.XLOOKUP($A421,weather_2yrs!$A:$A,weather_2yrs!E:E)</f>
        <v>38</v>
      </c>
      <c r="L421">
        <f>_xlfn.XLOOKUP($A421,sales!$A:$A,sales!B:B)</f>
        <v>1</v>
      </c>
      <c r="M421" t="str">
        <f>_xlfn.XLOOKUP($A421,sales!$A:$A,sales!C:C)</f>
        <v>Miami Beach</v>
      </c>
      <c r="N421">
        <f>_xlfn.XLOOKUP($A421,sales!$A:$A,sales!D:D)</f>
        <v>254</v>
      </c>
      <c r="O421">
        <f>_xlfn.XLOOKUP($A421,sales!$A:$A,sales!E:E)</f>
        <v>4784.47</v>
      </c>
      <c r="P421" s="4">
        <f t="shared" si="20"/>
        <v>18.836496062992126</v>
      </c>
    </row>
    <row r="422" spans="1:16" x14ac:dyDescent="0.25">
      <c r="A422" s="1">
        <v>45347</v>
      </c>
      <c r="B422" s="1" t="str">
        <f t="shared" si="18"/>
        <v>Sunday</v>
      </c>
      <c r="C422" s="1" t="b">
        <f t="shared" si="19"/>
        <v>1</v>
      </c>
      <c r="D422">
        <f>VLOOKUP($A422,survey_2yrs!A:B, 2)</f>
        <v>50.8</v>
      </c>
      <c r="E422">
        <f>VLOOKUP($A422,survey_2yrs!$A:C, 3)</f>
        <v>49.2</v>
      </c>
      <c r="F422">
        <f>VLOOKUP($A422,survey_2yrs!$A:D, 4)</f>
        <v>52.8</v>
      </c>
      <c r="G422">
        <f>_xlfn.XLOOKUP(A422,survey_2yrs!A:A,survey_2yrs!E:E)</f>
        <v>47.2</v>
      </c>
      <c r="H422">
        <f>_xlfn.XLOOKUP($A422,weather_2yrs!$A:$A,weather_2yrs!B:B)</f>
        <v>67</v>
      </c>
      <c r="I422">
        <f>_xlfn.XLOOKUP($A422,weather_2yrs!$A:$A,weather_2yrs!C:C)</f>
        <v>0</v>
      </c>
      <c r="J422">
        <f>_xlfn.XLOOKUP($A422,weather_2yrs!$A:$A,weather_2yrs!D:D)</f>
        <v>0</v>
      </c>
      <c r="K422">
        <f>_xlfn.XLOOKUP($A422,weather_2yrs!$A:$A,weather_2yrs!E:E)</f>
        <v>36.299999999999997</v>
      </c>
      <c r="L422">
        <f>_xlfn.XLOOKUP($A422,sales!$A:$A,sales!B:B)</f>
        <v>1</v>
      </c>
      <c r="M422" t="str">
        <f>_xlfn.XLOOKUP($A422,sales!$A:$A,sales!C:C)</f>
        <v>Miami Beach</v>
      </c>
      <c r="N422">
        <f>_xlfn.XLOOKUP($A422,sales!$A:$A,sales!D:D)</f>
        <v>253</v>
      </c>
      <c r="O422">
        <f>_xlfn.XLOOKUP($A422,sales!$A:$A,sales!E:E)</f>
        <v>4536.66</v>
      </c>
      <c r="P422" s="4">
        <f t="shared" si="20"/>
        <v>17.931462450592885</v>
      </c>
    </row>
    <row r="423" spans="1:16" x14ac:dyDescent="0.25">
      <c r="A423" s="1">
        <v>45348</v>
      </c>
      <c r="B423" s="1" t="str">
        <f t="shared" si="18"/>
        <v>Monday</v>
      </c>
      <c r="C423" s="1" t="b">
        <f t="shared" si="19"/>
        <v>0</v>
      </c>
      <c r="D423">
        <f>VLOOKUP($A423,survey_2yrs!A:B, 2)</f>
        <v>51.3</v>
      </c>
      <c r="E423">
        <f>VLOOKUP($A423,survey_2yrs!$A:C, 3)</f>
        <v>48.7</v>
      </c>
      <c r="F423">
        <f>VLOOKUP($A423,survey_2yrs!$A:D, 4)</f>
        <v>47.7</v>
      </c>
      <c r="G423">
        <f>_xlfn.XLOOKUP(A423,survey_2yrs!A:A,survey_2yrs!E:E)</f>
        <v>52.3</v>
      </c>
      <c r="H423">
        <f>_xlfn.XLOOKUP($A423,weather_2yrs!$A:$A,weather_2yrs!B:B)</f>
        <v>67</v>
      </c>
      <c r="I423">
        <f>_xlfn.XLOOKUP($A423,weather_2yrs!$A:$A,weather_2yrs!C:C)</f>
        <v>0</v>
      </c>
      <c r="J423">
        <f>_xlfn.XLOOKUP($A423,weather_2yrs!$A:$A,weather_2yrs!D:D)</f>
        <v>0</v>
      </c>
      <c r="K423">
        <f>_xlfn.XLOOKUP($A423,weather_2yrs!$A:$A,weather_2yrs!E:E)</f>
        <v>38.700000000000003</v>
      </c>
      <c r="L423">
        <f>_xlfn.XLOOKUP($A423,sales!$A:$A,sales!B:B)</f>
        <v>1</v>
      </c>
      <c r="M423" t="str">
        <f>_xlfn.XLOOKUP($A423,sales!$A:$A,sales!C:C)</f>
        <v>Miami Beach</v>
      </c>
      <c r="N423">
        <f>_xlfn.XLOOKUP($A423,sales!$A:$A,sales!D:D)</f>
        <v>230</v>
      </c>
      <c r="O423">
        <f>_xlfn.XLOOKUP($A423,sales!$A:$A,sales!E:E)</f>
        <v>4528.03</v>
      </c>
      <c r="P423" s="4">
        <f t="shared" si="20"/>
        <v>19.687086956521739</v>
      </c>
    </row>
    <row r="424" spans="1:16" x14ac:dyDescent="0.25">
      <c r="A424" s="1">
        <v>45349</v>
      </c>
      <c r="B424" s="1" t="str">
        <f t="shared" si="18"/>
        <v>Tuesday</v>
      </c>
      <c r="C424" s="1" t="b">
        <f t="shared" si="19"/>
        <v>0</v>
      </c>
      <c r="D424">
        <f>VLOOKUP($A424,survey_2yrs!A:B, 2)</f>
        <v>50.6</v>
      </c>
      <c r="E424">
        <f>VLOOKUP($A424,survey_2yrs!$A:C, 3)</f>
        <v>49.4</v>
      </c>
      <c r="F424">
        <f>VLOOKUP($A424,survey_2yrs!$A:D, 4)</f>
        <v>47.7</v>
      </c>
      <c r="G424">
        <f>_xlfn.XLOOKUP(A424,survey_2yrs!A:A,survey_2yrs!E:E)</f>
        <v>52.3</v>
      </c>
      <c r="H424">
        <f>_xlfn.XLOOKUP($A424,weather_2yrs!$A:$A,weather_2yrs!B:B)</f>
        <v>62.5</v>
      </c>
      <c r="I424">
        <f>_xlfn.XLOOKUP($A424,weather_2yrs!$A:$A,weather_2yrs!C:C)</f>
        <v>0</v>
      </c>
      <c r="J424">
        <f>_xlfn.XLOOKUP($A424,weather_2yrs!$A:$A,weather_2yrs!D:D)</f>
        <v>0</v>
      </c>
      <c r="K424">
        <f>_xlfn.XLOOKUP($A424,weather_2yrs!$A:$A,weather_2yrs!E:E)</f>
        <v>39.700000000000003</v>
      </c>
      <c r="L424">
        <f>_xlfn.XLOOKUP($A424,sales!$A:$A,sales!B:B)</f>
        <v>1</v>
      </c>
      <c r="M424" t="str">
        <f>_xlfn.XLOOKUP($A424,sales!$A:$A,sales!C:C)</f>
        <v>Miami Beach</v>
      </c>
      <c r="N424">
        <f>_xlfn.XLOOKUP($A424,sales!$A:$A,sales!D:D)</f>
        <v>217</v>
      </c>
      <c r="O424">
        <f>_xlfn.XLOOKUP($A424,sales!$A:$A,sales!E:E)</f>
        <v>4272.6099999999997</v>
      </c>
      <c r="P424" s="4">
        <f t="shared" si="20"/>
        <v>19.689447004608294</v>
      </c>
    </row>
    <row r="425" spans="1:16" x14ac:dyDescent="0.25">
      <c r="A425" s="1">
        <v>45350</v>
      </c>
      <c r="B425" s="1" t="str">
        <f t="shared" si="18"/>
        <v>Wednesday</v>
      </c>
      <c r="C425" s="1" t="b">
        <f t="shared" si="19"/>
        <v>0</v>
      </c>
      <c r="D425">
        <f>VLOOKUP($A425,survey_2yrs!A:B, 2)</f>
        <v>52</v>
      </c>
      <c r="E425">
        <f>VLOOKUP($A425,survey_2yrs!$A:C, 3)</f>
        <v>48</v>
      </c>
      <c r="F425">
        <f>VLOOKUP($A425,survey_2yrs!$A:D, 4)</f>
        <v>48.2</v>
      </c>
      <c r="G425">
        <f>_xlfn.XLOOKUP(A425,survey_2yrs!A:A,survey_2yrs!E:E)</f>
        <v>51.8</v>
      </c>
      <c r="H425">
        <f>_xlfn.XLOOKUP($A425,weather_2yrs!$A:$A,weather_2yrs!B:B)</f>
        <v>64.8</v>
      </c>
      <c r="I425">
        <f>_xlfn.XLOOKUP($A425,weather_2yrs!$A:$A,weather_2yrs!C:C)</f>
        <v>0</v>
      </c>
      <c r="J425">
        <f>_xlfn.XLOOKUP($A425,weather_2yrs!$A:$A,weather_2yrs!D:D)</f>
        <v>0</v>
      </c>
      <c r="K425">
        <f>_xlfn.XLOOKUP($A425,weather_2yrs!$A:$A,weather_2yrs!E:E)</f>
        <v>35</v>
      </c>
      <c r="L425">
        <f>_xlfn.XLOOKUP($A425,sales!$A:$A,sales!B:B)</f>
        <v>1</v>
      </c>
      <c r="M425" t="str">
        <f>_xlfn.XLOOKUP($A425,sales!$A:$A,sales!C:C)</f>
        <v>Miami Beach</v>
      </c>
      <c r="N425">
        <f>_xlfn.XLOOKUP($A425,sales!$A:$A,sales!D:D)</f>
        <v>210</v>
      </c>
      <c r="O425">
        <f>_xlfn.XLOOKUP($A425,sales!$A:$A,sales!E:E)</f>
        <v>3556.05</v>
      </c>
      <c r="P425" s="4">
        <f t="shared" si="20"/>
        <v>16.93357142857143</v>
      </c>
    </row>
    <row r="426" spans="1:16" x14ac:dyDescent="0.25">
      <c r="A426" s="1">
        <v>45351</v>
      </c>
      <c r="B426" s="1" t="str">
        <f t="shared" si="18"/>
        <v>Thursday</v>
      </c>
      <c r="C426" s="1" t="b">
        <f t="shared" si="19"/>
        <v>0</v>
      </c>
      <c r="D426">
        <f>VLOOKUP($A426,survey_2yrs!A:B, 2)</f>
        <v>52</v>
      </c>
      <c r="E426">
        <f>VLOOKUP($A426,survey_2yrs!$A:C, 3)</f>
        <v>48</v>
      </c>
      <c r="F426">
        <f>VLOOKUP($A426,survey_2yrs!$A:D, 4)</f>
        <v>47.8</v>
      </c>
      <c r="G426">
        <f>_xlfn.XLOOKUP(A426,survey_2yrs!A:A,survey_2yrs!E:E)</f>
        <v>52.2</v>
      </c>
      <c r="H426">
        <f>_xlfn.XLOOKUP($A426,weather_2yrs!$A:$A,weather_2yrs!B:B)</f>
        <v>69.5</v>
      </c>
      <c r="I426">
        <f>_xlfn.XLOOKUP($A426,weather_2yrs!$A:$A,weather_2yrs!C:C)</f>
        <v>2.56</v>
      </c>
      <c r="J426">
        <f>_xlfn.XLOOKUP($A426,weather_2yrs!$A:$A,weather_2yrs!D:D)</f>
        <v>1</v>
      </c>
      <c r="K426">
        <f>_xlfn.XLOOKUP($A426,weather_2yrs!$A:$A,weather_2yrs!E:E)</f>
        <v>35.200000000000003</v>
      </c>
      <c r="L426">
        <f>_xlfn.XLOOKUP($A426,sales!$A:$A,sales!B:B)</f>
        <v>1</v>
      </c>
      <c r="M426" t="str">
        <f>_xlfn.XLOOKUP($A426,sales!$A:$A,sales!C:C)</f>
        <v>Miami Beach</v>
      </c>
      <c r="N426">
        <f>_xlfn.XLOOKUP($A426,sales!$A:$A,sales!D:D)</f>
        <v>188</v>
      </c>
      <c r="O426">
        <f>_xlfn.XLOOKUP($A426,sales!$A:$A,sales!E:E)</f>
        <v>3620.54</v>
      </c>
      <c r="P426" s="4">
        <f t="shared" si="20"/>
        <v>19.258191489361703</v>
      </c>
    </row>
    <row r="427" spans="1:16" x14ac:dyDescent="0.25">
      <c r="A427" s="1">
        <v>45352</v>
      </c>
      <c r="B427" s="1" t="str">
        <f t="shared" si="18"/>
        <v>Friday</v>
      </c>
      <c r="C427" s="1" t="b">
        <f t="shared" si="19"/>
        <v>0</v>
      </c>
      <c r="D427">
        <f>VLOOKUP($A427,survey_2yrs!A:B, 2)</f>
        <v>50.9</v>
      </c>
      <c r="E427">
        <f>VLOOKUP($A427,survey_2yrs!$A:C, 3)</f>
        <v>49.1</v>
      </c>
      <c r="F427">
        <f>VLOOKUP($A427,survey_2yrs!$A:D, 4)</f>
        <v>48</v>
      </c>
      <c r="G427">
        <f>_xlfn.XLOOKUP(A427,survey_2yrs!A:A,survey_2yrs!E:E)</f>
        <v>52</v>
      </c>
      <c r="H427">
        <f>_xlfn.XLOOKUP($A427,weather_2yrs!$A:$A,weather_2yrs!B:B)</f>
        <v>64.8</v>
      </c>
      <c r="I427">
        <f>_xlfn.XLOOKUP($A427,weather_2yrs!$A:$A,weather_2yrs!C:C)</f>
        <v>0.15</v>
      </c>
      <c r="J427">
        <f>_xlfn.XLOOKUP($A427,weather_2yrs!$A:$A,weather_2yrs!D:D)</f>
        <v>1</v>
      </c>
      <c r="K427">
        <f>_xlfn.XLOOKUP($A427,weather_2yrs!$A:$A,weather_2yrs!E:E)</f>
        <v>37.1</v>
      </c>
      <c r="L427">
        <f>_xlfn.XLOOKUP($A427,sales!$A:$A,sales!B:B)</f>
        <v>1</v>
      </c>
      <c r="M427" t="str">
        <f>_xlfn.XLOOKUP($A427,sales!$A:$A,sales!C:C)</f>
        <v>Miami Beach</v>
      </c>
      <c r="N427">
        <f>_xlfn.XLOOKUP($A427,sales!$A:$A,sales!D:D)</f>
        <v>231</v>
      </c>
      <c r="O427">
        <f>_xlfn.XLOOKUP($A427,sales!$A:$A,sales!E:E)</f>
        <v>4351.57</v>
      </c>
      <c r="P427" s="4">
        <f t="shared" si="20"/>
        <v>18.837965367965367</v>
      </c>
    </row>
    <row r="428" spans="1:16" x14ac:dyDescent="0.25">
      <c r="A428" s="1">
        <v>45353</v>
      </c>
      <c r="B428" s="1" t="str">
        <f t="shared" si="18"/>
        <v>Saturday</v>
      </c>
      <c r="C428" s="1" t="b">
        <f t="shared" si="19"/>
        <v>1</v>
      </c>
      <c r="D428">
        <f>VLOOKUP($A428,survey_2yrs!A:B, 2)</f>
        <v>51.1</v>
      </c>
      <c r="E428">
        <f>VLOOKUP($A428,survey_2yrs!$A:C, 3)</f>
        <v>48.9</v>
      </c>
      <c r="F428">
        <f>VLOOKUP($A428,survey_2yrs!$A:D, 4)</f>
        <v>51.8</v>
      </c>
      <c r="G428">
        <f>_xlfn.XLOOKUP(A428,survey_2yrs!A:A,survey_2yrs!E:E)</f>
        <v>48.2</v>
      </c>
      <c r="H428">
        <f>_xlfn.XLOOKUP($A428,weather_2yrs!$A:$A,weather_2yrs!B:B)</f>
        <v>63.1</v>
      </c>
      <c r="I428">
        <f>_xlfn.XLOOKUP($A428,weather_2yrs!$A:$A,weather_2yrs!C:C)</f>
        <v>0</v>
      </c>
      <c r="J428">
        <f>_xlfn.XLOOKUP($A428,weather_2yrs!$A:$A,weather_2yrs!D:D)</f>
        <v>0</v>
      </c>
      <c r="K428">
        <f>_xlfn.XLOOKUP($A428,weather_2yrs!$A:$A,weather_2yrs!E:E)</f>
        <v>35</v>
      </c>
      <c r="L428">
        <f>_xlfn.XLOOKUP($A428,sales!$A:$A,sales!B:B)</f>
        <v>1</v>
      </c>
      <c r="M428" t="str">
        <f>_xlfn.XLOOKUP($A428,sales!$A:$A,sales!C:C)</f>
        <v>Miami Beach</v>
      </c>
      <c r="N428">
        <f>_xlfn.XLOOKUP($A428,sales!$A:$A,sales!D:D)</f>
        <v>239</v>
      </c>
      <c r="O428">
        <f>_xlfn.XLOOKUP($A428,sales!$A:$A,sales!E:E)</f>
        <v>4413.68</v>
      </c>
      <c r="P428" s="4">
        <f t="shared" si="20"/>
        <v>18.467280334728034</v>
      </c>
    </row>
    <row r="429" spans="1:16" x14ac:dyDescent="0.25">
      <c r="A429" s="1">
        <v>45354</v>
      </c>
      <c r="B429" s="1" t="str">
        <f t="shared" si="18"/>
        <v>Sunday</v>
      </c>
      <c r="C429" s="1" t="b">
        <f t="shared" si="19"/>
        <v>1</v>
      </c>
      <c r="D429">
        <f>VLOOKUP($A429,survey_2yrs!A:B, 2)</f>
        <v>51.5</v>
      </c>
      <c r="E429">
        <f>VLOOKUP($A429,survey_2yrs!$A:C, 3)</f>
        <v>48.5</v>
      </c>
      <c r="F429">
        <f>VLOOKUP($A429,survey_2yrs!$A:D, 4)</f>
        <v>51.7</v>
      </c>
      <c r="G429">
        <f>_xlfn.XLOOKUP(A429,survey_2yrs!A:A,survey_2yrs!E:E)</f>
        <v>48.3</v>
      </c>
      <c r="H429">
        <f>_xlfn.XLOOKUP($A429,weather_2yrs!$A:$A,weather_2yrs!B:B)</f>
        <v>63.9</v>
      </c>
      <c r="I429">
        <f>_xlfn.XLOOKUP($A429,weather_2yrs!$A:$A,weather_2yrs!C:C)</f>
        <v>0</v>
      </c>
      <c r="J429">
        <f>_xlfn.XLOOKUP($A429,weather_2yrs!$A:$A,weather_2yrs!D:D)</f>
        <v>0</v>
      </c>
      <c r="K429">
        <f>_xlfn.XLOOKUP($A429,weather_2yrs!$A:$A,weather_2yrs!E:E)</f>
        <v>36.200000000000003</v>
      </c>
      <c r="L429">
        <f>_xlfn.XLOOKUP($A429,sales!$A:$A,sales!B:B)</f>
        <v>1</v>
      </c>
      <c r="M429" t="str">
        <f>_xlfn.XLOOKUP($A429,sales!$A:$A,sales!C:C)</f>
        <v>Miami Beach</v>
      </c>
      <c r="N429">
        <f>_xlfn.XLOOKUP($A429,sales!$A:$A,sales!D:D)</f>
        <v>238</v>
      </c>
      <c r="O429">
        <f>_xlfn.XLOOKUP($A429,sales!$A:$A,sales!E:E)</f>
        <v>4429.25</v>
      </c>
      <c r="P429" s="4">
        <f t="shared" si="20"/>
        <v>18.610294117647058</v>
      </c>
    </row>
    <row r="430" spans="1:16" x14ac:dyDescent="0.25">
      <c r="A430" s="1">
        <v>45355</v>
      </c>
      <c r="B430" s="1" t="str">
        <f t="shared" si="18"/>
        <v>Monday</v>
      </c>
      <c r="C430" s="1" t="b">
        <f t="shared" si="19"/>
        <v>0</v>
      </c>
      <c r="D430">
        <f>VLOOKUP($A430,survey_2yrs!A:B, 2)</f>
        <v>50.5</v>
      </c>
      <c r="E430">
        <f>VLOOKUP($A430,survey_2yrs!$A:C, 3)</f>
        <v>49.5</v>
      </c>
      <c r="F430">
        <f>VLOOKUP($A430,survey_2yrs!$A:D, 4)</f>
        <v>48</v>
      </c>
      <c r="G430">
        <f>_xlfn.XLOOKUP(A430,survey_2yrs!A:A,survey_2yrs!E:E)</f>
        <v>52</v>
      </c>
      <c r="H430">
        <f>_xlfn.XLOOKUP($A430,weather_2yrs!$A:$A,weather_2yrs!B:B)</f>
        <v>61.4</v>
      </c>
      <c r="I430">
        <f>_xlfn.XLOOKUP($A430,weather_2yrs!$A:$A,weather_2yrs!C:C)</f>
        <v>1.1000000000000001</v>
      </c>
      <c r="J430">
        <f>_xlfn.XLOOKUP($A430,weather_2yrs!$A:$A,weather_2yrs!D:D)</f>
        <v>1</v>
      </c>
      <c r="K430">
        <f>_xlfn.XLOOKUP($A430,weather_2yrs!$A:$A,weather_2yrs!E:E)</f>
        <v>35</v>
      </c>
      <c r="L430">
        <f>_xlfn.XLOOKUP($A430,sales!$A:$A,sales!B:B)</f>
        <v>1</v>
      </c>
      <c r="M430" t="str">
        <f>_xlfn.XLOOKUP($A430,sales!$A:$A,sales!C:C)</f>
        <v>Miami Beach</v>
      </c>
      <c r="N430">
        <f>_xlfn.XLOOKUP($A430,sales!$A:$A,sales!D:D)</f>
        <v>212</v>
      </c>
      <c r="O430">
        <f>_xlfn.XLOOKUP($A430,sales!$A:$A,sales!E:E)</f>
        <v>4021.41</v>
      </c>
      <c r="P430" s="4">
        <f t="shared" si="20"/>
        <v>18.968915094339621</v>
      </c>
    </row>
    <row r="431" spans="1:16" x14ac:dyDescent="0.25">
      <c r="A431" s="1">
        <v>45356</v>
      </c>
      <c r="B431" s="1" t="str">
        <f t="shared" si="18"/>
        <v>Tuesday</v>
      </c>
      <c r="C431" s="1" t="b">
        <f t="shared" si="19"/>
        <v>0</v>
      </c>
      <c r="D431">
        <f>VLOOKUP($A431,survey_2yrs!A:B, 2)</f>
        <v>51.2</v>
      </c>
      <c r="E431">
        <f>VLOOKUP($A431,survey_2yrs!$A:C, 3)</f>
        <v>48.8</v>
      </c>
      <c r="F431">
        <f>VLOOKUP($A431,survey_2yrs!$A:D, 4)</f>
        <v>46.1</v>
      </c>
      <c r="G431">
        <f>_xlfn.XLOOKUP(A431,survey_2yrs!A:A,survey_2yrs!E:E)</f>
        <v>53.9</v>
      </c>
      <c r="H431">
        <f>_xlfn.XLOOKUP($A431,weather_2yrs!$A:$A,weather_2yrs!B:B)</f>
        <v>61.4</v>
      </c>
      <c r="I431">
        <f>_xlfn.XLOOKUP($A431,weather_2yrs!$A:$A,weather_2yrs!C:C)</f>
        <v>0</v>
      </c>
      <c r="J431">
        <f>_xlfn.XLOOKUP($A431,weather_2yrs!$A:$A,weather_2yrs!D:D)</f>
        <v>0</v>
      </c>
      <c r="K431">
        <f>_xlfn.XLOOKUP($A431,weather_2yrs!$A:$A,weather_2yrs!E:E)</f>
        <v>43</v>
      </c>
      <c r="L431">
        <f>_xlfn.XLOOKUP($A431,sales!$A:$A,sales!B:B)</f>
        <v>1</v>
      </c>
      <c r="M431" t="str">
        <f>_xlfn.XLOOKUP($A431,sales!$A:$A,sales!C:C)</f>
        <v>Miami Beach</v>
      </c>
      <c r="N431">
        <f>_xlfn.XLOOKUP($A431,sales!$A:$A,sales!D:D)</f>
        <v>204</v>
      </c>
      <c r="O431">
        <f>_xlfn.XLOOKUP($A431,sales!$A:$A,sales!E:E)</f>
        <v>3542.1</v>
      </c>
      <c r="P431" s="4">
        <f t="shared" si="20"/>
        <v>17.363235294117647</v>
      </c>
    </row>
    <row r="432" spans="1:16" x14ac:dyDescent="0.25">
      <c r="A432" s="1">
        <v>45357</v>
      </c>
      <c r="B432" s="1" t="str">
        <f t="shared" si="18"/>
        <v>Wednesday</v>
      </c>
      <c r="C432" s="1" t="b">
        <f t="shared" si="19"/>
        <v>0</v>
      </c>
      <c r="D432">
        <f>VLOOKUP($A432,survey_2yrs!A:B, 2)</f>
        <v>51</v>
      </c>
      <c r="E432">
        <f>VLOOKUP($A432,survey_2yrs!$A:C, 3)</f>
        <v>49</v>
      </c>
      <c r="F432">
        <f>VLOOKUP($A432,survey_2yrs!$A:D, 4)</f>
        <v>46.2</v>
      </c>
      <c r="G432">
        <f>_xlfn.XLOOKUP(A432,survey_2yrs!A:A,survey_2yrs!E:E)</f>
        <v>53.8</v>
      </c>
      <c r="H432">
        <f>_xlfn.XLOOKUP($A432,weather_2yrs!$A:$A,weather_2yrs!B:B)</f>
        <v>62.7</v>
      </c>
      <c r="I432">
        <f>_xlfn.XLOOKUP($A432,weather_2yrs!$A:$A,weather_2yrs!C:C)</f>
        <v>0</v>
      </c>
      <c r="J432">
        <f>_xlfn.XLOOKUP($A432,weather_2yrs!$A:$A,weather_2yrs!D:D)</f>
        <v>0</v>
      </c>
      <c r="K432">
        <f>_xlfn.XLOOKUP($A432,weather_2yrs!$A:$A,weather_2yrs!E:E)</f>
        <v>36.700000000000003</v>
      </c>
      <c r="L432">
        <f>_xlfn.XLOOKUP($A432,sales!$A:$A,sales!B:B)</f>
        <v>1</v>
      </c>
      <c r="M432" t="str">
        <f>_xlfn.XLOOKUP($A432,sales!$A:$A,sales!C:C)</f>
        <v>Miami Beach</v>
      </c>
      <c r="N432">
        <f>_xlfn.XLOOKUP($A432,sales!$A:$A,sales!D:D)</f>
        <v>230</v>
      </c>
      <c r="O432">
        <f>_xlfn.XLOOKUP($A432,sales!$A:$A,sales!E:E)</f>
        <v>4138.29</v>
      </c>
      <c r="P432" s="4">
        <f t="shared" si="20"/>
        <v>17.992565217391306</v>
      </c>
    </row>
    <row r="433" spans="1:16" x14ac:dyDescent="0.25">
      <c r="A433" s="1">
        <v>45358</v>
      </c>
      <c r="B433" s="1" t="str">
        <f t="shared" si="18"/>
        <v>Thursday</v>
      </c>
      <c r="C433" s="1" t="b">
        <f t="shared" si="19"/>
        <v>0</v>
      </c>
      <c r="D433">
        <f>VLOOKUP($A433,survey_2yrs!A:B, 2)</f>
        <v>50.5</v>
      </c>
      <c r="E433">
        <f>VLOOKUP($A433,survey_2yrs!$A:C, 3)</f>
        <v>49.5</v>
      </c>
      <c r="F433">
        <f>VLOOKUP($A433,survey_2yrs!$A:D, 4)</f>
        <v>46.6</v>
      </c>
      <c r="G433">
        <f>_xlfn.XLOOKUP(A433,survey_2yrs!A:A,survey_2yrs!E:E)</f>
        <v>53.4</v>
      </c>
      <c r="H433">
        <f>_xlfn.XLOOKUP($A433,weather_2yrs!$A:$A,weather_2yrs!B:B)</f>
        <v>64.3</v>
      </c>
      <c r="I433">
        <f>_xlfn.XLOOKUP($A433,weather_2yrs!$A:$A,weather_2yrs!C:C)</f>
        <v>1.42</v>
      </c>
      <c r="J433">
        <f>_xlfn.XLOOKUP($A433,weather_2yrs!$A:$A,weather_2yrs!D:D)</f>
        <v>1</v>
      </c>
      <c r="K433">
        <f>_xlfn.XLOOKUP($A433,weather_2yrs!$A:$A,weather_2yrs!E:E)</f>
        <v>35</v>
      </c>
      <c r="L433">
        <f>_xlfn.XLOOKUP($A433,sales!$A:$A,sales!B:B)</f>
        <v>1</v>
      </c>
      <c r="M433" t="str">
        <f>_xlfn.XLOOKUP($A433,sales!$A:$A,sales!C:C)</f>
        <v>Miami Beach</v>
      </c>
      <c r="N433">
        <f>_xlfn.XLOOKUP($A433,sales!$A:$A,sales!D:D)</f>
        <v>201</v>
      </c>
      <c r="O433">
        <f>_xlfn.XLOOKUP($A433,sales!$A:$A,sales!E:E)</f>
        <v>3436.95</v>
      </c>
      <c r="P433" s="4">
        <f t="shared" si="20"/>
        <v>17.099253731343282</v>
      </c>
    </row>
    <row r="434" spans="1:16" x14ac:dyDescent="0.25">
      <c r="A434" s="1">
        <v>45359</v>
      </c>
      <c r="B434" s="1" t="str">
        <f t="shared" si="18"/>
        <v>Friday</v>
      </c>
      <c r="C434" s="1" t="b">
        <f t="shared" si="19"/>
        <v>0</v>
      </c>
      <c r="D434">
        <f>VLOOKUP($A434,survey_2yrs!A:B, 2)</f>
        <v>50.9</v>
      </c>
      <c r="E434">
        <f>VLOOKUP($A434,survey_2yrs!$A:C, 3)</f>
        <v>49.1</v>
      </c>
      <c r="F434">
        <f>VLOOKUP($A434,survey_2yrs!$A:D, 4)</f>
        <v>47.1</v>
      </c>
      <c r="G434">
        <f>_xlfn.XLOOKUP(A434,survey_2yrs!A:A,survey_2yrs!E:E)</f>
        <v>52.9</v>
      </c>
      <c r="H434">
        <f>_xlfn.XLOOKUP($A434,weather_2yrs!$A:$A,weather_2yrs!B:B)</f>
        <v>64.099999999999994</v>
      </c>
      <c r="I434">
        <f>_xlfn.XLOOKUP($A434,weather_2yrs!$A:$A,weather_2yrs!C:C)</f>
        <v>0</v>
      </c>
      <c r="J434">
        <f>_xlfn.XLOOKUP($A434,weather_2yrs!$A:$A,weather_2yrs!D:D)</f>
        <v>0</v>
      </c>
      <c r="K434">
        <f>_xlfn.XLOOKUP($A434,weather_2yrs!$A:$A,weather_2yrs!E:E)</f>
        <v>35</v>
      </c>
      <c r="L434">
        <f>_xlfn.XLOOKUP($A434,sales!$A:$A,sales!B:B)</f>
        <v>1</v>
      </c>
      <c r="M434" t="str">
        <f>_xlfn.XLOOKUP($A434,sales!$A:$A,sales!C:C)</f>
        <v>Miami Beach</v>
      </c>
      <c r="N434">
        <f>_xlfn.XLOOKUP($A434,sales!$A:$A,sales!D:D)</f>
        <v>211</v>
      </c>
      <c r="O434">
        <f>_xlfn.XLOOKUP($A434,sales!$A:$A,sales!E:E)</f>
        <v>4244.92</v>
      </c>
      <c r="P434" s="4">
        <f t="shared" si="20"/>
        <v>20.118104265402845</v>
      </c>
    </row>
    <row r="435" spans="1:16" x14ac:dyDescent="0.25">
      <c r="A435" s="1">
        <v>45360</v>
      </c>
      <c r="B435" s="1" t="str">
        <f t="shared" si="18"/>
        <v>Saturday</v>
      </c>
      <c r="C435" s="1" t="b">
        <f t="shared" si="19"/>
        <v>1</v>
      </c>
      <c r="D435">
        <f>VLOOKUP($A435,survey_2yrs!A:B, 2)</f>
        <v>52.3</v>
      </c>
      <c r="E435">
        <f>VLOOKUP($A435,survey_2yrs!$A:C, 3)</f>
        <v>47.7</v>
      </c>
      <c r="F435">
        <f>VLOOKUP($A435,survey_2yrs!$A:D, 4)</f>
        <v>51.5</v>
      </c>
      <c r="G435">
        <f>_xlfn.XLOOKUP(A435,survey_2yrs!A:A,survey_2yrs!E:E)</f>
        <v>48.5</v>
      </c>
      <c r="H435">
        <f>_xlfn.XLOOKUP($A435,weather_2yrs!$A:$A,weather_2yrs!B:B)</f>
        <v>63.3</v>
      </c>
      <c r="I435">
        <f>_xlfn.XLOOKUP($A435,weather_2yrs!$A:$A,weather_2yrs!C:C)</f>
        <v>0</v>
      </c>
      <c r="J435">
        <f>_xlfn.XLOOKUP($A435,weather_2yrs!$A:$A,weather_2yrs!D:D)</f>
        <v>0</v>
      </c>
      <c r="K435">
        <f>_xlfn.XLOOKUP($A435,weather_2yrs!$A:$A,weather_2yrs!E:E)</f>
        <v>39.1</v>
      </c>
      <c r="L435">
        <f>_xlfn.XLOOKUP($A435,sales!$A:$A,sales!B:B)</f>
        <v>1</v>
      </c>
      <c r="M435" t="str">
        <f>_xlfn.XLOOKUP($A435,sales!$A:$A,sales!C:C)</f>
        <v>Miami Beach</v>
      </c>
      <c r="N435">
        <f>_xlfn.XLOOKUP($A435,sales!$A:$A,sales!D:D)</f>
        <v>252</v>
      </c>
      <c r="O435">
        <f>_xlfn.XLOOKUP($A435,sales!$A:$A,sales!E:E)</f>
        <v>4861.8500000000004</v>
      </c>
      <c r="P435" s="4">
        <f t="shared" si="20"/>
        <v>19.293055555555558</v>
      </c>
    </row>
    <row r="436" spans="1:16" x14ac:dyDescent="0.25">
      <c r="A436" s="1">
        <v>45361</v>
      </c>
      <c r="B436" s="1" t="str">
        <f t="shared" si="18"/>
        <v>Sunday</v>
      </c>
      <c r="C436" s="1" t="b">
        <f t="shared" si="19"/>
        <v>1</v>
      </c>
      <c r="D436">
        <f>VLOOKUP($A436,survey_2yrs!A:B, 2)</f>
        <v>52.1</v>
      </c>
      <c r="E436">
        <f>VLOOKUP($A436,survey_2yrs!$A:C, 3)</f>
        <v>47.9</v>
      </c>
      <c r="F436">
        <f>VLOOKUP($A436,survey_2yrs!$A:D, 4)</f>
        <v>53.2</v>
      </c>
      <c r="G436">
        <f>_xlfn.XLOOKUP(A436,survey_2yrs!A:A,survey_2yrs!E:E)</f>
        <v>46.8</v>
      </c>
      <c r="H436">
        <f>_xlfn.XLOOKUP($A436,weather_2yrs!$A:$A,weather_2yrs!B:B)</f>
        <v>64.3</v>
      </c>
      <c r="I436">
        <f>_xlfn.XLOOKUP($A436,weather_2yrs!$A:$A,weather_2yrs!C:C)</f>
        <v>0</v>
      </c>
      <c r="J436">
        <f>_xlfn.XLOOKUP($A436,weather_2yrs!$A:$A,weather_2yrs!D:D)</f>
        <v>0</v>
      </c>
      <c r="K436">
        <f>_xlfn.XLOOKUP($A436,weather_2yrs!$A:$A,weather_2yrs!E:E)</f>
        <v>36.200000000000003</v>
      </c>
      <c r="L436">
        <f>_xlfn.XLOOKUP($A436,sales!$A:$A,sales!B:B)</f>
        <v>1</v>
      </c>
      <c r="M436" t="str">
        <f>_xlfn.XLOOKUP($A436,sales!$A:$A,sales!C:C)</f>
        <v>Miami Beach</v>
      </c>
      <c r="N436">
        <f>_xlfn.XLOOKUP($A436,sales!$A:$A,sales!D:D)</f>
        <v>266</v>
      </c>
      <c r="O436">
        <f>_xlfn.XLOOKUP($A436,sales!$A:$A,sales!E:E)</f>
        <v>5283.82</v>
      </c>
      <c r="P436" s="4">
        <f t="shared" si="20"/>
        <v>19.863984962406015</v>
      </c>
    </row>
    <row r="437" spans="1:16" x14ac:dyDescent="0.25">
      <c r="A437" s="1">
        <v>45362</v>
      </c>
      <c r="B437" s="1" t="str">
        <f t="shared" si="18"/>
        <v>Monday</v>
      </c>
      <c r="C437" s="1" t="b">
        <f t="shared" si="19"/>
        <v>0</v>
      </c>
      <c r="D437">
        <f>VLOOKUP($A437,survey_2yrs!A:B, 2)</f>
        <v>52.1</v>
      </c>
      <c r="E437">
        <f>VLOOKUP($A437,survey_2yrs!$A:C, 3)</f>
        <v>47.9</v>
      </c>
      <c r="F437">
        <f>VLOOKUP($A437,survey_2yrs!$A:D, 4)</f>
        <v>46.9</v>
      </c>
      <c r="G437">
        <f>_xlfn.XLOOKUP(A437,survey_2yrs!A:A,survey_2yrs!E:E)</f>
        <v>53.1</v>
      </c>
      <c r="H437">
        <f>_xlfn.XLOOKUP($A437,weather_2yrs!$A:$A,weather_2yrs!B:B)</f>
        <v>68.099999999999994</v>
      </c>
      <c r="I437">
        <f>_xlfn.XLOOKUP($A437,weather_2yrs!$A:$A,weather_2yrs!C:C)</f>
        <v>0.31</v>
      </c>
      <c r="J437">
        <f>_xlfn.XLOOKUP($A437,weather_2yrs!$A:$A,weather_2yrs!D:D)</f>
        <v>1</v>
      </c>
      <c r="K437">
        <f>_xlfn.XLOOKUP($A437,weather_2yrs!$A:$A,weather_2yrs!E:E)</f>
        <v>38.299999999999997</v>
      </c>
      <c r="L437">
        <f>_xlfn.XLOOKUP($A437,sales!$A:$A,sales!B:B)</f>
        <v>1</v>
      </c>
      <c r="M437" t="str">
        <f>_xlfn.XLOOKUP($A437,sales!$A:$A,sales!C:C)</f>
        <v>Miami Beach</v>
      </c>
      <c r="N437">
        <f>_xlfn.XLOOKUP($A437,sales!$A:$A,sales!D:D)</f>
        <v>247</v>
      </c>
      <c r="O437">
        <f>_xlfn.XLOOKUP($A437,sales!$A:$A,sales!E:E)</f>
        <v>4449.5600000000004</v>
      </c>
      <c r="P437" s="4">
        <f t="shared" si="20"/>
        <v>18.014412955465588</v>
      </c>
    </row>
    <row r="438" spans="1:16" x14ac:dyDescent="0.25">
      <c r="A438" s="1">
        <v>45363</v>
      </c>
      <c r="B438" s="1" t="str">
        <f t="shared" si="18"/>
        <v>Tuesday</v>
      </c>
      <c r="C438" s="1" t="b">
        <f t="shared" si="19"/>
        <v>0</v>
      </c>
      <c r="D438">
        <f>VLOOKUP($A438,survey_2yrs!A:B, 2)</f>
        <v>51.9</v>
      </c>
      <c r="E438">
        <f>VLOOKUP($A438,survey_2yrs!$A:C, 3)</f>
        <v>48.1</v>
      </c>
      <c r="F438">
        <f>VLOOKUP($A438,survey_2yrs!$A:D, 4)</f>
        <v>47</v>
      </c>
      <c r="G438">
        <f>_xlfn.XLOOKUP(A438,survey_2yrs!A:A,survey_2yrs!E:E)</f>
        <v>53</v>
      </c>
      <c r="H438">
        <f>_xlfn.XLOOKUP($A438,weather_2yrs!$A:$A,weather_2yrs!B:B)</f>
        <v>62.9</v>
      </c>
      <c r="I438">
        <f>_xlfn.XLOOKUP($A438,weather_2yrs!$A:$A,weather_2yrs!C:C)</f>
        <v>0</v>
      </c>
      <c r="J438">
        <f>_xlfn.XLOOKUP($A438,weather_2yrs!$A:$A,weather_2yrs!D:D)</f>
        <v>0</v>
      </c>
      <c r="K438">
        <f>_xlfn.XLOOKUP($A438,weather_2yrs!$A:$A,weather_2yrs!E:E)</f>
        <v>35</v>
      </c>
      <c r="L438">
        <f>_xlfn.XLOOKUP($A438,sales!$A:$A,sales!B:B)</f>
        <v>1</v>
      </c>
      <c r="M438" t="str">
        <f>_xlfn.XLOOKUP($A438,sales!$A:$A,sales!C:C)</f>
        <v>Miami Beach</v>
      </c>
      <c r="N438">
        <f>_xlfn.XLOOKUP($A438,sales!$A:$A,sales!D:D)</f>
        <v>210</v>
      </c>
      <c r="O438">
        <f>_xlfn.XLOOKUP($A438,sales!$A:$A,sales!E:E)</f>
        <v>3995.68</v>
      </c>
      <c r="P438" s="4">
        <f t="shared" si="20"/>
        <v>19.027047619047618</v>
      </c>
    </row>
    <row r="439" spans="1:16" x14ac:dyDescent="0.25">
      <c r="A439" s="1">
        <v>45364</v>
      </c>
      <c r="B439" s="1" t="str">
        <f t="shared" si="18"/>
        <v>Wednesday</v>
      </c>
      <c r="C439" s="1" t="b">
        <f t="shared" si="19"/>
        <v>0</v>
      </c>
      <c r="D439">
        <f>VLOOKUP($A439,survey_2yrs!A:B, 2)</f>
        <v>50.7</v>
      </c>
      <c r="E439">
        <f>VLOOKUP($A439,survey_2yrs!$A:C, 3)</f>
        <v>49.3</v>
      </c>
      <c r="F439">
        <f>VLOOKUP($A439,survey_2yrs!$A:D, 4)</f>
        <v>47.8</v>
      </c>
      <c r="G439">
        <f>_xlfn.XLOOKUP(A439,survey_2yrs!A:A,survey_2yrs!E:E)</f>
        <v>52.2</v>
      </c>
      <c r="H439">
        <f>_xlfn.XLOOKUP($A439,weather_2yrs!$A:$A,weather_2yrs!B:B)</f>
        <v>62.1</v>
      </c>
      <c r="I439">
        <f>_xlfn.XLOOKUP($A439,weather_2yrs!$A:$A,weather_2yrs!C:C)</f>
        <v>0</v>
      </c>
      <c r="J439">
        <f>_xlfn.XLOOKUP($A439,weather_2yrs!$A:$A,weather_2yrs!D:D)</f>
        <v>0</v>
      </c>
      <c r="K439">
        <f>_xlfn.XLOOKUP($A439,weather_2yrs!$A:$A,weather_2yrs!E:E)</f>
        <v>35</v>
      </c>
      <c r="L439">
        <f>_xlfn.XLOOKUP($A439,sales!$A:$A,sales!B:B)</f>
        <v>1</v>
      </c>
      <c r="M439" t="str">
        <f>_xlfn.XLOOKUP($A439,sales!$A:$A,sales!C:C)</f>
        <v>Miami Beach</v>
      </c>
      <c r="N439">
        <f>_xlfn.XLOOKUP($A439,sales!$A:$A,sales!D:D)</f>
        <v>210</v>
      </c>
      <c r="O439">
        <f>_xlfn.XLOOKUP($A439,sales!$A:$A,sales!E:E)</f>
        <v>3720.17</v>
      </c>
      <c r="P439" s="4">
        <f t="shared" si="20"/>
        <v>17.715095238095238</v>
      </c>
    </row>
    <row r="440" spans="1:16" x14ac:dyDescent="0.25">
      <c r="A440" s="1">
        <v>45365</v>
      </c>
      <c r="B440" s="1" t="str">
        <f t="shared" si="18"/>
        <v>Thursday</v>
      </c>
      <c r="C440" s="1" t="b">
        <f t="shared" si="19"/>
        <v>0</v>
      </c>
      <c r="D440">
        <f>VLOOKUP($A440,survey_2yrs!A:B, 2)</f>
        <v>51.2</v>
      </c>
      <c r="E440">
        <f>VLOOKUP($A440,survey_2yrs!$A:C, 3)</f>
        <v>48.8</v>
      </c>
      <c r="F440">
        <f>VLOOKUP($A440,survey_2yrs!$A:D, 4)</f>
        <v>45</v>
      </c>
      <c r="G440">
        <f>_xlfn.XLOOKUP(A440,survey_2yrs!A:A,survey_2yrs!E:E)</f>
        <v>55</v>
      </c>
      <c r="H440">
        <f>_xlfn.XLOOKUP($A440,weather_2yrs!$A:$A,weather_2yrs!B:B)</f>
        <v>72.2</v>
      </c>
      <c r="I440">
        <f>_xlfn.XLOOKUP($A440,weather_2yrs!$A:$A,weather_2yrs!C:C)</f>
        <v>0</v>
      </c>
      <c r="J440">
        <f>_xlfn.XLOOKUP($A440,weather_2yrs!$A:$A,weather_2yrs!D:D)</f>
        <v>0</v>
      </c>
      <c r="K440">
        <f>_xlfn.XLOOKUP($A440,weather_2yrs!$A:$A,weather_2yrs!E:E)</f>
        <v>35</v>
      </c>
      <c r="L440">
        <f>_xlfn.XLOOKUP($A440,sales!$A:$A,sales!B:B)</f>
        <v>1</v>
      </c>
      <c r="M440" t="str">
        <f>_xlfn.XLOOKUP($A440,sales!$A:$A,sales!C:C)</f>
        <v>Miami Beach</v>
      </c>
      <c r="N440">
        <f>_xlfn.XLOOKUP($A440,sales!$A:$A,sales!D:D)</f>
        <v>225</v>
      </c>
      <c r="O440">
        <f>_xlfn.XLOOKUP($A440,sales!$A:$A,sales!E:E)</f>
        <v>4247.42</v>
      </c>
      <c r="P440" s="4">
        <f t="shared" si="20"/>
        <v>18.877422222222222</v>
      </c>
    </row>
    <row r="441" spans="1:16" x14ac:dyDescent="0.25">
      <c r="A441" s="1">
        <v>45366</v>
      </c>
      <c r="B441" s="1" t="str">
        <f t="shared" si="18"/>
        <v>Friday</v>
      </c>
      <c r="C441" s="1" t="b">
        <f t="shared" si="19"/>
        <v>0</v>
      </c>
      <c r="D441">
        <f>VLOOKUP($A441,survey_2yrs!A:B, 2)</f>
        <v>53.1</v>
      </c>
      <c r="E441">
        <f>VLOOKUP($A441,survey_2yrs!$A:C, 3)</f>
        <v>46.9</v>
      </c>
      <c r="F441">
        <f>VLOOKUP($A441,survey_2yrs!$A:D, 4)</f>
        <v>48.2</v>
      </c>
      <c r="G441">
        <f>_xlfn.XLOOKUP(A441,survey_2yrs!A:A,survey_2yrs!E:E)</f>
        <v>51.8</v>
      </c>
      <c r="H441">
        <f>_xlfn.XLOOKUP($A441,weather_2yrs!$A:$A,weather_2yrs!B:B)</f>
        <v>73.099999999999994</v>
      </c>
      <c r="I441">
        <f>_xlfn.XLOOKUP($A441,weather_2yrs!$A:$A,weather_2yrs!C:C)</f>
        <v>0</v>
      </c>
      <c r="J441">
        <f>_xlfn.XLOOKUP($A441,weather_2yrs!$A:$A,weather_2yrs!D:D)</f>
        <v>0</v>
      </c>
      <c r="K441">
        <f>_xlfn.XLOOKUP($A441,weather_2yrs!$A:$A,weather_2yrs!E:E)</f>
        <v>35</v>
      </c>
      <c r="L441">
        <f>_xlfn.XLOOKUP($A441,sales!$A:$A,sales!B:B)</f>
        <v>1</v>
      </c>
      <c r="M441" t="str">
        <f>_xlfn.XLOOKUP($A441,sales!$A:$A,sales!C:C)</f>
        <v>Miami Beach</v>
      </c>
      <c r="N441">
        <f>_xlfn.XLOOKUP($A441,sales!$A:$A,sales!D:D)</f>
        <v>204</v>
      </c>
      <c r="O441">
        <f>_xlfn.XLOOKUP($A441,sales!$A:$A,sales!E:E)</f>
        <v>3892.41</v>
      </c>
      <c r="P441" s="4">
        <f t="shared" si="20"/>
        <v>19.080441176470586</v>
      </c>
    </row>
    <row r="442" spans="1:16" x14ac:dyDescent="0.25">
      <c r="A442" s="1">
        <v>45367</v>
      </c>
      <c r="B442" s="1" t="str">
        <f t="shared" si="18"/>
        <v>Saturday</v>
      </c>
      <c r="C442" s="1" t="b">
        <f t="shared" si="19"/>
        <v>1</v>
      </c>
      <c r="D442">
        <f>VLOOKUP($A442,survey_2yrs!A:B, 2)</f>
        <v>52.2</v>
      </c>
      <c r="E442">
        <f>VLOOKUP($A442,survey_2yrs!$A:C, 3)</f>
        <v>47.8</v>
      </c>
      <c r="F442">
        <f>VLOOKUP($A442,survey_2yrs!$A:D, 4)</f>
        <v>54.9</v>
      </c>
      <c r="G442">
        <f>_xlfn.XLOOKUP(A442,survey_2yrs!A:A,survey_2yrs!E:E)</f>
        <v>45.1</v>
      </c>
      <c r="H442">
        <f>_xlfn.XLOOKUP($A442,weather_2yrs!$A:$A,weather_2yrs!B:B)</f>
        <v>67.2</v>
      </c>
      <c r="I442">
        <f>_xlfn.XLOOKUP($A442,weather_2yrs!$A:$A,weather_2yrs!C:C)</f>
        <v>0</v>
      </c>
      <c r="J442">
        <f>_xlfn.XLOOKUP($A442,weather_2yrs!$A:$A,weather_2yrs!D:D)</f>
        <v>0</v>
      </c>
      <c r="K442">
        <f>_xlfn.XLOOKUP($A442,weather_2yrs!$A:$A,weather_2yrs!E:E)</f>
        <v>35</v>
      </c>
      <c r="L442">
        <f>_xlfn.XLOOKUP($A442,sales!$A:$A,sales!B:B)</f>
        <v>1</v>
      </c>
      <c r="M442" t="str">
        <f>_xlfn.XLOOKUP($A442,sales!$A:$A,sales!C:C)</f>
        <v>Miami Beach</v>
      </c>
      <c r="N442">
        <f>_xlfn.XLOOKUP($A442,sales!$A:$A,sales!D:D)</f>
        <v>302</v>
      </c>
      <c r="O442">
        <f>_xlfn.XLOOKUP($A442,sales!$A:$A,sales!E:E)</f>
        <v>5944.22</v>
      </c>
      <c r="P442" s="4">
        <f t="shared" si="20"/>
        <v>19.682847682119206</v>
      </c>
    </row>
    <row r="443" spans="1:16" x14ac:dyDescent="0.25">
      <c r="A443" s="1">
        <v>45368</v>
      </c>
      <c r="B443" s="1" t="str">
        <f t="shared" si="18"/>
        <v>Sunday</v>
      </c>
      <c r="C443" s="1" t="b">
        <f t="shared" si="19"/>
        <v>1</v>
      </c>
      <c r="D443">
        <f>VLOOKUP($A443,survey_2yrs!A:B, 2)</f>
        <v>50.8</v>
      </c>
      <c r="E443">
        <f>VLOOKUP($A443,survey_2yrs!$A:C, 3)</f>
        <v>49.2</v>
      </c>
      <c r="F443">
        <f>VLOOKUP($A443,survey_2yrs!$A:D, 4)</f>
        <v>55.6</v>
      </c>
      <c r="G443">
        <f>_xlfn.XLOOKUP(A443,survey_2yrs!A:A,survey_2yrs!E:E)</f>
        <v>44.4</v>
      </c>
      <c r="H443">
        <f>_xlfn.XLOOKUP($A443,weather_2yrs!$A:$A,weather_2yrs!B:B)</f>
        <v>68.3</v>
      </c>
      <c r="I443">
        <f>_xlfn.XLOOKUP($A443,weather_2yrs!$A:$A,weather_2yrs!C:C)</f>
        <v>0</v>
      </c>
      <c r="J443">
        <f>_xlfn.XLOOKUP($A443,weather_2yrs!$A:$A,weather_2yrs!D:D)</f>
        <v>0</v>
      </c>
      <c r="K443">
        <f>_xlfn.XLOOKUP($A443,weather_2yrs!$A:$A,weather_2yrs!E:E)</f>
        <v>37.4</v>
      </c>
      <c r="L443">
        <f>_xlfn.XLOOKUP($A443,sales!$A:$A,sales!B:B)</f>
        <v>1</v>
      </c>
      <c r="M443" t="str">
        <f>_xlfn.XLOOKUP($A443,sales!$A:$A,sales!C:C)</f>
        <v>Miami Beach</v>
      </c>
      <c r="N443">
        <f>_xlfn.XLOOKUP($A443,sales!$A:$A,sales!D:D)</f>
        <v>252</v>
      </c>
      <c r="O443">
        <f>_xlfn.XLOOKUP($A443,sales!$A:$A,sales!E:E)</f>
        <v>4661.03</v>
      </c>
      <c r="P443" s="4">
        <f t="shared" si="20"/>
        <v>18.496150793650791</v>
      </c>
    </row>
    <row r="444" spans="1:16" x14ac:dyDescent="0.25">
      <c r="A444" s="1">
        <v>45369</v>
      </c>
      <c r="B444" s="1" t="str">
        <f t="shared" si="18"/>
        <v>Monday</v>
      </c>
      <c r="C444" s="1" t="b">
        <f t="shared" si="19"/>
        <v>0</v>
      </c>
      <c r="D444">
        <f>VLOOKUP($A444,survey_2yrs!A:B, 2)</f>
        <v>50.2</v>
      </c>
      <c r="E444">
        <f>VLOOKUP($A444,survey_2yrs!$A:C, 3)</f>
        <v>49.8</v>
      </c>
      <c r="F444">
        <f>VLOOKUP($A444,survey_2yrs!$A:D, 4)</f>
        <v>45.3</v>
      </c>
      <c r="G444">
        <f>_xlfn.XLOOKUP(A444,survey_2yrs!A:A,survey_2yrs!E:E)</f>
        <v>54.7</v>
      </c>
      <c r="H444">
        <f>_xlfn.XLOOKUP($A444,weather_2yrs!$A:$A,weather_2yrs!B:B)</f>
        <v>64.099999999999994</v>
      </c>
      <c r="I444">
        <f>_xlfn.XLOOKUP($A444,weather_2yrs!$A:$A,weather_2yrs!C:C)</f>
        <v>0</v>
      </c>
      <c r="J444">
        <f>_xlfn.XLOOKUP($A444,weather_2yrs!$A:$A,weather_2yrs!D:D)</f>
        <v>0</v>
      </c>
      <c r="K444">
        <f>_xlfn.XLOOKUP($A444,weather_2yrs!$A:$A,weather_2yrs!E:E)</f>
        <v>38.9</v>
      </c>
      <c r="L444">
        <f>_xlfn.XLOOKUP($A444,sales!$A:$A,sales!B:B)</f>
        <v>1</v>
      </c>
      <c r="M444" t="str">
        <f>_xlfn.XLOOKUP($A444,sales!$A:$A,sales!C:C)</f>
        <v>Miami Beach</v>
      </c>
      <c r="N444">
        <f>_xlfn.XLOOKUP($A444,sales!$A:$A,sales!D:D)</f>
        <v>228</v>
      </c>
      <c r="O444">
        <f>_xlfn.XLOOKUP($A444,sales!$A:$A,sales!E:E)</f>
        <v>4530.83</v>
      </c>
      <c r="P444" s="4">
        <f t="shared" si="20"/>
        <v>19.87206140350877</v>
      </c>
    </row>
    <row r="445" spans="1:16" x14ac:dyDescent="0.25">
      <c r="A445" s="1">
        <v>45370</v>
      </c>
      <c r="B445" s="1" t="str">
        <f t="shared" si="18"/>
        <v>Tuesday</v>
      </c>
      <c r="C445" s="1" t="b">
        <f t="shared" si="19"/>
        <v>0</v>
      </c>
      <c r="D445">
        <f>VLOOKUP($A445,survey_2yrs!A:B, 2)</f>
        <v>53.4</v>
      </c>
      <c r="E445">
        <f>VLOOKUP($A445,survey_2yrs!$A:C, 3)</f>
        <v>46.6</v>
      </c>
      <c r="F445">
        <f>VLOOKUP($A445,survey_2yrs!$A:D, 4)</f>
        <v>47.3</v>
      </c>
      <c r="G445">
        <f>_xlfn.XLOOKUP(A445,survey_2yrs!A:A,survey_2yrs!E:E)</f>
        <v>52.7</v>
      </c>
      <c r="H445">
        <f>_xlfn.XLOOKUP($A445,weather_2yrs!$A:$A,weather_2yrs!B:B)</f>
        <v>64.599999999999994</v>
      </c>
      <c r="I445">
        <f>_xlfn.XLOOKUP($A445,weather_2yrs!$A:$A,weather_2yrs!C:C)</f>
        <v>0.4</v>
      </c>
      <c r="J445">
        <f>_xlfn.XLOOKUP($A445,weather_2yrs!$A:$A,weather_2yrs!D:D)</f>
        <v>1</v>
      </c>
      <c r="K445">
        <f>_xlfn.XLOOKUP($A445,weather_2yrs!$A:$A,weather_2yrs!E:E)</f>
        <v>35</v>
      </c>
      <c r="L445">
        <f>_xlfn.XLOOKUP($A445,sales!$A:$A,sales!B:B)</f>
        <v>1</v>
      </c>
      <c r="M445" t="str">
        <f>_xlfn.XLOOKUP($A445,sales!$A:$A,sales!C:C)</f>
        <v>Miami Beach</v>
      </c>
      <c r="N445">
        <f>_xlfn.XLOOKUP($A445,sales!$A:$A,sales!D:D)</f>
        <v>211</v>
      </c>
      <c r="O445">
        <f>_xlfn.XLOOKUP($A445,sales!$A:$A,sales!E:E)</f>
        <v>3752.59</v>
      </c>
      <c r="P445" s="4">
        <f t="shared" si="20"/>
        <v>17.784786729857821</v>
      </c>
    </row>
    <row r="446" spans="1:16" x14ac:dyDescent="0.25">
      <c r="A446" s="1">
        <v>45371</v>
      </c>
      <c r="B446" s="1" t="str">
        <f t="shared" si="18"/>
        <v>Wednesday</v>
      </c>
      <c r="C446" s="1" t="b">
        <f t="shared" si="19"/>
        <v>0</v>
      </c>
      <c r="D446">
        <f>VLOOKUP($A446,survey_2yrs!A:B, 2)</f>
        <v>52.6</v>
      </c>
      <c r="E446">
        <f>VLOOKUP($A446,survey_2yrs!$A:C, 3)</f>
        <v>47.4</v>
      </c>
      <c r="F446">
        <f>VLOOKUP($A446,survey_2yrs!$A:D, 4)</f>
        <v>47.2</v>
      </c>
      <c r="G446">
        <f>_xlfn.XLOOKUP(A446,survey_2yrs!A:A,survey_2yrs!E:E)</f>
        <v>52.8</v>
      </c>
      <c r="H446">
        <f>_xlfn.XLOOKUP($A446,weather_2yrs!$A:$A,weather_2yrs!B:B)</f>
        <v>64.099999999999994</v>
      </c>
      <c r="I446">
        <f>_xlfn.XLOOKUP($A446,weather_2yrs!$A:$A,weather_2yrs!C:C)</f>
        <v>0.49</v>
      </c>
      <c r="J446">
        <f>_xlfn.XLOOKUP($A446,weather_2yrs!$A:$A,weather_2yrs!D:D)</f>
        <v>1</v>
      </c>
      <c r="K446">
        <f>_xlfn.XLOOKUP($A446,weather_2yrs!$A:$A,weather_2yrs!E:E)</f>
        <v>36.9</v>
      </c>
      <c r="L446">
        <f>_xlfn.XLOOKUP($A446,sales!$A:$A,sales!B:B)</f>
        <v>1</v>
      </c>
      <c r="M446" t="str">
        <f>_xlfn.XLOOKUP($A446,sales!$A:$A,sales!C:C)</f>
        <v>Miami Beach</v>
      </c>
      <c r="N446">
        <f>_xlfn.XLOOKUP($A446,sales!$A:$A,sales!D:D)</f>
        <v>254</v>
      </c>
      <c r="O446">
        <f>_xlfn.XLOOKUP($A446,sales!$A:$A,sales!E:E)</f>
        <v>4973.88</v>
      </c>
      <c r="P446" s="4">
        <f t="shared" si="20"/>
        <v>19.582204724409451</v>
      </c>
    </row>
    <row r="447" spans="1:16" x14ac:dyDescent="0.25">
      <c r="A447" s="1">
        <v>45372</v>
      </c>
      <c r="B447" s="1" t="str">
        <f t="shared" si="18"/>
        <v>Thursday</v>
      </c>
      <c r="C447" s="1" t="b">
        <f t="shared" si="19"/>
        <v>0</v>
      </c>
      <c r="D447">
        <f>VLOOKUP($A447,survey_2yrs!A:B, 2)</f>
        <v>52.9</v>
      </c>
      <c r="E447">
        <f>VLOOKUP($A447,survey_2yrs!$A:C, 3)</f>
        <v>47.1</v>
      </c>
      <c r="F447">
        <f>VLOOKUP($A447,survey_2yrs!$A:D, 4)</f>
        <v>46.6</v>
      </c>
      <c r="G447">
        <f>_xlfn.XLOOKUP(A447,survey_2yrs!A:A,survey_2yrs!E:E)</f>
        <v>53.4</v>
      </c>
      <c r="H447">
        <f>_xlfn.XLOOKUP($A447,weather_2yrs!$A:$A,weather_2yrs!B:B)</f>
        <v>66.8</v>
      </c>
      <c r="I447">
        <f>_xlfn.XLOOKUP($A447,weather_2yrs!$A:$A,weather_2yrs!C:C)</f>
        <v>0</v>
      </c>
      <c r="J447">
        <f>_xlfn.XLOOKUP($A447,weather_2yrs!$A:$A,weather_2yrs!D:D)</f>
        <v>0</v>
      </c>
      <c r="K447">
        <f>_xlfn.XLOOKUP($A447,weather_2yrs!$A:$A,weather_2yrs!E:E)</f>
        <v>42.2</v>
      </c>
      <c r="L447">
        <f>_xlfn.XLOOKUP($A447,sales!$A:$A,sales!B:B)</f>
        <v>1</v>
      </c>
      <c r="M447" t="str">
        <f>_xlfn.XLOOKUP($A447,sales!$A:$A,sales!C:C)</f>
        <v>Miami Beach</v>
      </c>
      <c r="N447">
        <f>_xlfn.XLOOKUP($A447,sales!$A:$A,sales!D:D)</f>
        <v>213</v>
      </c>
      <c r="O447">
        <f>_xlfn.XLOOKUP($A447,sales!$A:$A,sales!E:E)</f>
        <v>3568.75</v>
      </c>
      <c r="P447" s="4">
        <f t="shared" si="20"/>
        <v>16.754694835680752</v>
      </c>
    </row>
    <row r="448" spans="1:16" x14ac:dyDescent="0.25">
      <c r="A448" s="1">
        <v>45373</v>
      </c>
      <c r="B448" s="1" t="str">
        <f t="shared" si="18"/>
        <v>Friday</v>
      </c>
      <c r="C448" s="1" t="b">
        <f t="shared" si="19"/>
        <v>0</v>
      </c>
      <c r="D448">
        <f>VLOOKUP($A448,survey_2yrs!A:B, 2)</f>
        <v>51.3</v>
      </c>
      <c r="E448">
        <f>VLOOKUP($A448,survey_2yrs!$A:C, 3)</f>
        <v>48.7</v>
      </c>
      <c r="F448">
        <f>VLOOKUP($A448,survey_2yrs!$A:D, 4)</f>
        <v>49.9</v>
      </c>
      <c r="G448">
        <f>_xlfn.XLOOKUP(A448,survey_2yrs!A:A,survey_2yrs!E:E)</f>
        <v>50.1</v>
      </c>
      <c r="H448">
        <f>_xlfn.XLOOKUP($A448,weather_2yrs!$A:$A,weather_2yrs!B:B)</f>
        <v>69.400000000000006</v>
      </c>
      <c r="I448">
        <f>_xlfn.XLOOKUP($A448,weather_2yrs!$A:$A,weather_2yrs!C:C)</f>
        <v>0.18</v>
      </c>
      <c r="J448">
        <f>_xlfn.XLOOKUP($A448,weather_2yrs!$A:$A,weather_2yrs!D:D)</f>
        <v>1</v>
      </c>
      <c r="K448">
        <f>_xlfn.XLOOKUP($A448,weather_2yrs!$A:$A,weather_2yrs!E:E)</f>
        <v>38.200000000000003</v>
      </c>
      <c r="L448">
        <f>_xlfn.XLOOKUP($A448,sales!$A:$A,sales!B:B)</f>
        <v>1</v>
      </c>
      <c r="M448" t="str">
        <f>_xlfn.XLOOKUP($A448,sales!$A:$A,sales!C:C)</f>
        <v>Miami Beach</v>
      </c>
      <c r="N448">
        <f>_xlfn.XLOOKUP($A448,sales!$A:$A,sales!D:D)</f>
        <v>191</v>
      </c>
      <c r="O448">
        <f>_xlfn.XLOOKUP($A448,sales!$A:$A,sales!E:E)</f>
        <v>3326.65</v>
      </c>
      <c r="P448" s="4">
        <f t="shared" si="20"/>
        <v>17.417015706806282</v>
      </c>
    </row>
    <row r="449" spans="1:16" x14ac:dyDescent="0.25">
      <c r="A449" s="1">
        <v>45374</v>
      </c>
      <c r="B449" s="1" t="str">
        <f t="shared" si="18"/>
        <v>Saturday</v>
      </c>
      <c r="C449" s="1" t="b">
        <f t="shared" si="19"/>
        <v>1</v>
      </c>
      <c r="D449">
        <f>VLOOKUP($A449,survey_2yrs!A:B, 2)</f>
        <v>49.9</v>
      </c>
      <c r="E449">
        <f>VLOOKUP($A449,survey_2yrs!$A:C, 3)</f>
        <v>50.1</v>
      </c>
      <c r="F449">
        <f>VLOOKUP($A449,survey_2yrs!$A:D, 4)</f>
        <v>55.1</v>
      </c>
      <c r="G449">
        <f>_xlfn.XLOOKUP(A449,survey_2yrs!A:A,survey_2yrs!E:E)</f>
        <v>44.9</v>
      </c>
      <c r="H449">
        <f>_xlfn.XLOOKUP($A449,weather_2yrs!$A:$A,weather_2yrs!B:B)</f>
        <v>67.099999999999994</v>
      </c>
      <c r="I449">
        <f>_xlfn.XLOOKUP($A449,weather_2yrs!$A:$A,weather_2yrs!C:C)</f>
        <v>0</v>
      </c>
      <c r="J449">
        <f>_xlfn.XLOOKUP($A449,weather_2yrs!$A:$A,weather_2yrs!D:D)</f>
        <v>0</v>
      </c>
      <c r="K449">
        <f>_xlfn.XLOOKUP($A449,weather_2yrs!$A:$A,weather_2yrs!E:E)</f>
        <v>39</v>
      </c>
      <c r="L449">
        <f>_xlfn.XLOOKUP($A449,sales!$A:$A,sales!B:B)</f>
        <v>1</v>
      </c>
      <c r="M449" t="str">
        <f>_xlfn.XLOOKUP($A449,sales!$A:$A,sales!C:C)</f>
        <v>Miami Beach</v>
      </c>
      <c r="N449">
        <f>_xlfn.XLOOKUP($A449,sales!$A:$A,sales!D:D)</f>
        <v>265</v>
      </c>
      <c r="O449">
        <f>_xlfn.XLOOKUP($A449,sales!$A:$A,sales!E:E)</f>
        <v>5013.09</v>
      </c>
      <c r="P449" s="4">
        <f t="shared" si="20"/>
        <v>18.917320754716982</v>
      </c>
    </row>
    <row r="450" spans="1:16" x14ac:dyDescent="0.25">
      <c r="A450" s="1">
        <v>45375</v>
      </c>
      <c r="B450" s="1" t="str">
        <f t="shared" si="18"/>
        <v>Sunday</v>
      </c>
      <c r="C450" s="1" t="b">
        <f t="shared" si="19"/>
        <v>1</v>
      </c>
      <c r="D450">
        <f>VLOOKUP($A450,survey_2yrs!A:B, 2)</f>
        <v>51</v>
      </c>
      <c r="E450">
        <f>VLOOKUP($A450,survey_2yrs!$A:C, 3)</f>
        <v>49</v>
      </c>
      <c r="F450">
        <f>VLOOKUP($A450,survey_2yrs!$A:D, 4)</f>
        <v>52.7</v>
      </c>
      <c r="G450">
        <f>_xlfn.XLOOKUP(A450,survey_2yrs!A:A,survey_2yrs!E:E)</f>
        <v>47.3</v>
      </c>
      <c r="H450">
        <f>_xlfn.XLOOKUP($A450,weather_2yrs!$A:$A,weather_2yrs!B:B)</f>
        <v>63.8</v>
      </c>
      <c r="I450">
        <f>_xlfn.XLOOKUP($A450,weather_2yrs!$A:$A,weather_2yrs!C:C)</f>
        <v>0</v>
      </c>
      <c r="J450">
        <f>_xlfn.XLOOKUP($A450,weather_2yrs!$A:$A,weather_2yrs!D:D)</f>
        <v>0</v>
      </c>
      <c r="K450">
        <f>_xlfn.XLOOKUP($A450,weather_2yrs!$A:$A,weather_2yrs!E:E)</f>
        <v>35</v>
      </c>
      <c r="L450">
        <f>_xlfn.XLOOKUP($A450,sales!$A:$A,sales!B:B)</f>
        <v>1</v>
      </c>
      <c r="M450" t="str">
        <f>_xlfn.XLOOKUP($A450,sales!$A:$A,sales!C:C)</f>
        <v>Miami Beach</v>
      </c>
      <c r="N450">
        <f>_xlfn.XLOOKUP($A450,sales!$A:$A,sales!D:D)</f>
        <v>251</v>
      </c>
      <c r="O450">
        <f>_xlfn.XLOOKUP($A450,sales!$A:$A,sales!E:E)</f>
        <v>4927.83</v>
      </c>
      <c r="P450" s="4">
        <f t="shared" si="20"/>
        <v>19.632788844621512</v>
      </c>
    </row>
    <row r="451" spans="1:16" x14ac:dyDescent="0.25">
      <c r="A451" s="1">
        <v>45376</v>
      </c>
      <c r="B451" s="1" t="str">
        <f t="shared" ref="B451:B514" si="21">TEXT(A451, "dddd")</f>
        <v>Monday</v>
      </c>
      <c r="C451" s="1" t="b">
        <f t="shared" ref="C451:C514" si="22">IF(WEEKDAY(A451,2)&gt;5,TRUE,FALSE)</f>
        <v>0</v>
      </c>
      <c r="D451">
        <f>VLOOKUP($A451,survey_2yrs!A:B, 2)</f>
        <v>52</v>
      </c>
      <c r="E451">
        <f>VLOOKUP($A451,survey_2yrs!$A:C, 3)</f>
        <v>48</v>
      </c>
      <c r="F451">
        <f>VLOOKUP($A451,survey_2yrs!$A:D, 4)</f>
        <v>44.6</v>
      </c>
      <c r="G451">
        <f>_xlfn.XLOOKUP(A451,survey_2yrs!A:A,survey_2yrs!E:E)</f>
        <v>55.4</v>
      </c>
      <c r="H451">
        <f>_xlfn.XLOOKUP($A451,weather_2yrs!$A:$A,weather_2yrs!B:B)</f>
        <v>69.3</v>
      </c>
      <c r="I451">
        <f>_xlfn.XLOOKUP($A451,weather_2yrs!$A:$A,weather_2yrs!C:C)</f>
        <v>0</v>
      </c>
      <c r="J451">
        <f>_xlfn.XLOOKUP($A451,weather_2yrs!$A:$A,weather_2yrs!D:D)</f>
        <v>0</v>
      </c>
      <c r="K451">
        <f>_xlfn.XLOOKUP($A451,weather_2yrs!$A:$A,weather_2yrs!E:E)</f>
        <v>37.299999999999997</v>
      </c>
      <c r="L451">
        <f>_xlfn.XLOOKUP($A451,sales!$A:$A,sales!B:B)</f>
        <v>1</v>
      </c>
      <c r="M451" t="str">
        <f>_xlfn.XLOOKUP($A451,sales!$A:$A,sales!C:C)</f>
        <v>Miami Beach</v>
      </c>
      <c r="N451">
        <f>_xlfn.XLOOKUP($A451,sales!$A:$A,sales!D:D)</f>
        <v>216</v>
      </c>
      <c r="O451">
        <f>_xlfn.XLOOKUP($A451,sales!$A:$A,sales!E:E)</f>
        <v>3942.8</v>
      </c>
      <c r="P451" s="4">
        <f t="shared" ref="P451:P514" si="23">O451/N451</f>
        <v>18.253703703703703</v>
      </c>
    </row>
    <row r="452" spans="1:16" x14ac:dyDescent="0.25">
      <c r="A452" s="1">
        <v>45377</v>
      </c>
      <c r="B452" s="1" t="str">
        <f t="shared" si="21"/>
        <v>Tuesday</v>
      </c>
      <c r="C452" s="1" t="b">
        <f t="shared" si="22"/>
        <v>0</v>
      </c>
      <c r="D452">
        <f>VLOOKUP($A452,survey_2yrs!A:B, 2)</f>
        <v>52.2</v>
      </c>
      <c r="E452">
        <f>VLOOKUP($A452,survey_2yrs!$A:C, 3)</f>
        <v>47.8</v>
      </c>
      <c r="F452">
        <f>VLOOKUP($A452,survey_2yrs!$A:D, 4)</f>
        <v>46.4</v>
      </c>
      <c r="G452">
        <f>_xlfn.XLOOKUP(A452,survey_2yrs!A:A,survey_2yrs!E:E)</f>
        <v>53.6</v>
      </c>
      <c r="H452">
        <f>_xlfn.XLOOKUP($A452,weather_2yrs!$A:$A,weather_2yrs!B:B)</f>
        <v>69.599999999999994</v>
      </c>
      <c r="I452">
        <f>_xlfn.XLOOKUP($A452,weather_2yrs!$A:$A,weather_2yrs!C:C)</f>
        <v>0.45</v>
      </c>
      <c r="J452">
        <f>_xlfn.XLOOKUP($A452,weather_2yrs!$A:$A,weather_2yrs!D:D)</f>
        <v>1</v>
      </c>
      <c r="K452">
        <f>_xlfn.XLOOKUP($A452,weather_2yrs!$A:$A,weather_2yrs!E:E)</f>
        <v>35.1</v>
      </c>
      <c r="L452">
        <f>_xlfn.XLOOKUP($A452,sales!$A:$A,sales!B:B)</f>
        <v>1</v>
      </c>
      <c r="M452" t="str">
        <f>_xlfn.XLOOKUP($A452,sales!$A:$A,sales!C:C)</f>
        <v>Miami Beach</v>
      </c>
      <c r="N452">
        <f>_xlfn.XLOOKUP($A452,sales!$A:$A,sales!D:D)</f>
        <v>203</v>
      </c>
      <c r="O452">
        <f>_xlfn.XLOOKUP($A452,sales!$A:$A,sales!E:E)</f>
        <v>3699.64</v>
      </c>
      <c r="P452" s="4">
        <f t="shared" si="23"/>
        <v>18.224827586206896</v>
      </c>
    </row>
    <row r="453" spans="1:16" x14ac:dyDescent="0.25">
      <c r="A453" s="1">
        <v>45378</v>
      </c>
      <c r="B453" s="1" t="str">
        <f t="shared" si="21"/>
        <v>Wednesday</v>
      </c>
      <c r="C453" s="1" t="b">
        <f t="shared" si="22"/>
        <v>0</v>
      </c>
      <c r="D453">
        <f>VLOOKUP($A453,survey_2yrs!A:B, 2)</f>
        <v>52.7</v>
      </c>
      <c r="E453">
        <f>VLOOKUP($A453,survey_2yrs!$A:C, 3)</f>
        <v>47.3</v>
      </c>
      <c r="F453">
        <f>VLOOKUP($A453,survey_2yrs!$A:D, 4)</f>
        <v>46.7</v>
      </c>
      <c r="G453">
        <f>_xlfn.XLOOKUP(A453,survey_2yrs!A:A,survey_2yrs!E:E)</f>
        <v>53.3</v>
      </c>
      <c r="H453">
        <f>_xlfn.XLOOKUP($A453,weather_2yrs!$A:$A,weather_2yrs!B:B)</f>
        <v>70.400000000000006</v>
      </c>
      <c r="I453">
        <f>_xlfn.XLOOKUP($A453,weather_2yrs!$A:$A,weather_2yrs!C:C)</f>
        <v>0</v>
      </c>
      <c r="J453">
        <f>_xlfn.XLOOKUP($A453,weather_2yrs!$A:$A,weather_2yrs!D:D)</f>
        <v>0</v>
      </c>
      <c r="K453">
        <f>_xlfn.XLOOKUP($A453,weather_2yrs!$A:$A,weather_2yrs!E:E)</f>
        <v>35.6</v>
      </c>
      <c r="L453">
        <f>_xlfn.XLOOKUP($A453,sales!$A:$A,sales!B:B)</f>
        <v>1</v>
      </c>
      <c r="M453" t="str">
        <f>_xlfn.XLOOKUP($A453,sales!$A:$A,sales!C:C)</f>
        <v>Miami Beach</v>
      </c>
      <c r="N453">
        <f>_xlfn.XLOOKUP($A453,sales!$A:$A,sales!D:D)</f>
        <v>191</v>
      </c>
      <c r="O453">
        <f>_xlfn.XLOOKUP($A453,sales!$A:$A,sales!E:E)</f>
        <v>3409.81</v>
      </c>
      <c r="P453" s="4">
        <f t="shared" si="23"/>
        <v>17.85240837696335</v>
      </c>
    </row>
    <row r="454" spans="1:16" x14ac:dyDescent="0.25">
      <c r="A454" s="1">
        <v>45379</v>
      </c>
      <c r="B454" s="1" t="str">
        <f t="shared" si="21"/>
        <v>Thursday</v>
      </c>
      <c r="C454" s="1" t="b">
        <f t="shared" si="22"/>
        <v>0</v>
      </c>
      <c r="D454">
        <f>VLOOKUP($A454,survey_2yrs!A:B, 2)</f>
        <v>52.2</v>
      </c>
      <c r="E454">
        <f>VLOOKUP($A454,survey_2yrs!$A:C, 3)</f>
        <v>47.8</v>
      </c>
      <c r="F454">
        <f>VLOOKUP($A454,survey_2yrs!$A:D, 4)</f>
        <v>49.7</v>
      </c>
      <c r="G454">
        <f>_xlfn.XLOOKUP(A454,survey_2yrs!A:A,survey_2yrs!E:E)</f>
        <v>50.3</v>
      </c>
      <c r="H454">
        <f>_xlfn.XLOOKUP($A454,weather_2yrs!$A:$A,weather_2yrs!B:B)</f>
        <v>72.3</v>
      </c>
      <c r="I454">
        <f>_xlfn.XLOOKUP($A454,weather_2yrs!$A:$A,weather_2yrs!C:C)</f>
        <v>0</v>
      </c>
      <c r="J454">
        <f>_xlfn.XLOOKUP($A454,weather_2yrs!$A:$A,weather_2yrs!D:D)</f>
        <v>0</v>
      </c>
      <c r="K454">
        <f>_xlfn.XLOOKUP($A454,weather_2yrs!$A:$A,weather_2yrs!E:E)</f>
        <v>35</v>
      </c>
      <c r="L454">
        <f>_xlfn.XLOOKUP($A454,sales!$A:$A,sales!B:B)</f>
        <v>1</v>
      </c>
      <c r="M454" t="str">
        <f>_xlfn.XLOOKUP($A454,sales!$A:$A,sales!C:C)</f>
        <v>Miami Beach</v>
      </c>
      <c r="N454">
        <f>_xlfn.XLOOKUP($A454,sales!$A:$A,sales!D:D)</f>
        <v>255</v>
      </c>
      <c r="O454">
        <f>_xlfn.XLOOKUP($A454,sales!$A:$A,sales!E:E)</f>
        <v>4579.25</v>
      </c>
      <c r="P454" s="4">
        <f t="shared" si="23"/>
        <v>17.957843137254901</v>
      </c>
    </row>
    <row r="455" spans="1:16" x14ac:dyDescent="0.25">
      <c r="A455" s="1">
        <v>45380</v>
      </c>
      <c r="B455" s="1" t="str">
        <f t="shared" si="21"/>
        <v>Friday</v>
      </c>
      <c r="C455" s="1" t="b">
        <f t="shared" si="22"/>
        <v>0</v>
      </c>
      <c r="D455">
        <f>VLOOKUP($A455,survey_2yrs!A:B, 2)</f>
        <v>52.2</v>
      </c>
      <c r="E455">
        <f>VLOOKUP($A455,survey_2yrs!$A:C, 3)</f>
        <v>47.8</v>
      </c>
      <c r="F455">
        <f>VLOOKUP($A455,survey_2yrs!$A:D, 4)</f>
        <v>46.9</v>
      </c>
      <c r="G455">
        <f>_xlfn.XLOOKUP(A455,survey_2yrs!A:A,survey_2yrs!E:E)</f>
        <v>53.1</v>
      </c>
      <c r="H455">
        <f>_xlfn.XLOOKUP($A455,weather_2yrs!$A:$A,weather_2yrs!B:B)</f>
        <v>71.2</v>
      </c>
      <c r="I455">
        <f>_xlfn.XLOOKUP($A455,weather_2yrs!$A:$A,weather_2yrs!C:C)</f>
        <v>1.59</v>
      </c>
      <c r="J455">
        <f>_xlfn.XLOOKUP($A455,weather_2yrs!$A:$A,weather_2yrs!D:D)</f>
        <v>1</v>
      </c>
      <c r="K455">
        <f>_xlfn.XLOOKUP($A455,weather_2yrs!$A:$A,weather_2yrs!E:E)</f>
        <v>38.200000000000003</v>
      </c>
      <c r="L455">
        <f>_xlfn.XLOOKUP($A455,sales!$A:$A,sales!B:B)</f>
        <v>1</v>
      </c>
      <c r="M455" t="str">
        <f>_xlfn.XLOOKUP($A455,sales!$A:$A,sales!C:C)</f>
        <v>Miami Beach</v>
      </c>
      <c r="N455">
        <f>_xlfn.XLOOKUP($A455,sales!$A:$A,sales!D:D)</f>
        <v>216</v>
      </c>
      <c r="O455">
        <f>_xlfn.XLOOKUP($A455,sales!$A:$A,sales!E:E)</f>
        <v>3801.5</v>
      </c>
      <c r="P455" s="4">
        <f t="shared" si="23"/>
        <v>17.599537037037038</v>
      </c>
    </row>
    <row r="456" spans="1:16" x14ac:dyDescent="0.25">
      <c r="A456" s="1">
        <v>45381</v>
      </c>
      <c r="B456" s="1" t="str">
        <f t="shared" si="21"/>
        <v>Saturday</v>
      </c>
      <c r="C456" s="1" t="b">
        <f t="shared" si="22"/>
        <v>1</v>
      </c>
      <c r="D456">
        <f>VLOOKUP($A456,survey_2yrs!A:B, 2)</f>
        <v>51.8</v>
      </c>
      <c r="E456">
        <f>VLOOKUP($A456,survey_2yrs!$A:C, 3)</f>
        <v>48.2</v>
      </c>
      <c r="F456">
        <f>VLOOKUP($A456,survey_2yrs!$A:D, 4)</f>
        <v>54</v>
      </c>
      <c r="G456">
        <f>_xlfn.XLOOKUP(A456,survey_2yrs!A:A,survey_2yrs!E:E)</f>
        <v>46</v>
      </c>
      <c r="H456">
        <f>_xlfn.XLOOKUP($A456,weather_2yrs!$A:$A,weather_2yrs!B:B)</f>
        <v>58.8</v>
      </c>
      <c r="I456">
        <f>_xlfn.XLOOKUP($A456,weather_2yrs!$A:$A,weather_2yrs!C:C)</f>
        <v>0</v>
      </c>
      <c r="J456">
        <f>_xlfn.XLOOKUP($A456,weather_2yrs!$A:$A,weather_2yrs!D:D)</f>
        <v>0</v>
      </c>
      <c r="K456">
        <f>_xlfn.XLOOKUP($A456,weather_2yrs!$A:$A,weather_2yrs!E:E)</f>
        <v>38.299999999999997</v>
      </c>
      <c r="L456">
        <f>_xlfn.XLOOKUP($A456,sales!$A:$A,sales!B:B)</f>
        <v>1</v>
      </c>
      <c r="M456" t="str">
        <f>_xlfn.XLOOKUP($A456,sales!$A:$A,sales!C:C)</f>
        <v>Miami Beach</v>
      </c>
      <c r="N456">
        <f>_xlfn.XLOOKUP($A456,sales!$A:$A,sales!D:D)</f>
        <v>250</v>
      </c>
      <c r="O456">
        <f>_xlfn.XLOOKUP($A456,sales!$A:$A,sales!E:E)</f>
        <v>4445.63</v>
      </c>
      <c r="P456" s="4">
        <f t="shared" si="23"/>
        <v>17.782520000000002</v>
      </c>
    </row>
    <row r="457" spans="1:16" x14ac:dyDescent="0.25">
      <c r="A457" s="1">
        <v>45382</v>
      </c>
      <c r="B457" s="1" t="str">
        <f t="shared" si="21"/>
        <v>Sunday</v>
      </c>
      <c r="C457" s="1" t="b">
        <f t="shared" si="22"/>
        <v>1</v>
      </c>
      <c r="D457">
        <f>VLOOKUP($A457,survey_2yrs!A:B, 2)</f>
        <v>52.6</v>
      </c>
      <c r="E457">
        <f>VLOOKUP($A457,survey_2yrs!$A:C, 3)</f>
        <v>47.4</v>
      </c>
      <c r="F457">
        <f>VLOOKUP($A457,survey_2yrs!$A:D, 4)</f>
        <v>54.9</v>
      </c>
      <c r="G457">
        <f>_xlfn.XLOOKUP(A457,survey_2yrs!A:A,survey_2yrs!E:E)</f>
        <v>45.1</v>
      </c>
      <c r="H457">
        <f>_xlfn.XLOOKUP($A457,weather_2yrs!$A:$A,weather_2yrs!B:B)</f>
        <v>65.599999999999994</v>
      </c>
      <c r="I457">
        <f>_xlfn.XLOOKUP($A457,weather_2yrs!$A:$A,weather_2yrs!C:C)</f>
        <v>0</v>
      </c>
      <c r="J457">
        <f>_xlfn.XLOOKUP($A457,weather_2yrs!$A:$A,weather_2yrs!D:D)</f>
        <v>0</v>
      </c>
      <c r="K457">
        <f>_xlfn.XLOOKUP($A457,weather_2yrs!$A:$A,weather_2yrs!E:E)</f>
        <v>35.1</v>
      </c>
      <c r="L457">
        <f>_xlfn.XLOOKUP($A457,sales!$A:$A,sales!B:B)</f>
        <v>1</v>
      </c>
      <c r="M457" t="str">
        <f>_xlfn.XLOOKUP($A457,sales!$A:$A,sales!C:C)</f>
        <v>Miami Beach</v>
      </c>
      <c r="N457">
        <f>_xlfn.XLOOKUP($A457,sales!$A:$A,sales!D:D)</f>
        <v>253</v>
      </c>
      <c r="O457">
        <f>_xlfn.XLOOKUP($A457,sales!$A:$A,sales!E:E)</f>
        <v>4767.82</v>
      </c>
      <c r="P457" s="4">
        <f t="shared" si="23"/>
        <v>18.845138339920947</v>
      </c>
    </row>
    <row r="458" spans="1:16" x14ac:dyDescent="0.25">
      <c r="A458" s="1">
        <v>45383</v>
      </c>
      <c r="B458" s="1" t="str">
        <f t="shared" si="21"/>
        <v>Monday</v>
      </c>
      <c r="C458" s="1" t="b">
        <f t="shared" si="22"/>
        <v>0</v>
      </c>
      <c r="D458">
        <f>VLOOKUP($A458,survey_2yrs!A:B, 2)</f>
        <v>52</v>
      </c>
      <c r="E458">
        <f>VLOOKUP($A458,survey_2yrs!$A:C, 3)</f>
        <v>48</v>
      </c>
      <c r="F458">
        <f>VLOOKUP($A458,survey_2yrs!$A:D, 4)</f>
        <v>47.7</v>
      </c>
      <c r="G458">
        <f>_xlfn.XLOOKUP(A458,survey_2yrs!A:A,survey_2yrs!E:E)</f>
        <v>52.3</v>
      </c>
      <c r="H458">
        <f>_xlfn.XLOOKUP($A458,weather_2yrs!$A:$A,weather_2yrs!B:B)</f>
        <v>58.9</v>
      </c>
      <c r="I458">
        <f>_xlfn.XLOOKUP($A458,weather_2yrs!$A:$A,weather_2yrs!C:C)</f>
        <v>0</v>
      </c>
      <c r="J458">
        <f>_xlfn.XLOOKUP($A458,weather_2yrs!$A:$A,weather_2yrs!D:D)</f>
        <v>0</v>
      </c>
      <c r="K458">
        <f>_xlfn.XLOOKUP($A458,weather_2yrs!$A:$A,weather_2yrs!E:E)</f>
        <v>35</v>
      </c>
      <c r="L458">
        <f>_xlfn.XLOOKUP($A458,sales!$A:$A,sales!B:B)</f>
        <v>1</v>
      </c>
      <c r="M458" t="str">
        <f>_xlfn.XLOOKUP($A458,sales!$A:$A,sales!C:C)</f>
        <v>Miami Beach</v>
      </c>
      <c r="N458">
        <f>_xlfn.XLOOKUP($A458,sales!$A:$A,sales!D:D)</f>
        <v>225</v>
      </c>
      <c r="O458">
        <f>_xlfn.XLOOKUP($A458,sales!$A:$A,sales!E:E)</f>
        <v>4564.8999999999996</v>
      </c>
      <c r="P458" s="4">
        <f t="shared" si="23"/>
        <v>20.288444444444444</v>
      </c>
    </row>
    <row r="459" spans="1:16" x14ac:dyDescent="0.25">
      <c r="A459" s="1">
        <v>45384</v>
      </c>
      <c r="B459" s="1" t="str">
        <f t="shared" si="21"/>
        <v>Tuesday</v>
      </c>
      <c r="C459" s="1" t="b">
        <f t="shared" si="22"/>
        <v>0</v>
      </c>
      <c r="D459">
        <f>VLOOKUP($A459,survey_2yrs!A:B, 2)</f>
        <v>50.6</v>
      </c>
      <c r="E459">
        <f>VLOOKUP($A459,survey_2yrs!$A:C, 3)</f>
        <v>49.4</v>
      </c>
      <c r="F459">
        <f>VLOOKUP($A459,survey_2yrs!$A:D, 4)</f>
        <v>46.5</v>
      </c>
      <c r="G459">
        <f>_xlfn.XLOOKUP(A459,survey_2yrs!A:A,survey_2yrs!E:E)</f>
        <v>53.5</v>
      </c>
      <c r="H459">
        <f>_xlfn.XLOOKUP($A459,weather_2yrs!$A:$A,weather_2yrs!B:B)</f>
        <v>65.5</v>
      </c>
      <c r="I459">
        <f>_xlfn.XLOOKUP($A459,weather_2yrs!$A:$A,weather_2yrs!C:C)</f>
        <v>0</v>
      </c>
      <c r="J459">
        <f>_xlfn.XLOOKUP($A459,weather_2yrs!$A:$A,weather_2yrs!D:D)</f>
        <v>0</v>
      </c>
      <c r="K459">
        <f>_xlfn.XLOOKUP($A459,weather_2yrs!$A:$A,weather_2yrs!E:E)</f>
        <v>42.6</v>
      </c>
      <c r="L459">
        <f>_xlfn.XLOOKUP($A459,sales!$A:$A,sales!B:B)</f>
        <v>1</v>
      </c>
      <c r="M459" t="str">
        <f>_xlfn.XLOOKUP($A459,sales!$A:$A,sales!C:C)</f>
        <v>Miami Beach</v>
      </c>
      <c r="N459">
        <f>_xlfn.XLOOKUP($A459,sales!$A:$A,sales!D:D)</f>
        <v>200</v>
      </c>
      <c r="O459">
        <f>_xlfn.XLOOKUP($A459,sales!$A:$A,sales!E:E)</f>
        <v>3513.26</v>
      </c>
      <c r="P459" s="4">
        <f t="shared" si="23"/>
        <v>17.566300000000002</v>
      </c>
    </row>
    <row r="460" spans="1:16" x14ac:dyDescent="0.25">
      <c r="A460" s="1">
        <v>45385</v>
      </c>
      <c r="B460" s="1" t="str">
        <f t="shared" si="21"/>
        <v>Wednesday</v>
      </c>
      <c r="C460" s="1" t="b">
        <f t="shared" si="22"/>
        <v>0</v>
      </c>
      <c r="D460">
        <f>VLOOKUP($A460,survey_2yrs!A:B, 2)</f>
        <v>51.5</v>
      </c>
      <c r="E460">
        <f>VLOOKUP($A460,survey_2yrs!$A:C, 3)</f>
        <v>48.5</v>
      </c>
      <c r="F460">
        <f>VLOOKUP($A460,survey_2yrs!$A:D, 4)</f>
        <v>47.1</v>
      </c>
      <c r="G460">
        <f>_xlfn.XLOOKUP(A460,survey_2yrs!A:A,survey_2yrs!E:E)</f>
        <v>52.9</v>
      </c>
      <c r="H460">
        <f>_xlfn.XLOOKUP($A460,weather_2yrs!$A:$A,weather_2yrs!B:B)</f>
        <v>62.8</v>
      </c>
      <c r="I460">
        <f>_xlfn.XLOOKUP($A460,weather_2yrs!$A:$A,weather_2yrs!C:C)</f>
        <v>0.44</v>
      </c>
      <c r="J460">
        <f>_xlfn.XLOOKUP($A460,weather_2yrs!$A:$A,weather_2yrs!D:D)</f>
        <v>1</v>
      </c>
      <c r="K460">
        <f>_xlfn.XLOOKUP($A460,weather_2yrs!$A:$A,weather_2yrs!E:E)</f>
        <v>40.5</v>
      </c>
      <c r="L460">
        <f>_xlfn.XLOOKUP($A460,sales!$A:$A,sales!B:B)</f>
        <v>1</v>
      </c>
      <c r="M460" t="str">
        <f>_xlfn.XLOOKUP($A460,sales!$A:$A,sales!C:C)</f>
        <v>Miami Beach</v>
      </c>
      <c r="N460">
        <f>_xlfn.XLOOKUP($A460,sales!$A:$A,sales!D:D)</f>
        <v>214</v>
      </c>
      <c r="O460">
        <f>_xlfn.XLOOKUP($A460,sales!$A:$A,sales!E:E)</f>
        <v>3816.97</v>
      </c>
      <c r="P460" s="4">
        <f t="shared" si="23"/>
        <v>17.836308411214951</v>
      </c>
    </row>
    <row r="461" spans="1:16" x14ac:dyDescent="0.25">
      <c r="A461" s="1">
        <v>45386</v>
      </c>
      <c r="B461" s="1" t="str">
        <f t="shared" si="21"/>
        <v>Thursday</v>
      </c>
      <c r="C461" s="1" t="b">
        <f t="shared" si="22"/>
        <v>0</v>
      </c>
      <c r="D461">
        <f>VLOOKUP($A461,survey_2yrs!A:B, 2)</f>
        <v>51.5</v>
      </c>
      <c r="E461">
        <f>VLOOKUP($A461,survey_2yrs!$A:C, 3)</f>
        <v>48.5</v>
      </c>
      <c r="F461">
        <f>VLOOKUP($A461,survey_2yrs!$A:D, 4)</f>
        <v>50</v>
      </c>
      <c r="G461">
        <f>_xlfn.XLOOKUP(A461,survey_2yrs!A:A,survey_2yrs!E:E)</f>
        <v>50</v>
      </c>
      <c r="H461">
        <f>_xlfn.XLOOKUP($A461,weather_2yrs!$A:$A,weather_2yrs!B:B)</f>
        <v>63.9</v>
      </c>
      <c r="I461">
        <f>_xlfn.XLOOKUP($A461,weather_2yrs!$A:$A,weather_2yrs!C:C)</f>
        <v>0.5</v>
      </c>
      <c r="J461">
        <f>_xlfn.XLOOKUP($A461,weather_2yrs!$A:$A,weather_2yrs!D:D)</f>
        <v>1</v>
      </c>
      <c r="K461">
        <f>_xlfn.XLOOKUP($A461,weather_2yrs!$A:$A,weather_2yrs!E:E)</f>
        <v>42.5</v>
      </c>
      <c r="L461">
        <f>_xlfn.XLOOKUP($A461,sales!$A:$A,sales!B:B)</f>
        <v>1</v>
      </c>
      <c r="M461" t="str">
        <f>_xlfn.XLOOKUP($A461,sales!$A:$A,sales!C:C)</f>
        <v>Miami Beach</v>
      </c>
      <c r="N461">
        <f>_xlfn.XLOOKUP($A461,sales!$A:$A,sales!D:D)</f>
        <v>217</v>
      </c>
      <c r="O461">
        <f>_xlfn.XLOOKUP($A461,sales!$A:$A,sales!E:E)</f>
        <v>4257.97</v>
      </c>
      <c r="P461" s="4">
        <f t="shared" si="23"/>
        <v>19.621981566820278</v>
      </c>
    </row>
    <row r="462" spans="1:16" x14ac:dyDescent="0.25">
      <c r="A462" s="1">
        <v>45387</v>
      </c>
      <c r="B462" s="1" t="str">
        <f t="shared" si="21"/>
        <v>Friday</v>
      </c>
      <c r="C462" s="1" t="b">
        <f t="shared" si="22"/>
        <v>0</v>
      </c>
      <c r="D462">
        <f>VLOOKUP($A462,survey_2yrs!A:B, 2)</f>
        <v>53.5</v>
      </c>
      <c r="E462">
        <f>VLOOKUP($A462,survey_2yrs!$A:C, 3)</f>
        <v>46.5</v>
      </c>
      <c r="F462">
        <f>VLOOKUP($A462,survey_2yrs!$A:D, 4)</f>
        <v>48.8</v>
      </c>
      <c r="G462">
        <f>_xlfn.XLOOKUP(A462,survey_2yrs!A:A,survey_2yrs!E:E)</f>
        <v>51.2</v>
      </c>
      <c r="H462">
        <f>_xlfn.XLOOKUP($A462,weather_2yrs!$A:$A,weather_2yrs!B:B)</f>
        <v>66.8</v>
      </c>
      <c r="I462">
        <f>_xlfn.XLOOKUP($A462,weather_2yrs!$A:$A,weather_2yrs!C:C)</f>
        <v>0</v>
      </c>
      <c r="J462">
        <f>_xlfn.XLOOKUP($A462,weather_2yrs!$A:$A,weather_2yrs!D:D)</f>
        <v>0</v>
      </c>
      <c r="K462">
        <f>_xlfn.XLOOKUP($A462,weather_2yrs!$A:$A,weather_2yrs!E:E)</f>
        <v>44.1</v>
      </c>
      <c r="L462">
        <f>_xlfn.XLOOKUP($A462,sales!$A:$A,sales!B:B)</f>
        <v>1</v>
      </c>
      <c r="M462" t="str">
        <f>_xlfn.XLOOKUP($A462,sales!$A:$A,sales!C:C)</f>
        <v>Miami Beach</v>
      </c>
      <c r="N462">
        <f>_xlfn.XLOOKUP($A462,sales!$A:$A,sales!D:D)</f>
        <v>191</v>
      </c>
      <c r="O462">
        <f>_xlfn.XLOOKUP($A462,sales!$A:$A,sales!E:E)</f>
        <v>3751.93</v>
      </c>
      <c r="P462" s="4">
        <f t="shared" si="23"/>
        <v>19.643612565445025</v>
      </c>
    </row>
    <row r="463" spans="1:16" x14ac:dyDescent="0.25">
      <c r="A463" s="1">
        <v>45388</v>
      </c>
      <c r="B463" s="1" t="str">
        <f t="shared" si="21"/>
        <v>Saturday</v>
      </c>
      <c r="C463" s="1" t="b">
        <f t="shared" si="22"/>
        <v>1</v>
      </c>
      <c r="D463">
        <f>VLOOKUP($A463,survey_2yrs!A:B, 2)</f>
        <v>50.9</v>
      </c>
      <c r="E463">
        <f>VLOOKUP($A463,survey_2yrs!$A:C, 3)</f>
        <v>49.1</v>
      </c>
      <c r="F463">
        <f>VLOOKUP($A463,survey_2yrs!$A:D, 4)</f>
        <v>54.7</v>
      </c>
      <c r="G463">
        <f>_xlfn.XLOOKUP(A463,survey_2yrs!A:A,survey_2yrs!E:E)</f>
        <v>45.3</v>
      </c>
      <c r="H463">
        <f>_xlfn.XLOOKUP($A463,weather_2yrs!$A:$A,weather_2yrs!B:B)</f>
        <v>69.7</v>
      </c>
      <c r="I463">
        <f>_xlfn.XLOOKUP($A463,weather_2yrs!$A:$A,weather_2yrs!C:C)</f>
        <v>0</v>
      </c>
      <c r="J463">
        <f>_xlfn.XLOOKUP($A463,weather_2yrs!$A:$A,weather_2yrs!D:D)</f>
        <v>0</v>
      </c>
      <c r="K463">
        <f>_xlfn.XLOOKUP($A463,weather_2yrs!$A:$A,weather_2yrs!E:E)</f>
        <v>35</v>
      </c>
      <c r="L463">
        <f>_xlfn.XLOOKUP($A463,sales!$A:$A,sales!B:B)</f>
        <v>1</v>
      </c>
      <c r="M463" t="str">
        <f>_xlfn.XLOOKUP($A463,sales!$A:$A,sales!C:C)</f>
        <v>Miami Beach</v>
      </c>
      <c r="N463">
        <f>_xlfn.XLOOKUP($A463,sales!$A:$A,sales!D:D)</f>
        <v>269</v>
      </c>
      <c r="O463">
        <f>_xlfn.XLOOKUP($A463,sales!$A:$A,sales!E:E)</f>
        <v>5231.91</v>
      </c>
      <c r="P463" s="4">
        <f t="shared" si="23"/>
        <v>19.449479553903345</v>
      </c>
    </row>
    <row r="464" spans="1:16" x14ac:dyDescent="0.25">
      <c r="A464" s="1">
        <v>45389</v>
      </c>
      <c r="B464" s="1" t="str">
        <f t="shared" si="21"/>
        <v>Sunday</v>
      </c>
      <c r="C464" s="1" t="b">
        <f t="shared" si="22"/>
        <v>1</v>
      </c>
      <c r="D464">
        <f>VLOOKUP($A464,survey_2yrs!A:B, 2)</f>
        <v>52</v>
      </c>
      <c r="E464">
        <f>VLOOKUP($A464,survey_2yrs!$A:C, 3)</f>
        <v>48</v>
      </c>
      <c r="F464">
        <f>VLOOKUP($A464,survey_2yrs!$A:D, 4)</f>
        <v>52.3</v>
      </c>
      <c r="G464">
        <f>_xlfn.XLOOKUP(A464,survey_2yrs!A:A,survey_2yrs!E:E)</f>
        <v>47.7</v>
      </c>
      <c r="H464">
        <f>_xlfn.XLOOKUP($A464,weather_2yrs!$A:$A,weather_2yrs!B:B)</f>
        <v>62.7</v>
      </c>
      <c r="I464">
        <f>_xlfn.XLOOKUP($A464,weather_2yrs!$A:$A,weather_2yrs!C:C)</f>
        <v>0</v>
      </c>
      <c r="J464">
        <f>_xlfn.XLOOKUP($A464,weather_2yrs!$A:$A,weather_2yrs!D:D)</f>
        <v>0</v>
      </c>
      <c r="K464">
        <f>_xlfn.XLOOKUP($A464,weather_2yrs!$A:$A,weather_2yrs!E:E)</f>
        <v>39.799999999999997</v>
      </c>
      <c r="L464">
        <f>_xlfn.XLOOKUP($A464,sales!$A:$A,sales!B:B)</f>
        <v>1</v>
      </c>
      <c r="M464" t="str">
        <f>_xlfn.XLOOKUP($A464,sales!$A:$A,sales!C:C)</f>
        <v>Miami Beach</v>
      </c>
      <c r="N464">
        <f>_xlfn.XLOOKUP($A464,sales!$A:$A,sales!D:D)</f>
        <v>246</v>
      </c>
      <c r="O464">
        <f>_xlfn.XLOOKUP($A464,sales!$A:$A,sales!E:E)</f>
        <v>4115.08</v>
      </c>
      <c r="P464" s="4">
        <f t="shared" si="23"/>
        <v>16.727967479674795</v>
      </c>
    </row>
    <row r="465" spans="1:16" x14ac:dyDescent="0.25">
      <c r="A465" s="1">
        <v>45390</v>
      </c>
      <c r="B465" s="1" t="str">
        <f t="shared" si="21"/>
        <v>Monday</v>
      </c>
      <c r="C465" s="1" t="b">
        <f t="shared" si="22"/>
        <v>0</v>
      </c>
      <c r="D465">
        <f>VLOOKUP($A465,survey_2yrs!A:B, 2)</f>
        <v>51.8</v>
      </c>
      <c r="E465">
        <f>VLOOKUP($A465,survey_2yrs!$A:C, 3)</f>
        <v>48.2</v>
      </c>
      <c r="F465">
        <f>VLOOKUP($A465,survey_2yrs!$A:D, 4)</f>
        <v>48.2</v>
      </c>
      <c r="G465">
        <f>_xlfn.XLOOKUP(A465,survey_2yrs!A:A,survey_2yrs!E:E)</f>
        <v>51.8</v>
      </c>
      <c r="H465">
        <f>_xlfn.XLOOKUP($A465,weather_2yrs!$A:$A,weather_2yrs!B:B)</f>
        <v>67.3</v>
      </c>
      <c r="I465">
        <f>_xlfn.XLOOKUP($A465,weather_2yrs!$A:$A,weather_2yrs!C:C)</f>
        <v>1.7</v>
      </c>
      <c r="J465">
        <f>_xlfn.XLOOKUP($A465,weather_2yrs!$A:$A,weather_2yrs!D:D)</f>
        <v>1</v>
      </c>
      <c r="K465">
        <f>_xlfn.XLOOKUP($A465,weather_2yrs!$A:$A,weather_2yrs!E:E)</f>
        <v>45.9</v>
      </c>
      <c r="L465">
        <f>_xlfn.XLOOKUP($A465,sales!$A:$A,sales!B:B)</f>
        <v>1</v>
      </c>
      <c r="M465" t="str">
        <f>_xlfn.XLOOKUP($A465,sales!$A:$A,sales!C:C)</f>
        <v>Miami Beach</v>
      </c>
      <c r="N465">
        <f>_xlfn.XLOOKUP($A465,sales!$A:$A,sales!D:D)</f>
        <v>188</v>
      </c>
      <c r="O465">
        <f>_xlfn.XLOOKUP($A465,sales!$A:$A,sales!E:E)</f>
        <v>3195.76</v>
      </c>
      <c r="P465" s="4">
        <f t="shared" si="23"/>
        <v>16.998723404255319</v>
      </c>
    </row>
    <row r="466" spans="1:16" x14ac:dyDescent="0.25">
      <c r="A466" s="1">
        <v>45391</v>
      </c>
      <c r="B466" s="1" t="str">
        <f t="shared" si="21"/>
        <v>Tuesday</v>
      </c>
      <c r="C466" s="1" t="b">
        <f t="shared" si="22"/>
        <v>0</v>
      </c>
      <c r="D466">
        <f>VLOOKUP($A466,survey_2yrs!A:B, 2)</f>
        <v>51.2</v>
      </c>
      <c r="E466">
        <f>VLOOKUP($A466,survey_2yrs!$A:C, 3)</f>
        <v>48.8</v>
      </c>
      <c r="F466">
        <f>VLOOKUP($A466,survey_2yrs!$A:D, 4)</f>
        <v>47.5</v>
      </c>
      <c r="G466">
        <f>_xlfn.XLOOKUP(A466,survey_2yrs!A:A,survey_2yrs!E:E)</f>
        <v>52.5</v>
      </c>
      <c r="H466">
        <f>_xlfn.XLOOKUP($A466,weather_2yrs!$A:$A,weather_2yrs!B:B)</f>
        <v>68.3</v>
      </c>
      <c r="I466">
        <f>_xlfn.XLOOKUP($A466,weather_2yrs!$A:$A,weather_2yrs!C:C)</f>
        <v>0</v>
      </c>
      <c r="J466">
        <f>_xlfn.XLOOKUP($A466,weather_2yrs!$A:$A,weather_2yrs!D:D)</f>
        <v>0</v>
      </c>
      <c r="K466">
        <f>_xlfn.XLOOKUP($A466,weather_2yrs!$A:$A,weather_2yrs!E:E)</f>
        <v>35</v>
      </c>
      <c r="L466">
        <f>_xlfn.XLOOKUP($A466,sales!$A:$A,sales!B:B)</f>
        <v>1</v>
      </c>
      <c r="M466" t="str">
        <f>_xlfn.XLOOKUP($A466,sales!$A:$A,sales!C:C)</f>
        <v>Miami Beach</v>
      </c>
      <c r="N466">
        <f>_xlfn.XLOOKUP($A466,sales!$A:$A,sales!D:D)</f>
        <v>212</v>
      </c>
      <c r="O466">
        <f>_xlfn.XLOOKUP($A466,sales!$A:$A,sales!E:E)</f>
        <v>3764.52</v>
      </c>
      <c r="P466" s="4">
        <f t="shared" si="23"/>
        <v>17.757169811320754</v>
      </c>
    </row>
    <row r="467" spans="1:16" x14ac:dyDescent="0.25">
      <c r="A467" s="1">
        <v>45392</v>
      </c>
      <c r="B467" s="1" t="str">
        <f t="shared" si="21"/>
        <v>Wednesday</v>
      </c>
      <c r="C467" s="1" t="b">
        <f t="shared" si="22"/>
        <v>0</v>
      </c>
      <c r="D467">
        <f>VLOOKUP($A467,survey_2yrs!A:B, 2)</f>
        <v>49.7</v>
      </c>
      <c r="E467">
        <f>VLOOKUP($A467,survey_2yrs!$A:C, 3)</f>
        <v>50.3</v>
      </c>
      <c r="F467">
        <f>VLOOKUP($A467,survey_2yrs!$A:D, 4)</f>
        <v>47.3</v>
      </c>
      <c r="G467">
        <f>_xlfn.XLOOKUP(A467,survey_2yrs!A:A,survey_2yrs!E:E)</f>
        <v>52.7</v>
      </c>
      <c r="H467">
        <f>_xlfn.XLOOKUP($A467,weather_2yrs!$A:$A,weather_2yrs!B:B)</f>
        <v>64.7</v>
      </c>
      <c r="I467">
        <f>_xlfn.XLOOKUP($A467,weather_2yrs!$A:$A,weather_2yrs!C:C)</f>
        <v>0</v>
      </c>
      <c r="J467">
        <f>_xlfn.XLOOKUP($A467,weather_2yrs!$A:$A,weather_2yrs!D:D)</f>
        <v>0</v>
      </c>
      <c r="K467">
        <f>_xlfn.XLOOKUP($A467,weather_2yrs!$A:$A,weather_2yrs!E:E)</f>
        <v>36.200000000000003</v>
      </c>
      <c r="L467">
        <f>_xlfn.XLOOKUP($A467,sales!$A:$A,sales!B:B)</f>
        <v>1</v>
      </c>
      <c r="M467" t="str">
        <f>_xlfn.XLOOKUP($A467,sales!$A:$A,sales!C:C)</f>
        <v>Miami Beach</v>
      </c>
      <c r="N467">
        <f>_xlfn.XLOOKUP($A467,sales!$A:$A,sales!D:D)</f>
        <v>252</v>
      </c>
      <c r="O467">
        <f>_xlfn.XLOOKUP($A467,sales!$A:$A,sales!E:E)</f>
        <v>4507.8500000000004</v>
      </c>
      <c r="P467" s="4">
        <f t="shared" si="23"/>
        <v>17.888293650793653</v>
      </c>
    </row>
    <row r="468" spans="1:16" x14ac:dyDescent="0.25">
      <c r="A468" s="1">
        <v>45393</v>
      </c>
      <c r="B468" s="1" t="str">
        <f t="shared" si="21"/>
        <v>Thursday</v>
      </c>
      <c r="C468" s="1" t="b">
        <f t="shared" si="22"/>
        <v>0</v>
      </c>
      <c r="D468">
        <f>VLOOKUP($A468,survey_2yrs!A:B, 2)</f>
        <v>52.8</v>
      </c>
      <c r="E468">
        <f>VLOOKUP($A468,survey_2yrs!$A:C, 3)</f>
        <v>47.2</v>
      </c>
      <c r="F468">
        <f>VLOOKUP($A468,survey_2yrs!$A:D, 4)</f>
        <v>48.8</v>
      </c>
      <c r="G468">
        <f>_xlfn.XLOOKUP(A468,survey_2yrs!A:A,survey_2yrs!E:E)</f>
        <v>51.2</v>
      </c>
      <c r="H468">
        <f>_xlfn.XLOOKUP($A468,weather_2yrs!$A:$A,weather_2yrs!B:B)</f>
        <v>73.099999999999994</v>
      </c>
      <c r="I468">
        <f>_xlfn.XLOOKUP($A468,weather_2yrs!$A:$A,weather_2yrs!C:C)</f>
        <v>0</v>
      </c>
      <c r="J468">
        <f>_xlfn.XLOOKUP($A468,weather_2yrs!$A:$A,weather_2yrs!D:D)</f>
        <v>0</v>
      </c>
      <c r="K468">
        <f>_xlfn.XLOOKUP($A468,weather_2yrs!$A:$A,weather_2yrs!E:E)</f>
        <v>35.1</v>
      </c>
      <c r="L468">
        <f>_xlfn.XLOOKUP($A468,sales!$A:$A,sales!B:B)</f>
        <v>1</v>
      </c>
      <c r="M468" t="str">
        <f>_xlfn.XLOOKUP($A468,sales!$A:$A,sales!C:C)</f>
        <v>Miami Beach</v>
      </c>
      <c r="N468">
        <f>_xlfn.XLOOKUP($A468,sales!$A:$A,sales!D:D)</f>
        <v>240</v>
      </c>
      <c r="O468">
        <f>_xlfn.XLOOKUP($A468,sales!$A:$A,sales!E:E)</f>
        <v>4387.66</v>
      </c>
      <c r="P468" s="4">
        <f t="shared" si="23"/>
        <v>18.281916666666667</v>
      </c>
    </row>
    <row r="469" spans="1:16" x14ac:dyDescent="0.25">
      <c r="A469" s="1">
        <v>45394</v>
      </c>
      <c r="B469" s="1" t="str">
        <f t="shared" si="21"/>
        <v>Friday</v>
      </c>
      <c r="C469" s="1" t="b">
        <f t="shared" si="22"/>
        <v>0</v>
      </c>
      <c r="D469">
        <f>VLOOKUP($A469,survey_2yrs!A:B, 2)</f>
        <v>51.1</v>
      </c>
      <c r="E469">
        <f>VLOOKUP($A469,survey_2yrs!$A:C, 3)</f>
        <v>48.9</v>
      </c>
      <c r="F469">
        <f>VLOOKUP($A469,survey_2yrs!$A:D, 4)</f>
        <v>47.8</v>
      </c>
      <c r="G469">
        <f>_xlfn.XLOOKUP(A469,survey_2yrs!A:A,survey_2yrs!E:E)</f>
        <v>52.2</v>
      </c>
      <c r="H469">
        <f>_xlfn.XLOOKUP($A469,weather_2yrs!$A:$A,weather_2yrs!B:B)</f>
        <v>67.8</v>
      </c>
      <c r="I469">
        <f>_xlfn.XLOOKUP($A469,weather_2yrs!$A:$A,weather_2yrs!C:C)</f>
        <v>0</v>
      </c>
      <c r="J469">
        <f>_xlfn.XLOOKUP($A469,weather_2yrs!$A:$A,weather_2yrs!D:D)</f>
        <v>0</v>
      </c>
      <c r="K469">
        <f>_xlfn.XLOOKUP($A469,weather_2yrs!$A:$A,weather_2yrs!E:E)</f>
        <v>40.700000000000003</v>
      </c>
      <c r="L469">
        <f>_xlfn.XLOOKUP($A469,sales!$A:$A,sales!B:B)</f>
        <v>1</v>
      </c>
      <c r="M469" t="str">
        <f>_xlfn.XLOOKUP($A469,sales!$A:$A,sales!C:C)</f>
        <v>Miami Beach</v>
      </c>
      <c r="N469">
        <f>_xlfn.XLOOKUP($A469,sales!$A:$A,sales!D:D)</f>
        <v>214</v>
      </c>
      <c r="O469">
        <f>_xlfn.XLOOKUP($A469,sales!$A:$A,sales!E:E)</f>
        <v>3971.37</v>
      </c>
      <c r="P469" s="4">
        <f t="shared" si="23"/>
        <v>18.557803738317755</v>
      </c>
    </row>
    <row r="470" spans="1:16" x14ac:dyDescent="0.25">
      <c r="A470" s="1">
        <v>45395</v>
      </c>
      <c r="B470" s="1" t="str">
        <f t="shared" si="21"/>
        <v>Saturday</v>
      </c>
      <c r="C470" s="1" t="b">
        <f t="shared" si="22"/>
        <v>1</v>
      </c>
      <c r="D470">
        <f>VLOOKUP($A470,survey_2yrs!A:B, 2)</f>
        <v>50</v>
      </c>
      <c r="E470">
        <f>VLOOKUP($A470,survey_2yrs!$A:C, 3)</f>
        <v>50</v>
      </c>
      <c r="F470">
        <f>VLOOKUP($A470,survey_2yrs!$A:D, 4)</f>
        <v>54.1</v>
      </c>
      <c r="G470">
        <f>_xlfn.XLOOKUP(A470,survey_2yrs!A:A,survey_2yrs!E:E)</f>
        <v>45.9</v>
      </c>
      <c r="H470">
        <f>_xlfn.XLOOKUP($A470,weather_2yrs!$A:$A,weather_2yrs!B:B)</f>
        <v>67.900000000000006</v>
      </c>
      <c r="I470">
        <f>_xlfn.XLOOKUP($A470,weather_2yrs!$A:$A,weather_2yrs!C:C)</f>
        <v>0</v>
      </c>
      <c r="J470">
        <f>_xlfn.XLOOKUP($A470,weather_2yrs!$A:$A,weather_2yrs!D:D)</f>
        <v>0</v>
      </c>
      <c r="K470">
        <f>_xlfn.XLOOKUP($A470,weather_2yrs!$A:$A,weather_2yrs!E:E)</f>
        <v>35</v>
      </c>
      <c r="L470">
        <f>_xlfn.XLOOKUP($A470,sales!$A:$A,sales!B:B)</f>
        <v>1</v>
      </c>
      <c r="M470" t="str">
        <f>_xlfn.XLOOKUP($A470,sales!$A:$A,sales!C:C)</f>
        <v>Miami Beach</v>
      </c>
      <c r="N470">
        <f>_xlfn.XLOOKUP($A470,sales!$A:$A,sales!D:D)</f>
        <v>259</v>
      </c>
      <c r="O470">
        <f>_xlfn.XLOOKUP($A470,sales!$A:$A,sales!E:E)</f>
        <v>4661.9799999999996</v>
      </c>
      <c r="P470" s="4">
        <f t="shared" si="23"/>
        <v>17.999922779922777</v>
      </c>
    </row>
    <row r="471" spans="1:16" x14ac:dyDescent="0.25">
      <c r="A471" s="1">
        <v>45396</v>
      </c>
      <c r="B471" s="1" t="str">
        <f t="shared" si="21"/>
        <v>Sunday</v>
      </c>
      <c r="C471" s="1" t="b">
        <f t="shared" si="22"/>
        <v>1</v>
      </c>
      <c r="D471">
        <f>VLOOKUP($A471,survey_2yrs!A:B, 2)</f>
        <v>49</v>
      </c>
      <c r="E471">
        <f>VLOOKUP($A471,survey_2yrs!$A:C, 3)</f>
        <v>51</v>
      </c>
      <c r="F471">
        <f>VLOOKUP($A471,survey_2yrs!$A:D, 4)</f>
        <v>54.4</v>
      </c>
      <c r="G471">
        <f>_xlfn.XLOOKUP(A471,survey_2yrs!A:A,survey_2yrs!E:E)</f>
        <v>45.6</v>
      </c>
      <c r="H471">
        <f>_xlfn.XLOOKUP($A471,weather_2yrs!$A:$A,weather_2yrs!B:B)</f>
        <v>67.7</v>
      </c>
      <c r="I471">
        <f>_xlfn.XLOOKUP($A471,weather_2yrs!$A:$A,weather_2yrs!C:C)</f>
        <v>0</v>
      </c>
      <c r="J471">
        <f>_xlfn.XLOOKUP($A471,weather_2yrs!$A:$A,weather_2yrs!D:D)</f>
        <v>0</v>
      </c>
      <c r="K471">
        <f>_xlfn.XLOOKUP($A471,weather_2yrs!$A:$A,weather_2yrs!E:E)</f>
        <v>36.299999999999997</v>
      </c>
      <c r="L471">
        <f>_xlfn.XLOOKUP($A471,sales!$A:$A,sales!B:B)</f>
        <v>1</v>
      </c>
      <c r="M471" t="str">
        <f>_xlfn.XLOOKUP($A471,sales!$A:$A,sales!C:C)</f>
        <v>Miami Beach</v>
      </c>
      <c r="N471">
        <f>_xlfn.XLOOKUP($A471,sales!$A:$A,sales!D:D)</f>
        <v>278</v>
      </c>
      <c r="O471">
        <f>_xlfn.XLOOKUP($A471,sales!$A:$A,sales!E:E)</f>
        <v>5202.8599999999997</v>
      </c>
      <c r="P471" s="4">
        <f t="shared" si="23"/>
        <v>18.715323741007193</v>
      </c>
    </row>
    <row r="472" spans="1:16" x14ac:dyDescent="0.25">
      <c r="A472" s="1">
        <v>45397</v>
      </c>
      <c r="B472" s="1" t="str">
        <f t="shared" si="21"/>
        <v>Monday</v>
      </c>
      <c r="C472" s="1" t="b">
        <f t="shared" si="22"/>
        <v>0</v>
      </c>
      <c r="D472">
        <f>VLOOKUP($A472,survey_2yrs!A:B, 2)</f>
        <v>51</v>
      </c>
      <c r="E472">
        <f>VLOOKUP($A472,survey_2yrs!$A:C, 3)</f>
        <v>49</v>
      </c>
      <c r="F472">
        <f>VLOOKUP($A472,survey_2yrs!$A:D, 4)</f>
        <v>47.7</v>
      </c>
      <c r="G472">
        <f>_xlfn.XLOOKUP(A472,survey_2yrs!A:A,survey_2yrs!E:E)</f>
        <v>52.3</v>
      </c>
      <c r="H472">
        <f>_xlfn.XLOOKUP($A472,weather_2yrs!$A:$A,weather_2yrs!B:B)</f>
        <v>67.7</v>
      </c>
      <c r="I472">
        <f>_xlfn.XLOOKUP($A472,weather_2yrs!$A:$A,weather_2yrs!C:C)</f>
        <v>0</v>
      </c>
      <c r="J472">
        <f>_xlfn.XLOOKUP($A472,weather_2yrs!$A:$A,weather_2yrs!D:D)</f>
        <v>0</v>
      </c>
      <c r="K472">
        <f>_xlfn.XLOOKUP($A472,weather_2yrs!$A:$A,weather_2yrs!E:E)</f>
        <v>37.5</v>
      </c>
      <c r="L472">
        <f>_xlfn.XLOOKUP($A472,sales!$A:$A,sales!B:B)</f>
        <v>1</v>
      </c>
      <c r="M472" t="str">
        <f>_xlfn.XLOOKUP($A472,sales!$A:$A,sales!C:C)</f>
        <v>Miami Beach</v>
      </c>
      <c r="N472">
        <f>_xlfn.XLOOKUP($A472,sales!$A:$A,sales!D:D)</f>
        <v>202</v>
      </c>
      <c r="O472">
        <f>_xlfn.XLOOKUP($A472,sales!$A:$A,sales!E:E)</f>
        <v>3637.99</v>
      </c>
      <c r="P472" s="4">
        <f t="shared" si="23"/>
        <v>18.009851485148513</v>
      </c>
    </row>
    <row r="473" spans="1:16" x14ac:dyDescent="0.25">
      <c r="A473" s="1">
        <v>45398</v>
      </c>
      <c r="B473" s="1" t="str">
        <f t="shared" si="21"/>
        <v>Tuesday</v>
      </c>
      <c r="C473" s="1" t="b">
        <f t="shared" si="22"/>
        <v>0</v>
      </c>
      <c r="D473">
        <f>VLOOKUP($A473,survey_2yrs!A:B, 2)</f>
        <v>51.5</v>
      </c>
      <c r="E473">
        <f>VLOOKUP($A473,survey_2yrs!$A:C, 3)</f>
        <v>48.5</v>
      </c>
      <c r="F473">
        <f>VLOOKUP($A473,survey_2yrs!$A:D, 4)</f>
        <v>47.8</v>
      </c>
      <c r="G473">
        <f>_xlfn.XLOOKUP(A473,survey_2yrs!A:A,survey_2yrs!E:E)</f>
        <v>52.2</v>
      </c>
      <c r="H473">
        <f>_xlfn.XLOOKUP($A473,weather_2yrs!$A:$A,weather_2yrs!B:B)</f>
        <v>71.3</v>
      </c>
      <c r="I473">
        <f>_xlfn.XLOOKUP($A473,weather_2yrs!$A:$A,weather_2yrs!C:C)</f>
        <v>1.78</v>
      </c>
      <c r="J473">
        <f>_xlfn.XLOOKUP($A473,weather_2yrs!$A:$A,weather_2yrs!D:D)</f>
        <v>1</v>
      </c>
      <c r="K473">
        <f>_xlfn.XLOOKUP($A473,weather_2yrs!$A:$A,weather_2yrs!E:E)</f>
        <v>35</v>
      </c>
      <c r="L473">
        <f>_xlfn.XLOOKUP($A473,sales!$A:$A,sales!B:B)</f>
        <v>1</v>
      </c>
      <c r="M473" t="str">
        <f>_xlfn.XLOOKUP($A473,sales!$A:$A,sales!C:C)</f>
        <v>Miami Beach</v>
      </c>
      <c r="N473">
        <f>_xlfn.XLOOKUP($A473,sales!$A:$A,sales!D:D)</f>
        <v>201</v>
      </c>
      <c r="O473">
        <f>_xlfn.XLOOKUP($A473,sales!$A:$A,sales!E:E)</f>
        <v>3402.02</v>
      </c>
      <c r="P473" s="4">
        <f t="shared" si="23"/>
        <v>16.925472636815922</v>
      </c>
    </row>
    <row r="474" spans="1:16" x14ac:dyDescent="0.25">
      <c r="A474" s="1">
        <v>45399</v>
      </c>
      <c r="B474" s="1" t="str">
        <f t="shared" si="21"/>
        <v>Wednesday</v>
      </c>
      <c r="C474" s="1" t="b">
        <f t="shared" si="22"/>
        <v>0</v>
      </c>
      <c r="D474">
        <f>VLOOKUP($A474,survey_2yrs!A:B, 2)</f>
        <v>51.6</v>
      </c>
      <c r="E474">
        <f>VLOOKUP($A474,survey_2yrs!$A:C, 3)</f>
        <v>48.4</v>
      </c>
      <c r="F474">
        <f>VLOOKUP($A474,survey_2yrs!$A:D, 4)</f>
        <v>46.7</v>
      </c>
      <c r="G474">
        <f>_xlfn.XLOOKUP(A474,survey_2yrs!A:A,survey_2yrs!E:E)</f>
        <v>53.3</v>
      </c>
      <c r="H474">
        <f>_xlfn.XLOOKUP($A474,weather_2yrs!$A:$A,weather_2yrs!B:B)</f>
        <v>68.900000000000006</v>
      </c>
      <c r="I474">
        <f>_xlfn.XLOOKUP($A474,weather_2yrs!$A:$A,weather_2yrs!C:C)</f>
        <v>0</v>
      </c>
      <c r="J474">
        <f>_xlfn.XLOOKUP($A474,weather_2yrs!$A:$A,weather_2yrs!D:D)</f>
        <v>0</v>
      </c>
      <c r="K474">
        <f>_xlfn.XLOOKUP($A474,weather_2yrs!$A:$A,weather_2yrs!E:E)</f>
        <v>35</v>
      </c>
      <c r="L474">
        <f>_xlfn.XLOOKUP($A474,sales!$A:$A,sales!B:B)</f>
        <v>1</v>
      </c>
      <c r="M474" t="str">
        <f>_xlfn.XLOOKUP($A474,sales!$A:$A,sales!C:C)</f>
        <v>Miami Beach</v>
      </c>
      <c r="N474">
        <f>_xlfn.XLOOKUP($A474,sales!$A:$A,sales!D:D)</f>
        <v>218</v>
      </c>
      <c r="O474">
        <f>_xlfn.XLOOKUP($A474,sales!$A:$A,sales!E:E)</f>
        <v>4377.6499999999996</v>
      </c>
      <c r="P474" s="4">
        <f t="shared" si="23"/>
        <v>20.080963302752291</v>
      </c>
    </row>
    <row r="475" spans="1:16" x14ac:dyDescent="0.25">
      <c r="A475" s="1">
        <v>45400</v>
      </c>
      <c r="B475" s="1" t="str">
        <f t="shared" si="21"/>
        <v>Thursday</v>
      </c>
      <c r="C475" s="1" t="b">
        <f t="shared" si="22"/>
        <v>0</v>
      </c>
      <c r="D475">
        <f>VLOOKUP($A475,survey_2yrs!A:B, 2)</f>
        <v>51.6</v>
      </c>
      <c r="E475">
        <f>VLOOKUP($A475,survey_2yrs!$A:C, 3)</f>
        <v>48.4</v>
      </c>
      <c r="F475">
        <f>VLOOKUP($A475,survey_2yrs!$A:D, 4)</f>
        <v>48.5</v>
      </c>
      <c r="G475">
        <f>_xlfn.XLOOKUP(A475,survey_2yrs!A:A,survey_2yrs!E:E)</f>
        <v>51.5</v>
      </c>
      <c r="H475">
        <f>_xlfn.XLOOKUP($A475,weather_2yrs!$A:$A,weather_2yrs!B:B)</f>
        <v>67.599999999999994</v>
      </c>
      <c r="I475">
        <f>_xlfn.XLOOKUP($A475,weather_2yrs!$A:$A,weather_2yrs!C:C)</f>
        <v>0</v>
      </c>
      <c r="J475">
        <f>_xlfn.XLOOKUP($A475,weather_2yrs!$A:$A,weather_2yrs!D:D)</f>
        <v>0</v>
      </c>
      <c r="K475">
        <f>_xlfn.XLOOKUP($A475,weather_2yrs!$A:$A,weather_2yrs!E:E)</f>
        <v>39.9</v>
      </c>
      <c r="L475">
        <f>_xlfn.XLOOKUP($A475,sales!$A:$A,sales!B:B)</f>
        <v>1</v>
      </c>
      <c r="M475" t="str">
        <f>_xlfn.XLOOKUP($A475,sales!$A:$A,sales!C:C)</f>
        <v>Miami Beach</v>
      </c>
      <c r="N475">
        <f>_xlfn.XLOOKUP($A475,sales!$A:$A,sales!D:D)</f>
        <v>215</v>
      </c>
      <c r="O475">
        <f>_xlfn.XLOOKUP($A475,sales!$A:$A,sales!E:E)</f>
        <v>3839.38</v>
      </c>
      <c r="P475" s="4">
        <f t="shared" si="23"/>
        <v>17.857581395348838</v>
      </c>
    </row>
    <row r="476" spans="1:16" x14ac:dyDescent="0.25">
      <c r="A476" s="1">
        <v>45401</v>
      </c>
      <c r="B476" s="1" t="str">
        <f t="shared" si="21"/>
        <v>Friday</v>
      </c>
      <c r="C476" s="1" t="b">
        <f t="shared" si="22"/>
        <v>0</v>
      </c>
      <c r="D476">
        <f>VLOOKUP($A476,survey_2yrs!A:B, 2)</f>
        <v>51.2</v>
      </c>
      <c r="E476">
        <f>VLOOKUP($A476,survey_2yrs!$A:C, 3)</f>
        <v>48.8</v>
      </c>
      <c r="F476">
        <f>VLOOKUP($A476,survey_2yrs!$A:D, 4)</f>
        <v>49.2</v>
      </c>
      <c r="G476">
        <f>_xlfn.XLOOKUP(A476,survey_2yrs!A:A,survey_2yrs!E:E)</f>
        <v>50.8</v>
      </c>
      <c r="H476">
        <f>_xlfn.XLOOKUP($A476,weather_2yrs!$A:$A,weather_2yrs!B:B)</f>
        <v>75.8</v>
      </c>
      <c r="I476">
        <f>_xlfn.XLOOKUP($A476,weather_2yrs!$A:$A,weather_2yrs!C:C)</f>
        <v>1.07</v>
      </c>
      <c r="J476">
        <f>_xlfn.XLOOKUP($A476,weather_2yrs!$A:$A,weather_2yrs!D:D)</f>
        <v>1</v>
      </c>
      <c r="K476">
        <f>_xlfn.XLOOKUP($A476,weather_2yrs!$A:$A,weather_2yrs!E:E)</f>
        <v>47.8</v>
      </c>
      <c r="L476">
        <f>_xlfn.XLOOKUP($A476,sales!$A:$A,sales!B:B)</f>
        <v>1</v>
      </c>
      <c r="M476" t="str">
        <f>_xlfn.XLOOKUP($A476,sales!$A:$A,sales!C:C)</f>
        <v>Miami Beach</v>
      </c>
      <c r="N476">
        <f>_xlfn.XLOOKUP($A476,sales!$A:$A,sales!D:D)</f>
        <v>242</v>
      </c>
      <c r="O476">
        <f>_xlfn.XLOOKUP($A476,sales!$A:$A,sales!E:E)</f>
        <v>4379.63</v>
      </c>
      <c r="P476" s="4">
        <f t="shared" si="23"/>
        <v>18.097644628099175</v>
      </c>
    </row>
    <row r="477" spans="1:16" x14ac:dyDescent="0.25">
      <c r="A477" s="1">
        <v>45402</v>
      </c>
      <c r="B477" s="1" t="str">
        <f t="shared" si="21"/>
        <v>Saturday</v>
      </c>
      <c r="C477" s="1" t="b">
        <f t="shared" si="22"/>
        <v>1</v>
      </c>
      <c r="D477">
        <f>VLOOKUP($A477,survey_2yrs!A:B, 2)</f>
        <v>52.7</v>
      </c>
      <c r="E477">
        <f>VLOOKUP($A477,survey_2yrs!$A:C, 3)</f>
        <v>47.3</v>
      </c>
      <c r="F477">
        <f>VLOOKUP($A477,survey_2yrs!$A:D, 4)</f>
        <v>54.1</v>
      </c>
      <c r="G477">
        <f>_xlfn.XLOOKUP(A477,survey_2yrs!A:A,survey_2yrs!E:E)</f>
        <v>45.9</v>
      </c>
      <c r="H477">
        <f>_xlfn.XLOOKUP($A477,weather_2yrs!$A:$A,weather_2yrs!B:B)</f>
        <v>69.3</v>
      </c>
      <c r="I477">
        <f>_xlfn.XLOOKUP($A477,weather_2yrs!$A:$A,weather_2yrs!C:C)</f>
        <v>0.42</v>
      </c>
      <c r="J477">
        <f>_xlfn.XLOOKUP($A477,weather_2yrs!$A:$A,weather_2yrs!D:D)</f>
        <v>1</v>
      </c>
      <c r="K477">
        <f>_xlfn.XLOOKUP($A477,weather_2yrs!$A:$A,weather_2yrs!E:E)</f>
        <v>39.299999999999997</v>
      </c>
      <c r="L477">
        <f>_xlfn.XLOOKUP($A477,sales!$A:$A,sales!B:B)</f>
        <v>1</v>
      </c>
      <c r="M477" t="str">
        <f>_xlfn.XLOOKUP($A477,sales!$A:$A,sales!C:C)</f>
        <v>Miami Beach</v>
      </c>
      <c r="N477">
        <f>_xlfn.XLOOKUP($A477,sales!$A:$A,sales!D:D)</f>
        <v>274</v>
      </c>
      <c r="O477">
        <f>_xlfn.XLOOKUP($A477,sales!$A:$A,sales!E:E)</f>
        <v>4815.67</v>
      </c>
      <c r="P477" s="4">
        <f t="shared" si="23"/>
        <v>17.575437956204379</v>
      </c>
    </row>
    <row r="478" spans="1:16" x14ac:dyDescent="0.25">
      <c r="A478" s="1">
        <v>45403</v>
      </c>
      <c r="B478" s="1" t="str">
        <f t="shared" si="21"/>
        <v>Sunday</v>
      </c>
      <c r="C478" s="1" t="b">
        <f t="shared" si="22"/>
        <v>1</v>
      </c>
      <c r="D478">
        <f>VLOOKUP($A478,survey_2yrs!A:B, 2)</f>
        <v>50.9</v>
      </c>
      <c r="E478">
        <f>VLOOKUP($A478,survey_2yrs!$A:C, 3)</f>
        <v>49.1</v>
      </c>
      <c r="F478">
        <f>VLOOKUP($A478,survey_2yrs!$A:D, 4)</f>
        <v>52.4</v>
      </c>
      <c r="G478">
        <f>_xlfn.XLOOKUP(A478,survey_2yrs!A:A,survey_2yrs!E:E)</f>
        <v>47.6</v>
      </c>
      <c r="H478">
        <f>_xlfn.XLOOKUP($A478,weather_2yrs!$A:$A,weather_2yrs!B:B)</f>
        <v>67.8</v>
      </c>
      <c r="I478">
        <f>_xlfn.XLOOKUP($A478,weather_2yrs!$A:$A,weather_2yrs!C:C)</f>
        <v>0</v>
      </c>
      <c r="J478">
        <f>_xlfn.XLOOKUP($A478,weather_2yrs!$A:$A,weather_2yrs!D:D)</f>
        <v>0</v>
      </c>
      <c r="K478">
        <f>_xlfn.XLOOKUP($A478,weather_2yrs!$A:$A,weather_2yrs!E:E)</f>
        <v>39.1</v>
      </c>
      <c r="L478">
        <f>_xlfn.XLOOKUP($A478,sales!$A:$A,sales!B:B)</f>
        <v>1</v>
      </c>
      <c r="M478" t="str">
        <f>_xlfn.XLOOKUP($A478,sales!$A:$A,sales!C:C)</f>
        <v>Miami Beach</v>
      </c>
      <c r="N478">
        <f>_xlfn.XLOOKUP($A478,sales!$A:$A,sales!D:D)</f>
        <v>221</v>
      </c>
      <c r="O478">
        <f>_xlfn.XLOOKUP($A478,sales!$A:$A,sales!E:E)</f>
        <v>4105.72</v>
      </c>
      <c r="P478" s="4">
        <f t="shared" si="23"/>
        <v>18.577918552036202</v>
      </c>
    </row>
    <row r="479" spans="1:16" x14ac:dyDescent="0.25">
      <c r="A479" s="1">
        <v>45404</v>
      </c>
      <c r="B479" s="1" t="str">
        <f t="shared" si="21"/>
        <v>Monday</v>
      </c>
      <c r="C479" s="1" t="b">
        <f t="shared" si="22"/>
        <v>0</v>
      </c>
      <c r="D479">
        <f>VLOOKUP($A479,survey_2yrs!A:B, 2)</f>
        <v>51.2</v>
      </c>
      <c r="E479">
        <f>VLOOKUP($A479,survey_2yrs!$A:C, 3)</f>
        <v>48.8</v>
      </c>
      <c r="F479">
        <f>VLOOKUP($A479,survey_2yrs!$A:D, 4)</f>
        <v>47.6</v>
      </c>
      <c r="G479">
        <f>_xlfn.XLOOKUP(A479,survey_2yrs!A:A,survey_2yrs!E:E)</f>
        <v>52.4</v>
      </c>
      <c r="H479">
        <f>_xlfn.XLOOKUP($A479,weather_2yrs!$A:$A,weather_2yrs!B:B)</f>
        <v>70.099999999999994</v>
      </c>
      <c r="I479">
        <f>_xlfn.XLOOKUP($A479,weather_2yrs!$A:$A,weather_2yrs!C:C)</f>
        <v>0</v>
      </c>
      <c r="J479">
        <f>_xlfn.XLOOKUP($A479,weather_2yrs!$A:$A,weather_2yrs!D:D)</f>
        <v>0</v>
      </c>
      <c r="K479">
        <f>_xlfn.XLOOKUP($A479,weather_2yrs!$A:$A,weather_2yrs!E:E)</f>
        <v>35</v>
      </c>
      <c r="L479">
        <f>_xlfn.XLOOKUP($A479,sales!$A:$A,sales!B:B)</f>
        <v>1</v>
      </c>
      <c r="M479" t="str">
        <f>_xlfn.XLOOKUP($A479,sales!$A:$A,sales!C:C)</f>
        <v>Miami Beach</v>
      </c>
      <c r="N479">
        <f>_xlfn.XLOOKUP($A479,sales!$A:$A,sales!D:D)</f>
        <v>230</v>
      </c>
      <c r="O479">
        <f>_xlfn.XLOOKUP($A479,sales!$A:$A,sales!E:E)</f>
        <v>4285.38</v>
      </c>
      <c r="P479" s="4">
        <f t="shared" si="23"/>
        <v>18.632086956521739</v>
      </c>
    </row>
    <row r="480" spans="1:16" x14ac:dyDescent="0.25">
      <c r="A480" s="1">
        <v>45405</v>
      </c>
      <c r="B480" s="1" t="str">
        <f t="shared" si="21"/>
        <v>Tuesday</v>
      </c>
      <c r="C480" s="1" t="b">
        <f t="shared" si="22"/>
        <v>0</v>
      </c>
      <c r="D480">
        <f>VLOOKUP($A480,survey_2yrs!A:B, 2)</f>
        <v>51.3</v>
      </c>
      <c r="E480">
        <f>VLOOKUP($A480,survey_2yrs!$A:C, 3)</f>
        <v>48.7</v>
      </c>
      <c r="F480">
        <f>VLOOKUP($A480,survey_2yrs!$A:D, 4)</f>
        <v>47.4</v>
      </c>
      <c r="G480">
        <f>_xlfn.XLOOKUP(A480,survey_2yrs!A:A,survey_2yrs!E:E)</f>
        <v>52.6</v>
      </c>
      <c r="H480">
        <f>_xlfn.XLOOKUP($A480,weather_2yrs!$A:$A,weather_2yrs!B:B)</f>
        <v>69.2</v>
      </c>
      <c r="I480">
        <f>_xlfn.XLOOKUP($A480,weather_2yrs!$A:$A,weather_2yrs!C:C)</f>
        <v>0</v>
      </c>
      <c r="J480">
        <f>_xlfn.XLOOKUP($A480,weather_2yrs!$A:$A,weather_2yrs!D:D)</f>
        <v>0</v>
      </c>
      <c r="K480">
        <f>_xlfn.XLOOKUP($A480,weather_2yrs!$A:$A,weather_2yrs!E:E)</f>
        <v>39.1</v>
      </c>
      <c r="L480">
        <f>_xlfn.XLOOKUP($A480,sales!$A:$A,sales!B:B)</f>
        <v>1</v>
      </c>
      <c r="M480" t="str">
        <f>_xlfn.XLOOKUP($A480,sales!$A:$A,sales!C:C)</f>
        <v>Miami Beach</v>
      </c>
      <c r="N480">
        <f>_xlfn.XLOOKUP($A480,sales!$A:$A,sales!D:D)</f>
        <v>218</v>
      </c>
      <c r="O480">
        <f>_xlfn.XLOOKUP($A480,sales!$A:$A,sales!E:E)</f>
        <v>3718.47</v>
      </c>
      <c r="P480" s="4">
        <f t="shared" si="23"/>
        <v>17.057201834862383</v>
      </c>
    </row>
    <row r="481" spans="1:16" x14ac:dyDescent="0.25">
      <c r="A481" s="1">
        <v>45406</v>
      </c>
      <c r="B481" s="1" t="str">
        <f t="shared" si="21"/>
        <v>Wednesday</v>
      </c>
      <c r="C481" s="1" t="b">
        <f t="shared" si="22"/>
        <v>0</v>
      </c>
      <c r="D481">
        <f>VLOOKUP($A481,survey_2yrs!A:B, 2)</f>
        <v>51.7</v>
      </c>
      <c r="E481">
        <f>VLOOKUP($A481,survey_2yrs!$A:C, 3)</f>
        <v>48.3</v>
      </c>
      <c r="F481">
        <f>VLOOKUP($A481,survey_2yrs!$A:D, 4)</f>
        <v>47.2</v>
      </c>
      <c r="G481">
        <f>_xlfn.XLOOKUP(A481,survey_2yrs!A:A,survey_2yrs!E:E)</f>
        <v>52.8</v>
      </c>
      <c r="H481">
        <f>_xlfn.XLOOKUP($A481,weather_2yrs!$A:$A,weather_2yrs!B:B)</f>
        <v>68.8</v>
      </c>
      <c r="I481">
        <f>_xlfn.XLOOKUP($A481,weather_2yrs!$A:$A,weather_2yrs!C:C)</f>
        <v>0</v>
      </c>
      <c r="J481">
        <f>_xlfn.XLOOKUP($A481,weather_2yrs!$A:$A,weather_2yrs!D:D)</f>
        <v>0</v>
      </c>
      <c r="K481">
        <f>_xlfn.XLOOKUP($A481,weather_2yrs!$A:$A,weather_2yrs!E:E)</f>
        <v>35.5</v>
      </c>
      <c r="L481">
        <f>_xlfn.XLOOKUP($A481,sales!$A:$A,sales!B:B)</f>
        <v>1</v>
      </c>
      <c r="M481" t="str">
        <f>_xlfn.XLOOKUP($A481,sales!$A:$A,sales!C:C)</f>
        <v>Miami Beach</v>
      </c>
      <c r="N481">
        <f>_xlfn.XLOOKUP($A481,sales!$A:$A,sales!D:D)</f>
        <v>225</v>
      </c>
      <c r="O481">
        <f>_xlfn.XLOOKUP($A481,sales!$A:$A,sales!E:E)</f>
        <v>4047.28</v>
      </c>
      <c r="P481" s="4">
        <f t="shared" si="23"/>
        <v>17.987911111111114</v>
      </c>
    </row>
    <row r="482" spans="1:16" x14ac:dyDescent="0.25">
      <c r="A482" s="1">
        <v>45407</v>
      </c>
      <c r="B482" s="1" t="str">
        <f t="shared" si="21"/>
        <v>Thursday</v>
      </c>
      <c r="C482" s="1" t="b">
        <f t="shared" si="22"/>
        <v>0</v>
      </c>
      <c r="D482">
        <f>VLOOKUP($A482,survey_2yrs!A:B, 2)</f>
        <v>53.9</v>
      </c>
      <c r="E482">
        <f>VLOOKUP($A482,survey_2yrs!$A:C, 3)</f>
        <v>46.1</v>
      </c>
      <c r="F482">
        <f>VLOOKUP($A482,survey_2yrs!$A:D, 4)</f>
        <v>46.8</v>
      </c>
      <c r="G482">
        <f>_xlfn.XLOOKUP(A482,survey_2yrs!A:A,survey_2yrs!E:E)</f>
        <v>53.2</v>
      </c>
      <c r="H482">
        <f>_xlfn.XLOOKUP($A482,weather_2yrs!$A:$A,weather_2yrs!B:B)</f>
        <v>67</v>
      </c>
      <c r="I482">
        <f>_xlfn.XLOOKUP($A482,weather_2yrs!$A:$A,weather_2yrs!C:C)</f>
        <v>2.58</v>
      </c>
      <c r="J482">
        <f>_xlfn.XLOOKUP($A482,weather_2yrs!$A:$A,weather_2yrs!D:D)</f>
        <v>1</v>
      </c>
      <c r="K482">
        <f>_xlfn.XLOOKUP($A482,weather_2yrs!$A:$A,weather_2yrs!E:E)</f>
        <v>38.1</v>
      </c>
      <c r="L482">
        <f>_xlfn.XLOOKUP($A482,sales!$A:$A,sales!B:B)</f>
        <v>1</v>
      </c>
      <c r="M482" t="str">
        <f>_xlfn.XLOOKUP($A482,sales!$A:$A,sales!C:C)</f>
        <v>Miami Beach</v>
      </c>
      <c r="N482">
        <f>_xlfn.XLOOKUP($A482,sales!$A:$A,sales!D:D)</f>
        <v>189</v>
      </c>
      <c r="O482">
        <f>_xlfn.XLOOKUP($A482,sales!$A:$A,sales!E:E)</f>
        <v>3429.78</v>
      </c>
      <c r="P482" s="4">
        <f t="shared" si="23"/>
        <v>18.14698412698413</v>
      </c>
    </row>
    <row r="483" spans="1:16" x14ac:dyDescent="0.25">
      <c r="A483" s="1">
        <v>45408</v>
      </c>
      <c r="B483" s="1" t="str">
        <f t="shared" si="21"/>
        <v>Friday</v>
      </c>
      <c r="C483" s="1" t="b">
        <f t="shared" si="22"/>
        <v>0</v>
      </c>
      <c r="D483">
        <f>VLOOKUP($A483,survey_2yrs!A:B, 2)</f>
        <v>52.8</v>
      </c>
      <c r="E483">
        <f>VLOOKUP($A483,survey_2yrs!$A:C, 3)</f>
        <v>47.2</v>
      </c>
      <c r="F483">
        <f>VLOOKUP($A483,survey_2yrs!$A:D, 4)</f>
        <v>47.3</v>
      </c>
      <c r="G483">
        <f>_xlfn.XLOOKUP(A483,survey_2yrs!A:A,survey_2yrs!E:E)</f>
        <v>52.7</v>
      </c>
      <c r="H483">
        <f>_xlfn.XLOOKUP($A483,weather_2yrs!$A:$A,weather_2yrs!B:B)</f>
        <v>59.9</v>
      </c>
      <c r="I483">
        <f>_xlfn.XLOOKUP($A483,weather_2yrs!$A:$A,weather_2yrs!C:C)</f>
        <v>0</v>
      </c>
      <c r="J483">
        <f>_xlfn.XLOOKUP($A483,weather_2yrs!$A:$A,weather_2yrs!D:D)</f>
        <v>0</v>
      </c>
      <c r="K483">
        <f>_xlfn.XLOOKUP($A483,weather_2yrs!$A:$A,weather_2yrs!E:E)</f>
        <v>36.299999999999997</v>
      </c>
      <c r="L483">
        <f>_xlfn.XLOOKUP($A483,sales!$A:$A,sales!B:B)</f>
        <v>1</v>
      </c>
      <c r="M483" t="str">
        <f>_xlfn.XLOOKUP($A483,sales!$A:$A,sales!C:C)</f>
        <v>Miami Beach</v>
      </c>
      <c r="N483">
        <f>_xlfn.XLOOKUP($A483,sales!$A:$A,sales!D:D)</f>
        <v>243</v>
      </c>
      <c r="O483">
        <f>_xlfn.XLOOKUP($A483,sales!$A:$A,sales!E:E)</f>
        <v>4654.97</v>
      </c>
      <c r="P483" s="4">
        <f t="shared" si="23"/>
        <v>19.156255144032922</v>
      </c>
    </row>
    <row r="484" spans="1:16" x14ac:dyDescent="0.25">
      <c r="A484" s="1">
        <v>45409</v>
      </c>
      <c r="B484" s="1" t="str">
        <f t="shared" si="21"/>
        <v>Saturday</v>
      </c>
      <c r="C484" s="1" t="b">
        <f t="shared" si="22"/>
        <v>1</v>
      </c>
      <c r="D484">
        <f>VLOOKUP($A484,survey_2yrs!A:B, 2)</f>
        <v>50.9</v>
      </c>
      <c r="E484">
        <f>VLOOKUP($A484,survey_2yrs!$A:C, 3)</f>
        <v>49.1</v>
      </c>
      <c r="F484">
        <f>VLOOKUP($A484,survey_2yrs!$A:D, 4)</f>
        <v>54.7</v>
      </c>
      <c r="G484">
        <f>_xlfn.XLOOKUP(A484,survey_2yrs!A:A,survey_2yrs!E:E)</f>
        <v>45.3</v>
      </c>
      <c r="H484">
        <f>_xlfn.XLOOKUP($A484,weather_2yrs!$A:$A,weather_2yrs!B:B)</f>
        <v>70.400000000000006</v>
      </c>
      <c r="I484">
        <f>_xlfn.XLOOKUP($A484,weather_2yrs!$A:$A,weather_2yrs!C:C)</f>
        <v>0</v>
      </c>
      <c r="J484">
        <f>_xlfn.XLOOKUP($A484,weather_2yrs!$A:$A,weather_2yrs!D:D)</f>
        <v>0</v>
      </c>
      <c r="K484">
        <f>_xlfn.XLOOKUP($A484,weather_2yrs!$A:$A,weather_2yrs!E:E)</f>
        <v>47.3</v>
      </c>
      <c r="L484">
        <f>_xlfn.XLOOKUP($A484,sales!$A:$A,sales!B:B)</f>
        <v>1</v>
      </c>
      <c r="M484" t="str">
        <f>_xlfn.XLOOKUP($A484,sales!$A:$A,sales!C:C)</f>
        <v>Miami Beach</v>
      </c>
      <c r="N484">
        <f>_xlfn.XLOOKUP($A484,sales!$A:$A,sales!D:D)</f>
        <v>263</v>
      </c>
      <c r="O484">
        <f>_xlfn.XLOOKUP($A484,sales!$A:$A,sales!E:E)</f>
        <v>4883.3500000000004</v>
      </c>
      <c r="P484" s="4">
        <f t="shared" si="23"/>
        <v>18.567870722433462</v>
      </c>
    </row>
    <row r="485" spans="1:16" x14ac:dyDescent="0.25">
      <c r="A485" s="1">
        <v>45410</v>
      </c>
      <c r="B485" s="1" t="str">
        <f t="shared" si="21"/>
        <v>Sunday</v>
      </c>
      <c r="C485" s="1" t="b">
        <f t="shared" si="22"/>
        <v>1</v>
      </c>
      <c r="D485">
        <f>VLOOKUP($A485,survey_2yrs!A:B, 2)</f>
        <v>52.4</v>
      </c>
      <c r="E485">
        <f>VLOOKUP($A485,survey_2yrs!$A:C, 3)</f>
        <v>47.6</v>
      </c>
      <c r="F485">
        <f>VLOOKUP($A485,survey_2yrs!$A:D, 4)</f>
        <v>53.2</v>
      </c>
      <c r="G485">
        <f>_xlfn.XLOOKUP(A485,survey_2yrs!A:A,survey_2yrs!E:E)</f>
        <v>46.8</v>
      </c>
      <c r="H485">
        <f>_xlfn.XLOOKUP($A485,weather_2yrs!$A:$A,weather_2yrs!B:B)</f>
        <v>67.099999999999994</v>
      </c>
      <c r="I485">
        <f>_xlfn.XLOOKUP($A485,weather_2yrs!$A:$A,weather_2yrs!C:C)</f>
        <v>0</v>
      </c>
      <c r="J485">
        <f>_xlfn.XLOOKUP($A485,weather_2yrs!$A:$A,weather_2yrs!D:D)</f>
        <v>0</v>
      </c>
      <c r="K485">
        <f>_xlfn.XLOOKUP($A485,weather_2yrs!$A:$A,weather_2yrs!E:E)</f>
        <v>53.8</v>
      </c>
      <c r="L485">
        <f>_xlfn.XLOOKUP($A485,sales!$A:$A,sales!B:B)</f>
        <v>1</v>
      </c>
      <c r="M485" t="str">
        <f>_xlfn.XLOOKUP($A485,sales!$A:$A,sales!C:C)</f>
        <v>Miami Beach</v>
      </c>
      <c r="N485">
        <f>_xlfn.XLOOKUP($A485,sales!$A:$A,sales!D:D)</f>
        <v>241</v>
      </c>
      <c r="O485">
        <f>_xlfn.XLOOKUP($A485,sales!$A:$A,sales!E:E)</f>
        <v>4684.22</v>
      </c>
      <c r="P485" s="4">
        <f t="shared" si="23"/>
        <v>19.436597510373446</v>
      </c>
    </row>
    <row r="486" spans="1:16" x14ac:dyDescent="0.25">
      <c r="A486" s="1">
        <v>45411</v>
      </c>
      <c r="B486" s="1" t="str">
        <f t="shared" si="21"/>
        <v>Monday</v>
      </c>
      <c r="C486" s="1" t="b">
        <f t="shared" si="22"/>
        <v>0</v>
      </c>
      <c r="D486">
        <f>VLOOKUP($A486,survey_2yrs!A:B, 2)</f>
        <v>51.9</v>
      </c>
      <c r="E486">
        <f>VLOOKUP($A486,survey_2yrs!$A:C, 3)</f>
        <v>48.1</v>
      </c>
      <c r="F486">
        <f>VLOOKUP($A486,survey_2yrs!$A:D, 4)</f>
        <v>47.9</v>
      </c>
      <c r="G486">
        <f>_xlfn.XLOOKUP(A486,survey_2yrs!A:A,survey_2yrs!E:E)</f>
        <v>52.1</v>
      </c>
      <c r="H486">
        <f>_xlfn.XLOOKUP($A486,weather_2yrs!$A:$A,weather_2yrs!B:B)</f>
        <v>64.8</v>
      </c>
      <c r="I486">
        <f>_xlfn.XLOOKUP($A486,weather_2yrs!$A:$A,weather_2yrs!C:C)</f>
        <v>0</v>
      </c>
      <c r="J486">
        <f>_xlfn.XLOOKUP($A486,weather_2yrs!$A:$A,weather_2yrs!D:D)</f>
        <v>0</v>
      </c>
      <c r="K486">
        <f>_xlfn.XLOOKUP($A486,weather_2yrs!$A:$A,weather_2yrs!E:E)</f>
        <v>42.9</v>
      </c>
      <c r="L486">
        <f>_xlfn.XLOOKUP($A486,sales!$A:$A,sales!B:B)</f>
        <v>1</v>
      </c>
      <c r="M486" t="str">
        <f>_xlfn.XLOOKUP($A486,sales!$A:$A,sales!C:C)</f>
        <v>Miami Beach</v>
      </c>
      <c r="N486">
        <f>_xlfn.XLOOKUP($A486,sales!$A:$A,sales!D:D)</f>
        <v>216</v>
      </c>
      <c r="O486">
        <f>_xlfn.XLOOKUP($A486,sales!$A:$A,sales!E:E)</f>
        <v>3734.49</v>
      </c>
      <c r="P486" s="4">
        <f t="shared" si="23"/>
        <v>17.289305555555554</v>
      </c>
    </row>
    <row r="487" spans="1:16" x14ac:dyDescent="0.25">
      <c r="A487" s="1">
        <v>45412</v>
      </c>
      <c r="B487" s="1" t="str">
        <f t="shared" si="21"/>
        <v>Tuesday</v>
      </c>
      <c r="C487" s="1" t="b">
        <f t="shared" si="22"/>
        <v>0</v>
      </c>
      <c r="D487">
        <f>VLOOKUP($A487,survey_2yrs!A:B, 2)</f>
        <v>50.7</v>
      </c>
      <c r="E487">
        <f>VLOOKUP($A487,survey_2yrs!$A:C, 3)</f>
        <v>49.3</v>
      </c>
      <c r="F487">
        <f>VLOOKUP($A487,survey_2yrs!$A:D, 4)</f>
        <v>47.7</v>
      </c>
      <c r="G487">
        <f>_xlfn.XLOOKUP(A487,survey_2yrs!A:A,survey_2yrs!E:E)</f>
        <v>52.3</v>
      </c>
      <c r="H487">
        <f>_xlfn.XLOOKUP($A487,weather_2yrs!$A:$A,weather_2yrs!B:B)</f>
        <v>70.099999999999994</v>
      </c>
      <c r="I487">
        <f>_xlfn.XLOOKUP($A487,weather_2yrs!$A:$A,weather_2yrs!C:C)</f>
        <v>0</v>
      </c>
      <c r="J487">
        <f>_xlfn.XLOOKUP($A487,weather_2yrs!$A:$A,weather_2yrs!D:D)</f>
        <v>0</v>
      </c>
      <c r="K487">
        <f>_xlfn.XLOOKUP($A487,weather_2yrs!$A:$A,weather_2yrs!E:E)</f>
        <v>41.7</v>
      </c>
      <c r="L487">
        <f>_xlfn.XLOOKUP($A487,sales!$A:$A,sales!B:B)</f>
        <v>1</v>
      </c>
      <c r="M487" t="str">
        <f>_xlfn.XLOOKUP($A487,sales!$A:$A,sales!C:C)</f>
        <v>Miami Beach</v>
      </c>
      <c r="N487">
        <f>_xlfn.XLOOKUP($A487,sales!$A:$A,sales!D:D)</f>
        <v>217</v>
      </c>
      <c r="O487">
        <f>_xlfn.XLOOKUP($A487,sales!$A:$A,sales!E:E)</f>
        <v>4726.34</v>
      </c>
      <c r="P487" s="4">
        <f t="shared" si="23"/>
        <v>21.780368663594469</v>
      </c>
    </row>
    <row r="488" spans="1:16" x14ac:dyDescent="0.25">
      <c r="A488" s="1">
        <v>45413</v>
      </c>
      <c r="B488" s="1" t="str">
        <f t="shared" si="21"/>
        <v>Wednesday</v>
      </c>
      <c r="C488" s="1" t="b">
        <f t="shared" si="22"/>
        <v>0</v>
      </c>
      <c r="D488">
        <f>VLOOKUP($A488,survey_2yrs!A:B, 2)</f>
        <v>51.2</v>
      </c>
      <c r="E488">
        <f>VLOOKUP($A488,survey_2yrs!$A:C, 3)</f>
        <v>48.8</v>
      </c>
      <c r="F488">
        <f>VLOOKUP($A488,survey_2yrs!$A:D, 4)</f>
        <v>48.2</v>
      </c>
      <c r="G488">
        <f>_xlfn.XLOOKUP(A488,survey_2yrs!A:A,survey_2yrs!E:E)</f>
        <v>51.8</v>
      </c>
      <c r="H488">
        <f>_xlfn.XLOOKUP($A488,weather_2yrs!$A:$A,weather_2yrs!B:B)</f>
        <v>66.2</v>
      </c>
      <c r="I488">
        <f>_xlfn.XLOOKUP($A488,weather_2yrs!$A:$A,weather_2yrs!C:C)</f>
        <v>0</v>
      </c>
      <c r="J488">
        <f>_xlfn.XLOOKUP($A488,weather_2yrs!$A:$A,weather_2yrs!D:D)</f>
        <v>0</v>
      </c>
      <c r="K488">
        <f>_xlfn.XLOOKUP($A488,weather_2yrs!$A:$A,weather_2yrs!E:E)</f>
        <v>43.1</v>
      </c>
      <c r="L488">
        <f>_xlfn.XLOOKUP($A488,sales!$A:$A,sales!B:B)</f>
        <v>1</v>
      </c>
      <c r="M488" t="str">
        <f>_xlfn.XLOOKUP($A488,sales!$A:$A,sales!C:C)</f>
        <v>Miami Beach</v>
      </c>
      <c r="N488">
        <f>_xlfn.XLOOKUP($A488,sales!$A:$A,sales!D:D)</f>
        <v>210</v>
      </c>
      <c r="O488">
        <f>_xlfn.XLOOKUP($A488,sales!$A:$A,sales!E:E)</f>
        <v>3548.94</v>
      </c>
      <c r="P488" s="4">
        <f t="shared" si="23"/>
        <v>16.899714285714285</v>
      </c>
    </row>
    <row r="489" spans="1:16" x14ac:dyDescent="0.25">
      <c r="A489" s="1">
        <v>45414</v>
      </c>
      <c r="B489" s="1" t="str">
        <f t="shared" si="21"/>
        <v>Thursday</v>
      </c>
      <c r="C489" s="1" t="b">
        <f t="shared" si="22"/>
        <v>0</v>
      </c>
      <c r="D489">
        <f>VLOOKUP($A489,survey_2yrs!A:B, 2)</f>
        <v>52</v>
      </c>
      <c r="E489">
        <f>VLOOKUP($A489,survey_2yrs!$A:C, 3)</f>
        <v>48</v>
      </c>
      <c r="F489">
        <f>VLOOKUP($A489,survey_2yrs!$A:D, 4)</f>
        <v>48.9</v>
      </c>
      <c r="G489">
        <f>_xlfn.XLOOKUP(A489,survey_2yrs!A:A,survey_2yrs!E:E)</f>
        <v>51.1</v>
      </c>
      <c r="H489">
        <f>_xlfn.XLOOKUP($A489,weather_2yrs!$A:$A,weather_2yrs!B:B)</f>
        <v>72.900000000000006</v>
      </c>
      <c r="I489">
        <f>_xlfn.XLOOKUP($A489,weather_2yrs!$A:$A,weather_2yrs!C:C)</f>
        <v>0.5</v>
      </c>
      <c r="J489">
        <f>_xlfn.XLOOKUP($A489,weather_2yrs!$A:$A,weather_2yrs!D:D)</f>
        <v>1</v>
      </c>
      <c r="K489">
        <f>_xlfn.XLOOKUP($A489,weather_2yrs!$A:$A,weather_2yrs!E:E)</f>
        <v>38.9</v>
      </c>
      <c r="L489">
        <f>_xlfn.XLOOKUP($A489,sales!$A:$A,sales!B:B)</f>
        <v>1</v>
      </c>
      <c r="M489" t="str">
        <f>_xlfn.XLOOKUP($A489,sales!$A:$A,sales!C:C)</f>
        <v>Miami Beach</v>
      </c>
      <c r="N489">
        <f>_xlfn.XLOOKUP($A489,sales!$A:$A,sales!D:D)</f>
        <v>237</v>
      </c>
      <c r="O489">
        <f>_xlfn.XLOOKUP($A489,sales!$A:$A,sales!E:E)</f>
        <v>4241.25</v>
      </c>
      <c r="P489" s="4">
        <f t="shared" si="23"/>
        <v>17.895569620253166</v>
      </c>
    </row>
    <row r="490" spans="1:16" x14ac:dyDescent="0.25">
      <c r="A490" s="1">
        <v>45415</v>
      </c>
      <c r="B490" s="1" t="str">
        <f t="shared" si="21"/>
        <v>Friday</v>
      </c>
      <c r="C490" s="1" t="b">
        <f t="shared" si="22"/>
        <v>0</v>
      </c>
      <c r="D490">
        <f>VLOOKUP($A490,survey_2yrs!A:B, 2)</f>
        <v>52.4</v>
      </c>
      <c r="E490">
        <f>VLOOKUP($A490,survey_2yrs!$A:C, 3)</f>
        <v>47.6</v>
      </c>
      <c r="F490">
        <f>VLOOKUP($A490,survey_2yrs!$A:D, 4)</f>
        <v>49</v>
      </c>
      <c r="G490">
        <f>_xlfn.XLOOKUP(A490,survey_2yrs!A:A,survey_2yrs!E:E)</f>
        <v>51</v>
      </c>
      <c r="H490">
        <f>_xlfn.XLOOKUP($A490,weather_2yrs!$A:$A,weather_2yrs!B:B)</f>
        <v>71</v>
      </c>
      <c r="I490">
        <f>_xlfn.XLOOKUP($A490,weather_2yrs!$A:$A,weather_2yrs!C:C)</f>
        <v>0</v>
      </c>
      <c r="J490">
        <f>_xlfn.XLOOKUP($A490,weather_2yrs!$A:$A,weather_2yrs!D:D)</f>
        <v>0</v>
      </c>
      <c r="K490">
        <f>_xlfn.XLOOKUP($A490,weather_2yrs!$A:$A,weather_2yrs!E:E)</f>
        <v>39.299999999999997</v>
      </c>
      <c r="L490">
        <f>_xlfn.XLOOKUP($A490,sales!$A:$A,sales!B:B)</f>
        <v>1</v>
      </c>
      <c r="M490" t="str">
        <f>_xlfn.XLOOKUP($A490,sales!$A:$A,sales!C:C)</f>
        <v>Miami Beach</v>
      </c>
      <c r="N490">
        <f>_xlfn.XLOOKUP($A490,sales!$A:$A,sales!D:D)</f>
        <v>211</v>
      </c>
      <c r="O490">
        <f>_xlfn.XLOOKUP($A490,sales!$A:$A,sales!E:E)</f>
        <v>3955.3</v>
      </c>
      <c r="P490" s="4">
        <f t="shared" si="23"/>
        <v>18.745497630331755</v>
      </c>
    </row>
    <row r="491" spans="1:16" x14ac:dyDescent="0.25">
      <c r="A491" s="1">
        <v>45416</v>
      </c>
      <c r="B491" s="1" t="str">
        <f t="shared" si="21"/>
        <v>Saturday</v>
      </c>
      <c r="C491" s="1" t="b">
        <f t="shared" si="22"/>
        <v>1</v>
      </c>
      <c r="D491">
        <f>VLOOKUP($A491,survey_2yrs!A:B, 2)</f>
        <v>51.7</v>
      </c>
      <c r="E491">
        <f>VLOOKUP($A491,survey_2yrs!$A:C, 3)</f>
        <v>48.3</v>
      </c>
      <c r="F491">
        <f>VLOOKUP($A491,survey_2yrs!$A:D, 4)</f>
        <v>54.1</v>
      </c>
      <c r="G491">
        <f>_xlfn.XLOOKUP(A491,survey_2yrs!A:A,survey_2yrs!E:E)</f>
        <v>45.9</v>
      </c>
      <c r="H491">
        <f>_xlfn.XLOOKUP($A491,weather_2yrs!$A:$A,weather_2yrs!B:B)</f>
        <v>65.400000000000006</v>
      </c>
      <c r="I491">
        <f>_xlfn.XLOOKUP($A491,weather_2yrs!$A:$A,weather_2yrs!C:C)</f>
        <v>0</v>
      </c>
      <c r="J491">
        <f>_xlfn.XLOOKUP($A491,weather_2yrs!$A:$A,weather_2yrs!D:D)</f>
        <v>0</v>
      </c>
      <c r="K491">
        <f>_xlfn.XLOOKUP($A491,weather_2yrs!$A:$A,weather_2yrs!E:E)</f>
        <v>48.3</v>
      </c>
      <c r="L491">
        <f>_xlfn.XLOOKUP($A491,sales!$A:$A,sales!B:B)</f>
        <v>1</v>
      </c>
      <c r="M491" t="str">
        <f>_xlfn.XLOOKUP($A491,sales!$A:$A,sales!C:C)</f>
        <v>Miami Beach</v>
      </c>
      <c r="N491">
        <f>_xlfn.XLOOKUP($A491,sales!$A:$A,sales!D:D)</f>
        <v>286</v>
      </c>
      <c r="O491">
        <f>_xlfn.XLOOKUP($A491,sales!$A:$A,sales!E:E)</f>
        <v>5151.17</v>
      </c>
      <c r="P491" s="4">
        <f t="shared" si="23"/>
        <v>18.011083916083916</v>
      </c>
    </row>
    <row r="492" spans="1:16" x14ac:dyDescent="0.25">
      <c r="A492" s="1">
        <v>45417</v>
      </c>
      <c r="B492" s="1" t="str">
        <f t="shared" si="21"/>
        <v>Sunday</v>
      </c>
      <c r="C492" s="1" t="b">
        <f t="shared" si="22"/>
        <v>1</v>
      </c>
      <c r="D492">
        <f>VLOOKUP($A492,survey_2yrs!A:B, 2)</f>
        <v>51.9</v>
      </c>
      <c r="E492">
        <f>VLOOKUP($A492,survey_2yrs!$A:C, 3)</f>
        <v>48.1</v>
      </c>
      <c r="F492">
        <f>VLOOKUP($A492,survey_2yrs!$A:D, 4)</f>
        <v>54.8</v>
      </c>
      <c r="G492">
        <f>_xlfn.XLOOKUP(A492,survey_2yrs!A:A,survey_2yrs!E:E)</f>
        <v>45.2</v>
      </c>
      <c r="H492">
        <f>_xlfn.XLOOKUP($A492,weather_2yrs!$A:$A,weather_2yrs!B:B)</f>
        <v>68.5</v>
      </c>
      <c r="I492">
        <f>_xlfn.XLOOKUP($A492,weather_2yrs!$A:$A,weather_2yrs!C:C)</f>
        <v>0.22</v>
      </c>
      <c r="J492">
        <f>_xlfn.XLOOKUP($A492,weather_2yrs!$A:$A,weather_2yrs!D:D)</f>
        <v>1</v>
      </c>
      <c r="K492">
        <f>_xlfn.XLOOKUP($A492,weather_2yrs!$A:$A,weather_2yrs!E:E)</f>
        <v>42.6</v>
      </c>
      <c r="L492">
        <f>_xlfn.XLOOKUP($A492,sales!$A:$A,sales!B:B)</f>
        <v>1</v>
      </c>
      <c r="M492" t="str">
        <f>_xlfn.XLOOKUP($A492,sales!$A:$A,sales!C:C)</f>
        <v>Miami Beach</v>
      </c>
      <c r="N492">
        <f>_xlfn.XLOOKUP($A492,sales!$A:$A,sales!D:D)</f>
        <v>254</v>
      </c>
      <c r="O492">
        <f>_xlfn.XLOOKUP($A492,sales!$A:$A,sales!E:E)</f>
        <v>4700.21</v>
      </c>
      <c r="P492" s="4">
        <f t="shared" si="23"/>
        <v>18.504763779527558</v>
      </c>
    </row>
    <row r="493" spans="1:16" x14ac:dyDescent="0.25">
      <c r="A493" s="1">
        <v>45418</v>
      </c>
      <c r="B493" s="1" t="str">
        <f t="shared" si="21"/>
        <v>Monday</v>
      </c>
      <c r="C493" s="1" t="b">
        <f t="shared" si="22"/>
        <v>0</v>
      </c>
      <c r="D493">
        <f>VLOOKUP($A493,survey_2yrs!A:B, 2)</f>
        <v>50.4</v>
      </c>
      <c r="E493">
        <f>VLOOKUP($A493,survey_2yrs!$A:C, 3)</f>
        <v>49.6</v>
      </c>
      <c r="F493">
        <f>VLOOKUP($A493,survey_2yrs!$A:D, 4)</f>
        <v>47.6</v>
      </c>
      <c r="G493">
        <f>_xlfn.XLOOKUP(A493,survey_2yrs!A:A,survey_2yrs!E:E)</f>
        <v>52.4</v>
      </c>
      <c r="H493">
        <f>_xlfn.XLOOKUP($A493,weather_2yrs!$A:$A,weather_2yrs!B:B)</f>
        <v>68.5</v>
      </c>
      <c r="I493">
        <f>_xlfn.XLOOKUP($A493,weather_2yrs!$A:$A,weather_2yrs!C:C)</f>
        <v>0.45</v>
      </c>
      <c r="J493">
        <f>_xlfn.XLOOKUP($A493,weather_2yrs!$A:$A,weather_2yrs!D:D)</f>
        <v>1</v>
      </c>
      <c r="K493">
        <f>_xlfn.XLOOKUP($A493,weather_2yrs!$A:$A,weather_2yrs!E:E)</f>
        <v>52.5</v>
      </c>
      <c r="L493">
        <f>_xlfn.XLOOKUP($A493,sales!$A:$A,sales!B:B)</f>
        <v>1</v>
      </c>
      <c r="M493" t="str">
        <f>_xlfn.XLOOKUP($A493,sales!$A:$A,sales!C:C)</f>
        <v>Miami Beach</v>
      </c>
      <c r="N493">
        <f>_xlfn.XLOOKUP($A493,sales!$A:$A,sales!D:D)</f>
        <v>216</v>
      </c>
      <c r="O493">
        <f>_xlfn.XLOOKUP($A493,sales!$A:$A,sales!E:E)</f>
        <v>3961.79</v>
      </c>
      <c r="P493" s="4">
        <f t="shared" si="23"/>
        <v>18.341620370370372</v>
      </c>
    </row>
    <row r="494" spans="1:16" x14ac:dyDescent="0.25">
      <c r="A494" s="1">
        <v>45419</v>
      </c>
      <c r="B494" s="1" t="str">
        <f t="shared" si="21"/>
        <v>Tuesday</v>
      </c>
      <c r="C494" s="1" t="b">
        <f t="shared" si="22"/>
        <v>0</v>
      </c>
      <c r="D494">
        <f>VLOOKUP($A494,survey_2yrs!A:B, 2)</f>
        <v>51.3</v>
      </c>
      <c r="E494">
        <f>VLOOKUP($A494,survey_2yrs!$A:C, 3)</f>
        <v>48.7</v>
      </c>
      <c r="F494">
        <f>VLOOKUP($A494,survey_2yrs!$A:D, 4)</f>
        <v>48</v>
      </c>
      <c r="G494">
        <f>_xlfn.XLOOKUP(A494,survey_2yrs!A:A,survey_2yrs!E:E)</f>
        <v>52</v>
      </c>
      <c r="H494">
        <f>_xlfn.XLOOKUP($A494,weather_2yrs!$A:$A,weather_2yrs!B:B)</f>
        <v>71.3</v>
      </c>
      <c r="I494">
        <f>_xlfn.XLOOKUP($A494,weather_2yrs!$A:$A,weather_2yrs!C:C)</f>
        <v>0</v>
      </c>
      <c r="J494">
        <f>_xlfn.XLOOKUP($A494,weather_2yrs!$A:$A,weather_2yrs!D:D)</f>
        <v>0</v>
      </c>
      <c r="K494">
        <f>_xlfn.XLOOKUP($A494,weather_2yrs!$A:$A,weather_2yrs!E:E)</f>
        <v>52.2</v>
      </c>
      <c r="L494">
        <f>_xlfn.XLOOKUP($A494,sales!$A:$A,sales!B:B)</f>
        <v>1</v>
      </c>
      <c r="M494" t="str">
        <f>_xlfn.XLOOKUP($A494,sales!$A:$A,sales!C:C)</f>
        <v>Miami Beach</v>
      </c>
      <c r="N494">
        <f>_xlfn.XLOOKUP($A494,sales!$A:$A,sales!D:D)</f>
        <v>223</v>
      </c>
      <c r="O494">
        <f>_xlfn.XLOOKUP($A494,sales!$A:$A,sales!E:E)</f>
        <v>4226.7700000000004</v>
      </c>
      <c r="P494" s="4">
        <f t="shared" si="23"/>
        <v>18.95412556053812</v>
      </c>
    </row>
    <row r="495" spans="1:16" x14ac:dyDescent="0.25">
      <c r="A495" s="1">
        <v>45420</v>
      </c>
      <c r="B495" s="1" t="str">
        <f t="shared" si="21"/>
        <v>Wednesday</v>
      </c>
      <c r="C495" s="1" t="b">
        <f t="shared" si="22"/>
        <v>0</v>
      </c>
      <c r="D495">
        <f>VLOOKUP($A495,survey_2yrs!A:B, 2)</f>
        <v>51</v>
      </c>
      <c r="E495">
        <f>VLOOKUP($A495,survey_2yrs!$A:C, 3)</f>
        <v>49</v>
      </c>
      <c r="F495">
        <f>VLOOKUP($A495,survey_2yrs!$A:D, 4)</f>
        <v>46.9</v>
      </c>
      <c r="G495">
        <f>_xlfn.XLOOKUP(A495,survey_2yrs!A:A,survey_2yrs!E:E)</f>
        <v>53.1</v>
      </c>
      <c r="H495">
        <f>_xlfn.XLOOKUP($A495,weather_2yrs!$A:$A,weather_2yrs!B:B)</f>
        <v>65.599999999999994</v>
      </c>
      <c r="I495">
        <f>_xlfn.XLOOKUP($A495,weather_2yrs!$A:$A,weather_2yrs!C:C)</f>
        <v>1</v>
      </c>
      <c r="J495">
        <f>_xlfn.XLOOKUP($A495,weather_2yrs!$A:$A,weather_2yrs!D:D)</f>
        <v>1</v>
      </c>
      <c r="K495">
        <f>_xlfn.XLOOKUP($A495,weather_2yrs!$A:$A,weather_2yrs!E:E)</f>
        <v>35</v>
      </c>
      <c r="L495">
        <f>_xlfn.XLOOKUP($A495,sales!$A:$A,sales!B:B)</f>
        <v>1</v>
      </c>
      <c r="M495" t="str">
        <f>_xlfn.XLOOKUP($A495,sales!$A:$A,sales!C:C)</f>
        <v>Miami Beach</v>
      </c>
      <c r="N495">
        <f>_xlfn.XLOOKUP($A495,sales!$A:$A,sales!D:D)</f>
        <v>184</v>
      </c>
      <c r="O495">
        <f>_xlfn.XLOOKUP($A495,sales!$A:$A,sales!E:E)</f>
        <v>3494.43</v>
      </c>
      <c r="P495" s="4">
        <f t="shared" si="23"/>
        <v>18.991467391304347</v>
      </c>
    </row>
    <row r="496" spans="1:16" x14ac:dyDescent="0.25">
      <c r="A496" s="1">
        <v>45421</v>
      </c>
      <c r="B496" s="1" t="str">
        <f t="shared" si="21"/>
        <v>Thursday</v>
      </c>
      <c r="C496" s="1" t="b">
        <f t="shared" si="22"/>
        <v>0</v>
      </c>
      <c r="D496">
        <f>VLOOKUP($A496,survey_2yrs!A:B, 2)</f>
        <v>52.2</v>
      </c>
      <c r="E496">
        <f>VLOOKUP($A496,survey_2yrs!$A:C, 3)</f>
        <v>47.8</v>
      </c>
      <c r="F496">
        <f>VLOOKUP($A496,survey_2yrs!$A:D, 4)</f>
        <v>46.1</v>
      </c>
      <c r="G496">
        <f>_xlfn.XLOOKUP(A496,survey_2yrs!A:A,survey_2yrs!E:E)</f>
        <v>53.9</v>
      </c>
      <c r="H496">
        <f>_xlfn.XLOOKUP($A496,weather_2yrs!$A:$A,weather_2yrs!B:B)</f>
        <v>74.099999999999994</v>
      </c>
      <c r="I496">
        <f>_xlfn.XLOOKUP($A496,weather_2yrs!$A:$A,weather_2yrs!C:C)</f>
        <v>0</v>
      </c>
      <c r="J496">
        <f>_xlfn.XLOOKUP($A496,weather_2yrs!$A:$A,weather_2yrs!D:D)</f>
        <v>0</v>
      </c>
      <c r="K496">
        <f>_xlfn.XLOOKUP($A496,weather_2yrs!$A:$A,weather_2yrs!E:E)</f>
        <v>42.7</v>
      </c>
      <c r="L496">
        <f>_xlfn.XLOOKUP($A496,sales!$A:$A,sales!B:B)</f>
        <v>1</v>
      </c>
      <c r="M496" t="str">
        <f>_xlfn.XLOOKUP($A496,sales!$A:$A,sales!C:C)</f>
        <v>Miami Beach</v>
      </c>
      <c r="N496">
        <f>_xlfn.XLOOKUP($A496,sales!$A:$A,sales!D:D)</f>
        <v>253</v>
      </c>
      <c r="O496">
        <f>_xlfn.XLOOKUP($A496,sales!$A:$A,sales!E:E)</f>
        <v>4586.0200000000004</v>
      </c>
      <c r="P496" s="4">
        <f t="shared" si="23"/>
        <v>18.126561264822136</v>
      </c>
    </row>
    <row r="497" spans="1:16" x14ac:dyDescent="0.25">
      <c r="A497" s="1">
        <v>45422</v>
      </c>
      <c r="B497" s="1" t="str">
        <f t="shared" si="21"/>
        <v>Friday</v>
      </c>
      <c r="C497" s="1" t="b">
        <f t="shared" si="22"/>
        <v>0</v>
      </c>
      <c r="D497">
        <f>VLOOKUP($A497,survey_2yrs!A:B, 2)</f>
        <v>48.7</v>
      </c>
      <c r="E497">
        <f>VLOOKUP($A497,survey_2yrs!$A:C, 3)</f>
        <v>51.3</v>
      </c>
      <c r="F497">
        <f>VLOOKUP($A497,survey_2yrs!$A:D, 4)</f>
        <v>47.6</v>
      </c>
      <c r="G497">
        <f>_xlfn.XLOOKUP(A497,survey_2yrs!A:A,survey_2yrs!E:E)</f>
        <v>52.4</v>
      </c>
      <c r="H497">
        <f>_xlfn.XLOOKUP($A497,weather_2yrs!$A:$A,weather_2yrs!B:B)</f>
        <v>72.400000000000006</v>
      </c>
      <c r="I497">
        <f>_xlfn.XLOOKUP($A497,weather_2yrs!$A:$A,weather_2yrs!C:C)</f>
        <v>0</v>
      </c>
      <c r="J497">
        <f>_xlfn.XLOOKUP($A497,weather_2yrs!$A:$A,weather_2yrs!D:D)</f>
        <v>0</v>
      </c>
      <c r="K497">
        <f>_xlfn.XLOOKUP($A497,weather_2yrs!$A:$A,weather_2yrs!E:E)</f>
        <v>46.8</v>
      </c>
      <c r="L497">
        <f>_xlfn.XLOOKUP($A497,sales!$A:$A,sales!B:B)</f>
        <v>1</v>
      </c>
      <c r="M497" t="str">
        <f>_xlfn.XLOOKUP($A497,sales!$A:$A,sales!C:C)</f>
        <v>Miami Beach</v>
      </c>
      <c r="N497">
        <f>_xlfn.XLOOKUP($A497,sales!$A:$A,sales!D:D)</f>
        <v>231</v>
      </c>
      <c r="O497">
        <f>_xlfn.XLOOKUP($A497,sales!$A:$A,sales!E:E)</f>
        <v>4106.1899999999996</v>
      </c>
      <c r="P497" s="4">
        <f t="shared" si="23"/>
        <v>17.775714285714283</v>
      </c>
    </row>
    <row r="498" spans="1:16" x14ac:dyDescent="0.25">
      <c r="A498" s="1">
        <v>45423</v>
      </c>
      <c r="B498" s="1" t="str">
        <f t="shared" si="21"/>
        <v>Saturday</v>
      </c>
      <c r="C498" s="1" t="b">
        <f t="shared" si="22"/>
        <v>1</v>
      </c>
      <c r="D498">
        <f>VLOOKUP($A498,survey_2yrs!A:B, 2)</f>
        <v>51</v>
      </c>
      <c r="E498">
        <f>VLOOKUP($A498,survey_2yrs!$A:C, 3)</f>
        <v>49</v>
      </c>
      <c r="F498">
        <f>VLOOKUP($A498,survey_2yrs!$A:D, 4)</f>
        <v>56.6</v>
      </c>
      <c r="G498">
        <f>_xlfn.XLOOKUP(A498,survey_2yrs!A:A,survey_2yrs!E:E)</f>
        <v>43.4</v>
      </c>
      <c r="H498">
        <f>_xlfn.XLOOKUP($A498,weather_2yrs!$A:$A,weather_2yrs!B:B)</f>
        <v>63.2</v>
      </c>
      <c r="I498">
        <f>_xlfn.XLOOKUP($A498,weather_2yrs!$A:$A,weather_2yrs!C:C)</f>
        <v>1.59</v>
      </c>
      <c r="J498">
        <f>_xlfn.XLOOKUP($A498,weather_2yrs!$A:$A,weather_2yrs!D:D)</f>
        <v>1</v>
      </c>
      <c r="K498">
        <f>_xlfn.XLOOKUP($A498,weather_2yrs!$A:$A,weather_2yrs!E:E)</f>
        <v>49.1</v>
      </c>
      <c r="L498">
        <f>_xlfn.XLOOKUP($A498,sales!$A:$A,sales!B:B)</f>
        <v>1</v>
      </c>
      <c r="M498" t="str">
        <f>_xlfn.XLOOKUP($A498,sales!$A:$A,sales!C:C)</f>
        <v>Miami Beach</v>
      </c>
      <c r="N498">
        <f>_xlfn.XLOOKUP($A498,sales!$A:$A,sales!D:D)</f>
        <v>242</v>
      </c>
      <c r="O498">
        <f>_xlfn.XLOOKUP($A498,sales!$A:$A,sales!E:E)</f>
        <v>4836.22</v>
      </c>
      <c r="P498" s="4">
        <f t="shared" si="23"/>
        <v>19.984380165289256</v>
      </c>
    </row>
    <row r="499" spans="1:16" x14ac:dyDescent="0.25">
      <c r="A499" s="1">
        <v>45424</v>
      </c>
      <c r="B499" s="1" t="str">
        <f t="shared" si="21"/>
        <v>Sunday</v>
      </c>
      <c r="C499" s="1" t="b">
        <f t="shared" si="22"/>
        <v>1</v>
      </c>
      <c r="D499">
        <f>VLOOKUP($A499,survey_2yrs!A:B, 2)</f>
        <v>52.6</v>
      </c>
      <c r="E499">
        <f>VLOOKUP($A499,survey_2yrs!$A:C, 3)</f>
        <v>47.4</v>
      </c>
      <c r="F499">
        <f>VLOOKUP($A499,survey_2yrs!$A:D, 4)</f>
        <v>53.4</v>
      </c>
      <c r="G499">
        <f>_xlfn.XLOOKUP(A499,survey_2yrs!A:A,survey_2yrs!E:E)</f>
        <v>46.6</v>
      </c>
      <c r="H499">
        <f>_xlfn.XLOOKUP($A499,weather_2yrs!$A:$A,weather_2yrs!B:B)</f>
        <v>74.099999999999994</v>
      </c>
      <c r="I499">
        <f>_xlfn.XLOOKUP($A499,weather_2yrs!$A:$A,weather_2yrs!C:C)</f>
        <v>0.4</v>
      </c>
      <c r="J499">
        <f>_xlfn.XLOOKUP($A499,weather_2yrs!$A:$A,weather_2yrs!D:D)</f>
        <v>1</v>
      </c>
      <c r="K499">
        <f>_xlfn.XLOOKUP($A499,weather_2yrs!$A:$A,weather_2yrs!E:E)</f>
        <v>48.3</v>
      </c>
      <c r="L499">
        <f>_xlfn.XLOOKUP($A499,sales!$A:$A,sales!B:B)</f>
        <v>1</v>
      </c>
      <c r="M499" t="str">
        <f>_xlfn.XLOOKUP($A499,sales!$A:$A,sales!C:C)</f>
        <v>Miami Beach</v>
      </c>
      <c r="N499">
        <f>_xlfn.XLOOKUP($A499,sales!$A:$A,sales!D:D)</f>
        <v>264</v>
      </c>
      <c r="O499">
        <f>_xlfn.XLOOKUP($A499,sales!$A:$A,sales!E:E)</f>
        <v>5077.47</v>
      </c>
      <c r="P499" s="4">
        <f t="shared" si="23"/>
        <v>19.23284090909091</v>
      </c>
    </row>
    <row r="500" spans="1:16" x14ac:dyDescent="0.25">
      <c r="A500" s="1">
        <v>45425</v>
      </c>
      <c r="B500" s="1" t="str">
        <f t="shared" si="21"/>
        <v>Monday</v>
      </c>
      <c r="C500" s="1" t="b">
        <f t="shared" si="22"/>
        <v>0</v>
      </c>
      <c r="D500">
        <f>VLOOKUP($A500,survey_2yrs!A:B, 2)</f>
        <v>50.7</v>
      </c>
      <c r="E500">
        <f>VLOOKUP($A500,survey_2yrs!$A:C, 3)</f>
        <v>49.3</v>
      </c>
      <c r="F500">
        <f>VLOOKUP($A500,survey_2yrs!$A:D, 4)</f>
        <v>50.6</v>
      </c>
      <c r="G500">
        <f>_xlfn.XLOOKUP(A500,survey_2yrs!A:A,survey_2yrs!E:E)</f>
        <v>49.4</v>
      </c>
      <c r="H500">
        <f>_xlfn.XLOOKUP($A500,weather_2yrs!$A:$A,weather_2yrs!B:B)</f>
        <v>68.900000000000006</v>
      </c>
      <c r="I500">
        <f>_xlfn.XLOOKUP($A500,weather_2yrs!$A:$A,weather_2yrs!C:C)</f>
        <v>0.37</v>
      </c>
      <c r="J500">
        <f>_xlfn.XLOOKUP($A500,weather_2yrs!$A:$A,weather_2yrs!D:D)</f>
        <v>1</v>
      </c>
      <c r="K500">
        <f>_xlfn.XLOOKUP($A500,weather_2yrs!$A:$A,weather_2yrs!E:E)</f>
        <v>49.5</v>
      </c>
      <c r="L500">
        <f>_xlfn.XLOOKUP($A500,sales!$A:$A,sales!B:B)</f>
        <v>1</v>
      </c>
      <c r="M500" t="str">
        <f>_xlfn.XLOOKUP($A500,sales!$A:$A,sales!C:C)</f>
        <v>Miami Beach</v>
      </c>
      <c r="N500">
        <f>_xlfn.XLOOKUP($A500,sales!$A:$A,sales!D:D)</f>
        <v>214</v>
      </c>
      <c r="O500">
        <f>_xlfn.XLOOKUP($A500,sales!$A:$A,sales!E:E)</f>
        <v>3822.8</v>
      </c>
      <c r="P500" s="4">
        <f t="shared" si="23"/>
        <v>17.863551401869159</v>
      </c>
    </row>
    <row r="501" spans="1:16" x14ac:dyDescent="0.25">
      <c r="A501" s="1">
        <v>45426</v>
      </c>
      <c r="B501" s="1" t="str">
        <f t="shared" si="21"/>
        <v>Tuesday</v>
      </c>
      <c r="C501" s="1" t="b">
        <f t="shared" si="22"/>
        <v>0</v>
      </c>
      <c r="D501">
        <f>VLOOKUP($A501,survey_2yrs!A:B, 2)</f>
        <v>50.6</v>
      </c>
      <c r="E501">
        <f>VLOOKUP($A501,survey_2yrs!$A:C, 3)</f>
        <v>49.4</v>
      </c>
      <c r="F501">
        <f>VLOOKUP($A501,survey_2yrs!$A:D, 4)</f>
        <v>46.6</v>
      </c>
      <c r="G501">
        <f>_xlfn.XLOOKUP(A501,survey_2yrs!A:A,survey_2yrs!E:E)</f>
        <v>53.4</v>
      </c>
      <c r="H501">
        <f>_xlfn.XLOOKUP($A501,weather_2yrs!$A:$A,weather_2yrs!B:B)</f>
        <v>77.400000000000006</v>
      </c>
      <c r="I501">
        <f>_xlfn.XLOOKUP($A501,weather_2yrs!$A:$A,weather_2yrs!C:C)</f>
        <v>0</v>
      </c>
      <c r="J501">
        <f>_xlfn.XLOOKUP($A501,weather_2yrs!$A:$A,weather_2yrs!D:D)</f>
        <v>0</v>
      </c>
      <c r="K501">
        <f>_xlfn.XLOOKUP($A501,weather_2yrs!$A:$A,weather_2yrs!E:E)</f>
        <v>43.2</v>
      </c>
      <c r="L501">
        <f>_xlfn.XLOOKUP($A501,sales!$A:$A,sales!B:B)</f>
        <v>1</v>
      </c>
      <c r="M501" t="str">
        <f>_xlfn.XLOOKUP($A501,sales!$A:$A,sales!C:C)</f>
        <v>Miami Beach</v>
      </c>
      <c r="N501">
        <f>_xlfn.XLOOKUP($A501,sales!$A:$A,sales!D:D)</f>
        <v>289</v>
      </c>
      <c r="O501">
        <f>_xlfn.XLOOKUP($A501,sales!$A:$A,sales!E:E)</f>
        <v>5467.2</v>
      </c>
      <c r="P501" s="4">
        <f t="shared" si="23"/>
        <v>18.91764705882353</v>
      </c>
    </row>
    <row r="502" spans="1:16" x14ac:dyDescent="0.25">
      <c r="A502" s="1">
        <v>45427</v>
      </c>
      <c r="B502" s="1" t="str">
        <f t="shared" si="21"/>
        <v>Wednesday</v>
      </c>
      <c r="C502" s="1" t="b">
        <f t="shared" si="22"/>
        <v>0</v>
      </c>
      <c r="D502">
        <f>VLOOKUP($A502,survey_2yrs!A:B, 2)</f>
        <v>50.5</v>
      </c>
      <c r="E502">
        <f>VLOOKUP($A502,survey_2yrs!$A:C, 3)</f>
        <v>49.5</v>
      </c>
      <c r="F502">
        <f>VLOOKUP($A502,survey_2yrs!$A:D, 4)</f>
        <v>48.1</v>
      </c>
      <c r="G502">
        <f>_xlfn.XLOOKUP(A502,survey_2yrs!A:A,survey_2yrs!E:E)</f>
        <v>51.9</v>
      </c>
      <c r="H502">
        <f>_xlfn.XLOOKUP($A502,weather_2yrs!$A:$A,weather_2yrs!B:B)</f>
        <v>71.599999999999994</v>
      </c>
      <c r="I502">
        <f>_xlfn.XLOOKUP($A502,weather_2yrs!$A:$A,weather_2yrs!C:C)</f>
        <v>0</v>
      </c>
      <c r="J502">
        <f>_xlfn.XLOOKUP($A502,weather_2yrs!$A:$A,weather_2yrs!D:D)</f>
        <v>0</v>
      </c>
      <c r="K502">
        <f>_xlfn.XLOOKUP($A502,weather_2yrs!$A:$A,weather_2yrs!E:E)</f>
        <v>41.7</v>
      </c>
      <c r="L502">
        <f>_xlfn.XLOOKUP($A502,sales!$A:$A,sales!B:B)</f>
        <v>1</v>
      </c>
      <c r="M502" t="str">
        <f>_xlfn.XLOOKUP($A502,sales!$A:$A,sales!C:C)</f>
        <v>Miami Beach</v>
      </c>
      <c r="N502">
        <f>_xlfn.XLOOKUP($A502,sales!$A:$A,sales!D:D)</f>
        <v>210</v>
      </c>
      <c r="O502">
        <f>_xlfn.XLOOKUP($A502,sales!$A:$A,sales!E:E)</f>
        <v>3916.2</v>
      </c>
      <c r="P502" s="4">
        <f t="shared" si="23"/>
        <v>18.648571428571429</v>
      </c>
    </row>
    <row r="503" spans="1:16" x14ac:dyDescent="0.25">
      <c r="A503" s="1">
        <v>45428</v>
      </c>
      <c r="B503" s="1" t="str">
        <f t="shared" si="21"/>
        <v>Thursday</v>
      </c>
      <c r="C503" s="1" t="b">
        <f t="shared" si="22"/>
        <v>0</v>
      </c>
      <c r="D503">
        <f>VLOOKUP($A503,survey_2yrs!A:B, 2)</f>
        <v>50.4</v>
      </c>
      <c r="E503">
        <f>VLOOKUP($A503,survey_2yrs!$A:C, 3)</f>
        <v>49.6</v>
      </c>
      <c r="F503">
        <f>VLOOKUP($A503,survey_2yrs!$A:D, 4)</f>
        <v>49.6</v>
      </c>
      <c r="G503">
        <f>_xlfn.XLOOKUP(A503,survey_2yrs!A:A,survey_2yrs!E:E)</f>
        <v>50.4</v>
      </c>
      <c r="H503">
        <f>_xlfn.XLOOKUP($A503,weather_2yrs!$A:$A,weather_2yrs!B:B)</f>
        <v>73.8</v>
      </c>
      <c r="I503">
        <f>_xlfn.XLOOKUP($A503,weather_2yrs!$A:$A,weather_2yrs!C:C)</f>
        <v>0</v>
      </c>
      <c r="J503">
        <f>_xlfn.XLOOKUP($A503,weather_2yrs!$A:$A,weather_2yrs!D:D)</f>
        <v>0</v>
      </c>
      <c r="K503">
        <f>_xlfn.XLOOKUP($A503,weather_2yrs!$A:$A,weather_2yrs!E:E)</f>
        <v>38.799999999999997</v>
      </c>
      <c r="L503">
        <f>_xlfn.XLOOKUP($A503,sales!$A:$A,sales!B:B)</f>
        <v>1</v>
      </c>
      <c r="M503" t="str">
        <f>_xlfn.XLOOKUP($A503,sales!$A:$A,sales!C:C)</f>
        <v>Miami Beach</v>
      </c>
      <c r="N503">
        <f>_xlfn.XLOOKUP($A503,sales!$A:$A,sales!D:D)</f>
        <v>231</v>
      </c>
      <c r="O503">
        <f>_xlfn.XLOOKUP($A503,sales!$A:$A,sales!E:E)</f>
        <v>4483.2700000000004</v>
      </c>
      <c r="P503" s="4">
        <f t="shared" si="23"/>
        <v>19.408095238095239</v>
      </c>
    </row>
    <row r="504" spans="1:16" x14ac:dyDescent="0.25">
      <c r="A504" s="1">
        <v>45429</v>
      </c>
      <c r="B504" s="1" t="str">
        <f t="shared" si="21"/>
        <v>Friday</v>
      </c>
      <c r="C504" s="1" t="b">
        <f t="shared" si="22"/>
        <v>0</v>
      </c>
      <c r="D504">
        <f>VLOOKUP($A504,survey_2yrs!A:B, 2)</f>
        <v>50.4</v>
      </c>
      <c r="E504">
        <f>VLOOKUP($A504,survey_2yrs!$A:C, 3)</f>
        <v>49.6</v>
      </c>
      <c r="F504">
        <f>VLOOKUP($A504,survey_2yrs!$A:D, 4)</f>
        <v>49</v>
      </c>
      <c r="G504">
        <f>_xlfn.XLOOKUP(A504,survey_2yrs!A:A,survey_2yrs!E:E)</f>
        <v>51</v>
      </c>
      <c r="H504">
        <f>_xlfn.XLOOKUP($A504,weather_2yrs!$A:$A,weather_2yrs!B:B)</f>
        <v>70.599999999999994</v>
      </c>
      <c r="I504">
        <f>_xlfn.XLOOKUP($A504,weather_2yrs!$A:$A,weather_2yrs!C:C)</f>
        <v>0</v>
      </c>
      <c r="J504">
        <f>_xlfn.XLOOKUP($A504,weather_2yrs!$A:$A,weather_2yrs!D:D)</f>
        <v>0</v>
      </c>
      <c r="K504">
        <f>_xlfn.XLOOKUP($A504,weather_2yrs!$A:$A,weather_2yrs!E:E)</f>
        <v>49</v>
      </c>
      <c r="L504">
        <f>_xlfn.XLOOKUP($A504,sales!$A:$A,sales!B:B)</f>
        <v>1</v>
      </c>
      <c r="M504" t="str">
        <f>_xlfn.XLOOKUP($A504,sales!$A:$A,sales!C:C)</f>
        <v>Miami Beach</v>
      </c>
      <c r="N504">
        <f>_xlfn.XLOOKUP($A504,sales!$A:$A,sales!D:D)</f>
        <v>234</v>
      </c>
      <c r="O504">
        <f>_xlfn.XLOOKUP($A504,sales!$A:$A,sales!E:E)</f>
        <v>4191.45</v>
      </c>
      <c r="P504" s="4">
        <f t="shared" si="23"/>
        <v>17.912179487179486</v>
      </c>
    </row>
    <row r="505" spans="1:16" x14ac:dyDescent="0.25">
      <c r="A505" s="1">
        <v>45430</v>
      </c>
      <c r="B505" s="1" t="str">
        <f t="shared" si="21"/>
        <v>Saturday</v>
      </c>
      <c r="C505" s="1" t="b">
        <f t="shared" si="22"/>
        <v>1</v>
      </c>
      <c r="D505">
        <f>VLOOKUP($A505,survey_2yrs!A:B, 2)</f>
        <v>50.9</v>
      </c>
      <c r="E505">
        <f>VLOOKUP($A505,survey_2yrs!$A:C, 3)</f>
        <v>49.1</v>
      </c>
      <c r="F505">
        <f>VLOOKUP($A505,survey_2yrs!$A:D, 4)</f>
        <v>54.3</v>
      </c>
      <c r="G505">
        <f>_xlfn.XLOOKUP(A505,survey_2yrs!A:A,survey_2yrs!E:E)</f>
        <v>45.7</v>
      </c>
      <c r="H505">
        <f>_xlfn.XLOOKUP($A505,weather_2yrs!$A:$A,weather_2yrs!B:B)</f>
        <v>74.599999999999994</v>
      </c>
      <c r="I505">
        <f>_xlfn.XLOOKUP($A505,weather_2yrs!$A:$A,weather_2yrs!C:C)</f>
        <v>0</v>
      </c>
      <c r="J505">
        <f>_xlfn.XLOOKUP($A505,weather_2yrs!$A:$A,weather_2yrs!D:D)</f>
        <v>0</v>
      </c>
      <c r="K505">
        <f>_xlfn.XLOOKUP($A505,weather_2yrs!$A:$A,weather_2yrs!E:E)</f>
        <v>46.7</v>
      </c>
      <c r="L505">
        <f>_xlfn.XLOOKUP($A505,sales!$A:$A,sales!B:B)</f>
        <v>1</v>
      </c>
      <c r="M505" t="str">
        <f>_xlfn.XLOOKUP($A505,sales!$A:$A,sales!C:C)</f>
        <v>Miami Beach</v>
      </c>
      <c r="N505">
        <f>_xlfn.XLOOKUP($A505,sales!$A:$A,sales!D:D)</f>
        <v>279</v>
      </c>
      <c r="O505">
        <f>_xlfn.XLOOKUP($A505,sales!$A:$A,sales!E:E)</f>
        <v>4998.1099999999997</v>
      </c>
      <c r="P505" s="4">
        <f t="shared" si="23"/>
        <v>17.914372759856629</v>
      </c>
    </row>
    <row r="506" spans="1:16" x14ac:dyDescent="0.25">
      <c r="A506" s="1">
        <v>45431</v>
      </c>
      <c r="B506" s="1" t="str">
        <f t="shared" si="21"/>
        <v>Sunday</v>
      </c>
      <c r="C506" s="1" t="b">
        <f t="shared" si="22"/>
        <v>1</v>
      </c>
      <c r="D506">
        <f>VLOOKUP($A506,survey_2yrs!A:B, 2)</f>
        <v>50.6</v>
      </c>
      <c r="E506">
        <f>VLOOKUP($A506,survey_2yrs!$A:C, 3)</f>
        <v>49.4</v>
      </c>
      <c r="F506">
        <f>VLOOKUP($A506,survey_2yrs!$A:D, 4)</f>
        <v>54.1</v>
      </c>
      <c r="G506">
        <f>_xlfn.XLOOKUP(A506,survey_2yrs!A:A,survey_2yrs!E:E)</f>
        <v>45.9</v>
      </c>
      <c r="H506">
        <f>_xlfn.XLOOKUP($A506,weather_2yrs!$A:$A,weather_2yrs!B:B)</f>
        <v>71.099999999999994</v>
      </c>
      <c r="I506">
        <f>_xlfn.XLOOKUP($A506,weather_2yrs!$A:$A,weather_2yrs!C:C)</f>
        <v>0.41</v>
      </c>
      <c r="J506">
        <f>_xlfn.XLOOKUP($A506,weather_2yrs!$A:$A,weather_2yrs!D:D)</f>
        <v>1</v>
      </c>
      <c r="K506">
        <f>_xlfn.XLOOKUP($A506,weather_2yrs!$A:$A,weather_2yrs!E:E)</f>
        <v>53.6</v>
      </c>
      <c r="L506">
        <f>_xlfn.XLOOKUP($A506,sales!$A:$A,sales!B:B)</f>
        <v>1</v>
      </c>
      <c r="M506" t="str">
        <f>_xlfn.XLOOKUP($A506,sales!$A:$A,sales!C:C)</f>
        <v>Miami Beach</v>
      </c>
      <c r="N506">
        <f>_xlfn.XLOOKUP($A506,sales!$A:$A,sales!D:D)</f>
        <v>237</v>
      </c>
      <c r="O506">
        <f>_xlfn.XLOOKUP($A506,sales!$A:$A,sales!E:E)</f>
        <v>4438.13</v>
      </c>
      <c r="P506" s="4">
        <f t="shared" si="23"/>
        <v>18.726286919831225</v>
      </c>
    </row>
    <row r="507" spans="1:16" x14ac:dyDescent="0.25">
      <c r="A507" s="1">
        <v>45432</v>
      </c>
      <c r="B507" s="1" t="str">
        <f t="shared" si="21"/>
        <v>Monday</v>
      </c>
      <c r="C507" s="1" t="b">
        <f t="shared" si="22"/>
        <v>0</v>
      </c>
      <c r="D507">
        <f>VLOOKUP($A507,survey_2yrs!A:B, 2)</f>
        <v>49.2</v>
      </c>
      <c r="E507">
        <f>VLOOKUP($A507,survey_2yrs!$A:C, 3)</f>
        <v>50.8</v>
      </c>
      <c r="F507">
        <f>VLOOKUP($A507,survey_2yrs!$A:D, 4)</f>
        <v>46.7</v>
      </c>
      <c r="G507">
        <f>_xlfn.XLOOKUP(A507,survey_2yrs!A:A,survey_2yrs!E:E)</f>
        <v>53.3</v>
      </c>
      <c r="H507">
        <f>_xlfn.XLOOKUP($A507,weather_2yrs!$A:$A,weather_2yrs!B:B)</f>
        <v>69.3</v>
      </c>
      <c r="I507">
        <f>_xlfn.XLOOKUP($A507,weather_2yrs!$A:$A,weather_2yrs!C:C)</f>
        <v>0</v>
      </c>
      <c r="J507">
        <f>_xlfn.XLOOKUP($A507,weather_2yrs!$A:$A,weather_2yrs!D:D)</f>
        <v>0</v>
      </c>
      <c r="K507">
        <f>_xlfn.XLOOKUP($A507,weather_2yrs!$A:$A,weather_2yrs!E:E)</f>
        <v>55.6</v>
      </c>
      <c r="L507">
        <f>_xlfn.XLOOKUP($A507,sales!$A:$A,sales!B:B)</f>
        <v>1</v>
      </c>
      <c r="M507" t="str">
        <f>_xlfn.XLOOKUP($A507,sales!$A:$A,sales!C:C)</f>
        <v>Miami Beach</v>
      </c>
      <c r="N507">
        <f>_xlfn.XLOOKUP($A507,sales!$A:$A,sales!D:D)</f>
        <v>218</v>
      </c>
      <c r="O507">
        <f>_xlfn.XLOOKUP($A507,sales!$A:$A,sales!E:E)</f>
        <v>4313.9399999999996</v>
      </c>
      <c r="P507" s="4">
        <f t="shared" si="23"/>
        <v>19.788715596330274</v>
      </c>
    </row>
    <row r="508" spans="1:16" x14ac:dyDescent="0.25">
      <c r="A508" s="1">
        <v>45433</v>
      </c>
      <c r="B508" s="1" t="str">
        <f t="shared" si="21"/>
        <v>Tuesday</v>
      </c>
      <c r="C508" s="1" t="b">
        <f t="shared" si="22"/>
        <v>0</v>
      </c>
      <c r="D508">
        <f>VLOOKUP($A508,survey_2yrs!A:B, 2)</f>
        <v>50</v>
      </c>
      <c r="E508">
        <f>VLOOKUP($A508,survey_2yrs!$A:C, 3)</f>
        <v>50</v>
      </c>
      <c r="F508">
        <f>VLOOKUP($A508,survey_2yrs!$A:D, 4)</f>
        <v>48.5</v>
      </c>
      <c r="G508">
        <f>_xlfn.XLOOKUP(A508,survey_2yrs!A:A,survey_2yrs!E:E)</f>
        <v>51.5</v>
      </c>
      <c r="H508">
        <f>_xlfn.XLOOKUP($A508,weather_2yrs!$A:$A,weather_2yrs!B:B)</f>
        <v>72</v>
      </c>
      <c r="I508">
        <f>_xlfn.XLOOKUP($A508,weather_2yrs!$A:$A,weather_2yrs!C:C)</f>
        <v>0</v>
      </c>
      <c r="J508">
        <f>_xlfn.XLOOKUP($A508,weather_2yrs!$A:$A,weather_2yrs!D:D)</f>
        <v>0</v>
      </c>
      <c r="K508">
        <f>_xlfn.XLOOKUP($A508,weather_2yrs!$A:$A,weather_2yrs!E:E)</f>
        <v>52.1</v>
      </c>
      <c r="L508">
        <f>_xlfn.XLOOKUP($A508,sales!$A:$A,sales!B:B)</f>
        <v>1</v>
      </c>
      <c r="M508" t="str">
        <f>_xlfn.XLOOKUP($A508,sales!$A:$A,sales!C:C)</f>
        <v>Miami Beach</v>
      </c>
      <c r="N508">
        <f>_xlfn.XLOOKUP($A508,sales!$A:$A,sales!D:D)</f>
        <v>222</v>
      </c>
      <c r="O508">
        <f>_xlfn.XLOOKUP($A508,sales!$A:$A,sales!E:E)</f>
        <v>4139.6400000000003</v>
      </c>
      <c r="P508" s="4">
        <f t="shared" si="23"/>
        <v>18.647027027027029</v>
      </c>
    </row>
    <row r="509" spans="1:16" x14ac:dyDescent="0.25">
      <c r="A509" s="1">
        <v>45434</v>
      </c>
      <c r="B509" s="1" t="str">
        <f t="shared" si="21"/>
        <v>Wednesday</v>
      </c>
      <c r="C509" s="1" t="b">
        <f t="shared" si="22"/>
        <v>0</v>
      </c>
      <c r="D509">
        <f>VLOOKUP($A509,survey_2yrs!A:B, 2)</f>
        <v>48.9</v>
      </c>
      <c r="E509">
        <f>VLOOKUP($A509,survey_2yrs!$A:C, 3)</f>
        <v>51.1</v>
      </c>
      <c r="F509">
        <f>VLOOKUP($A509,survey_2yrs!$A:D, 4)</f>
        <v>48.7</v>
      </c>
      <c r="G509">
        <f>_xlfn.XLOOKUP(A509,survey_2yrs!A:A,survey_2yrs!E:E)</f>
        <v>51.3</v>
      </c>
      <c r="H509">
        <f>_xlfn.XLOOKUP($A509,weather_2yrs!$A:$A,weather_2yrs!B:B)</f>
        <v>70.400000000000006</v>
      </c>
      <c r="I509">
        <f>_xlfn.XLOOKUP($A509,weather_2yrs!$A:$A,weather_2yrs!C:C)</f>
        <v>0.26</v>
      </c>
      <c r="J509">
        <f>_xlfn.XLOOKUP($A509,weather_2yrs!$A:$A,weather_2yrs!D:D)</f>
        <v>1</v>
      </c>
      <c r="K509">
        <f>_xlfn.XLOOKUP($A509,weather_2yrs!$A:$A,weather_2yrs!E:E)</f>
        <v>47.9</v>
      </c>
      <c r="L509">
        <f>_xlfn.XLOOKUP($A509,sales!$A:$A,sales!B:B)</f>
        <v>1</v>
      </c>
      <c r="M509" t="str">
        <f>_xlfn.XLOOKUP($A509,sales!$A:$A,sales!C:C)</f>
        <v>Miami Beach</v>
      </c>
      <c r="N509">
        <f>_xlfn.XLOOKUP($A509,sales!$A:$A,sales!D:D)</f>
        <v>196</v>
      </c>
      <c r="O509">
        <f>_xlfn.XLOOKUP($A509,sales!$A:$A,sales!E:E)</f>
        <v>3662.29</v>
      </c>
      <c r="P509" s="4">
        <f t="shared" si="23"/>
        <v>18.68515306122449</v>
      </c>
    </row>
    <row r="510" spans="1:16" x14ac:dyDescent="0.25">
      <c r="A510" s="1">
        <v>45435</v>
      </c>
      <c r="B510" s="1" t="str">
        <f t="shared" si="21"/>
        <v>Thursday</v>
      </c>
      <c r="C510" s="1" t="b">
        <f t="shared" si="22"/>
        <v>0</v>
      </c>
      <c r="D510">
        <f>VLOOKUP($A510,survey_2yrs!A:B, 2)</f>
        <v>51</v>
      </c>
      <c r="E510">
        <f>VLOOKUP($A510,survey_2yrs!$A:C, 3)</f>
        <v>49</v>
      </c>
      <c r="F510">
        <f>VLOOKUP($A510,survey_2yrs!$A:D, 4)</f>
        <v>49</v>
      </c>
      <c r="G510">
        <f>_xlfn.XLOOKUP(A510,survey_2yrs!A:A,survey_2yrs!E:E)</f>
        <v>51</v>
      </c>
      <c r="H510">
        <f>_xlfn.XLOOKUP($A510,weather_2yrs!$A:$A,weather_2yrs!B:B)</f>
        <v>70.599999999999994</v>
      </c>
      <c r="I510">
        <f>_xlfn.XLOOKUP($A510,weather_2yrs!$A:$A,weather_2yrs!C:C)</f>
        <v>0</v>
      </c>
      <c r="J510">
        <f>_xlfn.XLOOKUP($A510,weather_2yrs!$A:$A,weather_2yrs!D:D)</f>
        <v>0</v>
      </c>
      <c r="K510">
        <f>_xlfn.XLOOKUP($A510,weather_2yrs!$A:$A,weather_2yrs!E:E)</f>
        <v>47.1</v>
      </c>
      <c r="L510">
        <f>_xlfn.XLOOKUP($A510,sales!$A:$A,sales!B:B)</f>
        <v>1</v>
      </c>
      <c r="M510" t="str">
        <f>_xlfn.XLOOKUP($A510,sales!$A:$A,sales!C:C)</f>
        <v>Miami Beach</v>
      </c>
      <c r="N510">
        <f>_xlfn.XLOOKUP($A510,sales!$A:$A,sales!D:D)</f>
        <v>238</v>
      </c>
      <c r="O510">
        <f>_xlfn.XLOOKUP($A510,sales!$A:$A,sales!E:E)</f>
        <v>4543.3900000000003</v>
      </c>
      <c r="P510" s="4">
        <f t="shared" si="23"/>
        <v>19.089873949579832</v>
      </c>
    </row>
    <row r="511" spans="1:16" x14ac:dyDescent="0.25">
      <c r="A511" s="1">
        <v>45436</v>
      </c>
      <c r="B511" s="1" t="str">
        <f t="shared" si="21"/>
        <v>Friday</v>
      </c>
      <c r="C511" s="1" t="b">
        <f t="shared" si="22"/>
        <v>0</v>
      </c>
      <c r="D511">
        <f>VLOOKUP($A511,survey_2yrs!A:B, 2)</f>
        <v>52.1</v>
      </c>
      <c r="E511">
        <f>VLOOKUP($A511,survey_2yrs!$A:C, 3)</f>
        <v>47.9</v>
      </c>
      <c r="F511">
        <f>VLOOKUP($A511,survey_2yrs!$A:D, 4)</f>
        <v>47.7</v>
      </c>
      <c r="G511">
        <f>_xlfn.XLOOKUP(A511,survey_2yrs!A:A,survey_2yrs!E:E)</f>
        <v>52.3</v>
      </c>
      <c r="H511">
        <f>_xlfn.XLOOKUP($A511,weather_2yrs!$A:$A,weather_2yrs!B:B)</f>
        <v>83.1</v>
      </c>
      <c r="I511">
        <f>_xlfn.XLOOKUP($A511,weather_2yrs!$A:$A,weather_2yrs!C:C)</f>
        <v>1.65</v>
      </c>
      <c r="J511">
        <f>_xlfn.XLOOKUP($A511,weather_2yrs!$A:$A,weather_2yrs!D:D)</f>
        <v>1</v>
      </c>
      <c r="K511">
        <f>_xlfn.XLOOKUP($A511,weather_2yrs!$A:$A,weather_2yrs!E:E)</f>
        <v>53.9</v>
      </c>
      <c r="L511">
        <f>_xlfn.XLOOKUP($A511,sales!$A:$A,sales!B:B)</f>
        <v>1</v>
      </c>
      <c r="M511" t="str">
        <f>_xlfn.XLOOKUP($A511,sales!$A:$A,sales!C:C)</f>
        <v>Miami Beach</v>
      </c>
      <c r="N511">
        <f>_xlfn.XLOOKUP($A511,sales!$A:$A,sales!D:D)</f>
        <v>271</v>
      </c>
      <c r="O511">
        <f>_xlfn.XLOOKUP($A511,sales!$A:$A,sales!E:E)</f>
        <v>5123.37</v>
      </c>
      <c r="P511" s="4">
        <f t="shared" si="23"/>
        <v>18.905424354243543</v>
      </c>
    </row>
    <row r="512" spans="1:16" x14ac:dyDescent="0.25">
      <c r="A512" s="1">
        <v>45437</v>
      </c>
      <c r="B512" s="1" t="str">
        <f t="shared" si="21"/>
        <v>Saturday</v>
      </c>
      <c r="C512" s="1" t="b">
        <f t="shared" si="22"/>
        <v>1</v>
      </c>
      <c r="D512">
        <f>VLOOKUP($A512,survey_2yrs!A:B, 2)</f>
        <v>50.7</v>
      </c>
      <c r="E512">
        <f>VLOOKUP($A512,survey_2yrs!$A:C, 3)</f>
        <v>49.3</v>
      </c>
      <c r="F512">
        <f>VLOOKUP($A512,survey_2yrs!$A:D, 4)</f>
        <v>53.8</v>
      </c>
      <c r="G512">
        <f>_xlfn.XLOOKUP(A512,survey_2yrs!A:A,survey_2yrs!E:E)</f>
        <v>46.2</v>
      </c>
      <c r="H512">
        <f>_xlfn.XLOOKUP($A512,weather_2yrs!$A:$A,weather_2yrs!B:B)</f>
        <v>75.400000000000006</v>
      </c>
      <c r="I512">
        <f>_xlfn.XLOOKUP($A512,weather_2yrs!$A:$A,weather_2yrs!C:C)</f>
        <v>0.71</v>
      </c>
      <c r="J512">
        <f>_xlfn.XLOOKUP($A512,weather_2yrs!$A:$A,weather_2yrs!D:D)</f>
        <v>1</v>
      </c>
      <c r="K512">
        <f>_xlfn.XLOOKUP($A512,weather_2yrs!$A:$A,weather_2yrs!E:E)</f>
        <v>55.1</v>
      </c>
      <c r="L512">
        <f>_xlfn.XLOOKUP($A512,sales!$A:$A,sales!B:B)</f>
        <v>1</v>
      </c>
      <c r="M512" t="str">
        <f>_xlfn.XLOOKUP($A512,sales!$A:$A,sales!C:C)</f>
        <v>Miami Beach</v>
      </c>
      <c r="N512">
        <f>_xlfn.XLOOKUP($A512,sales!$A:$A,sales!D:D)</f>
        <v>275</v>
      </c>
      <c r="O512">
        <f>_xlfn.XLOOKUP($A512,sales!$A:$A,sales!E:E)</f>
        <v>5192.29</v>
      </c>
      <c r="P512" s="4">
        <f t="shared" si="23"/>
        <v>18.881054545454546</v>
      </c>
    </row>
    <row r="513" spans="1:16" x14ac:dyDescent="0.25">
      <c r="A513" s="1">
        <v>45438</v>
      </c>
      <c r="B513" s="1" t="str">
        <f t="shared" si="21"/>
        <v>Sunday</v>
      </c>
      <c r="C513" s="1" t="b">
        <f t="shared" si="22"/>
        <v>1</v>
      </c>
      <c r="D513">
        <f>VLOOKUP($A513,survey_2yrs!A:B, 2)</f>
        <v>50.3</v>
      </c>
      <c r="E513">
        <f>VLOOKUP($A513,survey_2yrs!$A:C, 3)</f>
        <v>49.7</v>
      </c>
      <c r="F513">
        <f>VLOOKUP($A513,survey_2yrs!$A:D, 4)</f>
        <v>53.7</v>
      </c>
      <c r="G513">
        <f>_xlfn.XLOOKUP(A513,survey_2yrs!A:A,survey_2yrs!E:E)</f>
        <v>46.3</v>
      </c>
      <c r="H513">
        <f>_xlfn.XLOOKUP($A513,weather_2yrs!$A:$A,weather_2yrs!B:B)</f>
        <v>73.2</v>
      </c>
      <c r="I513">
        <f>_xlfn.XLOOKUP($A513,weather_2yrs!$A:$A,weather_2yrs!C:C)</f>
        <v>0.13</v>
      </c>
      <c r="J513">
        <f>_xlfn.XLOOKUP($A513,weather_2yrs!$A:$A,weather_2yrs!D:D)</f>
        <v>1</v>
      </c>
      <c r="K513">
        <f>_xlfn.XLOOKUP($A513,weather_2yrs!$A:$A,weather_2yrs!E:E)</f>
        <v>57.8</v>
      </c>
      <c r="L513">
        <f>_xlfn.XLOOKUP($A513,sales!$A:$A,sales!B:B)</f>
        <v>1</v>
      </c>
      <c r="M513" t="str">
        <f>_xlfn.XLOOKUP($A513,sales!$A:$A,sales!C:C)</f>
        <v>Miami Beach</v>
      </c>
      <c r="N513">
        <f>_xlfn.XLOOKUP($A513,sales!$A:$A,sales!D:D)</f>
        <v>255</v>
      </c>
      <c r="O513">
        <f>_xlfn.XLOOKUP($A513,sales!$A:$A,sales!E:E)</f>
        <v>4506.83</v>
      </c>
      <c r="P513" s="4">
        <f t="shared" si="23"/>
        <v>17.673843137254902</v>
      </c>
    </row>
    <row r="514" spans="1:16" x14ac:dyDescent="0.25">
      <c r="A514" s="1">
        <v>45439</v>
      </c>
      <c r="B514" s="1" t="str">
        <f t="shared" si="21"/>
        <v>Monday</v>
      </c>
      <c r="C514" s="1" t="b">
        <f t="shared" si="22"/>
        <v>0</v>
      </c>
      <c r="D514">
        <f>VLOOKUP($A514,survey_2yrs!A:B, 2)</f>
        <v>50.5</v>
      </c>
      <c r="E514">
        <f>VLOOKUP($A514,survey_2yrs!$A:C, 3)</f>
        <v>49.5</v>
      </c>
      <c r="F514">
        <f>VLOOKUP($A514,survey_2yrs!$A:D, 4)</f>
        <v>47.5</v>
      </c>
      <c r="G514">
        <f>_xlfn.XLOOKUP(A514,survey_2yrs!A:A,survey_2yrs!E:E)</f>
        <v>52.5</v>
      </c>
      <c r="H514">
        <f>_xlfn.XLOOKUP($A514,weather_2yrs!$A:$A,weather_2yrs!B:B)</f>
        <v>69.900000000000006</v>
      </c>
      <c r="I514">
        <f>_xlfn.XLOOKUP($A514,weather_2yrs!$A:$A,weather_2yrs!C:C)</f>
        <v>0</v>
      </c>
      <c r="J514">
        <f>_xlfn.XLOOKUP($A514,weather_2yrs!$A:$A,weather_2yrs!D:D)</f>
        <v>0</v>
      </c>
      <c r="K514">
        <f>_xlfn.XLOOKUP($A514,weather_2yrs!$A:$A,weather_2yrs!E:E)</f>
        <v>48.7</v>
      </c>
      <c r="L514">
        <f>_xlfn.XLOOKUP($A514,sales!$A:$A,sales!B:B)</f>
        <v>1</v>
      </c>
      <c r="M514" t="str">
        <f>_xlfn.XLOOKUP($A514,sales!$A:$A,sales!C:C)</f>
        <v>Miami Beach</v>
      </c>
      <c r="N514">
        <f>_xlfn.XLOOKUP($A514,sales!$A:$A,sales!D:D)</f>
        <v>239</v>
      </c>
      <c r="O514">
        <f>_xlfn.XLOOKUP($A514,sales!$A:$A,sales!E:E)</f>
        <v>4630.47</v>
      </c>
      <c r="P514" s="4">
        <f t="shared" si="23"/>
        <v>19.374351464435147</v>
      </c>
    </row>
    <row r="515" spans="1:16" x14ac:dyDescent="0.25">
      <c r="A515" s="1">
        <v>45440</v>
      </c>
      <c r="B515" s="1" t="str">
        <f t="shared" ref="B515:B578" si="24">TEXT(A515, "dddd")</f>
        <v>Tuesday</v>
      </c>
      <c r="C515" s="1" t="b">
        <f t="shared" ref="C515:C578" si="25">IF(WEEKDAY(A515,2)&gt;5,TRUE,FALSE)</f>
        <v>0</v>
      </c>
      <c r="D515">
        <f>VLOOKUP($A515,survey_2yrs!A:B, 2)</f>
        <v>50.8</v>
      </c>
      <c r="E515">
        <f>VLOOKUP($A515,survey_2yrs!$A:C, 3)</f>
        <v>49.2</v>
      </c>
      <c r="F515">
        <f>VLOOKUP($A515,survey_2yrs!$A:D, 4)</f>
        <v>47.4</v>
      </c>
      <c r="G515">
        <f>_xlfn.XLOOKUP(A515,survey_2yrs!A:A,survey_2yrs!E:E)</f>
        <v>52.6</v>
      </c>
      <c r="H515">
        <f>_xlfn.XLOOKUP($A515,weather_2yrs!$A:$A,weather_2yrs!B:B)</f>
        <v>67.5</v>
      </c>
      <c r="I515">
        <f>_xlfn.XLOOKUP($A515,weather_2yrs!$A:$A,weather_2yrs!C:C)</f>
        <v>0</v>
      </c>
      <c r="J515">
        <f>_xlfn.XLOOKUP($A515,weather_2yrs!$A:$A,weather_2yrs!D:D)</f>
        <v>0</v>
      </c>
      <c r="K515">
        <f>_xlfn.XLOOKUP($A515,weather_2yrs!$A:$A,weather_2yrs!E:E)</f>
        <v>54</v>
      </c>
      <c r="L515">
        <f>_xlfn.XLOOKUP($A515,sales!$A:$A,sales!B:B)</f>
        <v>1</v>
      </c>
      <c r="M515" t="str">
        <f>_xlfn.XLOOKUP($A515,sales!$A:$A,sales!C:C)</f>
        <v>Miami Beach</v>
      </c>
      <c r="N515">
        <f>_xlfn.XLOOKUP($A515,sales!$A:$A,sales!D:D)</f>
        <v>214</v>
      </c>
      <c r="O515">
        <f>_xlfn.XLOOKUP($A515,sales!$A:$A,sales!E:E)</f>
        <v>4091.14</v>
      </c>
      <c r="P515" s="4">
        <f t="shared" ref="P515:P578" si="26">O515/N515</f>
        <v>19.117476635514016</v>
      </c>
    </row>
    <row r="516" spans="1:16" x14ac:dyDescent="0.25">
      <c r="A516" s="1">
        <v>45441</v>
      </c>
      <c r="B516" s="1" t="str">
        <f t="shared" si="24"/>
        <v>Wednesday</v>
      </c>
      <c r="C516" s="1" t="b">
        <f t="shared" si="25"/>
        <v>0</v>
      </c>
      <c r="D516">
        <f>VLOOKUP($A516,survey_2yrs!A:B, 2)</f>
        <v>51.2</v>
      </c>
      <c r="E516">
        <f>VLOOKUP($A516,survey_2yrs!$A:C, 3)</f>
        <v>48.8</v>
      </c>
      <c r="F516">
        <f>VLOOKUP($A516,survey_2yrs!$A:D, 4)</f>
        <v>47.7</v>
      </c>
      <c r="G516">
        <f>_xlfn.XLOOKUP(A516,survey_2yrs!A:A,survey_2yrs!E:E)</f>
        <v>52.3</v>
      </c>
      <c r="H516">
        <f>_xlfn.XLOOKUP($A516,weather_2yrs!$A:$A,weather_2yrs!B:B)</f>
        <v>71.3</v>
      </c>
      <c r="I516">
        <f>_xlfn.XLOOKUP($A516,weather_2yrs!$A:$A,weather_2yrs!C:C)</f>
        <v>0</v>
      </c>
      <c r="J516">
        <f>_xlfn.XLOOKUP($A516,weather_2yrs!$A:$A,weather_2yrs!D:D)</f>
        <v>0</v>
      </c>
      <c r="K516">
        <f>_xlfn.XLOOKUP($A516,weather_2yrs!$A:$A,weather_2yrs!E:E)</f>
        <v>50.9</v>
      </c>
      <c r="L516">
        <f>_xlfn.XLOOKUP($A516,sales!$A:$A,sales!B:B)</f>
        <v>1</v>
      </c>
      <c r="M516" t="str">
        <f>_xlfn.XLOOKUP($A516,sales!$A:$A,sales!C:C)</f>
        <v>Miami Beach</v>
      </c>
      <c r="N516">
        <f>_xlfn.XLOOKUP($A516,sales!$A:$A,sales!D:D)</f>
        <v>215</v>
      </c>
      <c r="O516">
        <f>_xlfn.XLOOKUP($A516,sales!$A:$A,sales!E:E)</f>
        <v>4032</v>
      </c>
      <c r="P516" s="4">
        <f t="shared" si="26"/>
        <v>18.753488372093024</v>
      </c>
    </row>
    <row r="517" spans="1:16" x14ac:dyDescent="0.25">
      <c r="A517" s="1">
        <v>45442</v>
      </c>
      <c r="B517" s="1" t="str">
        <f t="shared" si="24"/>
        <v>Thursday</v>
      </c>
      <c r="C517" s="1" t="b">
        <f t="shared" si="25"/>
        <v>0</v>
      </c>
      <c r="D517">
        <f>VLOOKUP($A517,survey_2yrs!A:B, 2)</f>
        <v>50</v>
      </c>
      <c r="E517">
        <f>VLOOKUP($A517,survey_2yrs!$A:C, 3)</f>
        <v>50</v>
      </c>
      <c r="F517">
        <f>VLOOKUP($A517,survey_2yrs!$A:D, 4)</f>
        <v>48.1</v>
      </c>
      <c r="G517">
        <f>_xlfn.XLOOKUP(A517,survey_2yrs!A:A,survey_2yrs!E:E)</f>
        <v>51.9</v>
      </c>
      <c r="H517">
        <f>_xlfn.XLOOKUP($A517,weather_2yrs!$A:$A,weather_2yrs!B:B)</f>
        <v>77.2</v>
      </c>
      <c r="I517">
        <f>_xlfn.XLOOKUP($A517,weather_2yrs!$A:$A,weather_2yrs!C:C)</f>
        <v>0</v>
      </c>
      <c r="J517">
        <f>_xlfn.XLOOKUP($A517,weather_2yrs!$A:$A,weather_2yrs!D:D)</f>
        <v>0</v>
      </c>
      <c r="K517">
        <f>_xlfn.XLOOKUP($A517,weather_2yrs!$A:$A,weather_2yrs!E:E)</f>
        <v>51.2</v>
      </c>
      <c r="L517">
        <f>_xlfn.XLOOKUP($A517,sales!$A:$A,sales!B:B)</f>
        <v>1</v>
      </c>
      <c r="M517" t="str">
        <f>_xlfn.XLOOKUP($A517,sales!$A:$A,sales!C:C)</f>
        <v>Miami Beach</v>
      </c>
      <c r="N517">
        <f>_xlfn.XLOOKUP($A517,sales!$A:$A,sales!D:D)</f>
        <v>266</v>
      </c>
      <c r="O517">
        <f>_xlfn.XLOOKUP($A517,sales!$A:$A,sales!E:E)</f>
        <v>5303.56</v>
      </c>
      <c r="P517" s="4">
        <f t="shared" si="26"/>
        <v>19.938195488721806</v>
      </c>
    </row>
    <row r="518" spans="1:16" x14ac:dyDescent="0.25">
      <c r="A518" s="1">
        <v>45443</v>
      </c>
      <c r="B518" s="1" t="str">
        <f t="shared" si="24"/>
        <v>Friday</v>
      </c>
      <c r="C518" s="1" t="b">
        <f t="shared" si="25"/>
        <v>0</v>
      </c>
      <c r="D518">
        <f>VLOOKUP($A518,survey_2yrs!A:B, 2)</f>
        <v>52.2</v>
      </c>
      <c r="E518">
        <f>VLOOKUP($A518,survey_2yrs!$A:C, 3)</f>
        <v>47.8</v>
      </c>
      <c r="F518">
        <f>VLOOKUP($A518,survey_2yrs!$A:D, 4)</f>
        <v>47.4</v>
      </c>
      <c r="G518">
        <f>_xlfn.XLOOKUP(A518,survey_2yrs!A:A,survey_2yrs!E:E)</f>
        <v>52.6</v>
      </c>
      <c r="H518">
        <f>_xlfn.XLOOKUP($A518,weather_2yrs!$A:$A,weather_2yrs!B:B)</f>
        <v>78.400000000000006</v>
      </c>
      <c r="I518">
        <f>_xlfn.XLOOKUP($A518,weather_2yrs!$A:$A,weather_2yrs!C:C)</f>
        <v>0.52</v>
      </c>
      <c r="J518">
        <f>_xlfn.XLOOKUP($A518,weather_2yrs!$A:$A,weather_2yrs!D:D)</f>
        <v>1</v>
      </c>
      <c r="K518">
        <f>_xlfn.XLOOKUP($A518,weather_2yrs!$A:$A,weather_2yrs!E:E)</f>
        <v>57.9</v>
      </c>
      <c r="L518">
        <f>_xlfn.XLOOKUP($A518,sales!$A:$A,sales!B:B)</f>
        <v>1</v>
      </c>
      <c r="M518" t="str">
        <f>_xlfn.XLOOKUP($A518,sales!$A:$A,sales!C:C)</f>
        <v>Miami Beach</v>
      </c>
      <c r="N518">
        <f>_xlfn.XLOOKUP($A518,sales!$A:$A,sales!D:D)</f>
        <v>261</v>
      </c>
      <c r="O518">
        <f>_xlfn.XLOOKUP($A518,sales!$A:$A,sales!E:E)</f>
        <v>4692.18</v>
      </c>
      <c r="P518" s="4">
        <f t="shared" si="26"/>
        <v>17.97770114942529</v>
      </c>
    </row>
    <row r="519" spans="1:16" x14ac:dyDescent="0.25">
      <c r="A519" s="1">
        <v>45444</v>
      </c>
      <c r="B519" s="1" t="str">
        <f t="shared" si="24"/>
        <v>Saturday</v>
      </c>
      <c r="C519" s="1" t="b">
        <f t="shared" si="25"/>
        <v>1</v>
      </c>
      <c r="D519">
        <f>VLOOKUP($A519,survey_2yrs!A:B, 2)</f>
        <v>49</v>
      </c>
      <c r="E519">
        <f>VLOOKUP($A519,survey_2yrs!$A:C, 3)</f>
        <v>51</v>
      </c>
      <c r="F519">
        <f>VLOOKUP($A519,survey_2yrs!$A:D, 4)</f>
        <v>53.6</v>
      </c>
      <c r="G519">
        <f>_xlfn.XLOOKUP(A519,survey_2yrs!A:A,survey_2yrs!E:E)</f>
        <v>46.4</v>
      </c>
      <c r="H519">
        <f>_xlfn.XLOOKUP($A519,weather_2yrs!$A:$A,weather_2yrs!B:B)</f>
        <v>74.599999999999994</v>
      </c>
      <c r="I519">
        <f>_xlfn.XLOOKUP($A519,weather_2yrs!$A:$A,weather_2yrs!C:C)</f>
        <v>0.54</v>
      </c>
      <c r="J519">
        <f>_xlfn.XLOOKUP($A519,weather_2yrs!$A:$A,weather_2yrs!D:D)</f>
        <v>1</v>
      </c>
      <c r="K519">
        <f>_xlfn.XLOOKUP($A519,weather_2yrs!$A:$A,weather_2yrs!E:E)</f>
        <v>51.6</v>
      </c>
      <c r="L519">
        <f>_xlfn.XLOOKUP($A519,sales!$A:$A,sales!B:B)</f>
        <v>1</v>
      </c>
      <c r="M519" t="str">
        <f>_xlfn.XLOOKUP($A519,sales!$A:$A,sales!C:C)</f>
        <v>Miami Beach</v>
      </c>
      <c r="N519">
        <f>_xlfn.XLOOKUP($A519,sales!$A:$A,sales!D:D)</f>
        <v>298</v>
      </c>
      <c r="O519">
        <f>_xlfn.XLOOKUP($A519,sales!$A:$A,sales!E:E)</f>
        <v>5194.2700000000004</v>
      </c>
      <c r="P519" s="4">
        <f t="shared" si="26"/>
        <v>17.430436241610739</v>
      </c>
    </row>
    <row r="520" spans="1:16" x14ac:dyDescent="0.25">
      <c r="A520" s="1">
        <v>45445</v>
      </c>
      <c r="B520" s="1" t="str">
        <f t="shared" si="24"/>
        <v>Sunday</v>
      </c>
      <c r="C520" s="1" t="b">
        <f t="shared" si="25"/>
        <v>1</v>
      </c>
      <c r="D520">
        <f>VLOOKUP($A520,survey_2yrs!A:B, 2)</f>
        <v>52.5</v>
      </c>
      <c r="E520">
        <f>VLOOKUP($A520,survey_2yrs!$A:C, 3)</f>
        <v>47.5</v>
      </c>
      <c r="F520">
        <f>VLOOKUP($A520,survey_2yrs!$A:D, 4)</f>
        <v>53.9</v>
      </c>
      <c r="G520">
        <f>_xlfn.XLOOKUP(A520,survey_2yrs!A:A,survey_2yrs!E:E)</f>
        <v>46.1</v>
      </c>
      <c r="H520">
        <f>_xlfn.XLOOKUP($A520,weather_2yrs!$A:$A,weather_2yrs!B:B)</f>
        <v>66.7</v>
      </c>
      <c r="I520">
        <f>_xlfn.XLOOKUP($A520,weather_2yrs!$A:$A,weather_2yrs!C:C)</f>
        <v>1.07</v>
      </c>
      <c r="J520">
        <f>_xlfn.XLOOKUP($A520,weather_2yrs!$A:$A,weather_2yrs!D:D)</f>
        <v>1</v>
      </c>
      <c r="K520">
        <f>_xlfn.XLOOKUP($A520,weather_2yrs!$A:$A,weather_2yrs!E:E)</f>
        <v>48.5</v>
      </c>
      <c r="L520">
        <f>_xlfn.XLOOKUP($A520,sales!$A:$A,sales!B:B)</f>
        <v>1</v>
      </c>
      <c r="M520" t="str">
        <f>_xlfn.XLOOKUP($A520,sales!$A:$A,sales!C:C)</f>
        <v>Miami Beach</v>
      </c>
      <c r="N520">
        <f>_xlfn.XLOOKUP($A520,sales!$A:$A,sales!D:D)</f>
        <v>258</v>
      </c>
      <c r="O520">
        <f>_xlfn.XLOOKUP($A520,sales!$A:$A,sales!E:E)</f>
        <v>4965.9399999999996</v>
      </c>
      <c r="P520" s="4">
        <f t="shared" si="26"/>
        <v>19.24782945736434</v>
      </c>
    </row>
    <row r="521" spans="1:16" x14ac:dyDescent="0.25">
      <c r="A521" s="1">
        <v>45446</v>
      </c>
      <c r="B521" s="1" t="str">
        <f t="shared" si="24"/>
        <v>Monday</v>
      </c>
      <c r="C521" s="1" t="b">
        <f t="shared" si="25"/>
        <v>0</v>
      </c>
      <c r="D521">
        <f>VLOOKUP($A521,survey_2yrs!A:B, 2)</f>
        <v>51.5</v>
      </c>
      <c r="E521">
        <f>VLOOKUP($A521,survey_2yrs!$A:C, 3)</f>
        <v>48.5</v>
      </c>
      <c r="F521">
        <f>VLOOKUP($A521,survey_2yrs!$A:D, 4)</f>
        <v>48.5</v>
      </c>
      <c r="G521">
        <f>_xlfn.XLOOKUP(A521,survey_2yrs!A:A,survey_2yrs!E:E)</f>
        <v>51.5</v>
      </c>
      <c r="H521">
        <f>_xlfn.XLOOKUP($A521,weather_2yrs!$A:$A,weather_2yrs!B:B)</f>
        <v>76.8</v>
      </c>
      <c r="I521">
        <f>_xlfn.XLOOKUP($A521,weather_2yrs!$A:$A,weather_2yrs!C:C)</f>
        <v>1.63</v>
      </c>
      <c r="J521">
        <f>_xlfn.XLOOKUP($A521,weather_2yrs!$A:$A,weather_2yrs!D:D)</f>
        <v>1</v>
      </c>
      <c r="K521">
        <f>_xlfn.XLOOKUP($A521,weather_2yrs!$A:$A,weather_2yrs!E:E)</f>
        <v>55.3</v>
      </c>
      <c r="L521">
        <f>_xlfn.XLOOKUP($A521,sales!$A:$A,sales!B:B)</f>
        <v>1</v>
      </c>
      <c r="M521" t="str">
        <f>_xlfn.XLOOKUP($A521,sales!$A:$A,sales!C:C)</f>
        <v>Miami Beach</v>
      </c>
      <c r="N521">
        <f>_xlfn.XLOOKUP($A521,sales!$A:$A,sales!D:D)</f>
        <v>221</v>
      </c>
      <c r="O521">
        <f>_xlfn.XLOOKUP($A521,sales!$A:$A,sales!E:E)</f>
        <v>3911.18</v>
      </c>
      <c r="P521" s="4">
        <f t="shared" si="26"/>
        <v>17.697647058823527</v>
      </c>
    </row>
    <row r="522" spans="1:16" x14ac:dyDescent="0.25">
      <c r="A522" s="1">
        <v>45447</v>
      </c>
      <c r="B522" s="1" t="str">
        <f t="shared" si="24"/>
        <v>Tuesday</v>
      </c>
      <c r="C522" s="1" t="b">
        <f t="shared" si="25"/>
        <v>0</v>
      </c>
      <c r="D522">
        <f>VLOOKUP($A522,survey_2yrs!A:B, 2)</f>
        <v>50.5</v>
      </c>
      <c r="E522">
        <f>VLOOKUP($A522,survey_2yrs!$A:C, 3)</f>
        <v>49.5</v>
      </c>
      <c r="F522">
        <f>VLOOKUP($A522,survey_2yrs!$A:D, 4)</f>
        <v>47.5</v>
      </c>
      <c r="G522">
        <f>_xlfn.XLOOKUP(A522,survey_2yrs!A:A,survey_2yrs!E:E)</f>
        <v>52.5</v>
      </c>
      <c r="H522">
        <f>_xlfn.XLOOKUP($A522,weather_2yrs!$A:$A,weather_2yrs!B:B)</f>
        <v>77.400000000000006</v>
      </c>
      <c r="I522">
        <f>_xlfn.XLOOKUP($A522,weather_2yrs!$A:$A,weather_2yrs!C:C)</f>
        <v>0</v>
      </c>
      <c r="J522">
        <f>_xlfn.XLOOKUP($A522,weather_2yrs!$A:$A,weather_2yrs!D:D)</f>
        <v>0</v>
      </c>
      <c r="K522">
        <f>_xlfn.XLOOKUP($A522,weather_2yrs!$A:$A,weather_2yrs!E:E)</f>
        <v>44.1</v>
      </c>
      <c r="L522">
        <f>_xlfn.XLOOKUP($A522,sales!$A:$A,sales!B:B)</f>
        <v>1</v>
      </c>
      <c r="M522" t="str">
        <f>_xlfn.XLOOKUP($A522,sales!$A:$A,sales!C:C)</f>
        <v>Miami Beach</v>
      </c>
      <c r="N522">
        <f>_xlfn.XLOOKUP($A522,sales!$A:$A,sales!D:D)</f>
        <v>332</v>
      </c>
      <c r="O522">
        <f>_xlfn.XLOOKUP($A522,sales!$A:$A,sales!E:E)</f>
        <v>6321.46</v>
      </c>
      <c r="P522" s="4">
        <f t="shared" si="26"/>
        <v>19.040542168674698</v>
      </c>
    </row>
    <row r="523" spans="1:16" x14ac:dyDescent="0.25">
      <c r="A523" s="1">
        <v>45448</v>
      </c>
      <c r="B523" s="1" t="str">
        <f t="shared" si="24"/>
        <v>Wednesday</v>
      </c>
      <c r="C523" s="1" t="b">
        <f t="shared" si="25"/>
        <v>0</v>
      </c>
      <c r="D523">
        <f>VLOOKUP($A523,survey_2yrs!A:B, 2)</f>
        <v>49.5</v>
      </c>
      <c r="E523">
        <f>VLOOKUP($A523,survey_2yrs!$A:C, 3)</f>
        <v>50.5</v>
      </c>
      <c r="F523">
        <f>VLOOKUP($A523,survey_2yrs!$A:D, 4)</f>
        <v>46.6</v>
      </c>
      <c r="G523">
        <f>_xlfn.XLOOKUP(A523,survey_2yrs!A:A,survey_2yrs!E:E)</f>
        <v>53.4</v>
      </c>
      <c r="H523">
        <f>_xlfn.XLOOKUP($A523,weather_2yrs!$A:$A,weather_2yrs!B:B)</f>
        <v>76.5</v>
      </c>
      <c r="I523">
        <f>_xlfn.XLOOKUP($A523,weather_2yrs!$A:$A,weather_2yrs!C:C)</f>
        <v>0</v>
      </c>
      <c r="J523">
        <f>_xlfn.XLOOKUP($A523,weather_2yrs!$A:$A,weather_2yrs!D:D)</f>
        <v>0</v>
      </c>
      <c r="K523">
        <f>_xlfn.XLOOKUP($A523,weather_2yrs!$A:$A,weather_2yrs!E:E)</f>
        <v>56.7</v>
      </c>
      <c r="L523">
        <f>_xlfn.XLOOKUP($A523,sales!$A:$A,sales!B:B)</f>
        <v>1</v>
      </c>
      <c r="M523" t="str">
        <f>_xlfn.XLOOKUP($A523,sales!$A:$A,sales!C:C)</f>
        <v>Miami Beach</v>
      </c>
      <c r="N523">
        <f>_xlfn.XLOOKUP($A523,sales!$A:$A,sales!D:D)</f>
        <v>265</v>
      </c>
      <c r="O523">
        <f>_xlfn.XLOOKUP($A523,sales!$A:$A,sales!E:E)</f>
        <v>5340.92</v>
      </c>
      <c r="P523" s="4">
        <f t="shared" si="26"/>
        <v>20.154415094339623</v>
      </c>
    </row>
    <row r="524" spans="1:16" x14ac:dyDescent="0.25">
      <c r="A524" s="1">
        <v>45449</v>
      </c>
      <c r="B524" s="1" t="str">
        <f t="shared" si="24"/>
        <v>Thursday</v>
      </c>
      <c r="C524" s="1" t="b">
        <f t="shared" si="25"/>
        <v>0</v>
      </c>
      <c r="D524">
        <f>VLOOKUP($A524,survey_2yrs!A:B, 2)</f>
        <v>49.3</v>
      </c>
      <c r="E524">
        <f>VLOOKUP($A524,survey_2yrs!$A:C, 3)</f>
        <v>50.7</v>
      </c>
      <c r="F524">
        <f>VLOOKUP($A524,survey_2yrs!$A:D, 4)</f>
        <v>48.1</v>
      </c>
      <c r="G524">
        <f>_xlfn.XLOOKUP(A524,survey_2yrs!A:A,survey_2yrs!E:E)</f>
        <v>51.9</v>
      </c>
      <c r="H524">
        <f>_xlfn.XLOOKUP($A524,weather_2yrs!$A:$A,weather_2yrs!B:B)</f>
        <v>78.8</v>
      </c>
      <c r="I524">
        <f>_xlfn.XLOOKUP($A524,weather_2yrs!$A:$A,weather_2yrs!C:C)</f>
        <v>0.28999999999999998</v>
      </c>
      <c r="J524">
        <f>_xlfn.XLOOKUP($A524,weather_2yrs!$A:$A,weather_2yrs!D:D)</f>
        <v>1</v>
      </c>
      <c r="K524">
        <f>_xlfn.XLOOKUP($A524,weather_2yrs!$A:$A,weather_2yrs!E:E)</f>
        <v>52.1</v>
      </c>
      <c r="L524">
        <f>_xlfn.XLOOKUP($A524,sales!$A:$A,sales!B:B)</f>
        <v>1</v>
      </c>
      <c r="M524" t="str">
        <f>_xlfn.XLOOKUP($A524,sales!$A:$A,sales!C:C)</f>
        <v>Miami Beach</v>
      </c>
      <c r="N524">
        <f>_xlfn.XLOOKUP($A524,sales!$A:$A,sales!D:D)</f>
        <v>283</v>
      </c>
      <c r="O524">
        <f>_xlfn.XLOOKUP($A524,sales!$A:$A,sales!E:E)</f>
        <v>5525.88</v>
      </c>
      <c r="P524" s="4">
        <f t="shared" si="26"/>
        <v>19.526077738515902</v>
      </c>
    </row>
    <row r="525" spans="1:16" x14ac:dyDescent="0.25">
      <c r="A525" s="1">
        <v>45450</v>
      </c>
      <c r="B525" s="1" t="str">
        <f t="shared" si="24"/>
        <v>Friday</v>
      </c>
      <c r="C525" s="1" t="b">
        <f t="shared" si="25"/>
        <v>0</v>
      </c>
      <c r="D525">
        <f>VLOOKUP($A525,survey_2yrs!A:B, 2)</f>
        <v>50.3</v>
      </c>
      <c r="E525">
        <f>VLOOKUP($A525,survey_2yrs!$A:C, 3)</f>
        <v>49.7</v>
      </c>
      <c r="F525">
        <f>VLOOKUP($A525,survey_2yrs!$A:D, 4)</f>
        <v>48.2</v>
      </c>
      <c r="G525">
        <f>_xlfn.XLOOKUP(A525,survey_2yrs!A:A,survey_2yrs!E:E)</f>
        <v>51.8</v>
      </c>
      <c r="H525">
        <f>_xlfn.XLOOKUP($A525,weather_2yrs!$A:$A,weather_2yrs!B:B)</f>
        <v>74</v>
      </c>
      <c r="I525">
        <f>_xlfn.XLOOKUP($A525,weather_2yrs!$A:$A,weather_2yrs!C:C)</f>
        <v>0</v>
      </c>
      <c r="J525">
        <f>_xlfn.XLOOKUP($A525,weather_2yrs!$A:$A,weather_2yrs!D:D)</f>
        <v>0</v>
      </c>
      <c r="K525">
        <f>_xlfn.XLOOKUP($A525,weather_2yrs!$A:$A,weather_2yrs!E:E)</f>
        <v>52.8</v>
      </c>
      <c r="L525">
        <f>_xlfn.XLOOKUP($A525,sales!$A:$A,sales!B:B)</f>
        <v>1</v>
      </c>
      <c r="M525" t="str">
        <f>_xlfn.XLOOKUP($A525,sales!$A:$A,sales!C:C)</f>
        <v>Miami Beach</v>
      </c>
      <c r="N525">
        <f>_xlfn.XLOOKUP($A525,sales!$A:$A,sales!D:D)</f>
        <v>277</v>
      </c>
      <c r="O525">
        <f>_xlfn.XLOOKUP($A525,sales!$A:$A,sales!E:E)</f>
        <v>4995.17</v>
      </c>
      <c r="P525" s="4">
        <f t="shared" si="26"/>
        <v>18.033104693140796</v>
      </c>
    </row>
    <row r="526" spans="1:16" x14ac:dyDescent="0.25">
      <c r="A526" s="1">
        <v>45451</v>
      </c>
      <c r="B526" s="1" t="str">
        <f t="shared" si="24"/>
        <v>Saturday</v>
      </c>
      <c r="C526" s="1" t="b">
        <f t="shared" si="25"/>
        <v>1</v>
      </c>
      <c r="D526">
        <f>VLOOKUP($A526,survey_2yrs!A:B, 2)</f>
        <v>49.3</v>
      </c>
      <c r="E526">
        <f>VLOOKUP($A526,survey_2yrs!$A:C, 3)</f>
        <v>50.7</v>
      </c>
      <c r="F526">
        <f>VLOOKUP($A526,survey_2yrs!$A:D, 4)</f>
        <v>53.9</v>
      </c>
      <c r="G526">
        <f>_xlfn.XLOOKUP(A526,survey_2yrs!A:A,survey_2yrs!E:E)</f>
        <v>46.1</v>
      </c>
      <c r="H526">
        <f>_xlfn.XLOOKUP($A526,weather_2yrs!$A:$A,weather_2yrs!B:B)</f>
        <v>73.599999999999994</v>
      </c>
      <c r="I526">
        <f>_xlfn.XLOOKUP($A526,weather_2yrs!$A:$A,weather_2yrs!C:C)</f>
        <v>0.68</v>
      </c>
      <c r="J526">
        <f>_xlfn.XLOOKUP($A526,weather_2yrs!$A:$A,weather_2yrs!D:D)</f>
        <v>1</v>
      </c>
      <c r="K526">
        <f>_xlfn.XLOOKUP($A526,weather_2yrs!$A:$A,weather_2yrs!E:E)</f>
        <v>52.4</v>
      </c>
      <c r="L526">
        <f>_xlfn.XLOOKUP($A526,sales!$A:$A,sales!B:B)</f>
        <v>1</v>
      </c>
      <c r="M526" t="str">
        <f>_xlfn.XLOOKUP($A526,sales!$A:$A,sales!C:C)</f>
        <v>Miami Beach</v>
      </c>
      <c r="N526">
        <f>_xlfn.XLOOKUP($A526,sales!$A:$A,sales!D:D)</f>
        <v>301</v>
      </c>
      <c r="O526">
        <f>_xlfn.XLOOKUP($A526,sales!$A:$A,sales!E:E)</f>
        <v>5705.51</v>
      </c>
      <c r="P526" s="4">
        <f t="shared" si="26"/>
        <v>18.955182724252492</v>
      </c>
    </row>
    <row r="527" spans="1:16" x14ac:dyDescent="0.25">
      <c r="A527" s="1">
        <v>45452</v>
      </c>
      <c r="B527" s="1" t="str">
        <f t="shared" si="24"/>
        <v>Sunday</v>
      </c>
      <c r="C527" s="1" t="b">
        <f t="shared" si="25"/>
        <v>1</v>
      </c>
      <c r="D527">
        <f>VLOOKUP($A527,survey_2yrs!A:B, 2)</f>
        <v>53.2</v>
      </c>
      <c r="E527">
        <f>VLOOKUP($A527,survey_2yrs!$A:C, 3)</f>
        <v>46.8</v>
      </c>
      <c r="F527">
        <f>VLOOKUP($A527,survey_2yrs!$A:D, 4)</f>
        <v>54.6</v>
      </c>
      <c r="G527">
        <f>_xlfn.XLOOKUP(A527,survey_2yrs!A:A,survey_2yrs!E:E)</f>
        <v>45.4</v>
      </c>
      <c r="H527">
        <f>_xlfn.XLOOKUP($A527,weather_2yrs!$A:$A,weather_2yrs!B:B)</f>
        <v>69.3</v>
      </c>
      <c r="I527">
        <f>_xlfn.XLOOKUP($A527,weather_2yrs!$A:$A,weather_2yrs!C:C)</f>
        <v>0.27</v>
      </c>
      <c r="J527">
        <f>_xlfn.XLOOKUP($A527,weather_2yrs!$A:$A,weather_2yrs!D:D)</f>
        <v>1</v>
      </c>
      <c r="K527">
        <f>_xlfn.XLOOKUP($A527,weather_2yrs!$A:$A,weather_2yrs!E:E)</f>
        <v>54.1</v>
      </c>
      <c r="L527">
        <f>_xlfn.XLOOKUP($A527,sales!$A:$A,sales!B:B)</f>
        <v>1</v>
      </c>
      <c r="M527" t="str">
        <f>_xlfn.XLOOKUP($A527,sales!$A:$A,sales!C:C)</f>
        <v>Miami Beach</v>
      </c>
      <c r="N527">
        <f>_xlfn.XLOOKUP($A527,sales!$A:$A,sales!D:D)</f>
        <v>291</v>
      </c>
      <c r="O527">
        <f>_xlfn.XLOOKUP($A527,sales!$A:$A,sales!E:E)</f>
        <v>5360.61</v>
      </c>
      <c r="P527" s="4">
        <f t="shared" si="26"/>
        <v>18.421340206185565</v>
      </c>
    </row>
    <row r="528" spans="1:16" x14ac:dyDescent="0.25">
      <c r="A528" s="1">
        <v>45453</v>
      </c>
      <c r="B528" s="1" t="str">
        <f t="shared" si="24"/>
        <v>Monday</v>
      </c>
      <c r="C528" s="1" t="b">
        <f t="shared" si="25"/>
        <v>0</v>
      </c>
      <c r="D528">
        <f>VLOOKUP($A528,survey_2yrs!A:B, 2)</f>
        <v>48.3</v>
      </c>
      <c r="E528">
        <f>VLOOKUP($A528,survey_2yrs!$A:C, 3)</f>
        <v>51.7</v>
      </c>
      <c r="F528">
        <f>VLOOKUP($A528,survey_2yrs!$A:D, 4)</f>
        <v>46.2</v>
      </c>
      <c r="G528">
        <f>_xlfn.XLOOKUP(A528,survey_2yrs!A:A,survey_2yrs!E:E)</f>
        <v>53.8</v>
      </c>
      <c r="H528">
        <f>_xlfn.XLOOKUP($A528,weather_2yrs!$A:$A,weather_2yrs!B:B)</f>
        <v>69.599999999999994</v>
      </c>
      <c r="I528">
        <f>_xlfn.XLOOKUP($A528,weather_2yrs!$A:$A,weather_2yrs!C:C)</f>
        <v>0</v>
      </c>
      <c r="J528">
        <f>_xlfn.XLOOKUP($A528,weather_2yrs!$A:$A,weather_2yrs!D:D)</f>
        <v>0</v>
      </c>
      <c r="K528">
        <f>_xlfn.XLOOKUP($A528,weather_2yrs!$A:$A,weather_2yrs!E:E)</f>
        <v>58.9</v>
      </c>
      <c r="L528">
        <f>_xlfn.XLOOKUP($A528,sales!$A:$A,sales!B:B)</f>
        <v>1</v>
      </c>
      <c r="M528" t="str">
        <f>_xlfn.XLOOKUP($A528,sales!$A:$A,sales!C:C)</f>
        <v>Miami Beach</v>
      </c>
      <c r="N528">
        <f>_xlfn.XLOOKUP($A528,sales!$A:$A,sales!D:D)</f>
        <v>268</v>
      </c>
      <c r="O528">
        <f>_xlfn.XLOOKUP($A528,sales!$A:$A,sales!E:E)</f>
        <v>5228.3599999999997</v>
      </c>
      <c r="P528" s="4">
        <f t="shared" si="26"/>
        <v>19.508805970149254</v>
      </c>
    </row>
    <row r="529" spans="1:16" x14ac:dyDescent="0.25">
      <c r="A529" s="1">
        <v>45454</v>
      </c>
      <c r="B529" s="1" t="str">
        <f t="shared" si="24"/>
        <v>Tuesday</v>
      </c>
      <c r="C529" s="1" t="b">
        <f t="shared" si="25"/>
        <v>0</v>
      </c>
      <c r="D529">
        <f>VLOOKUP($A529,survey_2yrs!A:B, 2)</f>
        <v>52.3</v>
      </c>
      <c r="E529">
        <f>VLOOKUP($A529,survey_2yrs!$A:C, 3)</f>
        <v>47.7</v>
      </c>
      <c r="F529">
        <f>VLOOKUP($A529,survey_2yrs!$A:D, 4)</f>
        <v>47.4</v>
      </c>
      <c r="G529">
        <f>_xlfn.XLOOKUP(A529,survey_2yrs!A:A,survey_2yrs!E:E)</f>
        <v>52.6</v>
      </c>
      <c r="H529">
        <f>_xlfn.XLOOKUP($A529,weather_2yrs!$A:$A,weather_2yrs!B:B)</f>
        <v>72.8</v>
      </c>
      <c r="I529">
        <f>_xlfn.XLOOKUP($A529,weather_2yrs!$A:$A,weather_2yrs!C:C)</f>
        <v>0</v>
      </c>
      <c r="J529">
        <f>_xlfn.XLOOKUP($A529,weather_2yrs!$A:$A,weather_2yrs!D:D)</f>
        <v>0</v>
      </c>
      <c r="K529">
        <f>_xlfn.XLOOKUP($A529,weather_2yrs!$A:$A,weather_2yrs!E:E)</f>
        <v>61.4</v>
      </c>
      <c r="L529">
        <f>_xlfn.XLOOKUP($A529,sales!$A:$A,sales!B:B)</f>
        <v>1</v>
      </c>
      <c r="M529" t="str">
        <f>_xlfn.XLOOKUP($A529,sales!$A:$A,sales!C:C)</f>
        <v>Miami Beach</v>
      </c>
      <c r="N529">
        <f>_xlfn.XLOOKUP($A529,sales!$A:$A,sales!D:D)</f>
        <v>269</v>
      </c>
      <c r="O529">
        <f>_xlfn.XLOOKUP($A529,sales!$A:$A,sales!E:E)</f>
        <v>5195.5600000000004</v>
      </c>
      <c r="P529" s="4">
        <f t="shared" si="26"/>
        <v>19.314349442379182</v>
      </c>
    </row>
    <row r="530" spans="1:16" x14ac:dyDescent="0.25">
      <c r="A530" s="1">
        <v>45455</v>
      </c>
      <c r="B530" s="1" t="str">
        <f t="shared" si="24"/>
        <v>Wednesday</v>
      </c>
      <c r="C530" s="1" t="b">
        <f t="shared" si="25"/>
        <v>0</v>
      </c>
      <c r="D530">
        <f>VLOOKUP($A530,survey_2yrs!A:B, 2)</f>
        <v>48.7</v>
      </c>
      <c r="E530">
        <f>VLOOKUP($A530,survey_2yrs!$A:C, 3)</f>
        <v>51.3</v>
      </c>
      <c r="F530">
        <f>VLOOKUP($A530,survey_2yrs!$A:D, 4)</f>
        <v>46.9</v>
      </c>
      <c r="G530">
        <f>_xlfn.XLOOKUP(A530,survey_2yrs!A:A,survey_2yrs!E:E)</f>
        <v>53.1</v>
      </c>
      <c r="H530">
        <f>_xlfn.XLOOKUP($A530,weather_2yrs!$A:$A,weather_2yrs!B:B)</f>
        <v>78</v>
      </c>
      <c r="I530">
        <f>_xlfn.XLOOKUP($A530,weather_2yrs!$A:$A,weather_2yrs!C:C)</f>
        <v>0.5</v>
      </c>
      <c r="J530">
        <f>_xlfn.XLOOKUP($A530,weather_2yrs!$A:$A,weather_2yrs!D:D)</f>
        <v>1</v>
      </c>
      <c r="K530">
        <f>_xlfn.XLOOKUP($A530,weather_2yrs!$A:$A,weather_2yrs!E:E)</f>
        <v>45</v>
      </c>
      <c r="L530">
        <f>_xlfn.XLOOKUP($A530,sales!$A:$A,sales!B:B)</f>
        <v>1</v>
      </c>
      <c r="M530" t="str">
        <f>_xlfn.XLOOKUP($A530,sales!$A:$A,sales!C:C)</f>
        <v>Miami Beach</v>
      </c>
      <c r="N530">
        <f>_xlfn.XLOOKUP($A530,sales!$A:$A,sales!D:D)</f>
        <v>268</v>
      </c>
      <c r="O530">
        <f>_xlfn.XLOOKUP($A530,sales!$A:$A,sales!E:E)</f>
        <v>5251.89</v>
      </c>
      <c r="P530" s="4">
        <f t="shared" si="26"/>
        <v>19.59660447761194</v>
      </c>
    </row>
    <row r="531" spans="1:16" x14ac:dyDescent="0.25">
      <c r="A531" s="1">
        <v>45456</v>
      </c>
      <c r="B531" s="1" t="str">
        <f t="shared" si="24"/>
        <v>Thursday</v>
      </c>
      <c r="C531" s="1" t="b">
        <f t="shared" si="25"/>
        <v>0</v>
      </c>
      <c r="D531">
        <f>VLOOKUP($A531,survey_2yrs!A:B, 2)</f>
        <v>49.6</v>
      </c>
      <c r="E531">
        <f>VLOOKUP($A531,survey_2yrs!$A:C, 3)</f>
        <v>50.4</v>
      </c>
      <c r="F531">
        <f>VLOOKUP($A531,survey_2yrs!$A:D, 4)</f>
        <v>48.4</v>
      </c>
      <c r="G531">
        <f>_xlfn.XLOOKUP(A531,survey_2yrs!A:A,survey_2yrs!E:E)</f>
        <v>51.6</v>
      </c>
      <c r="H531">
        <f>_xlfn.XLOOKUP($A531,weather_2yrs!$A:$A,weather_2yrs!B:B)</f>
        <v>75.7</v>
      </c>
      <c r="I531">
        <f>_xlfn.XLOOKUP($A531,weather_2yrs!$A:$A,weather_2yrs!C:C)</f>
        <v>0</v>
      </c>
      <c r="J531">
        <f>_xlfn.XLOOKUP($A531,weather_2yrs!$A:$A,weather_2yrs!D:D)</f>
        <v>0</v>
      </c>
      <c r="K531">
        <f>_xlfn.XLOOKUP($A531,weather_2yrs!$A:$A,weather_2yrs!E:E)</f>
        <v>49.5</v>
      </c>
      <c r="L531">
        <f>_xlfn.XLOOKUP($A531,sales!$A:$A,sales!B:B)</f>
        <v>1</v>
      </c>
      <c r="M531" t="str">
        <f>_xlfn.XLOOKUP($A531,sales!$A:$A,sales!C:C)</f>
        <v>Miami Beach</v>
      </c>
      <c r="N531">
        <f>_xlfn.XLOOKUP($A531,sales!$A:$A,sales!D:D)</f>
        <v>256</v>
      </c>
      <c r="O531">
        <f>_xlfn.XLOOKUP($A531,sales!$A:$A,sales!E:E)</f>
        <v>4844.33</v>
      </c>
      <c r="P531" s="4">
        <f t="shared" si="26"/>
        <v>18.9231640625</v>
      </c>
    </row>
    <row r="532" spans="1:16" x14ac:dyDescent="0.25">
      <c r="A532" s="1">
        <v>45457</v>
      </c>
      <c r="B532" s="1" t="str">
        <f t="shared" si="24"/>
        <v>Friday</v>
      </c>
      <c r="C532" s="1" t="b">
        <f t="shared" si="25"/>
        <v>0</v>
      </c>
      <c r="D532">
        <f>VLOOKUP($A532,survey_2yrs!A:B, 2)</f>
        <v>50.6</v>
      </c>
      <c r="E532">
        <f>VLOOKUP($A532,survey_2yrs!$A:C, 3)</f>
        <v>49.4</v>
      </c>
      <c r="F532">
        <f>VLOOKUP($A532,survey_2yrs!$A:D, 4)</f>
        <v>48.2</v>
      </c>
      <c r="G532">
        <f>_xlfn.XLOOKUP(A532,survey_2yrs!A:A,survey_2yrs!E:E)</f>
        <v>51.8</v>
      </c>
      <c r="H532">
        <f>_xlfn.XLOOKUP($A532,weather_2yrs!$A:$A,weather_2yrs!B:B)</f>
        <v>76.8</v>
      </c>
      <c r="I532">
        <f>_xlfn.XLOOKUP($A532,weather_2yrs!$A:$A,weather_2yrs!C:C)</f>
        <v>0</v>
      </c>
      <c r="J532">
        <f>_xlfn.XLOOKUP($A532,weather_2yrs!$A:$A,weather_2yrs!D:D)</f>
        <v>0</v>
      </c>
      <c r="K532">
        <f>_xlfn.XLOOKUP($A532,weather_2yrs!$A:$A,weather_2yrs!E:E)</f>
        <v>58.7</v>
      </c>
      <c r="L532">
        <f>_xlfn.XLOOKUP($A532,sales!$A:$A,sales!B:B)</f>
        <v>1</v>
      </c>
      <c r="M532" t="str">
        <f>_xlfn.XLOOKUP($A532,sales!$A:$A,sales!C:C)</f>
        <v>Miami Beach</v>
      </c>
      <c r="N532">
        <f>_xlfn.XLOOKUP($A532,sales!$A:$A,sales!D:D)</f>
        <v>268</v>
      </c>
      <c r="O532">
        <f>_xlfn.XLOOKUP($A532,sales!$A:$A,sales!E:E)</f>
        <v>4592.53</v>
      </c>
      <c r="P532" s="4">
        <f t="shared" si="26"/>
        <v>17.136305970149252</v>
      </c>
    </row>
    <row r="533" spans="1:16" x14ac:dyDescent="0.25">
      <c r="A533" s="1">
        <v>45458</v>
      </c>
      <c r="B533" s="1" t="str">
        <f t="shared" si="24"/>
        <v>Saturday</v>
      </c>
      <c r="C533" s="1" t="b">
        <f t="shared" si="25"/>
        <v>1</v>
      </c>
      <c r="D533">
        <f>VLOOKUP($A533,survey_2yrs!A:B, 2)</f>
        <v>50.7</v>
      </c>
      <c r="E533">
        <f>VLOOKUP($A533,survey_2yrs!$A:C, 3)</f>
        <v>49.3</v>
      </c>
      <c r="F533">
        <f>VLOOKUP($A533,survey_2yrs!$A:D, 4)</f>
        <v>55.2</v>
      </c>
      <c r="G533">
        <f>_xlfn.XLOOKUP(A533,survey_2yrs!A:A,survey_2yrs!E:E)</f>
        <v>44.8</v>
      </c>
      <c r="H533">
        <f>_xlfn.XLOOKUP($A533,weather_2yrs!$A:$A,weather_2yrs!B:B)</f>
        <v>81.400000000000006</v>
      </c>
      <c r="I533">
        <f>_xlfn.XLOOKUP($A533,weather_2yrs!$A:$A,weather_2yrs!C:C)</f>
        <v>0</v>
      </c>
      <c r="J533">
        <f>_xlfn.XLOOKUP($A533,weather_2yrs!$A:$A,weather_2yrs!D:D)</f>
        <v>0</v>
      </c>
      <c r="K533">
        <f>_xlfn.XLOOKUP($A533,weather_2yrs!$A:$A,weather_2yrs!E:E)</f>
        <v>58.5</v>
      </c>
      <c r="L533">
        <f>_xlfn.XLOOKUP($A533,sales!$A:$A,sales!B:B)</f>
        <v>1</v>
      </c>
      <c r="M533" t="str">
        <f>_xlfn.XLOOKUP($A533,sales!$A:$A,sales!C:C)</f>
        <v>Miami Beach</v>
      </c>
      <c r="N533">
        <f>_xlfn.XLOOKUP($A533,sales!$A:$A,sales!D:D)</f>
        <v>318</v>
      </c>
      <c r="O533">
        <f>_xlfn.XLOOKUP($A533,sales!$A:$A,sales!E:E)</f>
        <v>6244.82</v>
      </c>
      <c r="P533" s="4">
        <f t="shared" si="26"/>
        <v>19.637798742138365</v>
      </c>
    </row>
    <row r="534" spans="1:16" x14ac:dyDescent="0.25">
      <c r="A534" s="1">
        <v>45459</v>
      </c>
      <c r="B534" s="1" t="str">
        <f t="shared" si="24"/>
        <v>Sunday</v>
      </c>
      <c r="C534" s="1" t="b">
        <f t="shared" si="25"/>
        <v>1</v>
      </c>
      <c r="D534">
        <f>VLOOKUP($A534,survey_2yrs!A:B, 2)</f>
        <v>49.5</v>
      </c>
      <c r="E534">
        <f>VLOOKUP($A534,survey_2yrs!$A:C, 3)</f>
        <v>50.5</v>
      </c>
      <c r="F534">
        <f>VLOOKUP($A534,survey_2yrs!$A:D, 4)</f>
        <v>53.4</v>
      </c>
      <c r="G534">
        <f>_xlfn.XLOOKUP(A534,survey_2yrs!A:A,survey_2yrs!E:E)</f>
        <v>46.6</v>
      </c>
      <c r="H534">
        <f>_xlfn.XLOOKUP($A534,weather_2yrs!$A:$A,weather_2yrs!B:B)</f>
        <v>73.3</v>
      </c>
      <c r="I534">
        <f>_xlfn.XLOOKUP($A534,weather_2yrs!$A:$A,weather_2yrs!C:C)</f>
        <v>0</v>
      </c>
      <c r="J534">
        <f>_xlfn.XLOOKUP($A534,weather_2yrs!$A:$A,weather_2yrs!D:D)</f>
        <v>0</v>
      </c>
      <c r="K534">
        <f>_xlfn.XLOOKUP($A534,weather_2yrs!$A:$A,weather_2yrs!E:E)</f>
        <v>63.4</v>
      </c>
      <c r="L534">
        <f>_xlfn.XLOOKUP($A534,sales!$A:$A,sales!B:B)</f>
        <v>1</v>
      </c>
      <c r="M534" t="str">
        <f>_xlfn.XLOOKUP($A534,sales!$A:$A,sales!C:C)</f>
        <v>Miami Beach</v>
      </c>
      <c r="N534">
        <f>_xlfn.XLOOKUP($A534,sales!$A:$A,sales!D:D)</f>
        <v>320</v>
      </c>
      <c r="O534">
        <f>_xlfn.XLOOKUP($A534,sales!$A:$A,sales!E:E)</f>
        <v>5818.09</v>
      </c>
      <c r="P534" s="4">
        <f t="shared" si="26"/>
        <v>18.181531249999999</v>
      </c>
    </row>
    <row r="535" spans="1:16" x14ac:dyDescent="0.25">
      <c r="A535" s="1">
        <v>45460</v>
      </c>
      <c r="B535" s="1" t="str">
        <f t="shared" si="24"/>
        <v>Monday</v>
      </c>
      <c r="C535" s="1" t="b">
        <f t="shared" si="25"/>
        <v>0</v>
      </c>
      <c r="D535">
        <f>VLOOKUP($A535,survey_2yrs!A:B, 2)</f>
        <v>50.4</v>
      </c>
      <c r="E535">
        <f>VLOOKUP($A535,survey_2yrs!$A:C, 3)</f>
        <v>49.6</v>
      </c>
      <c r="F535">
        <f>VLOOKUP($A535,survey_2yrs!$A:D, 4)</f>
        <v>46.7</v>
      </c>
      <c r="G535">
        <f>_xlfn.XLOOKUP(A535,survey_2yrs!A:A,survey_2yrs!E:E)</f>
        <v>53.3</v>
      </c>
      <c r="H535">
        <f>_xlfn.XLOOKUP($A535,weather_2yrs!$A:$A,weather_2yrs!B:B)</f>
        <v>78.3</v>
      </c>
      <c r="I535">
        <f>_xlfn.XLOOKUP($A535,weather_2yrs!$A:$A,weather_2yrs!C:C)</f>
        <v>0</v>
      </c>
      <c r="J535">
        <f>_xlfn.XLOOKUP($A535,weather_2yrs!$A:$A,weather_2yrs!D:D)</f>
        <v>0</v>
      </c>
      <c r="K535">
        <f>_xlfn.XLOOKUP($A535,weather_2yrs!$A:$A,weather_2yrs!E:E)</f>
        <v>45.9</v>
      </c>
      <c r="L535">
        <f>_xlfn.XLOOKUP($A535,sales!$A:$A,sales!B:B)</f>
        <v>1</v>
      </c>
      <c r="M535" t="str">
        <f>_xlfn.XLOOKUP($A535,sales!$A:$A,sales!C:C)</f>
        <v>Miami Beach</v>
      </c>
      <c r="N535">
        <f>_xlfn.XLOOKUP($A535,sales!$A:$A,sales!D:D)</f>
        <v>287</v>
      </c>
      <c r="O535">
        <f>_xlfn.XLOOKUP($A535,sales!$A:$A,sales!E:E)</f>
        <v>5733.53</v>
      </c>
      <c r="P535" s="4">
        <f t="shared" si="26"/>
        <v>19.977456445993031</v>
      </c>
    </row>
    <row r="536" spans="1:16" x14ac:dyDescent="0.25">
      <c r="A536" s="1">
        <v>45461</v>
      </c>
      <c r="B536" s="1" t="str">
        <f t="shared" si="24"/>
        <v>Tuesday</v>
      </c>
      <c r="C536" s="1" t="b">
        <f t="shared" si="25"/>
        <v>0</v>
      </c>
      <c r="D536">
        <f>VLOOKUP($A536,survey_2yrs!A:B, 2)</f>
        <v>49.1</v>
      </c>
      <c r="E536">
        <f>VLOOKUP($A536,survey_2yrs!$A:C, 3)</f>
        <v>50.9</v>
      </c>
      <c r="F536">
        <f>VLOOKUP($A536,survey_2yrs!$A:D, 4)</f>
        <v>46.6</v>
      </c>
      <c r="G536">
        <f>_xlfn.XLOOKUP(A536,survey_2yrs!A:A,survey_2yrs!E:E)</f>
        <v>53.4</v>
      </c>
      <c r="H536">
        <f>_xlfn.XLOOKUP($A536,weather_2yrs!$A:$A,weather_2yrs!B:B)</f>
        <v>73.099999999999994</v>
      </c>
      <c r="I536">
        <f>_xlfn.XLOOKUP($A536,weather_2yrs!$A:$A,weather_2yrs!C:C)</f>
        <v>0</v>
      </c>
      <c r="J536">
        <f>_xlfn.XLOOKUP($A536,weather_2yrs!$A:$A,weather_2yrs!D:D)</f>
        <v>0</v>
      </c>
      <c r="K536">
        <f>_xlfn.XLOOKUP($A536,weather_2yrs!$A:$A,weather_2yrs!E:E)</f>
        <v>62.9</v>
      </c>
      <c r="L536">
        <f>_xlfn.XLOOKUP($A536,sales!$A:$A,sales!B:B)</f>
        <v>1</v>
      </c>
      <c r="M536" t="str">
        <f>_xlfn.XLOOKUP($A536,sales!$A:$A,sales!C:C)</f>
        <v>Miami Beach</v>
      </c>
      <c r="N536">
        <f>_xlfn.XLOOKUP($A536,sales!$A:$A,sales!D:D)</f>
        <v>310</v>
      </c>
      <c r="O536">
        <f>_xlfn.XLOOKUP($A536,sales!$A:$A,sales!E:E)</f>
        <v>5748.62</v>
      </c>
      <c r="P536" s="4">
        <f t="shared" si="26"/>
        <v>18.543935483870968</v>
      </c>
    </row>
    <row r="537" spans="1:16" x14ac:dyDescent="0.25">
      <c r="A537" s="1">
        <v>45462</v>
      </c>
      <c r="B537" s="1" t="str">
        <f t="shared" si="24"/>
        <v>Wednesday</v>
      </c>
      <c r="C537" s="1" t="b">
        <f t="shared" si="25"/>
        <v>0</v>
      </c>
      <c r="D537">
        <f>VLOOKUP($A537,survey_2yrs!A:B, 2)</f>
        <v>47.5</v>
      </c>
      <c r="E537">
        <f>VLOOKUP($A537,survey_2yrs!$A:C, 3)</f>
        <v>52.5</v>
      </c>
      <c r="F537">
        <f>VLOOKUP($A537,survey_2yrs!$A:D, 4)</f>
        <v>47</v>
      </c>
      <c r="G537">
        <f>_xlfn.XLOOKUP(A537,survey_2yrs!A:A,survey_2yrs!E:E)</f>
        <v>53</v>
      </c>
      <c r="H537">
        <f>_xlfn.XLOOKUP($A537,weather_2yrs!$A:$A,weather_2yrs!B:B)</f>
        <v>81.3</v>
      </c>
      <c r="I537">
        <f>_xlfn.XLOOKUP($A537,weather_2yrs!$A:$A,weather_2yrs!C:C)</f>
        <v>1.21</v>
      </c>
      <c r="J537">
        <f>_xlfn.XLOOKUP($A537,weather_2yrs!$A:$A,weather_2yrs!D:D)</f>
        <v>1</v>
      </c>
      <c r="K537">
        <f>_xlfn.XLOOKUP($A537,weather_2yrs!$A:$A,weather_2yrs!E:E)</f>
        <v>56.5</v>
      </c>
      <c r="L537">
        <f>_xlfn.XLOOKUP($A537,sales!$A:$A,sales!B:B)</f>
        <v>1</v>
      </c>
      <c r="M537" t="str">
        <f>_xlfn.XLOOKUP($A537,sales!$A:$A,sales!C:C)</f>
        <v>Miami Beach</v>
      </c>
      <c r="N537">
        <f>_xlfn.XLOOKUP($A537,sales!$A:$A,sales!D:D)</f>
        <v>282</v>
      </c>
      <c r="O537">
        <f>_xlfn.XLOOKUP($A537,sales!$A:$A,sales!E:E)</f>
        <v>5326.67</v>
      </c>
      <c r="P537" s="4">
        <f t="shared" si="26"/>
        <v>18.888900709219858</v>
      </c>
    </row>
    <row r="538" spans="1:16" x14ac:dyDescent="0.25">
      <c r="A538" s="1">
        <v>45463</v>
      </c>
      <c r="B538" s="1" t="str">
        <f t="shared" si="24"/>
        <v>Thursday</v>
      </c>
      <c r="C538" s="1" t="b">
        <f t="shared" si="25"/>
        <v>0</v>
      </c>
      <c r="D538">
        <f>VLOOKUP($A538,survey_2yrs!A:B, 2)</f>
        <v>49.9</v>
      </c>
      <c r="E538">
        <f>VLOOKUP($A538,survey_2yrs!$A:C, 3)</f>
        <v>50.1</v>
      </c>
      <c r="F538">
        <f>VLOOKUP($A538,survey_2yrs!$A:D, 4)</f>
        <v>48</v>
      </c>
      <c r="G538">
        <f>_xlfn.XLOOKUP(A538,survey_2yrs!A:A,survey_2yrs!E:E)</f>
        <v>52</v>
      </c>
      <c r="H538">
        <f>_xlfn.XLOOKUP($A538,weather_2yrs!$A:$A,weather_2yrs!B:B)</f>
        <v>73.900000000000006</v>
      </c>
      <c r="I538">
        <f>_xlfn.XLOOKUP($A538,weather_2yrs!$A:$A,weather_2yrs!C:C)</f>
        <v>1.39</v>
      </c>
      <c r="J538">
        <f>_xlfn.XLOOKUP($A538,weather_2yrs!$A:$A,weather_2yrs!D:D)</f>
        <v>1</v>
      </c>
      <c r="K538">
        <f>_xlfn.XLOOKUP($A538,weather_2yrs!$A:$A,weather_2yrs!E:E)</f>
        <v>63.3</v>
      </c>
      <c r="L538">
        <f>_xlfn.XLOOKUP($A538,sales!$A:$A,sales!B:B)</f>
        <v>1</v>
      </c>
      <c r="M538" t="str">
        <f>_xlfn.XLOOKUP($A538,sales!$A:$A,sales!C:C)</f>
        <v>Miami Beach</v>
      </c>
      <c r="N538">
        <f>_xlfn.XLOOKUP($A538,sales!$A:$A,sales!D:D)</f>
        <v>268</v>
      </c>
      <c r="O538">
        <f>_xlfn.XLOOKUP($A538,sales!$A:$A,sales!E:E)</f>
        <v>5171.75</v>
      </c>
      <c r="P538" s="4">
        <f t="shared" si="26"/>
        <v>19.297574626865671</v>
      </c>
    </row>
    <row r="539" spans="1:16" x14ac:dyDescent="0.25">
      <c r="A539" s="1">
        <v>45464</v>
      </c>
      <c r="B539" s="1" t="str">
        <f t="shared" si="24"/>
        <v>Friday</v>
      </c>
      <c r="C539" s="1" t="b">
        <f t="shared" si="25"/>
        <v>0</v>
      </c>
      <c r="D539">
        <f>VLOOKUP($A539,survey_2yrs!A:B, 2)</f>
        <v>51.1</v>
      </c>
      <c r="E539">
        <f>VLOOKUP($A539,survey_2yrs!$A:C, 3)</f>
        <v>48.9</v>
      </c>
      <c r="F539">
        <f>VLOOKUP($A539,survey_2yrs!$A:D, 4)</f>
        <v>48.6</v>
      </c>
      <c r="G539">
        <f>_xlfn.XLOOKUP(A539,survey_2yrs!A:A,survey_2yrs!E:E)</f>
        <v>51.4</v>
      </c>
      <c r="H539">
        <f>_xlfn.XLOOKUP($A539,weather_2yrs!$A:$A,weather_2yrs!B:B)</f>
        <v>76.900000000000006</v>
      </c>
      <c r="I539">
        <f>_xlfn.XLOOKUP($A539,weather_2yrs!$A:$A,weather_2yrs!C:C)</f>
        <v>0</v>
      </c>
      <c r="J539">
        <f>_xlfn.XLOOKUP($A539,weather_2yrs!$A:$A,weather_2yrs!D:D)</f>
        <v>0</v>
      </c>
      <c r="K539">
        <f>_xlfn.XLOOKUP($A539,weather_2yrs!$A:$A,weather_2yrs!E:E)</f>
        <v>62.4</v>
      </c>
      <c r="L539">
        <f>_xlfn.XLOOKUP($A539,sales!$A:$A,sales!B:B)</f>
        <v>1</v>
      </c>
      <c r="M539" t="str">
        <f>_xlfn.XLOOKUP($A539,sales!$A:$A,sales!C:C)</f>
        <v>Miami Beach</v>
      </c>
      <c r="N539">
        <f>_xlfn.XLOOKUP($A539,sales!$A:$A,sales!D:D)</f>
        <v>275</v>
      </c>
      <c r="O539">
        <f>_xlfn.XLOOKUP($A539,sales!$A:$A,sales!E:E)</f>
        <v>4985.4799999999996</v>
      </c>
      <c r="P539" s="4">
        <f t="shared" si="26"/>
        <v>18.129018181818179</v>
      </c>
    </row>
    <row r="540" spans="1:16" x14ac:dyDescent="0.25">
      <c r="A540" s="1">
        <v>45465</v>
      </c>
      <c r="B540" s="1" t="str">
        <f t="shared" si="24"/>
        <v>Saturday</v>
      </c>
      <c r="C540" s="1" t="b">
        <f t="shared" si="25"/>
        <v>1</v>
      </c>
      <c r="D540">
        <f>VLOOKUP($A540,survey_2yrs!A:B, 2)</f>
        <v>50.2</v>
      </c>
      <c r="E540">
        <f>VLOOKUP($A540,survey_2yrs!$A:C, 3)</f>
        <v>49.8</v>
      </c>
      <c r="F540">
        <f>VLOOKUP($A540,survey_2yrs!$A:D, 4)</f>
        <v>54.3</v>
      </c>
      <c r="G540">
        <f>_xlfn.XLOOKUP(A540,survey_2yrs!A:A,survey_2yrs!E:E)</f>
        <v>45.7</v>
      </c>
      <c r="H540">
        <f>_xlfn.XLOOKUP($A540,weather_2yrs!$A:$A,weather_2yrs!B:B)</f>
        <v>76.400000000000006</v>
      </c>
      <c r="I540">
        <f>_xlfn.XLOOKUP($A540,weather_2yrs!$A:$A,weather_2yrs!C:C)</f>
        <v>0</v>
      </c>
      <c r="J540">
        <f>_xlfn.XLOOKUP($A540,weather_2yrs!$A:$A,weather_2yrs!D:D)</f>
        <v>0</v>
      </c>
      <c r="K540">
        <f>_xlfn.XLOOKUP($A540,weather_2yrs!$A:$A,weather_2yrs!E:E)</f>
        <v>48</v>
      </c>
      <c r="L540">
        <f>_xlfn.XLOOKUP($A540,sales!$A:$A,sales!B:B)</f>
        <v>1</v>
      </c>
      <c r="M540" t="str">
        <f>_xlfn.XLOOKUP($A540,sales!$A:$A,sales!C:C)</f>
        <v>Miami Beach</v>
      </c>
      <c r="N540">
        <f>_xlfn.XLOOKUP($A540,sales!$A:$A,sales!D:D)</f>
        <v>344</v>
      </c>
      <c r="O540">
        <f>_xlfn.XLOOKUP($A540,sales!$A:$A,sales!E:E)</f>
        <v>6075.61</v>
      </c>
      <c r="P540" s="4">
        <f t="shared" si="26"/>
        <v>17.661656976744187</v>
      </c>
    </row>
    <row r="541" spans="1:16" x14ac:dyDescent="0.25">
      <c r="A541" s="1">
        <v>45466</v>
      </c>
      <c r="B541" s="1" t="str">
        <f t="shared" si="24"/>
        <v>Sunday</v>
      </c>
      <c r="C541" s="1" t="b">
        <f t="shared" si="25"/>
        <v>1</v>
      </c>
      <c r="D541">
        <f>VLOOKUP($A541,survey_2yrs!A:B, 2)</f>
        <v>50.5</v>
      </c>
      <c r="E541">
        <f>VLOOKUP($A541,survey_2yrs!$A:C, 3)</f>
        <v>49.5</v>
      </c>
      <c r="F541">
        <f>VLOOKUP($A541,survey_2yrs!$A:D, 4)</f>
        <v>51.9</v>
      </c>
      <c r="G541">
        <f>_xlfn.XLOOKUP(A541,survey_2yrs!A:A,survey_2yrs!E:E)</f>
        <v>48.1</v>
      </c>
      <c r="H541">
        <f>_xlfn.XLOOKUP($A541,weather_2yrs!$A:$A,weather_2yrs!B:B)</f>
        <v>77.900000000000006</v>
      </c>
      <c r="I541">
        <f>_xlfn.XLOOKUP($A541,weather_2yrs!$A:$A,weather_2yrs!C:C)</f>
        <v>0</v>
      </c>
      <c r="J541">
        <f>_xlfn.XLOOKUP($A541,weather_2yrs!$A:$A,weather_2yrs!D:D)</f>
        <v>0</v>
      </c>
      <c r="K541">
        <f>_xlfn.XLOOKUP($A541,weather_2yrs!$A:$A,weather_2yrs!E:E)</f>
        <v>51.2</v>
      </c>
      <c r="L541">
        <f>_xlfn.XLOOKUP($A541,sales!$A:$A,sales!B:B)</f>
        <v>1</v>
      </c>
      <c r="M541" t="str">
        <f>_xlfn.XLOOKUP($A541,sales!$A:$A,sales!C:C)</f>
        <v>Miami Beach</v>
      </c>
      <c r="N541">
        <f>_xlfn.XLOOKUP($A541,sales!$A:$A,sales!D:D)</f>
        <v>313</v>
      </c>
      <c r="O541">
        <f>_xlfn.XLOOKUP($A541,sales!$A:$A,sales!E:E)</f>
        <v>5917.31</v>
      </c>
      <c r="P541" s="4">
        <f t="shared" si="26"/>
        <v>18.905143769968053</v>
      </c>
    </row>
    <row r="542" spans="1:16" x14ac:dyDescent="0.25">
      <c r="A542" s="1">
        <v>45467</v>
      </c>
      <c r="B542" s="1" t="str">
        <f t="shared" si="24"/>
        <v>Monday</v>
      </c>
      <c r="C542" s="1" t="b">
        <f t="shared" si="25"/>
        <v>0</v>
      </c>
      <c r="D542">
        <f>VLOOKUP($A542,survey_2yrs!A:B, 2)</f>
        <v>48.6</v>
      </c>
      <c r="E542">
        <f>VLOOKUP($A542,survey_2yrs!$A:C, 3)</f>
        <v>51.4</v>
      </c>
      <c r="F542">
        <f>VLOOKUP($A542,survey_2yrs!$A:D, 4)</f>
        <v>48.4</v>
      </c>
      <c r="G542">
        <f>_xlfn.XLOOKUP(A542,survey_2yrs!A:A,survey_2yrs!E:E)</f>
        <v>51.6</v>
      </c>
      <c r="H542">
        <f>_xlfn.XLOOKUP($A542,weather_2yrs!$A:$A,weather_2yrs!B:B)</f>
        <v>81.599999999999994</v>
      </c>
      <c r="I542">
        <f>_xlfn.XLOOKUP($A542,weather_2yrs!$A:$A,weather_2yrs!C:C)</f>
        <v>0.54</v>
      </c>
      <c r="J542">
        <f>_xlfn.XLOOKUP($A542,weather_2yrs!$A:$A,weather_2yrs!D:D)</f>
        <v>1</v>
      </c>
      <c r="K542">
        <f>_xlfn.XLOOKUP($A542,weather_2yrs!$A:$A,weather_2yrs!E:E)</f>
        <v>67</v>
      </c>
      <c r="L542">
        <f>_xlfn.XLOOKUP($A542,sales!$A:$A,sales!B:B)</f>
        <v>1</v>
      </c>
      <c r="M542" t="str">
        <f>_xlfn.XLOOKUP($A542,sales!$A:$A,sales!C:C)</f>
        <v>Miami Beach</v>
      </c>
      <c r="N542">
        <f>_xlfn.XLOOKUP($A542,sales!$A:$A,sales!D:D)</f>
        <v>303</v>
      </c>
      <c r="O542">
        <f>_xlfn.XLOOKUP($A542,sales!$A:$A,sales!E:E)</f>
        <v>5513.55</v>
      </c>
      <c r="P542" s="4">
        <f t="shared" si="26"/>
        <v>18.196534653465346</v>
      </c>
    </row>
    <row r="543" spans="1:16" x14ac:dyDescent="0.25">
      <c r="A543" s="1">
        <v>45468</v>
      </c>
      <c r="B543" s="1" t="str">
        <f t="shared" si="24"/>
        <v>Tuesday</v>
      </c>
      <c r="C543" s="1" t="b">
        <f t="shared" si="25"/>
        <v>0</v>
      </c>
      <c r="D543">
        <f>VLOOKUP($A543,survey_2yrs!A:B, 2)</f>
        <v>49.2</v>
      </c>
      <c r="E543">
        <f>VLOOKUP($A543,survey_2yrs!$A:C, 3)</f>
        <v>50.8</v>
      </c>
      <c r="F543">
        <f>VLOOKUP($A543,survey_2yrs!$A:D, 4)</f>
        <v>46.6</v>
      </c>
      <c r="G543">
        <f>_xlfn.XLOOKUP(A543,survey_2yrs!A:A,survey_2yrs!E:E)</f>
        <v>53.4</v>
      </c>
      <c r="H543">
        <f>_xlfn.XLOOKUP($A543,weather_2yrs!$A:$A,weather_2yrs!B:B)</f>
        <v>77.8</v>
      </c>
      <c r="I543">
        <f>_xlfn.XLOOKUP($A543,weather_2yrs!$A:$A,weather_2yrs!C:C)</f>
        <v>0</v>
      </c>
      <c r="J543">
        <f>_xlfn.XLOOKUP($A543,weather_2yrs!$A:$A,weather_2yrs!D:D)</f>
        <v>0</v>
      </c>
      <c r="K543">
        <f>_xlfn.XLOOKUP($A543,weather_2yrs!$A:$A,weather_2yrs!E:E)</f>
        <v>59.2</v>
      </c>
      <c r="L543">
        <f>_xlfn.XLOOKUP($A543,sales!$A:$A,sales!B:B)</f>
        <v>1</v>
      </c>
      <c r="M543" t="str">
        <f>_xlfn.XLOOKUP($A543,sales!$A:$A,sales!C:C)</f>
        <v>Miami Beach</v>
      </c>
      <c r="N543">
        <f>_xlfn.XLOOKUP($A543,sales!$A:$A,sales!D:D)</f>
        <v>254</v>
      </c>
      <c r="O543">
        <f>_xlfn.XLOOKUP($A543,sales!$A:$A,sales!E:E)</f>
        <v>5108.9799999999996</v>
      </c>
      <c r="P543" s="4">
        <f t="shared" si="26"/>
        <v>20.114094488188975</v>
      </c>
    </row>
    <row r="544" spans="1:16" x14ac:dyDescent="0.25">
      <c r="A544" s="1">
        <v>45469</v>
      </c>
      <c r="B544" s="1" t="str">
        <f t="shared" si="24"/>
        <v>Wednesday</v>
      </c>
      <c r="C544" s="1" t="b">
        <f t="shared" si="25"/>
        <v>0</v>
      </c>
      <c r="D544">
        <f>VLOOKUP($A544,survey_2yrs!A:B, 2)</f>
        <v>49.6</v>
      </c>
      <c r="E544">
        <f>VLOOKUP($A544,survey_2yrs!$A:C, 3)</f>
        <v>50.4</v>
      </c>
      <c r="F544">
        <f>VLOOKUP($A544,survey_2yrs!$A:D, 4)</f>
        <v>46.5</v>
      </c>
      <c r="G544">
        <f>_xlfn.XLOOKUP(A544,survey_2yrs!A:A,survey_2yrs!E:E)</f>
        <v>53.5</v>
      </c>
      <c r="H544">
        <f>_xlfn.XLOOKUP($A544,weather_2yrs!$A:$A,weather_2yrs!B:B)</f>
        <v>76.900000000000006</v>
      </c>
      <c r="I544">
        <f>_xlfn.XLOOKUP($A544,weather_2yrs!$A:$A,weather_2yrs!C:C)</f>
        <v>0.28000000000000003</v>
      </c>
      <c r="J544">
        <f>_xlfn.XLOOKUP($A544,weather_2yrs!$A:$A,weather_2yrs!D:D)</f>
        <v>1</v>
      </c>
      <c r="K544">
        <f>_xlfn.XLOOKUP($A544,weather_2yrs!$A:$A,weather_2yrs!E:E)</f>
        <v>56.9</v>
      </c>
      <c r="L544">
        <f>_xlfn.XLOOKUP($A544,sales!$A:$A,sales!B:B)</f>
        <v>1</v>
      </c>
      <c r="M544" t="str">
        <f>_xlfn.XLOOKUP($A544,sales!$A:$A,sales!C:C)</f>
        <v>Miami Beach</v>
      </c>
      <c r="N544">
        <f>_xlfn.XLOOKUP($A544,sales!$A:$A,sales!D:D)</f>
        <v>262</v>
      </c>
      <c r="O544">
        <f>_xlfn.XLOOKUP($A544,sales!$A:$A,sales!E:E)</f>
        <v>4681.5200000000004</v>
      </c>
      <c r="P544" s="4">
        <f t="shared" si="26"/>
        <v>17.868396946564886</v>
      </c>
    </row>
    <row r="545" spans="1:16" x14ac:dyDescent="0.25">
      <c r="A545" s="1">
        <v>45470</v>
      </c>
      <c r="B545" s="1" t="str">
        <f t="shared" si="24"/>
        <v>Thursday</v>
      </c>
      <c r="C545" s="1" t="b">
        <f t="shared" si="25"/>
        <v>0</v>
      </c>
      <c r="D545">
        <f>VLOOKUP($A545,survey_2yrs!A:B, 2)</f>
        <v>49</v>
      </c>
      <c r="E545">
        <f>VLOOKUP($A545,survey_2yrs!$A:C, 3)</f>
        <v>51</v>
      </c>
      <c r="F545">
        <f>VLOOKUP($A545,survey_2yrs!$A:D, 4)</f>
        <v>45.1</v>
      </c>
      <c r="G545">
        <f>_xlfn.XLOOKUP(A545,survey_2yrs!A:A,survey_2yrs!E:E)</f>
        <v>54.9</v>
      </c>
      <c r="H545">
        <f>_xlfn.XLOOKUP($A545,weather_2yrs!$A:$A,weather_2yrs!B:B)</f>
        <v>77.5</v>
      </c>
      <c r="I545">
        <f>_xlfn.XLOOKUP($A545,weather_2yrs!$A:$A,weather_2yrs!C:C)</f>
        <v>0.72</v>
      </c>
      <c r="J545">
        <f>_xlfn.XLOOKUP($A545,weather_2yrs!$A:$A,weather_2yrs!D:D)</f>
        <v>1</v>
      </c>
      <c r="K545">
        <f>_xlfn.XLOOKUP($A545,weather_2yrs!$A:$A,weather_2yrs!E:E)</f>
        <v>59.8</v>
      </c>
      <c r="L545">
        <f>_xlfn.XLOOKUP($A545,sales!$A:$A,sales!B:B)</f>
        <v>1</v>
      </c>
      <c r="M545" t="str">
        <f>_xlfn.XLOOKUP($A545,sales!$A:$A,sales!C:C)</f>
        <v>Miami Beach</v>
      </c>
      <c r="N545">
        <f>_xlfn.XLOOKUP($A545,sales!$A:$A,sales!D:D)</f>
        <v>282</v>
      </c>
      <c r="O545">
        <f>_xlfn.XLOOKUP($A545,sales!$A:$A,sales!E:E)</f>
        <v>5461.64</v>
      </c>
      <c r="P545" s="4">
        <f t="shared" si="26"/>
        <v>19.367517730496456</v>
      </c>
    </row>
    <row r="546" spans="1:16" x14ac:dyDescent="0.25">
      <c r="A546" s="1">
        <v>45471</v>
      </c>
      <c r="B546" s="1" t="str">
        <f t="shared" si="24"/>
        <v>Friday</v>
      </c>
      <c r="C546" s="1" t="b">
        <f t="shared" si="25"/>
        <v>0</v>
      </c>
      <c r="D546">
        <f>VLOOKUP($A546,survey_2yrs!A:B, 2)</f>
        <v>49.3</v>
      </c>
      <c r="E546">
        <f>VLOOKUP($A546,survey_2yrs!$A:C, 3)</f>
        <v>50.7</v>
      </c>
      <c r="F546">
        <f>VLOOKUP($A546,survey_2yrs!$A:D, 4)</f>
        <v>47.7</v>
      </c>
      <c r="G546">
        <f>_xlfn.XLOOKUP(A546,survey_2yrs!A:A,survey_2yrs!E:E)</f>
        <v>52.3</v>
      </c>
      <c r="H546">
        <f>_xlfn.XLOOKUP($A546,weather_2yrs!$A:$A,weather_2yrs!B:B)</f>
        <v>83.3</v>
      </c>
      <c r="I546">
        <f>_xlfn.XLOOKUP($A546,weather_2yrs!$A:$A,weather_2yrs!C:C)</f>
        <v>0</v>
      </c>
      <c r="J546">
        <f>_xlfn.XLOOKUP($A546,weather_2yrs!$A:$A,weather_2yrs!D:D)</f>
        <v>0</v>
      </c>
      <c r="K546">
        <f>_xlfn.XLOOKUP($A546,weather_2yrs!$A:$A,weather_2yrs!E:E)</f>
        <v>57</v>
      </c>
      <c r="L546">
        <f>_xlfn.XLOOKUP($A546,sales!$A:$A,sales!B:B)</f>
        <v>1</v>
      </c>
      <c r="M546" t="str">
        <f>_xlfn.XLOOKUP($A546,sales!$A:$A,sales!C:C)</f>
        <v>Miami Beach</v>
      </c>
      <c r="N546">
        <f>_xlfn.XLOOKUP($A546,sales!$A:$A,sales!D:D)</f>
        <v>326</v>
      </c>
      <c r="O546">
        <f>_xlfn.XLOOKUP($A546,sales!$A:$A,sales!E:E)</f>
        <v>6397.23</v>
      </c>
      <c r="P546" s="4">
        <f t="shared" si="26"/>
        <v>19.623404907975459</v>
      </c>
    </row>
    <row r="547" spans="1:16" x14ac:dyDescent="0.25">
      <c r="A547" s="1">
        <v>45472</v>
      </c>
      <c r="B547" s="1" t="str">
        <f t="shared" si="24"/>
        <v>Saturday</v>
      </c>
      <c r="C547" s="1" t="b">
        <f t="shared" si="25"/>
        <v>1</v>
      </c>
      <c r="D547">
        <f>VLOOKUP($A547,survey_2yrs!A:B, 2)</f>
        <v>47.6</v>
      </c>
      <c r="E547">
        <f>VLOOKUP($A547,survey_2yrs!$A:C, 3)</f>
        <v>52.4</v>
      </c>
      <c r="F547">
        <f>VLOOKUP($A547,survey_2yrs!$A:D, 4)</f>
        <v>52.9</v>
      </c>
      <c r="G547">
        <f>_xlfn.XLOOKUP(A547,survey_2yrs!A:A,survey_2yrs!E:E)</f>
        <v>47.1</v>
      </c>
      <c r="H547">
        <f>_xlfn.XLOOKUP($A547,weather_2yrs!$A:$A,weather_2yrs!B:B)</f>
        <v>79.2</v>
      </c>
      <c r="I547">
        <f>_xlfn.XLOOKUP($A547,weather_2yrs!$A:$A,weather_2yrs!C:C)</f>
        <v>1.75</v>
      </c>
      <c r="J547">
        <f>_xlfn.XLOOKUP($A547,weather_2yrs!$A:$A,weather_2yrs!D:D)</f>
        <v>1</v>
      </c>
      <c r="K547">
        <f>_xlfn.XLOOKUP($A547,weather_2yrs!$A:$A,weather_2yrs!E:E)</f>
        <v>58.9</v>
      </c>
      <c r="L547">
        <f>_xlfn.XLOOKUP($A547,sales!$A:$A,sales!B:B)</f>
        <v>1</v>
      </c>
      <c r="M547" t="str">
        <f>_xlfn.XLOOKUP($A547,sales!$A:$A,sales!C:C)</f>
        <v>Miami Beach</v>
      </c>
      <c r="N547">
        <f>_xlfn.XLOOKUP($A547,sales!$A:$A,sales!D:D)</f>
        <v>340</v>
      </c>
      <c r="O547">
        <f>_xlfn.XLOOKUP($A547,sales!$A:$A,sales!E:E)</f>
        <v>6599.95</v>
      </c>
      <c r="P547" s="4">
        <f t="shared" si="26"/>
        <v>19.411617647058822</v>
      </c>
    </row>
    <row r="548" spans="1:16" x14ac:dyDescent="0.25">
      <c r="A548" s="1">
        <v>45473</v>
      </c>
      <c r="B548" s="1" t="str">
        <f t="shared" si="24"/>
        <v>Sunday</v>
      </c>
      <c r="C548" s="1" t="b">
        <f t="shared" si="25"/>
        <v>1</v>
      </c>
      <c r="D548">
        <f>VLOOKUP($A548,survey_2yrs!A:B, 2)</f>
        <v>49.1</v>
      </c>
      <c r="E548">
        <f>VLOOKUP($A548,survey_2yrs!$A:C, 3)</f>
        <v>50.9</v>
      </c>
      <c r="F548">
        <f>VLOOKUP($A548,survey_2yrs!$A:D, 4)</f>
        <v>53</v>
      </c>
      <c r="G548">
        <f>_xlfn.XLOOKUP(A548,survey_2yrs!A:A,survey_2yrs!E:E)</f>
        <v>47</v>
      </c>
      <c r="H548">
        <f>_xlfn.XLOOKUP($A548,weather_2yrs!$A:$A,weather_2yrs!B:B)</f>
        <v>80.400000000000006</v>
      </c>
      <c r="I548">
        <f>_xlfn.XLOOKUP($A548,weather_2yrs!$A:$A,weather_2yrs!C:C)</f>
        <v>0</v>
      </c>
      <c r="J548">
        <f>_xlfn.XLOOKUP($A548,weather_2yrs!$A:$A,weather_2yrs!D:D)</f>
        <v>0</v>
      </c>
      <c r="K548">
        <f>_xlfn.XLOOKUP($A548,weather_2yrs!$A:$A,weather_2yrs!E:E)</f>
        <v>56.5</v>
      </c>
      <c r="L548">
        <f>_xlfn.XLOOKUP($A548,sales!$A:$A,sales!B:B)</f>
        <v>1</v>
      </c>
      <c r="M548" t="str">
        <f>_xlfn.XLOOKUP($A548,sales!$A:$A,sales!C:C)</f>
        <v>Miami Beach</v>
      </c>
      <c r="N548">
        <f>_xlfn.XLOOKUP($A548,sales!$A:$A,sales!D:D)</f>
        <v>318</v>
      </c>
      <c r="O548">
        <f>_xlfn.XLOOKUP($A548,sales!$A:$A,sales!E:E)</f>
        <v>6301.95</v>
      </c>
      <c r="P548" s="4">
        <f t="shared" si="26"/>
        <v>19.817452830188678</v>
      </c>
    </row>
    <row r="549" spans="1:16" x14ac:dyDescent="0.25">
      <c r="A549" s="1">
        <v>45474</v>
      </c>
      <c r="B549" s="1" t="str">
        <f t="shared" si="24"/>
        <v>Monday</v>
      </c>
      <c r="C549" s="1" t="b">
        <f t="shared" si="25"/>
        <v>0</v>
      </c>
      <c r="D549">
        <f>VLOOKUP($A549,survey_2yrs!A:B, 2)</f>
        <v>50.1</v>
      </c>
      <c r="E549">
        <f>VLOOKUP($A549,survey_2yrs!$A:C, 3)</f>
        <v>49.9</v>
      </c>
      <c r="F549">
        <f>VLOOKUP($A549,survey_2yrs!$A:D, 4)</f>
        <v>46.8</v>
      </c>
      <c r="G549">
        <f>_xlfn.XLOOKUP(A549,survey_2yrs!A:A,survey_2yrs!E:E)</f>
        <v>53.2</v>
      </c>
      <c r="H549">
        <f>_xlfn.XLOOKUP($A549,weather_2yrs!$A:$A,weather_2yrs!B:B)</f>
        <v>81.900000000000006</v>
      </c>
      <c r="I549">
        <f>_xlfn.XLOOKUP($A549,weather_2yrs!$A:$A,weather_2yrs!C:C)</f>
        <v>0</v>
      </c>
      <c r="J549">
        <f>_xlfn.XLOOKUP($A549,weather_2yrs!$A:$A,weather_2yrs!D:D)</f>
        <v>0</v>
      </c>
      <c r="K549">
        <f>_xlfn.XLOOKUP($A549,weather_2yrs!$A:$A,weather_2yrs!E:E)</f>
        <v>57.6</v>
      </c>
      <c r="L549">
        <f>_xlfn.XLOOKUP($A549,sales!$A:$A,sales!B:B)</f>
        <v>1</v>
      </c>
      <c r="M549" t="str">
        <f>_xlfn.XLOOKUP($A549,sales!$A:$A,sales!C:C)</f>
        <v>Miami Beach</v>
      </c>
      <c r="N549">
        <f>_xlfn.XLOOKUP($A549,sales!$A:$A,sales!D:D)</f>
        <v>303</v>
      </c>
      <c r="O549">
        <f>_xlfn.XLOOKUP($A549,sales!$A:$A,sales!E:E)</f>
        <v>6201.96</v>
      </c>
      <c r="P549" s="4">
        <f t="shared" si="26"/>
        <v>20.46851485148515</v>
      </c>
    </row>
    <row r="550" spans="1:16" x14ac:dyDescent="0.25">
      <c r="A550" s="1">
        <v>45475</v>
      </c>
      <c r="B550" s="1" t="str">
        <f t="shared" si="24"/>
        <v>Tuesday</v>
      </c>
      <c r="C550" s="1" t="b">
        <f t="shared" si="25"/>
        <v>0</v>
      </c>
      <c r="D550">
        <f>VLOOKUP($A550,survey_2yrs!A:B, 2)</f>
        <v>50</v>
      </c>
      <c r="E550">
        <f>VLOOKUP($A550,survey_2yrs!$A:C, 3)</f>
        <v>50</v>
      </c>
      <c r="F550">
        <f>VLOOKUP($A550,survey_2yrs!$A:D, 4)</f>
        <v>47.3</v>
      </c>
      <c r="G550">
        <f>_xlfn.XLOOKUP(A550,survey_2yrs!A:A,survey_2yrs!E:E)</f>
        <v>52.7</v>
      </c>
      <c r="H550">
        <f>_xlfn.XLOOKUP($A550,weather_2yrs!$A:$A,weather_2yrs!B:B)</f>
        <v>83.8</v>
      </c>
      <c r="I550">
        <f>_xlfn.XLOOKUP($A550,weather_2yrs!$A:$A,weather_2yrs!C:C)</f>
        <v>0</v>
      </c>
      <c r="J550">
        <f>_xlfn.XLOOKUP($A550,weather_2yrs!$A:$A,weather_2yrs!D:D)</f>
        <v>0</v>
      </c>
      <c r="K550">
        <f>_xlfn.XLOOKUP($A550,weather_2yrs!$A:$A,weather_2yrs!E:E)</f>
        <v>69.400000000000006</v>
      </c>
      <c r="L550">
        <f>_xlfn.XLOOKUP($A550,sales!$A:$A,sales!B:B)</f>
        <v>1</v>
      </c>
      <c r="M550" t="str">
        <f>_xlfn.XLOOKUP($A550,sales!$A:$A,sales!C:C)</f>
        <v>Miami Beach</v>
      </c>
      <c r="N550">
        <f>_xlfn.XLOOKUP($A550,sales!$A:$A,sales!D:D)</f>
        <v>320</v>
      </c>
      <c r="O550">
        <f>_xlfn.XLOOKUP($A550,sales!$A:$A,sales!E:E)</f>
        <v>6285.52</v>
      </c>
      <c r="P550" s="4">
        <f t="shared" si="26"/>
        <v>19.642250000000001</v>
      </c>
    </row>
    <row r="551" spans="1:16" x14ac:dyDescent="0.25">
      <c r="A551" s="1">
        <v>45476</v>
      </c>
      <c r="B551" s="1" t="str">
        <f t="shared" si="24"/>
        <v>Wednesday</v>
      </c>
      <c r="C551" s="1" t="b">
        <f t="shared" si="25"/>
        <v>0</v>
      </c>
      <c r="D551">
        <f>VLOOKUP($A551,survey_2yrs!A:B, 2)</f>
        <v>50.3</v>
      </c>
      <c r="E551">
        <f>VLOOKUP($A551,survey_2yrs!$A:C, 3)</f>
        <v>49.7</v>
      </c>
      <c r="F551">
        <f>VLOOKUP($A551,survey_2yrs!$A:D, 4)</f>
        <v>48.3</v>
      </c>
      <c r="G551">
        <f>_xlfn.XLOOKUP(A551,survey_2yrs!A:A,survey_2yrs!E:E)</f>
        <v>51.7</v>
      </c>
      <c r="H551">
        <f>_xlfn.XLOOKUP($A551,weather_2yrs!$A:$A,weather_2yrs!B:B)</f>
        <v>85.3</v>
      </c>
      <c r="I551">
        <f>_xlfn.XLOOKUP($A551,weather_2yrs!$A:$A,weather_2yrs!C:C)</f>
        <v>0.26</v>
      </c>
      <c r="J551">
        <f>_xlfn.XLOOKUP($A551,weather_2yrs!$A:$A,weather_2yrs!D:D)</f>
        <v>1</v>
      </c>
      <c r="K551">
        <f>_xlfn.XLOOKUP($A551,weather_2yrs!$A:$A,weather_2yrs!E:E)</f>
        <v>62.1</v>
      </c>
      <c r="L551">
        <f>_xlfn.XLOOKUP($A551,sales!$A:$A,sales!B:B)</f>
        <v>1</v>
      </c>
      <c r="M551" t="str">
        <f>_xlfn.XLOOKUP($A551,sales!$A:$A,sales!C:C)</f>
        <v>Miami Beach</v>
      </c>
      <c r="N551">
        <f>_xlfn.XLOOKUP($A551,sales!$A:$A,sales!D:D)</f>
        <v>313</v>
      </c>
      <c r="O551">
        <f>_xlfn.XLOOKUP($A551,sales!$A:$A,sales!E:E)</f>
        <v>6099.25</v>
      </c>
      <c r="P551" s="4">
        <f t="shared" si="26"/>
        <v>19.486421725239616</v>
      </c>
    </row>
    <row r="552" spans="1:16" x14ac:dyDescent="0.25">
      <c r="A552" s="1">
        <v>45477</v>
      </c>
      <c r="B552" s="1" t="str">
        <f t="shared" si="24"/>
        <v>Thursday</v>
      </c>
      <c r="C552" s="1" t="b">
        <f t="shared" si="25"/>
        <v>0</v>
      </c>
      <c r="D552">
        <f>VLOOKUP($A552,survey_2yrs!A:B, 2)</f>
        <v>48.6</v>
      </c>
      <c r="E552">
        <f>VLOOKUP($A552,survey_2yrs!$A:C, 3)</f>
        <v>51.4</v>
      </c>
      <c r="F552">
        <f>VLOOKUP($A552,survey_2yrs!$A:D, 4)</f>
        <v>47.8</v>
      </c>
      <c r="G552">
        <f>_xlfn.XLOOKUP(A552,survey_2yrs!A:A,survey_2yrs!E:E)</f>
        <v>52.2</v>
      </c>
      <c r="H552">
        <f>_xlfn.XLOOKUP($A552,weather_2yrs!$A:$A,weather_2yrs!B:B)</f>
        <v>78.5</v>
      </c>
      <c r="I552">
        <f>_xlfn.XLOOKUP($A552,weather_2yrs!$A:$A,weather_2yrs!C:C)</f>
        <v>0</v>
      </c>
      <c r="J552">
        <f>_xlfn.XLOOKUP($A552,weather_2yrs!$A:$A,weather_2yrs!D:D)</f>
        <v>0</v>
      </c>
      <c r="K552">
        <f>_xlfn.XLOOKUP($A552,weather_2yrs!$A:$A,weather_2yrs!E:E)</f>
        <v>57.6</v>
      </c>
      <c r="L552">
        <f>_xlfn.XLOOKUP($A552,sales!$A:$A,sales!B:B)</f>
        <v>1</v>
      </c>
      <c r="M552" t="str">
        <f>_xlfn.XLOOKUP($A552,sales!$A:$A,sales!C:C)</f>
        <v>Miami Beach</v>
      </c>
      <c r="N552">
        <f>_xlfn.XLOOKUP($A552,sales!$A:$A,sales!D:D)</f>
        <v>303</v>
      </c>
      <c r="O552">
        <f>_xlfn.XLOOKUP($A552,sales!$A:$A,sales!E:E)</f>
        <v>5417.02</v>
      </c>
      <c r="P552" s="4">
        <f t="shared" si="26"/>
        <v>17.87795379537954</v>
      </c>
    </row>
    <row r="553" spans="1:16" x14ac:dyDescent="0.25">
      <c r="A553" s="1">
        <v>45478</v>
      </c>
      <c r="B553" s="1" t="str">
        <f t="shared" si="24"/>
        <v>Friday</v>
      </c>
      <c r="C553" s="1" t="b">
        <f t="shared" si="25"/>
        <v>0</v>
      </c>
      <c r="D553">
        <f>VLOOKUP($A553,survey_2yrs!A:B, 2)</f>
        <v>47.6</v>
      </c>
      <c r="E553">
        <f>VLOOKUP($A553,survey_2yrs!$A:C, 3)</f>
        <v>52.4</v>
      </c>
      <c r="F553">
        <f>VLOOKUP($A553,survey_2yrs!$A:D, 4)</f>
        <v>47.7</v>
      </c>
      <c r="G553">
        <f>_xlfn.XLOOKUP(A553,survey_2yrs!A:A,survey_2yrs!E:E)</f>
        <v>52.3</v>
      </c>
      <c r="H553">
        <f>_xlfn.XLOOKUP($A553,weather_2yrs!$A:$A,weather_2yrs!B:B)</f>
        <v>77</v>
      </c>
      <c r="I553">
        <f>_xlfn.XLOOKUP($A553,weather_2yrs!$A:$A,weather_2yrs!C:C)</f>
        <v>0</v>
      </c>
      <c r="J553">
        <f>_xlfn.XLOOKUP($A553,weather_2yrs!$A:$A,weather_2yrs!D:D)</f>
        <v>0</v>
      </c>
      <c r="K553">
        <f>_xlfn.XLOOKUP($A553,weather_2yrs!$A:$A,weather_2yrs!E:E)</f>
        <v>65</v>
      </c>
      <c r="L553">
        <f>_xlfn.XLOOKUP($A553,sales!$A:$A,sales!B:B)</f>
        <v>1</v>
      </c>
      <c r="M553" t="str">
        <f>_xlfn.XLOOKUP($A553,sales!$A:$A,sales!C:C)</f>
        <v>Miami Beach</v>
      </c>
      <c r="N553">
        <f>_xlfn.XLOOKUP($A553,sales!$A:$A,sales!D:D)</f>
        <v>279</v>
      </c>
      <c r="O553">
        <f>_xlfn.XLOOKUP($A553,sales!$A:$A,sales!E:E)</f>
        <v>5305.52</v>
      </c>
      <c r="P553" s="4">
        <f t="shared" si="26"/>
        <v>19.01620071684588</v>
      </c>
    </row>
    <row r="554" spans="1:16" x14ac:dyDescent="0.25">
      <c r="A554" s="1">
        <v>45479</v>
      </c>
      <c r="B554" s="1" t="str">
        <f t="shared" si="24"/>
        <v>Saturday</v>
      </c>
      <c r="C554" s="1" t="b">
        <f t="shared" si="25"/>
        <v>1</v>
      </c>
      <c r="D554">
        <f>VLOOKUP($A554,survey_2yrs!A:B, 2)</f>
        <v>50.3</v>
      </c>
      <c r="E554">
        <f>VLOOKUP($A554,survey_2yrs!$A:C, 3)</f>
        <v>49.7</v>
      </c>
      <c r="F554">
        <f>VLOOKUP($A554,survey_2yrs!$A:D, 4)</f>
        <v>53.6</v>
      </c>
      <c r="G554">
        <f>_xlfn.XLOOKUP(A554,survey_2yrs!A:A,survey_2yrs!E:E)</f>
        <v>46.4</v>
      </c>
      <c r="H554">
        <f>_xlfn.XLOOKUP($A554,weather_2yrs!$A:$A,weather_2yrs!B:B)</f>
        <v>82.1</v>
      </c>
      <c r="I554">
        <f>_xlfn.XLOOKUP($A554,weather_2yrs!$A:$A,weather_2yrs!C:C)</f>
        <v>0</v>
      </c>
      <c r="J554">
        <f>_xlfn.XLOOKUP($A554,weather_2yrs!$A:$A,weather_2yrs!D:D)</f>
        <v>0</v>
      </c>
      <c r="K554">
        <f>_xlfn.XLOOKUP($A554,weather_2yrs!$A:$A,weather_2yrs!E:E)</f>
        <v>57.2</v>
      </c>
      <c r="L554">
        <f>_xlfn.XLOOKUP($A554,sales!$A:$A,sales!B:B)</f>
        <v>1</v>
      </c>
      <c r="M554" t="str">
        <f>_xlfn.XLOOKUP($A554,sales!$A:$A,sales!C:C)</f>
        <v>Miami Beach</v>
      </c>
      <c r="N554">
        <f>_xlfn.XLOOKUP($A554,sales!$A:$A,sales!D:D)</f>
        <v>349</v>
      </c>
      <c r="O554">
        <f>_xlfn.XLOOKUP($A554,sales!$A:$A,sales!E:E)</f>
        <v>6673.21</v>
      </c>
      <c r="P554" s="4">
        <f t="shared" si="26"/>
        <v>19.120945558739255</v>
      </c>
    </row>
    <row r="555" spans="1:16" x14ac:dyDescent="0.25">
      <c r="A555" s="1">
        <v>45480</v>
      </c>
      <c r="B555" s="1" t="str">
        <f t="shared" si="24"/>
        <v>Sunday</v>
      </c>
      <c r="C555" s="1" t="b">
        <f t="shared" si="25"/>
        <v>1</v>
      </c>
      <c r="D555">
        <f>VLOOKUP($A555,survey_2yrs!A:B, 2)</f>
        <v>49.9</v>
      </c>
      <c r="E555">
        <f>VLOOKUP($A555,survey_2yrs!$A:C, 3)</f>
        <v>50.1</v>
      </c>
      <c r="F555">
        <f>VLOOKUP($A555,survey_2yrs!$A:D, 4)</f>
        <v>52.8</v>
      </c>
      <c r="G555">
        <f>_xlfn.XLOOKUP(A555,survey_2yrs!A:A,survey_2yrs!E:E)</f>
        <v>47.2</v>
      </c>
      <c r="H555">
        <f>_xlfn.XLOOKUP($A555,weather_2yrs!$A:$A,weather_2yrs!B:B)</f>
        <v>82.3</v>
      </c>
      <c r="I555">
        <f>_xlfn.XLOOKUP($A555,weather_2yrs!$A:$A,weather_2yrs!C:C)</f>
        <v>0</v>
      </c>
      <c r="J555">
        <f>_xlfn.XLOOKUP($A555,weather_2yrs!$A:$A,weather_2yrs!D:D)</f>
        <v>0</v>
      </c>
      <c r="K555">
        <f>_xlfn.XLOOKUP($A555,weather_2yrs!$A:$A,weather_2yrs!E:E)</f>
        <v>61.4</v>
      </c>
      <c r="L555">
        <f>_xlfn.XLOOKUP($A555,sales!$A:$A,sales!B:B)</f>
        <v>1</v>
      </c>
      <c r="M555" t="str">
        <f>_xlfn.XLOOKUP($A555,sales!$A:$A,sales!C:C)</f>
        <v>Miami Beach</v>
      </c>
      <c r="N555">
        <f>_xlfn.XLOOKUP($A555,sales!$A:$A,sales!D:D)</f>
        <v>361</v>
      </c>
      <c r="O555">
        <f>_xlfn.XLOOKUP($A555,sales!$A:$A,sales!E:E)</f>
        <v>6399.43</v>
      </c>
      <c r="P555" s="4">
        <f t="shared" si="26"/>
        <v>17.726952908587258</v>
      </c>
    </row>
    <row r="556" spans="1:16" x14ac:dyDescent="0.25">
      <c r="A556" s="1">
        <v>45481</v>
      </c>
      <c r="B556" s="1" t="str">
        <f t="shared" si="24"/>
        <v>Monday</v>
      </c>
      <c r="C556" s="1" t="b">
        <f t="shared" si="25"/>
        <v>0</v>
      </c>
      <c r="D556">
        <f>VLOOKUP($A556,survey_2yrs!A:B, 2)</f>
        <v>50</v>
      </c>
      <c r="E556">
        <f>VLOOKUP($A556,survey_2yrs!$A:C, 3)</f>
        <v>50</v>
      </c>
      <c r="F556">
        <f>VLOOKUP($A556,survey_2yrs!$A:D, 4)</f>
        <v>46.8</v>
      </c>
      <c r="G556">
        <f>_xlfn.XLOOKUP(A556,survey_2yrs!A:A,survey_2yrs!E:E)</f>
        <v>53.2</v>
      </c>
      <c r="H556">
        <f>_xlfn.XLOOKUP($A556,weather_2yrs!$A:$A,weather_2yrs!B:B)</f>
        <v>86.2</v>
      </c>
      <c r="I556">
        <f>_xlfn.XLOOKUP($A556,weather_2yrs!$A:$A,weather_2yrs!C:C)</f>
        <v>1.61</v>
      </c>
      <c r="J556">
        <f>_xlfn.XLOOKUP($A556,weather_2yrs!$A:$A,weather_2yrs!D:D)</f>
        <v>1</v>
      </c>
      <c r="K556">
        <f>_xlfn.XLOOKUP($A556,weather_2yrs!$A:$A,weather_2yrs!E:E)</f>
        <v>72.3</v>
      </c>
      <c r="L556">
        <f>_xlfn.XLOOKUP($A556,sales!$A:$A,sales!B:B)</f>
        <v>1</v>
      </c>
      <c r="M556" t="str">
        <f>_xlfn.XLOOKUP($A556,sales!$A:$A,sales!C:C)</f>
        <v>Miami Beach</v>
      </c>
      <c r="N556">
        <f>_xlfn.XLOOKUP($A556,sales!$A:$A,sales!D:D)</f>
        <v>313</v>
      </c>
      <c r="O556">
        <f>_xlfn.XLOOKUP($A556,sales!$A:$A,sales!E:E)</f>
        <v>5741.33</v>
      </c>
      <c r="P556" s="4">
        <f t="shared" si="26"/>
        <v>18.342907348242811</v>
      </c>
    </row>
    <row r="557" spans="1:16" x14ac:dyDescent="0.25">
      <c r="A557" s="1">
        <v>45482</v>
      </c>
      <c r="B557" s="1" t="str">
        <f t="shared" si="24"/>
        <v>Tuesday</v>
      </c>
      <c r="C557" s="1" t="b">
        <f t="shared" si="25"/>
        <v>0</v>
      </c>
      <c r="D557">
        <f>VLOOKUP($A557,survey_2yrs!A:B, 2)</f>
        <v>48.5</v>
      </c>
      <c r="E557">
        <f>VLOOKUP($A557,survey_2yrs!$A:C, 3)</f>
        <v>51.5</v>
      </c>
      <c r="F557">
        <f>VLOOKUP($A557,survey_2yrs!$A:D, 4)</f>
        <v>46.3</v>
      </c>
      <c r="G557">
        <f>_xlfn.XLOOKUP(A557,survey_2yrs!A:A,survey_2yrs!E:E)</f>
        <v>53.7</v>
      </c>
      <c r="H557">
        <f>_xlfn.XLOOKUP($A557,weather_2yrs!$A:$A,weather_2yrs!B:B)</f>
        <v>81.3</v>
      </c>
      <c r="I557">
        <f>_xlfn.XLOOKUP($A557,weather_2yrs!$A:$A,weather_2yrs!C:C)</f>
        <v>0</v>
      </c>
      <c r="J557">
        <f>_xlfn.XLOOKUP($A557,weather_2yrs!$A:$A,weather_2yrs!D:D)</f>
        <v>0</v>
      </c>
      <c r="K557">
        <f>_xlfn.XLOOKUP($A557,weather_2yrs!$A:$A,weather_2yrs!E:E)</f>
        <v>59</v>
      </c>
      <c r="L557">
        <f>_xlfn.XLOOKUP($A557,sales!$A:$A,sales!B:B)</f>
        <v>1</v>
      </c>
      <c r="M557" t="str">
        <f>_xlfn.XLOOKUP($A557,sales!$A:$A,sales!C:C)</f>
        <v>Miami Beach</v>
      </c>
      <c r="N557">
        <f>_xlfn.XLOOKUP($A557,sales!$A:$A,sales!D:D)</f>
        <v>305</v>
      </c>
      <c r="O557">
        <f>_xlfn.XLOOKUP($A557,sales!$A:$A,sales!E:E)</f>
        <v>5571.21</v>
      </c>
      <c r="P557" s="4">
        <f t="shared" si="26"/>
        <v>18.266262295081969</v>
      </c>
    </row>
    <row r="558" spans="1:16" x14ac:dyDescent="0.25">
      <c r="A558" s="1">
        <v>45483</v>
      </c>
      <c r="B558" s="1" t="str">
        <f t="shared" si="24"/>
        <v>Wednesday</v>
      </c>
      <c r="C558" s="1" t="b">
        <f t="shared" si="25"/>
        <v>0</v>
      </c>
      <c r="D558">
        <f>VLOOKUP($A558,survey_2yrs!A:B, 2)</f>
        <v>49.4</v>
      </c>
      <c r="E558">
        <f>VLOOKUP($A558,survey_2yrs!$A:C, 3)</f>
        <v>50.6</v>
      </c>
      <c r="F558">
        <f>VLOOKUP($A558,survey_2yrs!$A:D, 4)</f>
        <v>46.4</v>
      </c>
      <c r="G558">
        <f>_xlfn.XLOOKUP(A558,survey_2yrs!A:A,survey_2yrs!E:E)</f>
        <v>53.6</v>
      </c>
      <c r="H558">
        <f>_xlfn.XLOOKUP($A558,weather_2yrs!$A:$A,weather_2yrs!B:B)</f>
        <v>79.099999999999994</v>
      </c>
      <c r="I558">
        <f>_xlfn.XLOOKUP($A558,weather_2yrs!$A:$A,weather_2yrs!C:C)</f>
        <v>0.73</v>
      </c>
      <c r="J558">
        <f>_xlfn.XLOOKUP($A558,weather_2yrs!$A:$A,weather_2yrs!D:D)</f>
        <v>1</v>
      </c>
      <c r="K558">
        <f>_xlfn.XLOOKUP($A558,weather_2yrs!$A:$A,weather_2yrs!E:E)</f>
        <v>59.8</v>
      </c>
      <c r="L558">
        <f>_xlfn.XLOOKUP($A558,sales!$A:$A,sales!B:B)</f>
        <v>1</v>
      </c>
      <c r="M558" t="str">
        <f>_xlfn.XLOOKUP($A558,sales!$A:$A,sales!C:C)</f>
        <v>Miami Beach</v>
      </c>
      <c r="N558">
        <f>_xlfn.XLOOKUP($A558,sales!$A:$A,sales!D:D)</f>
        <v>288</v>
      </c>
      <c r="O558">
        <f>_xlfn.XLOOKUP($A558,sales!$A:$A,sales!E:E)</f>
        <v>5281.32</v>
      </c>
      <c r="P558" s="4">
        <f t="shared" si="26"/>
        <v>18.337916666666665</v>
      </c>
    </row>
    <row r="559" spans="1:16" x14ac:dyDescent="0.25">
      <c r="A559" s="1">
        <v>45484</v>
      </c>
      <c r="B559" s="1" t="str">
        <f t="shared" si="24"/>
        <v>Thursday</v>
      </c>
      <c r="C559" s="1" t="b">
        <f t="shared" si="25"/>
        <v>0</v>
      </c>
      <c r="D559">
        <f>VLOOKUP($A559,survey_2yrs!A:B, 2)</f>
        <v>49.3</v>
      </c>
      <c r="E559">
        <f>VLOOKUP($A559,survey_2yrs!$A:C, 3)</f>
        <v>50.7</v>
      </c>
      <c r="F559">
        <f>VLOOKUP($A559,survey_2yrs!$A:D, 4)</f>
        <v>46.5</v>
      </c>
      <c r="G559">
        <f>_xlfn.XLOOKUP(A559,survey_2yrs!A:A,survey_2yrs!E:E)</f>
        <v>53.5</v>
      </c>
      <c r="H559">
        <f>_xlfn.XLOOKUP($A559,weather_2yrs!$A:$A,weather_2yrs!B:B)</f>
        <v>82</v>
      </c>
      <c r="I559">
        <f>_xlfn.XLOOKUP($A559,weather_2yrs!$A:$A,weather_2yrs!C:C)</f>
        <v>0.63</v>
      </c>
      <c r="J559">
        <f>_xlfn.XLOOKUP($A559,weather_2yrs!$A:$A,weather_2yrs!D:D)</f>
        <v>1</v>
      </c>
      <c r="K559">
        <f>_xlfn.XLOOKUP($A559,weather_2yrs!$A:$A,weather_2yrs!E:E)</f>
        <v>65.400000000000006</v>
      </c>
      <c r="L559">
        <f>_xlfn.XLOOKUP($A559,sales!$A:$A,sales!B:B)</f>
        <v>1</v>
      </c>
      <c r="M559" t="str">
        <f>_xlfn.XLOOKUP($A559,sales!$A:$A,sales!C:C)</f>
        <v>Miami Beach</v>
      </c>
      <c r="N559">
        <f>_xlfn.XLOOKUP($A559,sales!$A:$A,sales!D:D)</f>
        <v>275</v>
      </c>
      <c r="O559">
        <f>_xlfn.XLOOKUP($A559,sales!$A:$A,sales!E:E)</f>
        <v>5308.75</v>
      </c>
      <c r="P559" s="4">
        <f t="shared" si="26"/>
        <v>19.304545454545455</v>
      </c>
    </row>
    <row r="560" spans="1:16" x14ac:dyDescent="0.25">
      <c r="A560" s="1">
        <v>45485</v>
      </c>
      <c r="B560" s="1" t="str">
        <f t="shared" si="24"/>
        <v>Friday</v>
      </c>
      <c r="C560" s="1" t="b">
        <f t="shared" si="25"/>
        <v>0</v>
      </c>
      <c r="D560">
        <f>VLOOKUP($A560,survey_2yrs!A:B, 2)</f>
        <v>49.4</v>
      </c>
      <c r="E560">
        <f>VLOOKUP($A560,survey_2yrs!$A:C, 3)</f>
        <v>50.6</v>
      </c>
      <c r="F560">
        <f>VLOOKUP($A560,survey_2yrs!$A:D, 4)</f>
        <v>47.9</v>
      </c>
      <c r="G560">
        <f>_xlfn.XLOOKUP(A560,survey_2yrs!A:A,survey_2yrs!E:E)</f>
        <v>52.1</v>
      </c>
      <c r="H560">
        <f>_xlfn.XLOOKUP($A560,weather_2yrs!$A:$A,weather_2yrs!B:B)</f>
        <v>77.099999999999994</v>
      </c>
      <c r="I560">
        <f>_xlfn.XLOOKUP($A560,weather_2yrs!$A:$A,weather_2yrs!C:C)</f>
        <v>0.73</v>
      </c>
      <c r="J560">
        <f>_xlfn.XLOOKUP($A560,weather_2yrs!$A:$A,weather_2yrs!D:D)</f>
        <v>1</v>
      </c>
      <c r="K560">
        <f>_xlfn.XLOOKUP($A560,weather_2yrs!$A:$A,weather_2yrs!E:E)</f>
        <v>68.5</v>
      </c>
      <c r="L560">
        <f>_xlfn.XLOOKUP($A560,sales!$A:$A,sales!B:B)</f>
        <v>1</v>
      </c>
      <c r="M560" t="str">
        <f>_xlfn.XLOOKUP($A560,sales!$A:$A,sales!C:C)</f>
        <v>Miami Beach</v>
      </c>
      <c r="N560">
        <f>_xlfn.XLOOKUP($A560,sales!$A:$A,sales!D:D)</f>
        <v>271</v>
      </c>
      <c r="O560">
        <f>_xlfn.XLOOKUP($A560,sales!$A:$A,sales!E:E)</f>
        <v>5454.6</v>
      </c>
      <c r="P560" s="4">
        <f t="shared" si="26"/>
        <v>20.127675276752768</v>
      </c>
    </row>
    <row r="561" spans="1:16" x14ac:dyDescent="0.25">
      <c r="A561" s="1">
        <v>45486</v>
      </c>
      <c r="B561" s="1" t="str">
        <f t="shared" si="24"/>
        <v>Saturday</v>
      </c>
      <c r="C561" s="1" t="b">
        <f t="shared" si="25"/>
        <v>1</v>
      </c>
      <c r="D561">
        <f>VLOOKUP($A561,survey_2yrs!A:B, 2)</f>
        <v>49.4</v>
      </c>
      <c r="E561">
        <f>VLOOKUP($A561,survey_2yrs!$A:C, 3)</f>
        <v>50.6</v>
      </c>
      <c r="F561">
        <f>VLOOKUP($A561,survey_2yrs!$A:D, 4)</f>
        <v>52.8</v>
      </c>
      <c r="G561">
        <f>_xlfn.XLOOKUP(A561,survey_2yrs!A:A,survey_2yrs!E:E)</f>
        <v>47.2</v>
      </c>
      <c r="H561">
        <f>_xlfn.XLOOKUP($A561,weather_2yrs!$A:$A,weather_2yrs!B:B)</f>
        <v>80.3</v>
      </c>
      <c r="I561">
        <f>_xlfn.XLOOKUP($A561,weather_2yrs!$A:$A,weather_2yrs!C:C)</f>
        <v>0</v>
      </c>
      <c r="J561">
        <f>_xlfn.XLOOKUP($A561,weather_2yrs!$A:$A,weather_2yrs!D:D)</f>
        <v>0</v>
      </c>
      <c r="K561">
        <f>_xlfn.XLOOKUP($A561,weather_2yrs!$A:$A,weather_2yrs!E:E)</f>
        <v>73.400000000000006</v>
      </c>
      <c r="L561">
        <f>_xlfn.XLOOKUP($A561,sales!$A:$A,sales!B:B)</f>
        <v>1</v>
      </c>
      <c r="M561" t="str">
        <f>_xlfn.XLOOKUP($A561,sales!$A:$A,sales!C:C)</f>
        <v>Miami Beach</v>
      </c>
      <c r="N561">
        <f>_xlfn.XLOOKUP($A561,sales!$A:$A,sales!D:D)</f>
        <v>352</v>
      </c>
      <c r="O561">
        <f>_xlfn.XLOOKUP($A561,sales!$A:$A,sales!E:E)</f>
        <v>6991.66</v>
      </c>
      <c r="P561" s="4">
        <f t="shared" si="26"/>
        <v>19.862670454545455</v>
      </c>
    </row>
    <row r="562" spans="1:16" x14ac:dyDescent="0.25">
      <c r="A562" s="1">
        <v>45487</v>
      </c>
      <c r="B562" s="1" t="str">
        <f t="shared" si="24"/>
        <v>Sunday</v>
      </c>
      <c r="C562" s="1" t="b">
        <f t="shared" si="25"/>
        <v>1</v>
      </c>
      <c r="D562">
        <f>VLOOKUP($A562,survey_2yrs!A:B, 2)</f>
        <v>46.5</v>
      </c>
      <c r="E562">
        <f>VLOOKUP($A562,survey_2yrs!$A:C, 3)</f>
        <v>53.5</v>
      </c>
      <c r="F562">
        <f>VLOOKUP($A562,survey_2yrs!$A:D, 4)</f>
        <v>52.7</v>
      </c>
      <c r="G562">
        <f>_xlfn.XLOOKUP(A562,survey_2yrs!A:A,survey_2yrs!E:E)</f>
        <v>47.3</v>
      </c>
      <c r="H562">
        <f>_xlfn.XLOOKUP($A562,weather_2yrs!$A:$A,weather_2yrs!B:B)</f>
        <v>80.900000000000006</v>
      </c>
      <c r="I562">
        <f>_xlfn.XLOOKUP($A562,weather_2yrs!$A:$A,weather_2yrs!C:C)</f>
        <v>0</v>
      </c>
      <c r="J562">
        <f>_xlfn.XLOOKUP($A562,weather_2yrs!$A:$A,weather_2yrs!D:D)</f>
        <v>0</v>
      </c>
      <c r="K562">
        <f>_xlfn.XLOOKUP($A562,weather_2yrs!$A:$A,weather_2yrs!E:E)</f>
        <v>71.3</v>
      </c>
      <c r="L562">
        <f>_xlfn.XLOOKUP($A562,sales!$A:$A,sales!B:B)</f>
        <v>1</v>
      </c>
      <c r="M562" t="str">
        <f>_xlfn.XLOOKUP($A562,sales!$A:$A,sales!C:C)</f>
        <v>Miami Beach</v>
      </c>
      <c r="N562">
        <f>_xlfn.XLOOKUP($A562,sales!$A:$A,sales!D:D)</f>
        <v>343</v>
      </c>
      <c r="O562">
        <f>_xlfn.XLOOKUP($A562,sales!$A:$A,sales!E:E)</f>
        <v>6507.52</v>
      </c>
      <c r="P562" s="4">
        <f t="shared" si="26"/>
        <v>18.972361516034987</v>
      </c>
    </row>
    <row r="563" spans="1:16" x14ac:dyDescent="0.25">
      <c r="A563" s="1">
        <v>45488</v>
      </c>
      <c r="B563" s="1" t="str">
        <f t="shared" si="24"/>
        <v>Monday</v>
      </c>
      <c r="C563" s="1" t="b">
        <f t="shared" si="25"/>
        <v>0</v>
      </c>
      <c r="D563">
        <f>VLOOKUP($A563,survey_2yrs!A:B, 2)</f>
        <v>48.1</v>
      </c>
      <c r="E563">
        <f>VLOOKUP($A563,survey_2yrs!$A:C, 3)</f>
        <v>51.9</v>
      </c>
      <c r="F563">
        <f>VLOOKUP($A563,survey_2yrs!$A:D, 4)</f>
        <v>46.8</v>
      </c>
      <c r="G563">
        <f>_xlfn.XLOOKUP(A563,survey_2yrs!A:A,survey_2yrs!E:E)</f>
        <v>53.2</v>
      </c>
      <c r="H563">
        <f>_xlfn.XLOOKUP($A563,weather_2yrs!$A:$A,weather_2yrs!B:B)</f>
        <v>84.4</v>
      </c>
      <c r="I563">
        <f>_xlfn.XLOOKUP($A563,weather_2yrs!$A:$A,weather_2yrs!C:C)</f>
        <v>0.56999999999999995</v>
      </c>
      <c r="J563">
        <f>_xlfn.XLOOKUP($A563,weather_2yrs!$A:$A,weather_2yrs!D:D)</f>
        <v>1</v>
      </c>
      <c r="K563">
        <f>_xlfn.XLOOKUP($A563,weather_2yrs!$A:$A,weather_2yrs!E:E)</f>
        <v>65.2</v>
      </c>
      <c r="L563">
        <f>_xlfn.XLOOKUP($A563,sales!$A:$A,sales!B:B)</f>
        <v>1</v>
      </c>
      <c r="M563" t="str">
        <f>_xlfn.XLOOKUP($A563,sales!$A:$A,sales!C:C)</f>
        <v>Miami Beach</v>
      </c>
      <c r="N563">
        <f>_xlfn.XLOOKUP($A563,sales!$A:$A,sales!D:D)</f>
        <v>311</v>
      </c>
      <c r="O563">
        <f>_xlfn.XLOOKUP($A563,sales!$A:$A,sales!E:E)</f>
        <v>5827.85</v>
      </c>
      <c r="P563" s="4">
        <f t="shared" si="26"/>
        <v>18.739067524115757</v>
      </c>
    </row>
    <row r="564" spans="1:16" x14ac:dyDescent="0.25">
      <c r="A564" s="1">
        <v>45489</v>
      </c>
      <c r="B564" s="1" t="str">
        <f t="shared" si="24"/>
        <v>Tuesday</v>
      </c>
      <c r="C564" s="1" t="b">
        <f t="shared" si="25"/>
        <v>0</v>
      </c>
      <c r="D564">
        <f>VLOOKUP($A564,survey_2yrs!A:B, 2)</f>
        <v>49.1</v>
      </c>
      <c r="E564">
        <f>VLOOKUP($A564,survey_2yrs!$A:C, 3)</f>
        <v>50.9</v>
      </c>
      <c r="F564">
        <f>VLOOKUP($A564,survey_2yrs!$A:D, 4)</f>
        <v>47.6</v>
      </c>
      <c r="G564">
        <f>_xlfn.XLOOKUP(A564,survey_2yrs!A:A,survey_2yrs!E:E)</f>
        <v>52.4</v>
      </c>
      <c r="H564">
        <f>_xlfn.XLOOKUP($A564,weather_2yrs!$A:$A,weather_2yrs!B:B)</f>
        <v>89.4</v>
      </c>
      <c r="I564">
        <f>_xlfn.XLOOKUP($A564,weather_2yrs!$A:$A,weather_2yrs!C:C)</f>
        <v>0</v>
      </c>
      <c r="J564">
        <f>_xlfn.XLOOKUP($A564,weather_2yrs!$A:$A,weather_2yrs!D:D)</f>
        <v>0</v>
      </c>
      <c r="K564">
        <f>_xlfn.XLOOKUP($A564,weather_2yrs!$A:$A,weather_2yrs!E:E)</f>
        <v>69.5</v>
      </c>
      <c r="L564">
        <f>_xlfn.XLOOKUP($A564,sales!$A:$A,sales!B:B)</f>
        <v>1</v>
      </c>
      <c r="M564" t="str">
        <f>_xlfn.XLOOKUP($A564,sales!$A:$A,sales!C:C)</f>
        <v>Miami Beach</v>
      </c>
      <c r="N564">
        <f>_xlfn.XLOOKUP($A564,sales!$A:$A,sales!D:D)</f>
        <v>348</v>
      </c>
      <c r="O564">
        <f>_xlfn.XLOOKUP($A564,sales!$A:$A,sales!E:E)</f>
        <v>6290.64</v>
      </c>
      <c r="P564" s="4">
        <f t="shared" si="26"/>
        <v>18.076551724137932</v>
      </c>
    </row>
    <row r="565" spans="1:16" x14ac:dyDescent="0.25">
      <c r="A565" s="1">
        <v>45490</v>
      </c>
      <c r="B565" s="1" t="str">
        <f t="shared" si="24"/>
        <v>Wednesday</v>
      </c>
      <c r="C565" s="1" t="b">
        <f t="shared" si="25"/>
        <v>0</v>
      </c>
      <c r="D565">
        <f>VLOOKUP($A565,survey_2yrs!A:B, 2)</f>
        <v>48</v>
      </c>
      <c r="E565">
        <f>VLOOKUP($A565,survey_2yrs!$A:C, 3)</f>
        <v>52</v>
      </c>
      <c r="F565">
        <f>VLOOKUP($A565,survey_2yrs!$A:D, 4)</f>
        <v>46.6</v>
      </c>
      <c r="G565">
        <f>_xlfn.XLOOKUP(A565,survey_2yrs!A:A,survey_2yrs!E:E)</f>
        <v>53.4</v>
      </c>
      <c r="H565">
        <f>_xlfn.XLOOKUP($A565,weather_2yrs!$A:$A,weather_2yrs!B:B)</f>
        <v>80.7</v>
      </c>
      <c r="I565">
        <f>_xlfn.XLOOKUP($A565,weather_2yrs!$A:$A,weather_2yrs!C:C)</f>
        <v>0</v>
      </c>
      <c r="J565">
        <f>_xlfn.XLOOKUP($A565,weather_2yrs!$A:$A,weather_2yrs!D:D)</f>
        <v>0</v>
      </c>
      <c r="K565">
        <f>_xlfn.XLOOKUP($A565,weather_2yrs!$A:$A,weather_2yrs!E:E)</f>
        <v>63.8</v>
      </c>
      <c r="L565">
        <f>_xlfn.XLOOKUP($A565,sales!$A:$A,sales!B:B)</f>
        <v>1</v>
      </c>
      <c r="M565" t="str">
        <f>_xlfn.XLOOKUP($A565,sales!$A:$A,sales!C:C)</f>
        <v>Miami Beach</v>
      </c>
      <c r="N565">
        <f>_xlfn.XLOOKUP($A565,sales!$A:$A,sales!D:D)</f>
        <v>310</v>
      </c>
      <c r="O565">
        <f>_xlfn.XLOOKUP($A565,sales!$A:$A,sales!E:E)</f>
        <v>5660.66</v>
      </c>
      <c r="P565" s="4">
        <f t="shared" si="26"/>
        <v>18.260193548387097</v>
      </c>
    </row>
    <row r="566" spans="1:16" x14ac:dyDescent="0.25">
      <c r="A566" s="1">
        <v>45491</v>
      </c>
      <c r="B566" s="1" t="str">
        <f t="shared" si="24"/>
        <v>Thursday</v>
      </c>
      <c r="C566" s="1" t="b">
        <f t="shared" si="25"/>
        <v>0</v>
      </c>
      <c r="D566">
        <f>VLOOKUP($A566,survey_2yrs!A:B, 2)</f>
        <v>49.2</v>
      </c>
      <c r="E566">
        <f>VLOOKUP($A566,survey_2yrs!$A:C, 3)</f>
        <v>50.8</v>
      </c>
      <c r="F566">
        <f>VLOOKUP($A566,survey_2yrs!$A:D, 4)</f>
        <v>48.3</v>
      </c>
      <c r="G566">
        <f>_xlfn.XLOOKUP(A566,survey_2yrs!A:A,survey_2yrs!E:E)</f>
        <v>51.7</v>
      </c>
      <c r="H566">
        <f>_xlfn.XLOOKUP($A566,weather_2yrs!$A:$A,weather_2yrs!B:B)</f>
        <v>80.3</v>
      </c>
      <c r="I566">
        <f>_xlfn.XLOOKUP($A566,weather_2yrs!$A:$A,weather_2yrs!C:C)</f>
        <v>0.57999999999999996</v>
      </c>
      <c r="J566">
        <f>_xlfn.XLOOKUP($A566,weather_2yrs!$A:$A,weather_2yrs!D:D)</f>
        <v>1</v>
      </c>
      <c r="K566">
        <f>_xlfn.XLOOKUP($A566,weather_2yrs!$A:$A,weather_2yrs!E:E)</f>
        <v>77.7</v>
      </c>
      <c r="L566">
        <f>_xlfn.XLOOKUP($A566,sales!$A:$A,sales!B:B)</f>
        <v>1</v>
      </c>
      <c r="M566" t="str">
        <f>_xlfn.XLOOKUP($A566,sales!$A:$A,sales!C:C)</f>
        <v>Miami Beach</v>
      </c>
      <c r="N566">
        <f>_xlfn.XLOOKUP($A566,sales!$A:$A,sales!D:D)</f>
        <v>307</v>
      </c>
      <c r="O566">
        <f>_xlfn.XLOOKUP($A566,sales!$A:$A,sales!E:E)</f>
        <v>5587.65</v>
      </c>
      <c r="P566" s="4">
        <f t="shared" si="26"/>
        <v>18.200814332247557</v>
      </c>
    </row>
    <row r="567" spans="1:16" x14ac:dyDescent="0.25">
      <c r="A567" s="1">
        <v>45492</v>
      </c>
      <c r="B567" s="1" t="str">
        <f t="shared" si="24"/>
        <v>Friday</v>
      </c>
      <c r="C567" s="1" t="b">
        <f t="shared" si="25"/>
        <v>0</v>
      </c>
      <c r="D567">
        <f>VLOOKUP($A567,survey_2yrs!A:B, 2)</f>
        <v>47.4</v>
      </c>
      <c r="E567">
        <f>VLOOKUP($A567,survey_2yrs!$A:C, 3)</f>
        <v>52.6</v>
      </c>
      <c r="F567">
        <f>VLOOKUP($A567,survey_2yrs!$A:D, 4)</f>
        <v>45.5</v>
      </c>
      <c r="G567">
        <f>_xlfn.XLOOKUP(A567,survey_2yrs!A:A,survey_2yrs!E:E)</f>
        <v>54.5</v>
      </c>
      <c r="H567">
        <f>_xlfn.XLOOKUP($A567,weather_2yrs!$A:$A,weather_2yrs!B:B)</f>
        <v>81</v>
      </c>
      <c r="I567">
        <f>_xlfn.XLOOKUP($A567,weather_2yrs!$A:$A,weather_2yrs!C:C)</f>
        <v>0</v>
      </c>
      <c r="J567">
        <f>_xlfn.XLOOKUP($A567,weather_2yrs!$A:$A,weather_2yrs!D:D)</f>
        <v>0</v>
      </c>
      <c r="K567">
        <f>_xlfn.XLOOKUP($A567,weather_2yrs!$A:$A,weather_2yrs!E:E)</f>
        <v>68.3</v>
      </c>
      <c r="L567">
        <f>_xlfn.XLOOKUP($A567,sales!$A:$A,sales!B:B)</f>
        <v>1</v>
      </c>
      <c r="M567" t="str">
        <f>_xlfn.XLOOKUP($A567,sales!$A:$A,sales!C:C)</f>
        <v>Miami Beach</v>
      </c>
      <c r="N567">
        <f>_xlfn.XLOOKUP($A567,sales!$A:$A,sales!D:D)</f>
        <v>306</v>
      </c>
      <c r="O567">
        <f>_xlfn.XLOOKUP($A567,sales!$A:$A,sales!E:E)</f>
        <v>5426.66</v>
      </c>
      <c r="P567" s="4">
        <f t="shared" si="26"/>
        <v>17.734183006535947</v>
      </c>
    </row>
    <row r="568" spans="1:16" x14ac:dyDescent="0.25">
      <c r="A568" s="1">
        <v>45493</v>
      </c>
      <c r="B568" s="1" t="str">
        <f t="shared" si="24"/>
        <v>Saturday</v>
      </c>
      <c r="C568" s="1" t="b">
        <f t="shared" si="25"/>
        <v>1</v>
      </c>
      <c r="D568">
        <f>VLOOKUP($A568,survey_2yrs!A:B, 2)</f>
        <v>48</v>
      </c>
      <c r="E568">
        <f>VLOOKUP($A568,survey_2yrs!$A:C, 3)</f>
        <v>52</v>
      </c>
      <c r="F568">
        <f>VLOOKUP($A568,survey_2yrs!$A:D, 4)</f>
        <v>51.4</v>
      </c>
      <c r="G568">
        <f>_xlfn.XLOOKUP(A568,survey_2yrs!A:A,survey_2yrs!E:E)</f>
        <v>48.6</v>
      </c>
      <c r="H568">
        <f>_xlfn.XLOOKUP($A568,weather_2yrs!$A:$A,weather_2yrs!B:B)</f>
        <v>85.9</v>
      </c>
      <c r="I568">
        <f>_xlfn.XLOOKUP($A568,weather_2yrs!$A:$A,weather_2yrs!C:C)</f>
        <v>0</v>
      </c>
      <c r="J568">
        <f>_xlfn.XLOOKUP($A568,weather_2yrs!$A:$A,weather_2yrs!D:D)</f>
        <v>0</v>
      </c>
      <c r="K568">
        <f>_xlfn.XLOOKUP($A568,weather_2yrs!$A:$A,weather_2yrs!E:E)</f>
        <v>77.099999999999994</v>
      </c>
      <c r="L568">
        <f>_xlfn.XLOOKUP($A568,sales!$A:$A,sales!B:B)</f>
        <v>1</v>
      </c>
      <c r="M568" t="str">
        <f>_xlfn.XLOOKUP($A568,sales!$A:$A,sales!C:C)</f>
        <v>Miami Beach</v>
      </c>
      <c r="N568">
        <f>_xlfn.XLOOKUP($A568,sales!$A:$A,sales!D:D)</f>
        <v>372</v>
      </c>
      <c r="O568">
        <f>_xlfn.XLOOKUP($A568,sales!$A:$A,sales!E:E)</f>
        <v>7397.45</v>
      </c>
      <c r="P568" s="4">
        <f t="shared" si="26"/>
        <v>19.885618279569893</v>
      </c>
    </row>
    <row r="569" spans="1:16" x14ac:dyDescent="0.25">
      <c r="A569" s="1">
        <v>45494</v>
      </c>
      <c r="B569" s="1" t="str">
        <f t="shared" si="24"/>
        <v>Sunday</v>
      </c>
      <c r="C569" s="1" t="b">
        <f t="shared" si="25"/>
        <v>1</v>
      </c>
      <c r="D569">
        <f>VLOOKUP($A569,survey_2yrs!A:B, 2)</f>
        <v>45.5</v>
      </c>
      <c r="E569">
        <f>VLOOKUP($A569,survey_2yrs!$A:C, 3)</f>
        <v>54.5</v>
      </c>
      <c r="F569">
        <f>VLOOKUP($A569,survey_2yrs!$A:D, 4)</f>
        <v>51.2</v>
      </c>
      <c r="G569">
        <f>_xlfn.XLOOKUP(A569,survey_2yrs!A:A,survey_2yrs!E:E)</f>
        <v>48.8</v>
      </c>
      <c r="H569">
        <f>_xlfn.XLOOKUP($A569,weather_2yrs!$A:$A,weather_2yrs!B:B)</f>
        <v>84.5</v>
      </c>
      <c r="I569">
        <f>_xlfn.XLOOKUP($A569,weather_2yrs!$A:$A,weather_2yrs!C:C)</f>
        <v>0</v>
      </c>
      <c r="J569">
        <f>_xlfn.XLOOKUP($A569,weather_2yrs!$A:$A,weather_2yrs!D:D)</f>
        <v>0</v>
      </c>
      <c r="K569">
        <f>_xlfn.XLOOKUP($A569,weather_2yrs!$A:$A,weather_2yrs!E:E)</f>
        <v>70.2</v>
      </c>
      <c r="L569">
        <f>_xlfn.XLOOKUP($A569,sales!$A:$A,sales!B:B)</f>
        <v>1</v>
      </c>
      <c r="M569" t="str">
        <f>_xlfn.XLOOKUP($A569,sales!$A:$A,sales!C:C)</f>
        <v>Miami Beach</v>
      </c>
      <c r="N569">
        <f>_xlfn.XLOOKUP($A569,sales!$A:$A,sales!D:D)</f>
        <v>369</v>
      </c>
      <c r="O569">
        <f>_xlfn.XLOOKUP($A569,sales!$A:$A,sales!E:E)</f>
        <v>7295.81</v>
      </c>
      <c r="P569" s="4">
        <f t="shared" si="26"/>
        <v>19.771842818428187</v>
      </c>
    </row>
    <row r="570" spans="1:16" x14ac:dyDescent="0.25">
      <c r="A570" s="1">
        <v>45495</v>
      </c>
      <c r="B570" s="1" t="str">
        <f t="shared" si="24"/>
        <v>Monday</v>
      </c>
      <c r="C570" s="1" t="b">
        <f t="shared" si="25"/>
        <v>0</v>
      </c>
      <c r="D570">
        <f>VLOOKUP($A570,survey_2yrs!A:B, 2)</f>
        <v>48.8</v>
      </c>
      <c r="E570">
        <f>VLOOKUP($A570,survey_2yrs!$A:C, 3)</f>
        <v>51.2</v>
      </c>
      <c r="F570">
        <f>VLOOKUP($A570,survey_2yrs!$A:D, 4)</f>
        <v>47.4</v>
      </c>
      <c r="G570">
        <f>_xlfn.XLOOKUP(A570,survey_2yrs!A:A,survey_2yrs!E:E)</f>
        <v>52.6</v>
      </c>
      <c r="H570">
        <f>_xlfn.XLOOKUP($A570,weather_2yrs!$A:$A,weather_2yrs!B:B)</f>
        <v>92.5</v>
      </c>
      <c r="I570">
        <f>_xlfn.XLOOKUP($A570,weather_2yrs!$A:$A,weather_2yrs!C:C)</f>
        <v>0</v>
      </c>
      <c r="J570">
        <f>_xlfn.XLOOKUP($A570,weather_2yrs!$A:$A,weather_2yrs!D:D)</f>
        <v>0</v>
      </c>
      <c r="K570">
        <f>_xlfn.XLOOKUP($A570,weather_2yrs!$A:$A,weather_2yrs!E:E)</f>
        <v>70.900000000000006</v>
      </c>
      <c r="L570">
        <f>_xlfn.XLOOKUP($A570,sales!$A:$A,sales!B:B)</f>
        <v>1</v>
      </c>
      <c r="M570" t="str">
        <f>_xlfn.XLOOKUP($A570,sales!$A:$A,sales!C:C)</f>
        <v>Miami Beach</v>
      </c>
      <c r="N570">
        <f>_xlfn.XLOOKUP($A570,sales!$A:$A,sales!D:D)</f>
        <v>357</v>
      </c>
      <c r="O570">
        <f>_xlfn.XLOOKUP($A570,sales!$A:$A,sales!E:E)</f>
        <v>7358</v>
      </c>
      <c r="P570" s="4">
        <f t="shared" si="26"/>
        <v>20.610644257703083</v>
      </c>
    </row>
    <row r="571" spans="1:16" x14ac:dyDescent="0.25">
      <c r="A571" s="1">
        <v>45496</v>
      </c>
      <c r="B571" s="1" t="str">
        <f t="shared" si="24"/>
        <v>Tuesday</v>
      </c>
      <c r="C571" s="1" t="b">
        <f t="shared" si="25"/>
        <v>0</v>
      </c>
      <c r="D571">
        <f>VLOOKUP($A571,survey_2yrs!A:B, 2)</f>
        <v>48</v>
      </c>
      <c r="E571">
        <f>VLOOKUP($A571,survey_2yrs!$A:C, 3)</f>
        <v>52</v>
      </c>
      <c r="F571">
        <f>VLOOKUP($A571,survey_2yrs!$A:D, 4)</f>
        <v>47.2</v>
      </c>
      <c r="G571">
        <f>_xlfn.XLOOKUP(A571,survey_2yrs!A:A,survey_2yrs!E:E)</f>
        <v>52.8</v>
      </c>
      <c r="H571">
        <f>_xlfn.XLOOKUP($A571,weather_2yrs!$A:$A,weather_2yrs!B:B)</f>
        <v>87.1</v>
      </c>
      <c r="I571">
        <f>_xlfn.XLOOKUP($A571,weather_2yrs!$A:$A,weather_2yrs!C:C)</f>
        <v>0</v>
      </c>
      <c r="J571">
        <f>_xlfn.XLOOKUP($A571,weather_2yrs!$A:$A,weather_2yrs!D:D)</f>
        <v>0</v>
      </c>
      <c r="K571">
        <f>_xlfn.XLOOKUP($A571,weather_2yrs!$A:$A,weather_2yrs!E:E)</f>
        <v>71.900000000000006</v>
      </c>
      <c r="L571">
        <f>_xlfn.XLOOKUP($A571,sales!$A:$A,sales!B:B)</f>
        <v>1</v>
      </c>
      <c r="M571" t="str">
        <f>_xlfn.XLOOKUP($A571,sales!$A:$A,sales!C:C)</f>
        <v>Miami Beach</v>
      </c>
      <c r="N571">
        <f>_xlfn.XLOOKUP($A571,sales!$A:$A,sales!D:D)</f>
        <v>280</v>
      </c>
      <c r="O571">
        <f>_xlfn.XLOOKUP($A571,sales!$A:$A,sales!E:E)</f>
        <v>5232.58</v>
      </c>
      <c r="P571" s="4">
        <f t="shared" si="26"/>
        <v>18.687785714285713</v>
      </c>
    </row>
    <row r="572" spans="1:16" x14ac:dyDescent="0.25">
      <c r="A572" s="1">
        <v>45497</v>
      </c>
      <c r="B572" s="1" t="str">
        <f t="shared" si="24"/>
        <v>Wednesday</v>
      </c>
      <c r="C572" s="1" t="b">
        <f t="shared" si="25"/>
        <v>0</v>
      </c>
      <c r="D572">
        <f>VLOOKUP($A572,survey_2yrs!A:B, 2)</f>
        <v>46.4</v>
      </c>
      <c r="E572">
        <f>VLOOKUP($A572,survey_2yrs!$A:C, 3)</f>
        <v>53.6</v>
      </c>
      <c r="F572">
        <f>VLOOKUP($A572,survey_2yrs!$A:D, 4)</f>
        <v>47.6</v>
      </c>
      <c r="G572">
        <f>_xlfn.XLOOKUP(A572,survey_2yrs!A:A,survey_2yrs!E:E)</f>
        <v>52.4</v>
      </c>
      <c r="H572">
        <f>_xlfn.XLOOKUP($A572,weather_2yrs!$A:$A,weather_2yrs!B:B)</f>
        <v>81.3</v>
      </c>
      <c r="I572">
        <f>_xlfn.XLOOKUP($A572,weather_2yrs!$A:$A,weather_2yrs!C:C)</f>
        <v>0.33</v>
      </c>
      <c r="J572">
        <f>_xlfn.XLOOKUP($A572,weather_2yrs!$A:$A,weather_2yrs!D:D)</f>
        <v>1</v>
      </c>
      <c r="K572">
        <f>_xlfn.XLOOKUP($A572,weather_2yrs!$A:$A,weather_2yrs!E:E)</f>
        <v>60.8</v>
      </c>
      <c r="L572">
        <f>_xlfn.XLOOKUP($A572,sales!$A:$A,sales!B:B)</f>
        <v>1</v>
      </c>
      <c r="M572" t="str">
        <f>_xlfn.XLOOKUP($A572,sales!$A:$A,sales!C:C)</f>
        <v>Miami Beach</v>
      </c>
      <c r="N572">
        <f>_xlfn.XLOOKUP($A572,sales!$A:$A,sales!D:D)</f>
        <v>317</v>
      </c>
      <c r="O572">
        <f>_xlfn.XLOOKUP($A572,sales!$A:$A,sales!E:E)</f>
        <v>6006.69</v>
      </c>
      <c r="P572" s="4">
        <f t="shared" si="26"/>
        <v>18.948548895899052</v>
      </c>
    </row>
    <row r="573" spans="1:16" x14ac:dyDescent="0.25">
      <c r="A573" s="1">
        <v>45498</v>
      </c>
      <c r="B573" s="1" t="str">
        <f t="shared" si="24"/>
        <v>Thursday</v>
      </c>
      <c r="C573" s="1" t="b">
        <f t="shared" si="25"/>
        <v>0</v>
      </c>
      <c r="D573">
        <f>VLOOKUP($A573,survey_2yrs!A:B, 2)</f>
        <v>49.5</v>
      </c>
      <c r="E573">
        <f>VLOOKUP($A573,survey_2yrs!$A:C, 3)</f>
        <v>50.5</v>
      </c>
      <c r="F573">
        <f>VLOOKUP($A573,survey_2yrs!$A:D, 4)</f>
        <v>46.2</v>
      </c>
      <c r="G573">
        <f>_xlfn.XLOOKUP(A573,survey_2yrs!A:A,survey_2yrs!E:E)</f>
        <v>53.8</v>
      </c>
      <c r="H573">
        <f>_xlfn.XLOOKUP($A573,weather_2yrs!$A:$A,weather_2yrs!B:B)</f>
        <v>87.7</v>
      </c>
      <c r="I573">
        <f>_xlfn.XLOOKUP($A573,weather_2yrs!$A:$A,weather_2yrs!C:C)</f>
        <v>0</v>
      </c>
      <c r="J573">
        <f>_xlfn.XLOOKUP($A573,weather_2yrs!$A:$A,weather_2yrs!D:D)</f>
        <v>0</v>
      </c>
      <c r="K573">
        <f>_xlfn.XLOOKUP($A573,weather_2yrs!$A:$A,weather_2yrs!E:E)</f>
        <v>70.099999999999994</v>
      </c>
      <c r="L573">
        <f>_xlfn.XLOOKUP($A573,sales!$A:$A,sales!B:B)</f>
        <v>1</v>
      </c>
      <c r="M573" t="str">
        <f>_xlfn.XLOOKUP($A573,sales!$A:$A,sales!C:C)</f>
        <v>Miami Beach</v>
      </c>
      <c r="N573">
        <f>_xlfn.XLOOKUP($A573,sales!$A:$A,sales!D:D)</f>
        <v>358</v>
      </c>
      <c r="O573">
        <f>_xlfn.XLOOKUP($A573,sales!$A:$A,sales!E:E)</f>
        <v>6635.22</v>
      </c>
      <c r="P573" s="4">
        <f t="shared" si="26"/>
        <v>18.53413407821229</v>
      </c>
    </row>
    <row r="574" spans="1:16" x14ac:dyDescent="0.25">
      <c r="A574" s="1">
        <v>45499</v>
      </c>
      <c r="B574" s="1" t="str">
        <f t="shared" si="24"/>
        <v>Friday</v>
      </c>
      <c r="C574" s="1" t="b">
        <f t="shared" si="25"/>
        <v>0</v>
      </c>
      <c r="D574">
        <f>VLOOKUP($A574,survey_2yrs!A:B, 2)</f>
        <v>48.3</v>
      </c>
      <c r="E574">
        <f>VLOOKUP($A574,survey_2yrs!$A:C, 3)</f>
        <v>51.7</v>
      </c>
      <c r="F574">
        <f>VLOOKUP($A574,survey_2yrs!$A:D, 4)</f>
        <v>46.2</v>
      </c>
      <c r="G574">
        <f>_xlfn.XLOOKUP(A574,survey_2yrs!A:A,survey_2yrs!E:E)</f>
        <v>53.8</v>
      </c>
      <c r="H574">
        <f>_xlfn.XLOOKUP($A574,weather_2yrs!$A:$A,weather_2yrs!B:B)</f>
        <v>87</v>
      </c>
      <c r="I574">
        <f>_xlfn.XLOOKUP($A574,weather_2yrs!$A:$A,weather_2yrs!C:C)</f>
        <v>1.0900000000000001</v>
      </c>
      <c r="J574">
        <f>_xlfn.XLOOKUP($A574,weather_2yrs!$A:$A,weather_2yrs!D:D)</f>
        <v>1</v>
      </c>
      <c r="K574">
        <f>_xlfn.XLOOKUP($A574,weather_2yrs!$A:$A,weather_2yrs!E:E)</f>
        <v>64.5</v>
      </c>
      <c r="L574">
        <f>_xlfn.XLOOKUP($A574,sales!$A:$A,sales!B:B)</f>
        <v>1</v>
      </c>
      <c r="M574" t="str">
        <f>_xlfn.XLOOKUP($A574,sales!$A:$A,sales!C:C)</f>
        <v>Miami Beach</v>
      </c>
      <c r="N574">
        <f>_xlfn.XLOOKUP($A574,sales!$A:$A,sales!D:D)</f>
        <v>275</v>
      </c>
      <c r="O574">
        <f>_xlfn.XLOOKUP($A574,sales!$A:$A,sales!E:E)</f>
        <v>5150.37</v>
      </c>
      <c r="P574" s="4">
        <f t="shared" si="26"/>
        <v>18.728618181818181</v>
      </c>
    </row>
    <row r="575" spans="1:16" x14ac:dyDescent="0.25">
      <c r="A575" s="1">
        <v>45500</v>
      </c>
      <c r="B575" s="1" t="str">
        <f t="shared" si="24"/>
        <v>Saturday</v>
      </c>
      <c r="C575" s="1" t="b">
        <f t="shared" si="25"/>
        <v>1</v>
      </c>
      <c r="D575">
        <f>VLOOKUP($A575,survey_2yrs!A:B, 2)</f>
        <v>48.2</v>
      </c>
      <c r="E575">
        <f>VLOOKUP($A575,survey_2yrs!$A:C, 3)</f>
        <v>51.8</v>
      </c>
      <c r="F575">
        <f>VLOOKUP($A575,survey_2yrs!$A:D, 4)</f>
        <v>52.4</v>
      </c>
      <c r="G575">
        <f>_xlfn.XLOOKUP(A575,survey_2yrs!A:A,survey_2yrs!E:E)</f>
        <v>47.6</v>
      </c>
      <c r="H575">
        <f>_xlfn.XLOOKUP($A575,weather_2yrs!$A:$A,weather_2yrs!B:B)</f>
        <v>82.5</v>
      </c>
      <c r="I575">
        <f>_xlfn.XLOOKUP($A575,weather_2yrs!$A:$A,weather_2yrs!C:C)</f>
        <v>0</v>
      </c>
      <c r="J575">
        <f>_xlfn.XLOOKUP($A575,weather_2yrs!$A:$A,weather_2yrs!D:D)</f>
        <v>0</v>
      </c>
      <c r="K575">
        <f>_xlfn.XLOOKUP($A575,weather_2yrs!$A:$A,weather_2yrs!E:E)</f>
        <v>69.099999999999994</v>
      </c>
      <c r="L575">
        <f>_xlfn.XLOOKUP($A575,sales!$A:$A,sales!B:B)</f>
        <v>1</v>
      </c>
      <c r="M575" t="str">
        <f>_xlfn.XLOOKUP($A575,sales!$A:$A,sales!C:C)</f>
        <v>Miami Beach</v>
      </c>
      <c r="N575">
        <f>_xlfn.XLOOKUP($A575,sales!$A:$A,sales!D:D)</f>
        <v>340</v>
      </c>
      <c r="O575">
        <f>_xlfn.XLOOKUP($A575,sales!$A:$A,sales!E:E)</f>
        <v>6573.36</v>
      </c>
      <c r="P575" s="4">
        <f t="shared" si="26"/>
        <v>19.333411764705883</v>
      </c>
    </row>
    <row r="576" spans="1:16" x14ac:dyDescent="0.25">
      <c r="A576" s="1">
        <v>45501</v>
      </c>
      <c r="B576" s="1" t="str">
        <f t="shared" si="24"/>
        <v>Sunday</v>
      </c>
      <c r="C576" s="1" t="b">
        <f t="shared" si="25"/>
        <v>1</v>
      </c>
      <c r="D576">
        <f>VLOOKUP($A576,survey_2yrs!A:B, 2)</f>
        <v>47.2</v>
      </c>
      <c r="E576">
        <f>VLOOKUP($A576,survey_2yrs!$A:C, 3)</f>
        <v>52.8</v>
      </c>
      <c r="F576">
        <f>VLOOKUP($A576,survey_2yrs!$A:D, 4)</f>
        <v>54</v>
      </c>
      <c r="G576">
        <f>_xlfn.XLOOKUP(A576,survey_2yrs!A:A,survey_2yrs!E:E)</f>
        <v>46</v>
      </c>
      <c r="H576">
        <f>_xlfn.XLOOKUP($A576,weather_2yrs!$A:$A,weather_2yrs!B:B)</f>
        <v>88.3</v>
      </c>
      <c r="I576">
        <f>_xlfn.XLOOKUP($A576,weather_2yrs!$A:$A,weather_2yrs!C:C)</f>
        <v>0</v>
      </c>
      <c r="J576">
        <f>_xlfn.XLOOKUP($A576,weather_2yrs!$A:$A,weather_2yrs!D:D)</f>
        <v>0</v>
      </c>
      <c r="K576">
        <f>_xlfn.XLOOKUP($A576,weather_2yrs!$A:$A,weather_2yrs!E:E)</f>
        <v>66.5</v>
      </c>
      <c r="L576">
        <f>_xlfn.XLOOKUP($A576,sales!$A:$A,sales!B:B)</f>
        <v>1</v>
      </c>
      <c r="M576" t="str">
        <f>_xlfn.XLOOKUP($A576,sales!$A:$A,sales!C:C)</f>
        <v>Miami Beach</v>
      </c>
      <c r="N576">
        <f>_xlfn.XLOOKUP($A576,sales!$A:$A,sales!D:D)</f>
        <v>371</v>
      </c>
      <c r="O576">
        <f>_xlfn.XLOOKUP($A576,sales!$A:$A,sales!E:E)</f>
        <v>6871.68</v>
      </c>
      <c r="P576" s="4">
        <f t="shared" si="26"/>
        <v>18.522048517520215</v>
      </c>
    </row>
    <row r="577" spans="1:16" x14ac:dyDescent="0.25">
      <c r="A577" s="1">
        <v>45502</v>
      </c>
      <c r="B577" s="1" t="str">
        <f t="shared" si="24"/>
        <v>Monday</v>
      </c>
      <c r="C577" s="1" t="b">
        <f t="shared" si="25"/>
        <v>0</v>
      </c>
      <c r="D577">
        <f>VLOOKUP($A577,survey_2yrs!A:B, 2)</f>
        <v>48</v>
      </c>
      <c r="E577">
        <f>VLOOKUP($A577,survey_2yrs!$A:C, 3)</f>
        <v>52</v>
      </c>
      <c r="F577">
        <f>VLOOKUP($A577,survey_2yrs!$A:D, 4)</f>
        <v>47.7</v>
      </c>
      <c r="G577">
        <f>_xlfn.XLOOKUP(A577,survey_2yrs!A:A,survey_2yrs!E:E)</f>
        <v>52.3</v>
      </c>
      <c r="H577">
        <f>_xlfn.XLOOKUP($A577,weather_2yrs!$A:$A,weather_2yrs!B:B)</f>
        <v>85.5</v>
      </c>
      <c r="I577">
        <f>_xlfn.XLOOKUP($A577,weather_2yrs!$A:$A,weather_2yrs!C:C)</f>
        <v>0</v>
      </c>
      <c r="J577">
        <f>_xlfn.XLOOKUP($A577,weather_2yrs!$A:$A,weather_2yrs!D:D)</f>
        <v>0</v>
      </c>
      <c r="K577">
        <f>_xlfn.XLOOKUP($A577,weather_2yrs!$A:$A,weather_2yrs!E:E)</f>
        <v>68.8</v>
      </c>
      <c r="L577">
        <f>_xlfn.XLOOKUP($A577,sales!$A:$A,sales!B:B)</f>
        <v>1</v>
      </c>
      <c r="M577" t="str">
        <f>_xlfn.XLOOKUP($A577,sales!$A:$A,sales!C:C)</f>
        <v>Miami Beach</v>
      </c>
      <c r="N577">
        <f>_xlfn.XLOOKUP($A577,sales!$A:$A,sales!D:D)</f>
        <v>319</v>
      </c>
      <c r="O577">
        <f>_xlfn.XLOOKUP($A577,sales!$A:$A,sales!E:E)</f>
        <v>5743.35</v>
      </c>
      <c r="P577" s="4">
        <f t="shared" si="26"/>
        <v>18.00423197492163</v>
      </c>
    </row>
    <row r="578" spans="1:16" x14ac:dyDescent="0.25">
      <c r="A578" s="1">
        <v>45503</v>
      </c>
      <c r="B578" s="1" t="str">
        <f t="shared" si="24"/>
        <v>Tuesday</v>
      </c>
      <c r="C578" s="1" t="b">
        <f t="shared" si="25"/>
        <v>0</v>
      </c>
      <c r="D578">
        <f>VLOOKUP($A578,survey_2yrs!A:B, 2)</f>
        <v>48</v>
      </c>
      <c r="E578">
        <f>VLOOKUP($A578,survey_2yrs!$A:C, 3)</f>
        <v>52</v>
      </c>
      <c r="F578">
        <f>VLOOKUP($A578,survey_2yrs!$A:D, 4)</f>
        <v>45.4</v>
      </c>
      <c r="G578">
        <f>_xlfn.XLOOKUP(A578,survey_2yrs!A:A,survey_2yrs!E:E)</f>
        <v>54.6</v>
      </c>
      <c r="H578">
        <f>_xlfn.XLOOKUP($A578,weather_2yrs!$A:$A,weather_2yrs!B:B)</f>
        <v>88.2</v>
      </c>
      <c r="I578">
        <f>_xlfn.XLOOKUP($A578,weather_2yrs!$A:$A,weather_2yrs!C:C)</f>
        <v>0.5</v>
      </c>
      <c r="J578">
        <f>_xlfn.XLOOKUP($A578,weather_2yrs!$A:$A,weather_2yrs!D:D)</f>
        <v>1</v>
      </c>
      <c r="K578">
        <f>_xlfn.XLOOKUP($A578,weather_2yrs!$A:$A,weather_2yrs!E:E)</f>
        <v>68.2</v>
      </c>
      <c r="L578">
        <f>_xlfn.XLOOKUP($A578,sales!$A:$A,sales!B:B)</f>
        <v>1</v>
      </c>
      <c r="M578" t="str">
        <f>_xlfn.XLOOKUP($A578,sales!$A:$A,sales!C:C)</f>
        <v>Miami Beach</v>
      </c>
      <c r="N578">
        <f>_xlfn.XLOOKUP($A578,sales!$A:$A,sales!D:D)</f>
        <v>311</v>
      </c>
      <c r="O578">
        <f>_xlfn.XLOOKUP($A578,sales!$A:$A,sales!E:E)</f>
        <v>5960.65</v>
      </c>
      <c r="P578" s="4">
        <f t="shared" si="26"/>
        <v>19.166077170418006</v>
      </c>
    </row>
    <row r="579" spans="1:16" x14ac:dyDescent="0.25">
      <c r="A579" s="1">
        <v>45504</v>
      </c>
      <c r="B579" s="1" t="str">
        <f t="shared" ref="B579:B642" si="27">TEXT(A579, "dddd")</f>
        <v>Wednesday</v>
      </c>
      <c r="C579" s="1" t="b">
        <f t="shared" ref="C579:C642" si="28">IF(WEEKDAY(A579,2)&gt;5,TRUE,FALSE)</f>
        <v>0</v>
      </c>
      <c r="D579">
        <f>VLOOKUP($A579,survey_2yrs!A:B, 2)</f>
        <v>48.5</v>
      </c>
      <c r="E579">
        <f>VLOOKUP($A579,survey_2yrs!$A:C, 3)</f>
        <v>51.5</v>
      </c>
      <c r="F579">
        <f>VLOOKUP($A579,survey_2yrs!$A:D, 4)</f>
        <v>47.1</v>
      </c>
      <c r="G579">
        <f>_xlfn.XLOOKUP(A579,survey_2yrs!A:A,survey_2yrs!E:E)</f>
        <v>52.9</v>
      </c>
      <c r="H579">
        <f>_xlfn.XLOOKUP($A579,weather_2yrs!$A:$A,weather_2yrs!B:B)</f>
        <v>86.7</v>
      </c>
      <c r="I579">
        <f>_xlfn.XLOOKUP($A579,weather_2yrs!$A:$A,weather_2yrs!C:C)</f>
        <v>0</v>
      </c>
      <c r="J579">
        <f>_xlfn.XLOOKUP($A579,weather_2yrs!$A:$A,weather_2yrs!D:D)</f>
        <v>0</v>
      </c>
      <c r="K579">
        <f>_xlfn.XLOOKUP($A579,weather_2yrs!$A:$A,weather_2yrs!E:E)</f>
        <v>69.3</v>
      </c>
      <c r="L579">
        <f>_xlfn.XLOOKUP($A579,sales!$A:$A,sales!B:B)</f>
        <v>1</v>
      </c>
      <c r="M579" t="str">
        <f>_xlfn.XLOOKUP($A579,sales!$A:$A,sales!C:C)</f>
        <v>Miami Beach</v>
      </c>
      <c r="N579">
        <f>_xlfn.XLOOKUP($A579,sales!$A:$A,sales!D:D)</f>
        <v>364</v>
      </c>
      <c r="O579">
        <f>_xlfn.XLOOKUP($A579,sales!$A:$A,sales!E:E)</f>
        <v>6902.19</v>
      </c>
      <c r="P579" s="4">
        <f t="shared" ref="P579:P642" si="29">O579/N579</f>
        <v>18.962060439560439</v>
      </c>
    </row>
    <row r="580" spans="1:16" x14ac:dyDescent="0.25">
      <c r="A580" s="1">
        <v>45505</v>
      </c>
      <c r="B580" s="1" t="str">
        <f t="shared" si="27"/>
        <v>Thursday</v>
      </c>
      <c r="C580" s="1" t="b">
        <f t="shared" si="28"/>
        <v>0</v>
      </c>
      <c r="D580">
        <f>VLOOKUP($A580,survey_2yrs!A:B, 2)</f>
        <v>48.7</v>
      </c>
      <c r="E580">
        <f>VLOOKUP($A580,survey_2yrs!$A:C, 3)</f>
        <v>51.3</v>
      </c>
      <c r="F580">
        <f>VLOOKUP($A580,survey_2yrs!$A:D, 4)</f>
        <v>46.4</v>
      </c>
      <c r="G580">
        <f>_xlfn.XLOOKUP(A580,survey_2yrs!A:A,survey_2yrs!E:E)</f>
        <v>53.6</v>
      </c>
      <c r="H580">
        <f>_xlfn.XLOOKUP($A580,weather_2yrs!$A:$A,weather_2yrs!B:B)</f>
        <v>88.1</v>
      </c>
      <c r="I580">
        <f>_xlfn.XLOOKUP($A580,weather_2yrs!$A:$A,weather_2yrs!C:C)</f>
        <v>0.99</v>
      </c>
      <c r="J580">
        <f>_xlfn.XLOOKUP($A580,weather_2yrs!$A:$A,weather_2yrs!D:D)</f>
        <v>1</v>
      </c>
      <c r="K580">
        <f>_xlfn.XLOOKUP($A580,weather_2yrs!$A:$A,weather_2yrs!E:E)</f>
        <v>65.7</v>
      </c>
      <c r="L580">
        <f>_xlfn.XLOOKUP($A580,sales!$A:$A,sales!B:B)</f>
        <v>1</v>
      </c>
      <c r="M580" t="str">
        <f>_xlfn.XLOOKUP($A580,sales!$A:$A,sales!C:C)</f>
        <v>Miami Beach</v>
      </c>
      <c r="N580">
        <f>_xlfn.XLOOKUP($A580,sales!$A:$A,sales!D:D)</f>
        <v>349</v>
      </c>
      <c r="O580">
        <f>_xlfn.XLOOKUP($A580,sales!$A:$A,sales!E:E)</f>
        <v>5961.63</v>
      </c>
      <c r="P580" s="4">
        <f t="shared" si="29"/>
        <v>17.082034383954156</v>
      </c>
    </row>
    <row r="581" spans="1:16" x14ac:dyDescent="0.25">
      <c r="A581" s="1">
        <v>45506</v>
      </c>
      <c r="B581" s="1" t="str">
        <f t="shared" si="27"/>
        <v>Friday</v>
      </c>
      <c r="C581" s="1" t="b">
        <f t="shared" si="28"/>
        <v>0</v>
      </c>
      <c r="D581">
        <f>VLOOKUP($A581,survey_2yrs!A:B, 2)</f>
        <v>48.6</v>
      </c>
      <c r="E581">
        <f>VLOOKUP($A581,survey_2yrs!$A:C, 3)</f>
        <v>51.4</v>
      </c>
      <c r="F581">
        <f>VLOOKUP($A581,survey_2yrs!$A:D, 4)</f>
        <v>46.8</v>
      </c>
      <c r="G581">
        <f>_xlfn.XLOOKUP(A581,survey_2yrs!A:A,survey_2yrs!E:E)</f>
        <v>53.2</v>
      </c>
      <c r="H581">
        <f>_xlfn.XLOOKUP($A581,weather_2yrs!$A:$A,weather_2yrs!B:B)</f>
        <v>87.9</v>
      </c>
      <c r="I581">
        <f>_xlfn.XLOOKUP($A581,weather_2yrs!$A:$A,weather_2yrs!C:C)</f>
        <v>0</v>
      </c>
      <c r="J581">
        <f>_xlfn.XLOOKUP($A581,weather_2yrs!$A:$A,weather_2yrs!D:D)</f>
        <v>0</v>
      </c>
      <c r="K581">
        <f>_xlfn.XLOOKUP($A581,weather_2yrs!$A:$A,weather_2yrs!E:E)</f>
        <v>74.2</v>
      </c>
      <c r="L581">
        <f>_xlfn.XLOOKUP($A581,sales!$A:$A,sales!B:B)</f>
        <v>1</v>
      </c>
      <c r="M581" t="str">
        <f>_xlfn.XLOOKUP($A581,sales!$A:$A,sales!C:C)</f>
        <v>Miami Beach</v>
      </c>
      <c r="N581">
        <f>_xlfn.XLOOKUP($A581,sales!$A:$A,sales!D:D)</f>
        <v>332</v>
      </c>
      <c r="O581">
        <f>_xlfn.XLOOKUP($A581,sales!$A:$A,sales!E:E)</f>
        <v>6166.96</v>
      </c>
      <c r="P581" s="4">
        <f t="shared" si="29"/>
        <v>18.575180722891567</v>
      </c>
    </row>
    <row r="582" spans="1:16" x14ac:dyDescent="0.25">
      <c r="A582" s="1">
        <v>45507</v>
      </c>
      <c r="B582" s="1" t="str">
        <f t="shared" si="27"/>
        <v>Saturday</v>
      </c>
      <c r="C582" s="1" t="b">
        <f t="shared" si="28"/>
        <v>1</v>
      </c>
      <c r="D582">
        <f>VLOOKUP($A582,survey_2yrs!A:B, 2)</f>
        <v>49.5</v>
      </c>
      <c r="E582">
        <f>VLOOKUP($A582,survey_2yrs!$A:C, 3)</f>
        <v>50.5</v>
      </c>
      <c r="F582">
        <f>VLOOKUP($A582,survey_2yrs!$A:D, 4)</f>
        <v>52.9</v>
      </c>
      <c r="G582">
        <f>_xlfn.XLOOKUP(A582,survey_2yrs!A:A,survey_2yrs!E:E)</f>
        <v>47.1</v>
      </c>
      <c r="H582">
        <f>_xlfn.XLOOKUP($A582,weather_2yrs!$A:$A,weather_2yrs!B:B)</f>
        <v>86.5</v>
      </c>
      <c r="I582">
        <f>_xlfn.XLOOKUP($A582,weather_2yrs!$A:$A,weather_2yrs!C:C)</f>
        <v>0</v>
      </c>
      <c r="J582">
        <f>_xlfn.XLOOKUP($A582,weather_2yrs!$A:$A,weather_2yrs!D:D)</f>
        <v>0</v>
      </c>
      <c r="K582">
        <f>_xlfn.XLOOKUP($A582,weather_2yrs!$A:$A,weather_2yrs!E:E)</f>
        <v>68.599999999999994</v>
      </c>
      <c r="L582">
        <f>_xlfn.XLOOKUP($A582,sales!$A:$A,sales!B:B)</f>
        <v>1</v>
      </c>
      <c r="M582" t="str">
        <f>_xlfn.XLOOKUP($A582,sales!$A:$A,sales!C:C)</f>
        <v>Miami Beach</v>
      </c>
      <c r="N582">
        <f>_xlfn.XLOOKUP($A582,sales!$A:$A,sales!D:D)</f>
        <v>376</v>
      </c>
      <c r="O582">
        <f>_xlfn.XLOOKUP($A582,sales!$A:$A,sales!E:E)</f>
        <v>7676.62</v>
      </c>
      <c r="P582" s="4">
        <f t="shared" si="29"/>
        <v>20.416542553191491</v>
      </c>
    </row>
    <row r="583" spans="1:16" x14ac:dyDescent="0.25">
      <c r="A583" s="1">
        <v>45508</v>
      </c>
      <c r="B583" s="1" t="str">
        <f t="shared" si="27"/>
        <v>Sunday</v>
      </c>
      <c r="C583" s="1" t="b">
        <f t="shared" si="28"/>
        <v>1</v>
      </c>
      <c r="D583">
        <f>VLOOKUP($A583,survey_2yrs!A:B, 2)</f>
        <v>48.5</v>
      </c>
      <c r="E583">
        <f>VLOOKUP($A583,survey_2yrs!$A:C, 3)</f>
        <v>51.5</v>
      </c>
      <c r="F583">
        <f>VLOOKUP($A583,survey_2yrs!$A:D, 4)</f>
        <v>51.5</v>
      </c>
      <c r="G583">
        <f>_xlfn.XLOOKUP(A583,survey_2yrs!A:A,survey_2yrs!E:E)</f>
        <v>48.5</v>
      </c>
      <c r="H583">
        <f>_xlfn.XLOOKUP($A583,weather_2yrs!$A:$A,weather_2yrs!B:B)</f>
        <v>86.9</v>
      </c>
      <c r="I583">
        <f>_xlfn.XLOOKUP($A583,weather_2yrs!$A:$A,weather_2yrs!C:C)</f>
        <v>0</v>
      </c>
      <c r="J583">
        <f>_xlfn.XLOOKUP($A583,weather_2yrs!$A:$A,weather_2yrs!D:D)</f>
        <v>0</v>
      </c>
      <c r="K583">
        <f>_xlfn.XLOOKUP($A583,weather_2yrs!$A:$A,weather_2yrs!E:E)</f>
        <v>76.900000000000006</v>
      </c>
      <c r="L583">
        <f>_xlfn.XLOOKUP($A583,sales!$A:$A,sales!B:B)</f>
        <v>1</v>
      </c>
      <c r="M583" t="str">
        <f>_xlfn.XLOOKUP($A583,sales!$A:$A,sales!C:C)</f>
        <v>Miami Beach</v>
      </c>
      <c r="N583">
        <f>_xlfn.XLOOKUP($A583,sales!$A:$A,sales!D:D)</f>
        <v>364</v>
      </c>
      <c r="O583">
        <f>_xlfn.XLOOKUP($A583,sales!$A:$A,sales!E:E)</f>
        <v>6371.21</v>
      </c>
      <c r="P583" s="4">
        <f t="shared" si="29"/>
        <v>17.503324175824176</v>
      </c>
    </row>
    <row r="584" spans="1:16" x14ac:dyDescent="0.25">
      <c r="A584" s="1">
        <v>45509</v>
      </c>
      <c r="B584" s="1" t="str">
        <f t="shared" si="27"/>
        <v>Monday</v>
      </c>
      <c r="C584" s="1" t="b">
        <f t="shared" si="28"/>
        <v>0</v>
      </c>
      <c r="D584">
        <f>VLOOKUP($A584,survey_2yrs!A:B, 2)</f>
        <v>47.5</v>
      </c>
      <c r="E584">
        <f>VLOOKUP($A584,survey_2yrs!$A:C, 3)</f>
        <v>52.5</v>
      </c>
      <c r="F584">
        <f>VLOOKUP($A584,survey_2yrs!$A:D, 4)</f>
        <v>47.3</v>
      </c>
      <c r="G584">
        <f>_xlfn.XLOOKUP(A584,survey_2yrs!A:A,survey_2yrs!E:E)</f>
        <v>52.7</v>
      </c>
      <c r="H584">
        <f>_xlfn.XLOOKUP($A584,weather_2yrs!$A:$A,weather_2yrs!B:B)</f>
        <v>90.7</v>
      </c>
      <c r="I584">
        <f>_xlfn.XLOOKUP($A584,weather_2yrs!$A:$A,weather_2yrs!C:C)</f>
        <v>0</v>
      </c>
      <c r="J584">
        <f>_xlfn.XLOOKUP($A584,weather_2yrs!$A:$A,weather_2yrs!D:D)</f>
        <v>0</v>
      </c>
      <c r="K584">
        <f>_xlfn.XLOOKUP($A584,weather_2yrs!$A:$A,weather_2yrs!E:E)</f>
        <v>71.7</v>
      </c>
      <c r="L584">
        <f>_xlfn.XLOOKUP($A584,sales!$A:$A,sales!B:B)</f>
        <v>1</v>
      </c>
      <c r="M584" t="str">
        <f>_xlfn.XLOOKUP($A584,sales!$A:$A,sales!C:C)</f>
        <v>Miami Beach</v>
      </c>
      <c r="N584">
        <f>_xlfn.XLOOKUP($A584,sales!$A:$A,sales!D:D)</f>
        <v>333</v>
      </c>
      <c r="O584">
        <f>_xlfn.XLOOKUP($A584,sales!$A:$A,sales!E:E)</f>
        <v>6033.42</v>
      </c>
      <c r="P584" s="4">
        <f t="shared" si="29"/>
        <v>18.118378378378377</v>
      </c>
    </row>
    <row r="585" spans="1:16" x14ac:dyDescent="0.25">
      <c r="A585" s="1">
        <v>45510</v>
      </c>
      <c r="B585" s="1" t="str">
        <f t="shared" si="27"/>
        <v>Tuesday</v>
      </c>
      <c r="C585" s="1" t="b">
        <f t="shared" si="28"/>
        <v>0</v>
      </c>
      <c r="D585">
        <f>VLOOKUP($A585,survey_2yrs!A:B, 2)</f>
        <v>45.2</v>
      </c>
      <c r="E585">
        <f>VLOOKUP($A585,survey_2yrs!$A:C, 3)</f>
        <v>54.8</v>
      </c>
      <c r="F585">
        <f>VLOOKUP($A585,survey_2yrs!$A:D, 4)</f>
        <v>46.2</v>
      </c>
      <c r="G585">
        <f>_xlfn.XLOOKUP(A585,survey_2yrs!A:A,survey_2yrs!E:E)</f>
        <v>53.8</v>
      </c>
      <c r="H585">
        <f>_xlfn.XLOOKUP($A585,weather_2yrs!$A:$A,weather_2yrs!B:B)</f>
        <v>84.8</v>
      </c>
      <c r="I585">
        <f>_xlfn.XLOOKUP($A585,weather_2yrs!$A:$A,weather_2yrs!C:C)</f>
        <v>0</v>
      </c>
      <c r="J585">
        <f>_xlfn.XLOOKUP($A585,weather_2yrs!$A:$A,weather_2yrs!D:D)</f>
        <v>0</v>
      </c>
      <c r="K585">
        <f>_xlfn.XLOOKUP($A585,weather_2yrs!$A:$A,weather_2yrs!E:E)</f>
        <v>84</v>
      </c>
      <c r="L585">
        <f>_xlfn.XLOOKUP($A585,sales!$A:$A,sales!B:B)</f>
        <v>1</v>
      </c>
      <c r="M585" t="str">
        <f>_xlfn.XLOOKUP($A585,sales!$A:$A,sales!C:C)</f>
        <v>Miami Beach</v>
      </c>
      <c r="N585">
        <f>_xlfn.XLOOKUP($A585,sales!$A:$A,sales!D:D)</f>
        <v>371</v>
      </c>
      <c r="O585">
        <f>_xlfn.XLOOKUP($A585,sales!$A:$A,sales!E:E)</f>
        <v>6547</v>
      </c>
      <c r="P585" s="4">
        <f t="shared" si="29"/>
        <v>17.646900269541778</v>
      </c>
    </row>
    <row r="586" spans="1:16" x14ac:dyDescent="0.25">
      <c r="A586" s="1">
        <v>45511</v>
      </c>
      <c r="B586" s="1" t="str">
        <f t="shared" si="27"/>
        <v>Wednesday</v>
      </c>
      <c r="C586" s="1" t="b">
        <f t="shared" si="28"/>
        <v>0</v>
      </c>
      <c r="D586">
        <f>VLOOKUP($A586,survey_2yrs!A:B, 2)</f>
        <v>46.7</v>
      </c>
      <c r="E586">
        <f>VLOOKUP($A586,survey_2yrs!$A:C, 3)</f>
        <v>53.3</v>
      </c>
      <c r="F586">
        <f>VLOOKUP($A586,survey_2yrs!$A:D, 4)</f>
        <v>46.3</v>
      </c>
      <c r="G586">
        <f>_xlfn.XLOOKUP(A586,survey_2yrs!A:A,survey_2yrs!E:E)</f>
        <v>53.7</v>
      </c>
      <c r="H586">
        <f>_xlfn.XLOOKUP($A586,weather_2yrs!$A:$A,weather_2yrs!B:B)</f>
        <v>89.5</v>
      </c>
      <c r="I586">
        <f>_xlfn.XLOOKUP($A586,weather_2yrs!$A:$A,weather_2yrs!C:C)</f>
        <v>1.25</v>
      </c>
      <c r="J586">
        <f>_xlfn.XLOOKUP($A586,weather_2yrs!$A:$A,weather_2yrs!D:D)</f>
        <v>1</v>
      </c>
      <c r="K586">
        <f>_xlfn.XLOOKUP($A586,weather_2yrs!$A:$A,weather_2yrs!E:E)</f>
        <v>73.3</v>
      </c>
      <c r="L586">
        <f>_xlfn.XLOOKUP($A586,sales!$A:$A,sales!B:B)</f>
        <v>1</v>
      </c>
      <c r="M586" t="str">
        <f>_xlfn.XLOOKUP($A586,sales!$A:$A,sales!C:C)</f>
        <v>Miami Beach</v>
      </c>
      <c r="N586">
        <f>_xlfn.XLOOKUP($A586,sales!$A:$A,sales!D:D)</f>
        <v>348</v>
      </c>
      <c r="O586">
        <f>_xlfn.XLOOKUP($A586,sales!$A:$A,sales!E:E)</f>
        <v>6398.43</v>
      </c>
      <c r="P586" s="4">
        <f t="shared" si="29"/>
        <v>18.386293103448278</v>
      </c>
    </row>
    <row r="587" spans="1:16" x14ac:dyDescent="0.25">
      <c r="A587" s="1">
        <v>45512</v>
      </c>
      <c r="B587" s="1" t="str">
        <f t="shared" si="27"/>
        <v>Thursday</v>
      </c>
      <c r="C587" s="1" t="b">
        <f t="shared" si="28"/>
        <v>0</v>
      </c>
      <c r="D587">
        <f>VLOOKUP($A587,survey_2yrs!A:B, 2)</f>
        <v>46.9</v>
      </c>
      <c r="E587">
        <f>VLOOKUP($A587,survey_2yrs!$A:C, 3)</f>
        <v>53.1</v>
      </c>
      <c r="F587">
        <f>VLOOKUP($A587,survey_2yrs!$A:D, 4)</f>
        <v>47.2</v>
      </c>
      <c r="G587">
        <f>_xlfn.XLOOKUP(A587,survey_2yrs!A:A,survey_2yrs!E:E)</f>
        <v>52.8</v>
      </c>
      <c r="H587">
        <f>_xlfn.XLOOKUP($A587,weather_2yrs!$A:$A,weather_2yrs!B:B)</f>
        <v>91.6</v>
      </c>
      <c r="I587">
        <f>_xlfn.XLOOKUP($A587,weather_2yrs!$A:$A,weather_2yrs!C:C)</f>
        <v>0</v>
      </c>
      <c r="J587">
        <f>_xlfn.XLOOKUP($A587,weather_2yrs!$A:$A,weather_2yrs!D:D)</f>
        <v>0</v>
      </c>
      <c r="K587">
        <f>_xlfn.XLOOKUP($A587,weather_2yrs!$A:$A,weather_2yrs!E:E)</f>
        <v>73.2</v>
      </c>
      <c r="L587">
        <f>_xlfn.XLOOKUP($A587,sales!$A:$A,sales!B:B)</f>
        <v>1</v>
      </c>
      <c r="M587" t="str">
        <f>_xlfn.XLOOKUP($A587,sales!$A:$A,sales!C:C)</f>
        <v>Miami Beach</v>
      </c>
      <c r="N587">
        <f>_xlfn.XLOOKUP($A587,sales!$A:$A,sales!D:D)</f>
        <v>376</v>
      </c>
      <c r="O587">
        <f>_xlfn.XLOOKUP($A587,sales!$A:$A,sales!E:E)</f>
        <v>7432.6</v>
      </c>
      <c r="P587" s="4">
        <f t="shared" si="29"/>
        <v>19.767553191489363</v>
      </c>
    </row>
    <row r="588" spans="1:16" x14ac:dyDescent="0.25">
      <c r="A588" s="1">
        <v>45513</v>
      </c>
      <c r="B588" s="1" t="str">
        <f t="shared" si="27"/>
        <v>Friday</v>
      </c>
      <c r="C588" s="1" t="b">
        <f t="shared" si="28"/>
        <v>0</v>
      </c>
      <c r="D588">
        <f>VLOOKUP($A588,survey_2yrs!A:B, 2)</f>
        <v>46.9</v>
      </c>
      <c r="E588">
        <f>VLOOKUP($A588,survey_2yrs!$A:C, 3)</f>
        <v>53.1</v>
      </c>
      <c r="F588">
        <f>VLOOKUP($A588,survey_2yrs!$A:D, 4)</f>
        <v>47.3</v>
      </c>
      <c r="G588">
        <f>_xlfn.XLOOKUP(A588,survey_2yrs!A:A,survey_2yrs!E:E)</f>
        <v>52.7</v>
      </c>
      <c r="H588">
        <f>_xlfn.XLOOKUP($A588,weather_2yrs!$A:$A,weather_2yrs!B:B)</f>
        <v>83.8</v>
      </c>
      <c r="I588">
        <f>_xlfn.XLOOKUP($A588,weather_2yrs!$A:$A,weather_2yrs!C:C)</f>
        <v>0.97</v>
      </c>
      <c r="J588">
        <f>_xlfn.XLOOKUP($A588,weather_2yrs!$A:$A,weather_2yrs!D:D)</f>
        <v>1</v>
      </c>
      <c r="K588">
        <f>_xlfn.XLOOKUP($A588,weather_2yrs!$A:$A,weather_2yrs!E:E)</f>
        <v>69.400000000000006</v>
      </c>
      <c r="L588">
        <f>_xlfn.XLOOKUP($A588,sales!$A:$A,sales!B:B)</f>
        <v>1</v>
      </c>
      <c r="M588" t="str">
        <f>_xlfn.XLOOKUP($A588,sales!$A:$A,sales!C:C)</f>
        <v>Miami Beach</v>
      </c>
      <c r="N588">
        <f>_xlfn.XLOOKUP($A588,sales!$A:$A,sales!D:D)</f>
        <v>295</v>
      </c>
      <c r="O588">
        <f>_xlfn.XLOOKUP($A588,sales!$A:$A,sales!E:E)</f>
        <v>5635.69</v>
      </c>
      <c r="P588" s="4">
        <f t="shared" si="29"/>
        <v>19.104033898305083</v>
      </c>
    </row>
    <row r="589" spans="1:16" x14ac:dyDescent="0.25">
      <c r="A589" s="1">
        <v>45514</v>
      </c>
      <c r="B589" s="1" t="str">
        <f t="shared" si="27"/>
        <v>Saturday</v>
      </c>
      <c r="C589" s="1" t="b">
        <f t="shared" si="28"/>
        <v>1</v>
      </c>
      <c r="D589">
        <f>VLOOKUP($A589,survey_2yrs!A:B, 2)</f>
        <v>46.5</v>
      </c>
      <c r="E589">
        <f>VLOOKUP($A589,survey_2yrs!$A:C, 3)</f>
        <v>53.5</v>
      </c>
      <c r="F589">
        <f>VLOOKUP($A589,survey_2yrs!$A:D, 4)</f>
        <v>51.9</v>
      </c>
      <c r="G589">
        <f>_xlfn.XLOOKUP(A589,survey_2yrs!A:A,survey_2yrs!E:E)</f>
        <v>48.1</v>
      </c>
      <c r="H589">
        <f>_xlfn.XLOOKUP($A589,weather_2yrs!$A:$A,weather_2yrs!B:B)</f>
        <v>88.7</v>
      </c>
      <c r="I589">
        <f>_xlfn.XLOOKUP($A589,weather_2yrs!$A:$A,weather_2yrs!C:C)</f>
        <v>0</v>
      </c>
      <c r="J589">
        <f>_xlfn.XLOOKUP($A589,weather_2yrs!$A:$A,weather_2yrs!D:D)</f>
        <v>0</v>
      </c>
      <c r="K589">
        <f>_xlfn.XLOOKUP($A589,weather_2yrs!$A:$A,weather_2yrs!E:E)</f>
        <v>78.7</v>
      </c>
      <c r="L589">
        <f>_xlfn.XLOOKUP($A589,sales!$A:$A,sales!B:B)</f>
        <v>1</v>
      </c>
      <c r="M589" t="str">
        <f>_xlfn.XLOOKUP($A589,sales!$A:$A,sales!C:C)</f>
        <v>Miami Beach</v>
      </c>
      <c r="N589">
        <f>_xlfn.XLOOKUP($A589,sales!$A:$A,sales!D:D)</f>
        <v>386</v>
      </c>
      <c r="O589">
        <f>_xlfn.XLOOKUP($A589,sales!$A:$A,sales!E:E)</f>
        <v>6999.46</v>
      </c>
      <c r="P589" s="4">
        <f t="shared" si="29"/>
        <v>18.133316062176167</v>
      </c>
    </row>
    <row r="590" spans="1:16" x14ac:dyDescent="0.25">
      <c r="A590" s="1">
        <v>45515</v>
      </c>
      <c r="B590" s="1" t="str">
        <f t="shared" si="27"/>
        <v>Sunday</v>
      </c>
      <c r="C590" s="1" t="b">
        <f t="shared" si="28"/>
        <v>1</v>
      </c>
      <c r="D590">
        <f>VLOOKUP($A590,survey_2yrs!A:B, 2)</f>
        <v>46.4</v>
      </c>
      <c r="E590">
        <f>VLOOKUP($A590,survey_2yrs!$A:C, 3)</f>
        <v>53.6</v>
      </c>
      <c r="F590">
        <f>VLOOKUP($A590,survey_2yrs!$A:D, 4)</f>
        <v>51.1</v>
      </c>
      <c r="G590">
        <f>_xlfn.XLOOKUP(A590,survey_2yrs!A:A,survey_2yrs!E:E)</f>
        <v>48.9</v>
      </c>
      <c r="H590">
        <f>_xlfn.XLOOKUP($A590,weather_2yrs!$A:$A,weather_2yrs!B:B)</f>
        <v>93.2</v>
      </c>
      <c r="I590">
        <f>_xlfn.XLOOKUP($A590,weather_2yrs!$A:$A,weather_2yrs!C:C)</f>
        <v>0</v>
      </c>
      <c r="J590">
        <f>_xlfn.XLOOKUP($A590,weather_2yrs!$A:$A,weather_2yrs!D:D)</f>
        <v>0</v>
      </c>
      <c r="K590">
        <f>_xlfn.XLOOKUP($A590,weather_2yrs!$A:$A,weather_2yrs!E:E)</f>
        <v>69.900000000000006</v>
      </c>
      <c r="L590">
        <f>_xlfn.XLOOKUP($A590,sales!$A:$A,sales!B:B)</f>
        <v>1</v>
      </c>
      <c r="M590" t="str">
        <f>_xlfn.XLOOKUP($A590,sales!$A:$A,sales!C:C)</f>
        <v>Miami Beach</v>
      </c>
      <c r="N590">
        <f>_xlfn.XLOOKUP($A590,sales!$A:$A,sales!D:D)</f>
        <v>402</v>
      </c>
      <c r="O590">
        <f>_xlfn.XLOOKUP($A590,sales!$A:$A,sales!E:E)</f>
        <v>7651.68</v>
      </c>
      <c r="P590" s="4">
        <f t="shared" si="29"/>
        <v>19.034029850746268</v>
      </c>
    </row>
    <row r="591" spans="1:16" x14ac:dyDescent="0.25">
      <c r="A591" s="1">
        <v>45516</v>
      </c>
      <c r="B591" s="1" t="str">
        <f t="shared" si="27"/>
        <v>Monday</v>
      </c>
      <c r="C591" s="1" t="b">
        <f t="shared" si="28"/>
        <v>0</v>
      </c>
      <c r="D591">
        <f>VLOOKUP($A591,survey_2yrs!A:B, 2)</f>
        <v>47.9</v>
      </c>
      <c r="E591">
        <f>VLOOKUP($A591,survey_2yrs!$A:C, 3)</f>
        <v>52.1</v>
      </c>
      <c r="F591">
        <f>VLOOKUP($A591,survey_2yrs!$A:D, 4)</f>
        <v>46</v>
      </c>
      <c r="G591">
        <f>_xlfn.XLOOKUP(A591,survey_2yrs!A:A,survey_2yrs!E:E)</f>
        <v>54</v>
      </c>
      <c r="H591">
        <f>_xlfn.XLOOKUP($A591,weather_2yrs!$A:$A,weather_2yrs!B:B)</f>
        <v>84.6</v>
      </c>
      <c r="I591">
        <f>_xlfn.XLOOKUP($A591,weather_2yrs!$A:$A,weather_2yrs!C:C)</f>
        <v>0</v>
      </c>
      <c r="J591">
        <f>_xlfn.XLOOKUP($A591,weather_2yrs!$A:$A,weather_2yrs!D:D)</f>
        <v>0</v>
      </c>
      <c r="K591">
        <f>_xlfn.XLOOKUP($A591,weather_2yrs!$A:$A,weather_2yrs!E:E)</f>
        <v>80.099999999999994</v>
      </c>
      <c r="L591">
        <f>_xlfn.XLOOKUP($A591,sales!$A:$A,sales!B:B)</f>
        <v>1</v>
      </c>
      <c r="M591" t="str">
        <f>_xlfn.XLOOKUP($A591,sales!$A:$A,sales!C:C)</f>
        <v>Miami Beach</v>
      </c>
      <c r="N591">
        <f>_xlfn.XLOOKUP($A591,sales!$A:$A,sales!D:D)</f>
        <v>309</v>
      </c>
      <c r="O591">
        <f>_xlfn.XLOOKUP($A591,sales!$A:$A,sales!E:E)</f>
        <v>5261.23</v>
      </c>
      <c r="P591" s="4">
        <f t="shared" si="29"/>
        <v>17.026634304207118</v>
      </c>
    </row>
    <row r="592" spans="1:16" x14ac:dyDescent="0.25">
      <c r="A592" s="1">
        <v>45517</v>
      </c>
      <c r="B592" s="1" t="str">
        <f t="shared" si="27"/>
        <v>Tuesday</v>
      </c>
      <c r="C592" s="1" t="b">
        <f t="shared" si="28"/>
        <v>0</v>
      </c>
      <c r="D592">
        <f>VLOOKUP($A592,survey_2yrs!A:B, 2)</f>
        <v>45.6</v>
      </c>
      <c r="E592">
        <f>VLOOKUP($A592,survey_2yrs!$A:C, 3)</f>
        <v>54.4</v>
      </c>
      <c r="F592">
        <f>VLOOKUP($A592,survey_2yrs!$A:D, 4)</f>
        <v>47.1</v>
      </c>
      <c r="G592">
        <f>_xlfn.XLOOKUP(A592,survey_2yrs!A:A,survey_2yrs!E:E)</f>
        <v>52.9</v>
      </c>
      <c r="H592">
        <f>_xlfn.XLOOKUP($A592,weather_2yrs!$A:$A,weather_2yrs!B:B)</f>
        <v>85.9</v>
      </c>
      <c r="I592">
        <f>_xlfn.XLOOKUP($A592,weather_2yrs!$A:$A,weather_2yrs!C:C)</f>
        <v>0</v>
      </c>
      <c r="J592">
        <f>_xlfn.XLOOKUP($A592,weather_2yrs!$A:$A,weather_2yrs!D:D)</f>
        <v>0</v>
      </c>
      <c r="K592">
        <f>_xlfn.XLOOKUP($A592,weather_2yrs!$A:$A,weather_2yrs!E:E)</f>
        <v>65.900000000000006</v>
      </c>
      <c r="L592">
        <f>_xlfn.XLOOKUP($A592,sales!$A:$A,sales!B:B)</f>
        <v>1</v>
      </c>
      <c r="M592" t="str">
        <f>_xlfn.XLOOKUP($A592,sales!$A:$A,sales!C:C)</f>
        <v>Miami Beach</v>
      </c>
      <c r="N592">
        <f>_xlfn.XLOOKUP($A592,sales!$A:$A,sales!D:D)</f>
        <v>369</v>
      </c>
      <c r="O592">
        <f>_xlfn.XLOOKUP($A592,sales!$A:$A,sales!E:E)</f>
        <v>6822.26</v>
      </c>
      <c r="P592" s="4">
        <f t="shared" si="29"/>
        <v>18.488509485094852</v>
      </c>
    </row>
    <row r="593" spans="1:16" x14ac:dyDescent="0.25">
      <c r="A593" s="1">
        <v>45518</v>
      </c>
      <c r="B593" s="1" t="str">
        <f t="shared" si="27"/>
        <v>Wednesday</v>
      </c>
      <c r="C593" s="1" t="b">
        <f t="shared" si="28"/>
        <v>0</v>
      </c>
      <c r="D593">
        <f>VLOOKUP($A593,survey_2yrs!A:B, 2)</f>
        <v>48.6</v>
      </c>
      <c r="E593">
        <f>VLOOKUP($A593,survey_2yrs!$A:C, 3)</f>
        <v>51.4</v>
      </c>
      <c r="F593">
        <f>VLOOKUP($A593,survey_2yrs!$A:D, 4)</f>
        <v>47.8</v>
      </c>
      <c r="G593">
        <f>_xlfn.XLOOKUP(A593,survey_2yrs!A:A,survey_2yrs!E:E)</f>
        <v>52.2</v>
      </c>
      <c r="H593">
        <f>_xlfn.XLOOKUP($A593,weather_2yrs!$A:$A,weather_2yrs!B:B)</f>
        <v>85.5</v>
      </c>
      <c r="I593">
        <f>_xlfn.XLOOKUP($A593,weather_2yrs!$A:$A,weather_2yrs!C:C)</f>
        <v>0</v>
      </c>
      <c r="J593">
        <f>_xlfn.XLOOKUP($A593,weather_2yrs!$A:$A,weather_2yrs!D:D)</f>
        <v>0</v>
      </c>
      <c r="K593">
        <f>_xlfn.XLOOKUP($A593,weather_2yrs!$A:$A,weather_2yrs!E:E)</f>
        <v>76</v>
      </c>
      <c r="L593">
        <f>_xlfn.XLOOKUP($A593,sales!$A:$A,sales!B:B)</f>
        <v>1</v>
      </c>
      <c r="M593" t="str">
        <f>_xlfn.XLOOKUP($A593,sales!$A:$A,sales!C:C)</f>
        <v>Miami Beach</v>
      </c>
      <c r="N593">
        <f>_xlfn.XLOOKUP($A593,sales!$A:$A,sales!D:D)</f>
        <v>303</v>
      </c>
      <c r="O593">
        <f>_xlfn.XLOOKUP($A593,sales!$A:$A,sales!E:E)</f>
        <v>5950.3</v>
      </c>
      <c r="P593" s="4">
        <f t="shared" si="29"/>
        <v>19.637953795379538</v>
      </c>
    </row>
    <row r="594" spans="1:16" x14ac:dyDescent="0.25">
      <c r="A594" s="1">
        <v>45519</v>
      </c>
      <c r="B594" s="1" t="str">
        <f t="shared" si="27"/>
        <v>Thursday</v>
      </c>
      <c r="C594" s="1" t="b">
        <f t="shared" si="28"/>
        <v>0</v>
      </c>
      <c r="D594">
        <f>VLOOKUP($A594,survey_2yrs!A:B, 2)</f>
        <v>48.7</v>
      </c>
      <c r="E594">
        <f>VLOOKUP($A594,survey_2yrs!$A:C, 3)</f>
        <v>51.3</v>
      </c>
      <c r="F594">
        <f>VLOOKUP($A594,survey_2yrs!$A:D, 4)</f>
        <v>45.1</v>
      </c>
      <c r="G594">
        <f>_xlfn.XLOOKUP(A594,survey_2yrs!A:A,survey_2yrs!E:E)</f>
        <v>54.9</v>
      </c>
      <c r="H594">
        <f>_xlfn.XLOOKUP($A594,weather_2yrs!$A:$A,weather_2yrs!B:B)</f>
        <v>86.7</v>
      </c>
      <c r="I594">
        <f>_xlfn.XLOOKUP($A594,weather_2yrs!$A:$A,weather_2yrs!C:C)</f>
        <v>0</v>
      </c>
      <c r="J594">
        <f>_xlfn.XLOOKUP($A594,weather_2yrs!$A:$A,weather_2yrs!D:D)</f>
        <v>0</v>
      </c>
      <c r="K594">
        <f>_xlfn.XLOOKUP($A594,weather_2yrs!$A:$A,weather_2yrs!E:E)</f>
        <v>74.2</v>
      </c>
      <c r="L594">
        <f>_xlfn.XLOOKUP($A594,sales!$A:$A,sales!B:B)</f>
        <v>1</v>
      </c>
      <c r="M594" t="str">
        <f>_xlfn.XLOOKUP($A594,sales!$A:$A,sales!C:C)</f>
        <v>Miami Beach</v>
      </c>
      <c r="N594">
        <f>_xlfn.XLOOKUP($A594,sales!$A:$A,sales!D:D)</f>
        <v>331</v>
      </c>
      <c r="O594">
        <f>_xlfn.XLOOKUP($A594,sales!$A:$A,sales!E:E)</f>
        <v>6148.9</v>
      </c>
      <c r="P594" s="4">
        <f t="shared" si="29"/>
        <v>18.576737160120846</v>
      </c>
    </row>
    <row r="595" spans="1:16" x14ac:dyDescent="0.25">
      <c r="A595" s="1">
        <v>45520</v>
      </c>
      <c r="B595" s="1" t="str">
        <f t="shared" si="27"/>
        <v>Friday</v>
      </c>
      <c r="C595" s="1" t="b">
        <f t="shared" si="28"/>
        <v>0</v>
      </c>
      <c r="D595">
        <f>VLOOKUP($A595,survey_2yrs!A:B, 2)</f>
        <v>47.3</v>
      </c>
      <c r="E595">
        <f>VLOOKUP($A595,survey_2yrs!$A:C, 3)</f>
        <v>52.7</v>
      </c>
      <c r="F595">
        <f>VLOOKUP($A595,survey_2yrs!$A:D, 4)</f>
        <v>45.2</v>
      </c>
      <c r="G595">
        <f>_xlfn.XLOOKUP(A595,survey_2yrs!A:A,survey_2yrs!E:E)</f>
        <v>54.8</v>
      </c>
      <c r="H595">
        <f>_xlfn.XLOOKUP($A595,weather_2yrs!$A:$A,weather_2yrs!B:B)</f>
        <v>83.4</v>
      </c>
      <c r="I595">
        <f>_xlfn.XLOOKUP($A595,weather_2yrs!$A:$A,weather_2yrs!C:C)</f>
        <v>0</v>
      </c>
      <c r="J595">
        <f>_xlfn.XLOOKUP($A595,weather_2yrs!$A:$A,weather_2yrs!D:D)</f>
        <v>0</v>
      </c>
      <c r="K595">
        <f>_xlfn.XLOOKUP($A595,weather_2yrs!$A:$A,weather_2yrs!E:E)</f>
        <v>74.8</v>
      </c>
      <c r="L595">
        <f>_xlfn.XLOOKUP($A595,sales!$A:$A,sales!B:B)</f>
        <v>1</v>
      </c>
      <c r="M595" t="str">
        <f>_xlfn.XLOOKUP($A595,sales!$A:$A,sales!C:C)</f>
        <v>Miami Beach</v>
      </c>
      <c r="N595">
        <f>_xlfn.XLOOKUP($A595,sales!$A:$A,sales!D:D)</f>
        <v>307</v>
      </c>
      <c r="O595">
        <f>_xlfn.XLOOKUP($A595,sales!$A:$A,sales!E:E)</f>
        <v>5466.52</v>
      </c>
      <c r="P595" s="4">
        <f t="shared" si="29"/>
        <v>17.80625407166124</v>
      </c>
    </row>
    <row r="596" spans="1:16" x14ac:dyDescent="0.25">
      <c r="A596" s="1">
        <v>45521</v>
      </c>
      <c r="B596" s="1" t="str">
        <f t="shared" si="27"/>
        <v>Saturday</v>
      </c>
      <c r="C596" s="1" t="b">
        <f t="shared" si="28"/>
        <v>1</v>
      </c>
      <c r="D596">
        <f>VLOOKUP($A596,survey_2yrs!A:B, 2)</f>
        <v>46.6</v>
      </c>
      <c r="E596">
        <f>VLOOKUP($A596,survey_2yrs!$A:C, 3)</f>
        <v>53.4</v>
      </c>
      <c r="F596">
        <f>VLOOKUP($A596,survey_2yrs!$A:D, 4)</f>
        <v>50.4</v>
      </c>
      <c r="G596">
        <f>_xlfn.XLOOKUP(A596,survey_2yrs!A:A,survey_2yrs!E:E)</f>
        <v>49.6</v>
      </c>
      <c r="H596">
        <f>_xlfn.XLOOKUP($A596,weather_2yrs!$A:$A,weather_2yrs!B:B)</f>
        <v>87.5</v>
      </c>
      <c r="I596">
        <f>_xlfn.XLOOKUP($A596,weather_2yrs!$A:$A,weather_2yrs!C:C)</f>
        <v>1.1599999999999999</v>
      </c>
      <c r="J596">
        <f>_xlfn.XLOOKUP($A596,weather_2yrs!$A:$A,weather_2yrs!D:D)</f>
        <v>1</v>
      </c>
      <c r="K596">
        <f>_xlfn.XLOOKUP($A596,weather_2yrs!$A:$A,weather_2yrs!E:E)</f>
        <v>67.599999999999994</v>
      </c>
      <c r="L596">
        <f>_xlfn.XLOOKUP($A596,sales!$A:$A,sales!B:B)</f>
        <v>1</v>
      </c>
      <c r="M596" t="str">
        <f>_xlfn.XLOOKUP($A596,sales!$A:$A,sales!C:C)</f>
        <v>Miami Beach</v>
      </c>
      <c r="N596">
        <f>_xlfn.XLOOKUP($A596,sales!$A:$A,sales!D:D)</f>
        <v>341</v>
      </c>
      <c r="O596">
        <f>_xlfn.XLOOKUP($A596,sales!$A:$A,sales!E:E)</f>
        <v>6251.05</v>
      </c>
      <c r="P596" s="4">
        <f t="shared" si="29"/>
        <v>18.331524926686217</v>
      </c>
    </row>
    <row r="597" spans="1:16" x14ac:dyDescent="0.25">
      <c r="A597" s="1">
        <v>45522</v>
      </c>
      <c r="B597" s="1" t="str">
        <f t="shared" si="27"/>
        <v>Sunday</v>
      </c>
      <c r="C597" s="1" t="b">
        <f t="shared" si="28"/>
        <v>1</v>
      </c>
      <c r="D597">
        <f>VLOOKUP($A597,survey_2yrs!A:B, 2)</f>
        <v>45.6</v>
      </c>
      <c r="E597">
        <f>VLOOKUP($A597,survey_2yrs!$A:C, 3)</f>
        <v>54.4</v>
      </c>
      <c r="F597">
        <f>VLOOKUP($A597,survey_2yrs!$A:D, 4)</f>
        <v>51.3</v>
      </c>
      <c r="G597">
        <f>_xlfn.XLOOKUP(A597,survey_2yrs!A:A,survey_2yrs!E:E)</f>
        <v>48.7</v>
      </c>
      <c r="H597">
        <f>_xlfn.XLOOKUP($A597,weather_2yrs!$A:$A,weather_2yrs!B:B)</f>
        <v>85</v>
      </c>
      <c r="I597">
        <f>_xlfn.XLOOKUP($A597,weather_2yrs!$A:$A,weather_2yrs!C:C)</f>
        <v>0</v>
      </c>
      <c r="J597">
        <f>_xlfn.XLOOKUP($A597,weather_2yrs!$A:$A,weather_2yrs!D:D)</f>
        <v>0</v>
      </c>
      <c r="K597">
        <f>_xlfn.XLOOKUP($A597,weather_2yrs!$A:$A,weather_2yrs!E:E)</f>
        <v>72.099999999999994</v>
      </c>
      <c r="L597">
        <f>_xlfn.XLOOKUP($A597,sales!$A:$A,sales!B:B)</f>
        <v>1</v>
      </c>
      <c r="M597" t="str">
        <f>_xlfn.XLOOKUP($A597,sales!$A:$A,sales!C:C)</f>
        <v>Miami Beach</v>
      </c>
      <c r="N597">
        <f>_xlfn.XLOOKUP($A597,sales!$A:$A,sales!D:D)</f>
        <v>360</v>
      </c>
      <c r="O597">
        <f>_xlfn.XLOOKUP($A597,sales!$A:$A,sales!E:E)</f>
        <v>6783.2</v>
      </c>
      <c r="P597" s="4">
        <f t="shared" si="29"/>
        <v>18.842222222222222</v>
      </c>
    </row>
    <row r="598" spans="1:16" x14ac:dyDescent="0.25">
      <c r="A598" s="1">
        <v>45523</v>
      </c>
      <c r="B598" s="1" t="str">
        <f t="shared" si="27"/>
        <v>Monday</v>
      </c>
      <c r="C598" s="1" t="b">
        <f t="shared" si="28"/>
        <v>0</v>
      </c>
      <c r="D598">
        <f>VLOOKUP($A598,survey_2yrs!A:B, 2)</f>
        <v>46.1</v>
      </c>
      <c r="E598">
        <f>VLOOKUP($A598,survey_2yrs!$A:C, 3)</f>
        <v>53.9</v>
      </c>
      <c r="F598">
        <f>VLOOKUP($A598,survey_2yrs!$A:D, 4)</f>
        <v>47.7</v>
      </c>
      <c r="G598">
        <f>_xlfn.XLOOKUP(A598,survey_2yrs!A:A,survey_2yrs!E:E)</f>
        <v>52.3</v>
      </c>
      <c r="H598">
        <f>_xlfn.XLOOKUP($A598,weather_2yrs!$A:$A,weather_2yrs!B:B)</f>
        <v>85.5</v>
      </c>
      <c r="I598">
        <f>_xlfn.XLOOKUP($A598,weather_2yrs!$A:$A,weather_2yrs!C:C)</f>
        <v>1.25</v>
      </c>
      <c r="J598">
        <f>_xlfn.XLOOKUP($A598,weather_2yrs!$A:$A,weather_2yrs!D:D)</f>
        <v>1</v>
      </c>
      <c r="K598">
        <f>_xlfn.XLOOKUP($A598,weather_2yrs!$A:$A,weather_2yrs!E:E)</f>
        <v>75.5</v>
      </c>
      <c r="L598">
        <f>_xlfn.XLOOKUP($A598,sales!$A:$A,sales!B:B)</f>
        <v>1</v>
      </c>
      <c r="M598" t="str">
        <f>_xlfn.XLOOKUP($A598,sales!$A:$A,sales!C:C)</f>
        <v>Miami Beach</v>
      </c>
      <c r="N598">
        <f>_xlfn.XLOOKUP($A598,sales!$A:$A,sales!D:D)</f>
        <v>317</v>
      </c>
      <c r="O598">
        <f>_xlfn.XLOOKUP($A598,sales!$A:$A,sales!E:E)</f>
        <v>5864.66</v>
      </c>
      <c r="P598" s="4">
        <f t="shared" si="29"/>
        <v>18.500504731861199</v>
      </c>
    </row>
    <row r="599" spans="1:16" x14ac:dyDescent="0.25">
      <c r="A599" s="1">
        <v>45524</v>
      </c>
      <c r="B599" s="1" t="str">
        <f t="shared" si="27"/>
        <v>Tuesday</v>
      </c>
      <c r="C599" s="1" t="b">
        <f t="shared" si="28"/>
        <v>0</v>
      </c>
      <c r="D599">
        <f>VLOOKUP($A599,survey_2yrs!A:B, 2)</f>
        <v>46</v>
      </c>
      <c r="E599">
        <f>VLOOKUP($A599,survey_2yrs!$A:C, 3)</f>
        <v>54</v>
      </c>
      <c r="F599">
        <f>VLOOKUP($A599,survey_2yrs!$A:D, 4)</f>
        <v>45.7</v>
      </c>
      <c r="G599">
        <f>_xlfn.XLOOKUP(A599,survey_2yrs!A:A,survey_2yrs!E:E)</f>
        <v>54.3</v>
      </c>
      <c r="H599">
        <f>_xlfn.XLOOKUP($A599,weather_2yrs!$A:$A,weather_2yrs!B:B)</f>
        <v>89</v>
      </c>
      <c r="I599">
        <f>_xlfn.XLOOKUP($A599,weather_2yrs!$A:$A,weather_2yrs!C:C)</f>
        <v>0</v>
      </c>
      <c r="J599">
        <f>_xlfn.XLOOKUP($A599,weather_2yrs!$A:$A,weather_2yrs!D:D)</f>
        <v>0</v>
      </c>
      <c r="K599">
        <f>_xlfn.XLOOKUP($A599,weather_2yrs!$A:$A,weather_2yrs!E:E)</f>
        <v>76.5</v>
      </c>
      <c r="L599">
        <f>_xlfn.XLOOKUP($A599,sales!$A:$A,sales!B:B)</f>
        <v>1</v>
      </c>
      <c r="M599" t="str">
        <f>_xlfn.XLOOKUP($A599,sales!$A:$A,sales!C:C)</f>
        <v>Miami Beach</v>
      </c>
      <c r="N599">
        <f>_xlfn.XLOOKUP($A599,sales!$A:$A,sales!D:D)</f>
        <v>327</v>
      </c>
      <c r="O599">
        <f>_xlfn.XLOOKUP($A599,sales!$A:$A,sales!E:E)</f>
        <v>6396.56</v>
      </c>
      <c r="P599" s="4">
        <f t="shared" si="29"/>
        <v>19.561345565749235</v>
      </c>
    </row>
    <row r="600" spans="1:16" x14ac:dyDescent="0.25">
      <c r="A600" s="1">
        <v>45525</v>
      </c>
      <c r="B600" s="1" t="str">
        <f t="shared" si="27"/>
        <v>Wednesday</v>
      </c>
      <c r="C600" s="1" t="b">
        <f t="shared" si="28"/>
        <v>0</v>
      </c>
      <c r="D600">
        <f>VLOOKUP($A600,survey_2yrs!A:B, 2)</f>
        <v>47.6</v>
      </c>
      <c r="E600">
        <f>VLOOKUP($A600,survey_2yrs!$A:C, 3)</f>
        <v>52.4</v>
      </c>
      <c r="F600">
        <f>VLOOKUP($A600,survey_2yrs!$A:D, 4)</f>
        <v>44.7</v>
      </c>
      <c r="G600">
        <f>_xlfn.XLOOKUP(A600,survey_2yrs!A:A,survey_2yrs!E:E)</f>
        <v>55.3</v>
      </c>
      <c r="H600">
        <f>_xlfn.XLOOKUP($A600,weather_2yrs!$A:$A,weather_2yrs!B:B)</f>
        <v>89.8</v>
      </c>
      <c r="I600">
        <f>_xlfn.XLOOKUP($A600,weather_2yrs!$A:$A,weather_2yrs!C:C)</f>
        <v>0</v>
      </c>
      <c r="J600">
        <f>_xlfn.XLOOKUP($A600,weather_2yrs!$A:$A,weather_2yrs!D:D)</f>
        <v>0</v>
      </c>
      <c r="K600">
        <f>_xlfn.XLOOKUP($A600,weather_2yrs!$A:$A,weather_2yrs!E:E)</f>
        <v>76.099999999999994</v>
      </c>
      <c r="L600">
        <f>_xlfn.XLOOKUP($A600,sales!$A:$A,sales!B:B)</f>
        <v>1</v>
      </c>
      <c r="M600" t="str">
        <f>_xlfn.XLOOKUP($A600,sales!$A:$A,sales!C:C)</f>
        <v>Miami Beach</v>
      </c>
      <c r="N600">
        <f>_xlfn.XLOOKUP($A600,sales!$A:$A,sales!D:D)</f>
        <v>369</v>
      </c>
      <c r="O600">
        <f>_xlfn.XLOOKUP($A600,sales!$A:$A,sales!E:E)</f>
        <v>6414.02</v>
      </c>
      <c r="P600" s="4">
        <f t="shared" si="29"/>
        <v>17.382168021680219</v>
      </c>
    </row>
    <row r="601" spans="1:16" x14ac:dyDescent="0.25">
      <c r="A601" s="1">
        <v>45526</v>
      </c>
      <c r="B601" s="1" t="str">
        <f t="shared" si="27"/>
        <v>Thursday</v>
      </c>
      <c r="C601" s="1" t="b">
        <f t="shared" si="28"/>
        <v>0</v>
      </c>
      <c r="D601">
        <f>VLOOKUP($A601,survey_2yrs!A:B, 2)</f>
        <v>46.2</v>
      </c>
      <c r="E601">
        <f>VLOOKUP($A601,survey_2yrs!$A:C, 3)</f>
        <v>53.8</v>
      </c>
      <c r="F601">
        <f>VLOOKUP($A601,survey_2yrs!$A:D, 4)</f>
        <v>43.4</v>
      </c>
      <c r="G601">
        <f>_xlfn.XLOOKUP(A601,survey_2yrs!A:A,survey_2yrs!E:E)</f>
        <v>56.6</v>
      </c>
      <c r="H601">
        <f>_xlfn.XLOOKUP($A601,weather_2yrs!$A:$A,weather_2yrs!B:B)</f>
        <v>88.5</v>
      </c>
      <c r="I601">
        <f>_xlfn.XLOOKUP($A601,weather_2yrs!$A:$A,weather_2yrs!C:C)</f>
        <v>0</v>
      </c>
      <c r="J601">
        <f>_xlfn.XLOOKUP($A601,weather_2yrs!$A:$A,weather_2yrs!D:D)</f>
        <v>0</v>
      </c>
      <c r="K601">
        <f>_xlfn.XLOOKUP($A601,weather_2yrs!$A:$A,weather_2yrs!E:E)</f>
        <v>86.6</v>
      </c>
      <c r="L601">
        <f>_xlfn.XLOOKUP($A601,sales!$A:$A,sales!B:B)</f>
        <v>1</v>
      </c>
      <c r="M601" t="str">
        <f>_xlfn.XLOOKUP($A601,sales!$A:$A,sales!C:C)</f>
        <v>Miami Beach</v>
      </c>
      <c r="N601">
        <f>_xlfn.XLOOKUP($A601,sales!$A:$A,sales!D:D)</f>
        <v>351</v>
      </c>
      <c r="O601">
        <f>_xlfn.XLOOKUP($A601,sales!$A:$A,sales!E:E)</f>
        <v>6369.88</v>
      </c>
      <c r="P601" s="4">
        <f t="shared" si="29"/>
        <v>18.147806267806267</v>
      </c>
    </row>
    <row r="602" spans="1:16" x14ac:dyDescent="0.25">
      <c r="A602" s="1">
        <v>45527</v>
      </c>
      <c r="B602" s="1" t="str">
        <f t="shared" si="27"/>
        <v>Friday</v>
      </c>
      <c r="C602" s="1" t="b">
        <f t="shared" si="28"/>
        <v>0</v>
      </c>
      <c r="D602">
        <f>VLOOKUP($A602,survey_2yrs!A:B, 2)</f>
        <v>47.6</v>
      </c>
      <c r="E602">
        <f>VLOOKUP($A602,survey_2yrs!$A:C, 3)</f>
        <v>52.4</v>
      </c>
      <c r="F602">
        <f>VLOOKUP($A602,survey_2yrs!$A:D, 4)</f>
        <v>45.1</v>
      </c>
      <c r="G602">
        <f>_xlfn.XLOOKUP(A602,survey_2yrs!A:A,survey_2yrs!E:E)</f>
        <v>54.9</v>
      </c>
      <c r="H602">
        <f>_xlfn.XLOOKUP($A602,weather_2yrs!$A:$A,weather_2yrs!B:B)</f>
        <v>83.9</v>
      </c>
      <c r="I602">
        <f>_xlfn.XLOOKUP($A602,weather_2yrs!$A:$A,weather_2yrs!C:C)</f>
        <v>0</v>
      </c>
      <c r="J602">
        <f>_xlfn.XLOOKUP($A602,weather_2yrs!$A:$A,weather_2yrs!D:D)</f>
        <v>0</v>
      </c>
      <c r="K602">
        <f>_xlfn.XLOOKUP($A602,weather_2yrs!$A:$A,weather_2yrs!E:E)</f>
        <v>69.900000000000006</v>
      </c>
      <c r="L602">
        <f>_xlfn.XLOOKUP($A602,sales!$A:$A,sales!B:B)</f>
        <v>1</v>
      </c>
      <c r="M602" t="str">
        <f>_xlfn.XLOOKUP($A602,sales!$A:$A,sales!C:C)</f>
        <v>Miami Beach</v>
      </c>
      <c r="N602">
        <f>_xlfn.XLOOKUP($A602,sales!$A:$A,sales!D:D)</f>
        <v>319</v>
      </c>
      <c r="O602">
        <f>_xlfn.XLOOKUP($A602,sales!$A:$A,sales!E:E)</f>
        <v>5941.05</v>
      </c>
      <c r="P602" s="4">
        <f t="shared" si="29"/>
        <v>18.623981191222573</v>
      </c>
    </row>
    <row r="603" spans="1:16" x14ac:dyDescent="0.25">
      <c r="A603" s="1">
        <v>45528</v>
      </c>
      <c r="B603" s="1" t="str">
        <f t="shared" si="27"/>
        <v>Saturday</v>
      </c>
      <c r="C603" s="1" t="b">
        <f t="shared" si="28"/>
        <v>1</v>
      </c>
      <c r="D603">
        <f>VLOOKUP($A603,survey_2yrs!A:B, 2)</f>
        <v>46.8</v>
      </c>
      <c r="E603">
        <f>VLOOKUP($A603,survey_2yrs!$A:C, 3)</f>
        <v>53.2</v>
      </c>
      <c r="F603">
        <f>VLOOKUP($A603,survey_2yrs!$A:D, 4)</f>
        <v>51.7</v>
      </c>
      <c r="G603">
        <f>_xlfn.XLOOKUP(A603,survey_2yrs!A:A,survey_2yrs!E:E)</f>
        <v>48.3</v>
      </c>
      <c r="H603">
        <f>_xlfn.XLOOKUP($A603,weather_2yrs!$A:$A,weather_2yrs!B:B)</f>
        <v>83.4</v>
      </c>
      <c r="I603">
        <f>_xlfn.XLOOKUP($A603,weather_2yrs!$A:$A,weather_2yrs!C:C)</f>
        <v>0</v>
      </c>
      <c r="J603">
        <f>_xlfn.XLOOKUP($A603,weather_2yrs!$A:$A,weather_2yrs!D:D)</f>
        <v>0</v>
      </c>
      <c r="K603">
        <f>_xlfn.XLOOKUP($A603,weather_2yrs!$A:$A,weather_2yrs!E:E)</f>
        <v>74</v>
      </c>
      <c r="L603">
        <f>_xlfn.XLOOKUP($A603,sales!$A:$A,sales!B:B)</f>
        <v>1</v>
      </c>
      <c r="M603" t="str">
        <f>_xlfn.XLOOKUP($A603,sales!$A:$A,sales!C:C)</f>
        <v>Miami Beach</v>
      </c>
      <c r="N603">
        <f>_xlfn.XLOOKUP($A603,sales!$A:$A,sales!D:D)</f>
        <v>372</v>
      </c>
      <c r="O603">
        <f>_xlfn.XLOOKUP($A603,sales!$A:$A,sales!E:E)</f>
        <v>6173.9</v>
      </c>
      <c r="P603" s="4">
        <f t="shared" si="29"/>
        <v>16.596505376344084</v>
      </c>
    </row>
    <row r="604" spans="1:16" x14ac:dyDescent="0.25">
      <c r="A604" s="1">
        <v>45529</v>
      </c>
      <c r="B604" s="1" t="str">
        <f t="shared" si="27"/>
        <v>Sunday</v>
      </c>
      <c r="C604" s="1" t="b">
        <f t="shared" si="28"/>
        <v>1</v>
      </c>
      <c r="D604">
        <f>VLOOKUP($A604,survey_2yrs!A:B, 2)</f>
        <v>46.5</v>
      </c>
      <c r="E604">
        <f>VLOOKUP($A604,survey_2yrs!$A:C, 3)</f>
        <v>53.5</v>
      </c>
      <c r="F604">
        <f>VLOOKUP($A604,survey_2yrs!$A:D, 4)</f>
        <v>50.5</v>
      </c>
      <c r="G604">
        <f>_xlfn.XLOOKUP(A604,survey_2yrs!A:A,survey_2yrs!E:E)</f>
        <v>49.5</v>
      </c>
      <c r="H604">
        <f>_xlfn.XLOOKUP($A604,weather_2yrs!$A:$A,weather_2yrs!B:B)</f>
        <v>85.6</v>
      </c>
      <c r="I604">
        <f>_xlfn.XLOOKUP($A604,weather_2yrs!$A:$A,weather_2yrs!C:C)</f>
        <v>1.89</v>
      </c>
      <c r="J604">
        <f>_xlfn.XLOOKUP($A604,weather_2yrs!$A:$A,weather_2yrs!D:D)</f>
        <v>1</v>
      </c>
      <c r="K604">
        <f>_xlfn.XLOOKUP($A604,weather_2yrs!$A:$A,weather_2yrs!E:E)</f>
        <v>76</v>
      </c>
      <c r="L604">
        <f>_xlfn.XLOOKUP($A604,sales!$A:$A,sales!B:B)</f>
        <v>1</v>
      </c>
      <c r="M604" t="str">
        <f>_xlfn.XLOOKUP($A604,sales!$A:$A,sales!C:C)</f>
        <v>Miami Beach</v>
      </c>
      <c r="N604">
        <f>_xlfn.XLOOKUP($A604,sales!$A:$A,sales!D:D)</f>
        <v>343</v>
      </c>
      <c r="O604">
        <f>_xlfn.XLOOKUP($A604,sales!$A:$A,sales!E:E)</f>
        <v>6477.37</v>
      </c>
      <c r="P604" s="4">
        <f t="shared" si="29"/>
        <v>18.884460641399418</v>
      </c>
    </row>
    <row r="605" spans="1:16" x14ac:dyDescent="0.25">
      <c r="A605" s="1">
        <v>45530</v>
      </c>
      <c r="B605" s="1" t="str">
        <f t="shared" si="27"/>
        <v>Monday</v>
      </c>
      <c r="C605" s="1" t="b">
        <f t="shared" si="28"/>
        <v>0</v>
      </c>
      <c r="D605">
        <f>VLOOKUP($A605,survey_2yrs!A:B, 2)</f>
        <v>47.7</v>
      </c>
      <c r="E605">
        <f>VLOOKUP($A605,survey_2yrs!$A:C, 3)</f>
        <v>52.3</v>
      </c>
      <c r="F605">
        <f>VLOOKUP($A605,survey_2yrs!$A:D, 4)</f>
        <v>46.7</v>
      </c>
      <c r="G605">
        <f>_xlfn.XLOOKUP(A605,survey_2yrs!A:A,survey_2yrs!E:E)</f>
        <v>53.3</v>
      </c>
      <c r="H605">
        <f>_xlfn.XLOOKUP($A605,weather_2yrs!$A:$A,weather_2yrs!B:B)</f>
        <v>92.1</v>
      </c>
      <c r="I605">
        <f>_xlfn.XLOOKUP($A605,weather_2yrs!$A:$A,weather_2yrs!C:C)</f>
        <v>7.0000000000000007E-2</v>
      </c>
      <c r="J605">
        <f>_xlfn.XLOOKUP($A605,weather_2yrs!$A:$A,weather_2yrs!D:D)</f>
        <v>1</v>
      </c>
      <c r="K605">
        <f>_xlfn.XLOOKUP($A605,weather_2yrs!$A:$A,weather_2yrs!E:E)</f>
        <v>73.599999999999994</v>
      </c>
      <c r="L605">
        <f>_xlfn.XLOOKUP($A605,sales!$A:$A,sales!B:B)</f>
        <v>1</v>
      </c>
      <c r="M605" t="str">
        <f>_xlfn.XLOOKUP($A605,sales!$A:$A,sales!C:C)</f>
        <v>Miami Beach</v>
      </c>
      <c r="N605">
        <f>_xlfn.XLOOKUP($A605,sales!$A:$A,sales!D:D)</f>
        <v>330</v>
      </c>
      <c r="O605">
        <f>_xlfn.XLOOKUP($A605,sales!$A:$A,sales!E:E)</f>
        <v>5947.82</v>
      </c>
      <c r="P605" s="4">
        <f t="shared" si="29"/>
        <v>18.023696969696967</v>
      </c>
    </row>
    <row r="606" spans="1:16" x14ac:dyDescent="0.25">
      <c r="A606" s="1">
        <v>45531</v>
      </c>
      <c r="B606" s="1" t="str">
        <f t="shared" si="27"/>
        <v>Tuesday</v>
      </c>
      <c r="C606" s="1" t="b">
        <f t="shared" si="28"/>
        <v>0</v>
      </c>
      <c r="D606">
        <f>VLOOKUP($A606,survey_2yrs!A:B, 2)</f>
        <v>46.9</v>
      </c>
      <c r="E606">
        <f>VLOOKUP($A606,survey_2yrs!$A:C, 3)</f>
        <v>53.1</v>
      </c>
      <c r="F606">
        <f>VLOOKUP($A606,survey_2yrs!$A:D, 4)</f>
        <v>45.7</v>
      </c>
      <c r="G606">
        <f>_xlfn.XLOOKUP(A606,survey_2yrs!A:A,survey_2yrs!E:E)</f>
        <v>54.3</v>
      </c>
      <c r="H606">
        <f>_xlfn.XLOOKUP($A606,weather_2yrs!$A:$A,weather_2yrs!B:B)</f>
        <v>85.6</v>
      </c>
      <c r="I606">
        <f>_xlfn.XLOOKUP($A606,weather_2yrs!$A:$A,weather_2yrs!C:C)</f>
        <v>0.91</v>
      </c>
      <c r="J606">
        <f>_xlfn.XLOOKUP($A606,weather_2yrs!$A:$A,weather_2yrs!D:D)</f>
        <v>1</v>
      </c>
      <c r="K606">
        <f>_xlfn.XLOOKUP($A606,weather_2yrs!$A:$A,weather_2yrs!E:E)</f>
        <v>77.400000000000006</v>
      </c>
      <c r="L606">
        <f>_xlfn.XLOOKUP($A606,sales!$A:$A,sales!B:B)</f>
        <v>1</v>
      </c>
      <c r="M606" t="str">
        <f>_xlfn.XLOOKUP($A606,sales!$A:$A,sales!C:C)</f>
        <v>Miami Beach</v>
      </c>
      <c r="N606">
        <f>_xlfn.XLOOKUP($A606,sales!$A:$A,sales!D:D)</f>
        <v>312</v>
      </c>
      <c r="O606">
        <f>_xlfn.XLOOKUP($A606,sales!$A:$A,sales!E:E)</f>
        <v>5772.77</v>
      </c>
      <c r="P606" s="4">
        <f t="shared" si="29"/>
        <v>18.50246794871795</v>
      </c>
    </row>
    <row r="607" spans="1:16" x14ac:dyDescent="0.25">
      <c r="A607" s="1">
        <v>45532</v>
      </c>
      <c r="B607" s="1" t="str">
        <f t="shared" si="27"/>
        <v>Wednesday</v>
      </c>
      <c r="C607" s="1" t="b">
        <f t="shared" si="28"/>
        <v>0</v>
      </c>
      <c r="D607">
        <f>VLOOKUP($A607,survey_2yrs!A:B, 2)</f>
        <v>48.2</v>
      </c>
      <c r="E607">
        <f>VLOOKUP($A607,survey_2yrs!$A:C, 3)</f>
        <v>51.8</v>
      </c>
      <c r="F607">
        <f>VLOOKUP($A607,survey_2yrs!$A:D, 4)</f>
        <v>45.2</v>
      </c>
      <c r="G607">
        <f>_xlfn.XLOOKUP(A607,survey_2yrs!A:A,survey_2yrs!E:E)</f>
        <v>54.8</v>
      </c>
      <c r="H607">
        <f>_xlfn.XLOOKUP($A607,weather_2yrs!$A:$A,weather_2yrs!B:B)</f>
        <v>94.6</v>
      </c>
      <c r="I607">
        <f>_xlfn.XLOOKUP($A607,weather_2yrs!$A:$A,weather_2yrs!C:C)</f>
        <v>0</v>
      </c>
      <c r="J607">
        <f>_xlfn.XLOOKUP($A607,weather_2yrs!$A:$A,weather_2yrs!D:D)</f>
        <v>0</v>
      </c>
      <c r="K607">
        <f>_xlfn.XLOOKUP($A607,weather_2yrs!$A:$A,weather_2yrs!E:E)</f>
        <v>81.099999999999994</v>
      </c>
      <c r="L607">
        <f>_xlfn.XLOOKUP($A607,sales!$A:$A,sales!B:B)</f>
        <v>1</v>
      </c>
      <c r="M607" t="str">
        <f>_xlfn.XLOOKUP($A607,sales!$A:$A,sales!C:C)</f>
        <v>Miami Beach</v>
      </c>
      <c r="N607">
        <f>_xlfn.XLOOKUP($A607,sales!$A:$A,sales!D:D)</f>
        <v>327</v>
      </c>
      <c r="O607">
        <f>_xlfn.XLOOKUP($A607,sales!$A:$A,sales!E:E)</f>
        <v>5913.02</v>
      </c>
      <c r="P607" s="4">
        <f t="shared" si="29"/>
        <v>18.08262996941896</v>
      </c>
    </row>
    <row r="608" spans="1:16" x14ac:dyDescent="0.25">
      <c r="A608" s="1">
        <v>45533</v>
      </c>
      <c r="B608" s="1" t="str">
        <f t="shared" si="27"/>
        <v>Thursday</v>
      </c>
      <c r="C608" s="1" t="b">
        <f t="shared" si="28"/>
        <v>0</v>
      </c>
      <c r="D608">
        <f>VLOOKUP($A608,survey_2yrs!A:B, 2)</f>
        <v>46.6</v>
      </c>
      <c r="E608">
        <f>VLOOKUP($A608,survey_2yrs!$A:C, 3)</f>
        <v>53.4</v>
      </c>
      <c r="F608">
        <f>VLOOKUP($A608,survey_2yrs!$A:D, 4)</f>
        <v>45.6</v>
      </c>
      <c r="G608">
        <f>_xlfn.XLOOKUP(A608,survey_2yrs!A:A,survey_2yrs!E:E)</f>
        <v>54.4</v>
      </c>
      <c r="H608">
        <f>_xlfn.XLOOKUP($A608,weather_2yrs!$A:$A,weather_2yrs!B:B)</f>
        <v>87.2</v>
      </c>
      <c r="I608">
        <f>_xlfn.XLOOKUP($A608,weather_2yrs!$A:$A,weather_2yrs!C:C)</f>
        <v>0.19</v>
      </c>
      <c r="J608">
        <f>_xlfn.XLOOKUP($A608,weather_2yrs!$A:$A,weather_2yrs!D:D)</f>
        <v>1</v>
      </c>
      <c r="K608">
        <f>_xlfn.XLOOKUP($A608,weather_2yrs!$A:$A,weather_2yrs!E:E)</f>
        <v>81.900000000000006</v>
      </c>
      <c r="L608">
        <f>_xlfn.XLOOKUP($A608,sales!$A:$A,sales!B:B)</f>
        <v>1</v>
      </c>
      <c r="M608" t="str">
        <f>_xlfn.XLOOKUP($A608,sales!$A:$A,sales!C:C)</f>
        <v>Miami Beach</v>
      </c>
      <c r="N608">
        <f>_xlfn.XLOOKUP($A608,sales!$A:$A,sales!D:D)</f>
        <v>287</v>
      </c>
      <c r="O608">
        <f>_xlfn.XLOOKUP($A608,sales!$A:$A,sales!E:E)</f>
        <v>5253.9</v>
      </c>
      <c r="P608" s="4">
        <f t="shared" si="29"/>
        <v>18.306271777003484</v>
      </c>
    </row>
    <row r="609" spans="1:16" x14ac:dyDescent="0.25">
      <c r="A609" s="1">
        <v>45534</v>
      </c>
      <c r="B609" s="1" t="str">
        <f t="shared" si="27"/>
        <v>Friday</v>
      </c>
      <c r="C609" s="1" t="b">
        <f t="shared" si="28"/>
        <v>0</v>
      </c>
      <c r="D609">
        <f>VLOOKUP($A609,survey_2yrs!A:B, 2)</f>
        <v>45.3</v>
      </c>
      <c r="E609">
        <f>VLOOKUP($A609,survey_2yrs!$A:C, 3)</f>
        <v>54.7</v>
      </c>
      <c r="F609">
        <f>VLOOKUP($A609,survey_2yrs!$A:D, 4)</f>
        <v>46.2</v>
      </c>
      <c r="G609">
        <f>_xlfn.XLOOKUP(A609,survey_2yrs!A:A,survey_2yrs!E:E)</f>
        <v>53.8</v>
      </c>
      <c r="H609">
        <f>_xlfn.XLOOKUP($A609,weather_2yrs!$A:$A,weather_2yrs!B:B)</f>
        <v>91.1</v>
      </c>
      <c r="I609">
        <f>_xlfn.XLOOKUP($A609,weather_2yrs!$A:$A,weather_2yrs!C:C)</f>
        <v>0</v>
      </c>
      <c r="J609">
        <f>_xlfn.XLOOKUP($A609,weather_2yrs!$A:$A,weather_2yrs!D:D)</f>
        <v>0</v>
      </c>
      <c r="K609">
        <f>_xlfn.XLOOKUP($A609,weather_2yrs!$A:$A,weather_2yrs!E:E)</f>
        <v>77</v>
      </c>
      <c r="L609">
        <f>_xlfn.XLOOKUP($A609,sales!$A:$A,sales!B:B)</f>
        <v>1</v>
      </c>
      <c r="M609" t="str">
        <f>_xlfn.XLOOKUP($A609,sales!$A:$A,sales!C:C)</f>
        <v>Miami Beach</v>
      </c>
      <c r="N609">
        <f>_xlfn.XLOOKUP($A609,sales!$A:$A,sales!D:D)</f>
        <v>338</v>
      </c>
      <c r="O609">
        <f>_xlfn.XLOOKUP($A609,sales!$A:$A,sales!E:E)</f>
        <v>6415.58</v>
      </c>
      <c r="P609" s="4">
        <f t="shared" si="29"/>
        <v>18.981005917159763</v>
      </c>
    </row>
    <row r="610" spans="1:16" x14ac:dyDescent="0.25">
      <c r="A610" s="1">
        <v>45535</v>
      </c>
      <c r="B610" s="1" t="str">
        <f t="shared" si="27"/>
        <v>Saturday</v>
      </c>
      <c r="C610" s="1" t="b">
        <f t="shared" si="28"/>
        <v>1</v>
      </c>
      <c r="D610">
        <f>VLOOKUP($A610,survey_2yrs!A:B, 2)</f>
        <v>45</v>
      </c>
      <c r="E610">
        <f>VLOOKUP($A610,survey_2yrs!$A:C, 3)</f>
        <v>55</v>
      </c>
      <c r="F610">
        <f>VLOOKUP($A610,survey_2yrs!$A:D, 4)</f>
        <v>51.6</v>
      </c>
      <c r="G610">
        <f>_xlfn.XLOOKUP(A610,survey_2yrs!A:A,survey_2yrs!E:E)</f>
        <v>48.4</v>
      </c>
      <c r="H610">
        <f>_xlfn.XLOOKUP($A610,weather_2yrs!$A:$A,weather_2yrs!B:B)</f>
        <v>92.4</v>
      </c>
      <c r="I610">
        <f>_xlfn.XLOOKUP($A610,weather_2yrs!$A:$A,weather_2yrs!C:C)</f>
        <v>2.13</v>
      </c>
      <c r="J610">
        <f>_xlfn.XLOOKUP($A610,weather_2yrs!$A:$A,weather_2yrs!D:D)</f>
        <v>1</v>
      </c>
      <c r="K610">
        <f>_xlfn.XLOOKUP($A610,weather_2yrs!$A:$A,weather_2yrs!E:E)</f>
        <v>68.099999999999994</v>
      </c>
      <c r="L610">
        <f>_xlfn.XLOOKUP($A610,sales!$A:$A,sales!B:B)</f>
        <v>1</v>
      </c>
      <c r="M610" t="str">
        <f>_xlfn.XLOOKUP($A610,sales!$A:$A,sales!C:C)</f>
        <v>Miami Beach</v>
      </c>
      <c r="N610">
        <f>_xlfn.XLOOKUP($A610,sales!$A:$A,sales!D:D)</f>
        <v>350</v>
      </c>
      <c r="O610">
        <f>_xlfn.XLOOKUP($A610,sales!$A:$A,sales!E:E)</f>
        <v>6746.09</v>
      </c>
      <c r="P610" s="4">
        <f t="shared" si="29"/>
        <v>19.274542857142858</v>
      </c>
    </row>
    <row r="611" spans="1:16" x14ac:dyDescent="0.25">
      <c r="A611" s="1">
        <v>45536</v>
      </c>
      <c r="B611" s="1" t="str">
        <f t="shared" si="27"/>
        <v>Sunday</v>
      </c>
      <c r="C611" s="1" t="b">
        <f t="shared" si="28"/>
        <v>1</v>
      </c>
      <c r="D611">
        <f>VLOOKUP($A611,survey_2yrs!A:B, 2)</f>
        <v>46.5</v>
      </c>
      <c r="E611">
        <f>VLOOKUP($A611,survey_2yrs!$A:C, 3)</f>
        <v>53.5</v>
      </c>
      <c r="F611">
        <f>VLOOKUP($A611,survey_2yrs!$A:D, 4)</f>
        <v>49.7</v>
      </c>
      <c r="G611">
        <f>_xlfn.XLOOKUP(A611,survey_2yrs!A:A,survey_2yrs!E:E)</f>
        <v>50.3</v>
      </c>
      <c r="H611">
        <f>_xlfn.XLOOKUP($A611,weather_2yrs!$A:$A,weather_2yrs!B:B)</f>
        <v>91.2</v>
      </c>
      <c r="I611">
        <f>_xlfn.XLOOKUP($A611,weather_2yrs!$A:$A,weather_2yrs!C:C)</f>
        <v>0.87</v>
      </c>
      <c r="J611">
        <f>_xlfn.XLOOKUP($A611,weather_2yrs!$A:$A,weather_2yrs!D:D)</f>
        <v>1</v>
      </c>
      <c r="K611">
        <f>_xlfn.XLOOKUP($A611,weather_2yrs!$A:$A,weather_2yrs!E:E)</f>
        <v>75.7</v>
      </c>
      <c r="L611">
        <f>_xlfn.XLOOKUP($A611,sales!$A:$A,sales!B:B)</f>
        <v>1</v>
      </c>
      <c r="M611" t="str">
        <f>_xlfn.XLOOKUP($A611,sales!$A:$A,sales!C:C)</f>
        <v>Miami Beach</v>
      </c>
      <c r="N611">
        <f>_xlfn.XLOOKUP($A611,sales!$A:$A,sales!D:D)</f>
        <v>368</v>
      </c>
      <c r="O611">
        <f>_xlfn.XLOOKUP($A611,sales!$A:$A,sales!E:E)</f>
        <v>6819.28</v>
      </c>
      <c r="P611" s="4">
        <f t="shared" si="29"/>
        <v>18.530652173913044</v>
      </c>
    </row>
    <row r="612" spans="1:16" x14ac:dyDescent="0.25">
      <c r="A612" s="1">
        <v>45537</v>
      </c>
      <c r="B612" s="1" t="str">
        <f t="shared" si="27"/>
        <v>Monday</v>
      </c>
      <c r="C612" s="1" t="b">
        <f t="shared" si="28"/>
        <v>0</v>
      </c>
      <c r="D612">
        <f>VLOOKUP($A612,survey_2yrs!A:B, 2)</f>
        <v>45.1</v>
      </c>
      <c r="E612">
        <f>VLOOKUP($A612,survey_2yrs!$A:C, 3)</f>
        <v>54.9</v>
      </c>
      <c r="F612">
        <f>VLOOKUP($A612,survey_2yrs!$A:D, 4)</f>
        <v>46.2</v>
      </c>
      <c r="G612">
        <f>_xlfn.XLOOKUP(A612,survey_2yrs!A:A,survey_2yrs!E:E)</f>
        <v>53.8</v>
      </c>
      <c r="H612">
        <f>_xlfn.XLOOKUP($A612,weather_2yrs!$A:$A,weather_2yrs!B:B)</f>
        <v>94.3</v>
      </c>
      <c r="I612">
        <f>_xlfn.XLOOKUP($A612,weather_2yrs!$A:$A,weather_2yrs!C:C)</f>
        <v>0</v>
      </c>
      <c r="J612">
        <f>_xlfn.XLOOKUP($A612,weather_2yrs!$A:$A,weather_2yrs!D:D)</f>
        <v>0</v>
      </c>
      <c r="K612">
        <f>_xlfn.XLOOKUP($A612,weather_2yrs!$A:$A,weather_2yrs!E:E)</f>
        <v>84.8</v>
      </c>
      <c r="L612">
        <f>_xlfn.XLOOKUP($A612,sales!$A:$A,sales!B:B)</f>
        <v>1</v>
      </c>
      <c r="M612" t="str">
        <f>_xlfn.XLOOKUP($A612,sales!$A:$A,sales!C:C)</f>
        <v>Miami Beach</v>
      </c>
      <c r="N612">
        <f>_xlfn.XLOOKUP($A612,sales!$A:$A,sales!D:D)</f>
        <v>335</v>
      </c>
      <c r="O612">
        <f>_xlfn.XLOOKUP($A612,sales!$A:$A,sales!E:E)</f>
        <v>6180.78</v>
      </c>
      <c r="P612" s="4">
        <f t="shared" si="29"/>
        <v>18.450089552238804</v>
      </c>
    </row>
    <row r="613" spans="1:16" x14ac:dyDescent="0.25">
      <c r="A613" s="1">
        <v>45538</v>
      </c>
      <c r="B613" s="1" t="str">
        <f t="shared" si="27"/>
        <v>Tuesday</v>
      </c>
      <c r="C613" s="1" t="b">
        <f t="shared" si="28"/>
        <v>0</v>
      </c>
      <c r="D613">
        <f>VLOOKUP($A613,survey_2yrs!A:B, 2)</f>
        <v>48</v>
      </c>
      <c r="E613">
        <f>VLOOKUP($A613,survey_2yrs!$A:C, 3)</f>
        <v>52</v>
      </c>
      <c r="F613">
        <f>VLOOKUP($A613,survey_2yrs!$A:D, 4)</f>
        <v>44.7</v>
      </c>
      <c r="G613">
        <f>_xlfn.XLOOKUP(A613,survey_2yrs!A:A,survey_2yrs!E:E)</f>
        <v>55.3</v>
      </c>
      <c r="H613">
        <f>_xlfn.XLOOKUP($A613,weather_2yrs!$A:$A,weather_2yrs!B:B)</f>
        <v>90.5</v>
      </c>
      <c r="I613">
        <f>_xlfn.XLOOKUP($A613,weather_2yrs!$A:$A,weather_2yrs!C:C)</f>
        <v>2.5499999999999998</v>
      </c>
      <c r="J613">
        <f>_xlfn.XLOOKUP($A613,weather_2yrs!$A:$A,weather_2yrs!D:D)</f>
        <v>1</v>
      </c>
      <c r="K613">
        <f>_xlfn.XLOOKUP($A613,weather_2yrs!$A:$A,weather_2yrs!E:E)</f>
        <v>71.8</v>
      </c>
      <c r="L613">
        <f>_xlfn.XLOOKUP($A613,sales!$A:$A,sales!B:B)</f>
        <v>1</v>
      </c>
      <c r="M613" t="str">
        <f>_xlfn.XLOOKUP($A613,sales!$A:$A,sales!C:C)</f>
        <v>Miami Beach</v>
      </c>
      <c r="N613">
        <f>_xlfn.XLOOKUP($A613,sales!$A:$A,sales!D:D)</f>
        <v>309</v>
      </c>
      <c r="O613">
        <f>_xlfn.XLOOKUP($A613,sales!$A:$A,sales!E:E)</f>
        <v>5941.64</v>
      </c>
      <c r="P613" s="4">
        <f t="shared" si="29"/>
        <v>19.228608414239485</v>
      </c>
    </row>
    <row r="614" spans="1:16" x14ac:dyDescent="0.25">
      <c r="A614" s="1">
        <v>45539</v>
      </c>
      <c r="B614" s="1" t="str">
        <f t="shared" si="27"/>
        <v>Wednesday</v>
      </c>
      <c r="C614" s="1" t="b">
        <f t="shared" si="28"/>
        <v>0</v>
      </c>
      <c r="D614">
        <f>VLOOKUP($A614,survey_2yrs!A:B, 2)</f>
        <v>45.8</v>
      </c>
      <c r="E614">
        <f>VLOOKUP($A614,survey_2yrs!$A:C, 3)</f>
        <v>54.2</v>
      </c>
      <c r="F614">
        <f>VLOOKUP($A614,survey_2yrs!$A:D, 4)</f>
        <v>45.4</v>
      </c>
      <c r="G614">
        <f>_xlfn.XLOOKUP(A614,survey_2yrs!A:A,survey_2yrs!E:E)</f>
        <v>54.6</v>
      </c>
      <c r="H614">
        <f>_xlfn.XLOOKUP($A614,weather_2yrs!$A:$A,weather_2yrs!B:B)</f>
        <v>82.6</v>
      </c>
      <c r="I614">
        <f>_xlfn.XLOOKUP($A614,weather_2yrs!$A:$A,weather_2yrs!C:C)</f>
        <v>0</v>
      </c>
      <c r="J614">
        <f>_xlfn.XLOOKUP($A614,weather_2yrs!$A:$A,weather_2yrs!D:D)</f>
        <v>0</v>
      </c>
      <c r="K614">
        <f>_xlfn.XLOOKUP($A614,weather_2yrs!$A:$A,weather_2yrs!E:E)</f>
        <v>84.7</v>
      </c>
      <c r="L614">
        <f>_xlfn.XLOOKUP($A614,sales!$A:$A,sales!B:B)</f>
        <v>1</v>
      </c>
      <c r="M614" t="str">
        <f>_xlfn.XLOOKUP($A614,sales!$A:$A,sales!C:C)</f>
        <v>Miami Beach</v>
      </c>
      <c r="N614">
        <f>_xlfn.XLOOKUP($A614,sales!$A:$A,sales!D:D)</f>
        <v>265</v>
      </c>
      <c r="O614">
        <f>_xlfn.XLOOKUP($A614,sales!$A:$A,sales!E:E)</f>
        <v>4981.25</v>
      </c>
      <c r="P614" s="4">
        <f t="shared" si="29"/>
        <v>18.797169811320753</v>
      </c>
    </row>
    <row r="615" spans="1:16" x14ac:dyDescent="0.25">
      <c r="A615" s="1">
        <v>45540</v>
      </c>
      <c r="B615" s="1" t="str">
        <f t="shared" si="27"/>
        <v>Thursday</v>
      </c>
      <c r="C615" s="1" t="b">
        <f t="shared" si="28"/>
        <v>0</v>
      </c>
      <c r="D615">
        <f>VLOOKUP($A615,survey_2yrs!A:B, 2)</f>
        <v>47.8</v>
      </c>
      <c r="E615">
        <f>VLOOKUP($A615,survey_2yrs!$A:C, 3)</f>
        <v>52.2</v>
      </c>
      <c r="F615">
        <f>VLOOKUP($A615,survey_2yrs!$A:D, 4)</f>
        <v>43.6</v>
      </c>
      <c r="G615">
        <f>_xlfn.XLOOKUP(A615,survey_2yrs!A:A,survey_2yrs!E:E)</f>
        <v>56.4</v>
      </c>
      <c r="H615">
        <f>_xlfn.XLOOKUP($A615,weather_2yrs!$A:$A,weather_2yrs!B:B)</f>
        <v>87.4</v>
      </c>
      <c r="I615">
        <f>_xlfn.XLOOKUP($A615,weather_2yrs!$A:$A,weather_2yrs!C:C)</f>
        <v>4.01</v>
      </c>
      <c r="J615">
        <f>_xlfn.XLOOKUP($A615,weather_2yrs!$A:$A,weather_2yrs!D:D)</f>
        <v>1</v>
      </c>
      <c r="K615">
        <f>_xlfn.XLOOKUP($A615,weather_2yrs!$A:$A,weather_2yrs!E:E)</f>
        <v>75.400000000000006</v>
      </c>
      <c r="L615">
        <f>_xlfn.XLOOKUP($A615,sales!$A:$A,sales!B:B)</f>
        <v>1</v>
      </c>
      <c r="M615" t="str">
        <f>_xlfn.XLOOKUP($A615,sales!$A:$A,sales!C:C)</f>
        <v>Miami Beach</v>
      </c>
      <c r="N615">
        <f>_xlfn.XLOOKUP($A615,sales!$A:$A,sales!D:D)</f>
        <v>224</v>
      </c>
      <c r="O615">
        <f>_xlfn.XLOOKUP($A615,sales!$A:$A,sales!E:E)</f>
        <v>4667.37</v>
      </c>
      <c r="P615" s="4">
        <f t="shared" si="29"/>
        <v>20.836473214285714</v>
      </c>
    </row>
    <row r="616" spans="1:16" x14ac:dyDescent="0.25">
      <c r="A616" s="1">
        <v>45541</v>
      </c>
      <c r="B616" s="1" t="str">
        <f t="shared" si="27"/>
        <v>Friday</v>
      </c>
      <c r="C616" s="1" t="b">
        <f t="shared" si="28"/>
        <v>0</v>
      </c>
      <c r="D616">
        <f>VLOOKUP($A616,survey_2yrs!A:B, 2)</f>
        <v>47.9</v>
      </c>
      <c r="E616">
        <f>VLOOKUP($A616,survey_2yrs!$A:C, 3)</f>
        <v>52.1</v>
      </c>
      <c r="F616">
        <f>VLOOKUP($A616,survey_2yrs!$A:D, 4)</f>
        <v>45.2</v>
      </c>
      <c r="G616">
        <f>_xlfn.XLOOKUP(A616,survey_2yrs!A:A,survey_2yrs!E:E)</f>
        <v>54.8</v>
      </c>
      <c r="H616">
        <f>_xlfn.XLOOKUP($A616,weather_2yrs!$A:$A,weather_2yrs!B:B)</f>
        <v>89.8</v>
      </c>
      <c r="I616">
        <f>_xlfn.XLOOKUP($A616,weather_2yrs!$A:$A,weather_2yrs!C:C)</f>
        <v>0</v>
      </c>
      <c r="J616">
        <f>_xlfn.XLOOKUP($A616,weather_2yrs!$A:$A,weather_2yrs!D:D)</f>
        <v>0</v>
      </c>
      <c r="K616">
        <f>_xlfn.XLOOKUP($A616,weather_2yrs!$A:$A,weather_2yrs!E:E)</f>
        <v>74.8</v>
      </c>
      <c r="L616">
        <f>_xlfn.XLOOKUP($A616,sales!$A:$A,sales!B:B)</f>
        <v>1</v>
      </c>
      <c r="M616" t="str">
        <f>_xlfn.XLOOKUP($A616,sales!$A:$A,sales!C:C)</f>
        <v>Miami Beach</v>
      </c>
      <c r="N616">
        <f>_xlfn.XLOOKUP($A616,sales!$A:$A,sales!D:D)</f>
        <v>298</v>
      </c>
      <c r="O616">
        <f>_xlfn.XLOOKUP($A616,sales!$A:$A,sales!E:E)</f>
        <v>5925</v>
      </c>
      <c r="P616" s="4">
        <f t="shared" si="29"/>
        <v>19.882550335570471</v>
      </c>
    </row>
    <row r="617" spans="1:16" x14ac:dyDescent="0.25">
      <c r="A617" s="1">
        <v>45542</v>
      </c>
      <c r="B617" s="1" t="str">
        <f t="shared" si="27"/>
        <v>Saturday</v>
      </c>
      <c r="C617" s="1" t="b">
        <f t="shared" si="28"/>
        <v>1</v>
      </c>
      <c r="D617">
        <f>VLOOKUP($A617,survey_2yrs!A:B, 2)</f>
        <v>44.8</v>
      </c>
      <c r="E617">
        <f>VLOOKUP($A617,survey_2yrs!$A:C, 3)</f>
        <v>55.2</v>
      </c>
      <c r="F617">
        <f>VLOOKUP($A617,survey_2yrs!$A:D, 4)</f>
        <v>50.8</v>
      </c>
      <c r="G617">
        <f>_xlfn.XLOOKUP(A617,survey_2yrs!A:A,survey_2yrs!E:E)</f>
        <v>49.2</v>
      </c>
      <c r="H617">
        <f>_xlfn.XLOOKUP($A617,weather_2yrs!$A:$A,weather_2yrs!B:B)</f>
        <v>88.6</v>
      </c>
      <c r="I617">
        <f>_xlfn.XLOOKUP($A617,weather_2yrs!$A:$A,weather_2yrs!C:C)</f>
        <v>0</v>
      </c>
      <c r="J617">
        <f>_xlfn.XLOOKUP($A617,weather_2yrs!$A:$A,weather_2yrs!D:D)</f>
        <v>0</v>
      </c>
      <c r="K617">
        <f>_xlfn.XLOOKUP($A617,weather_2yrs!$A:$A,weather_2yrs!E:E)</f>
        <v>72.2</v>
      </c>
      <c r="L617">
        <f>_xlfn.XLOOKUP($A617,sales!$A:$A,sales!B:B)</f>
        <v>1</v>
      </c>
      <c r="M617" t="str">
        <f>_xlfn.XLOOKUP($A617,sales!$A:$A,sales!C:C)</f>
        <v>Miami Beach</v>
      </c>
      <c r="N617">
        <f>_xlfn.XLOOKUP($A617,sales!$A:$A,sales!D:D)</f>
        <v>339</v>
      </c>
      <c r="O617">
        <f>_xlfn.XLOOKUP($A617,sales!$A:$A,sales!E:E)</f>
        <v>5791.9</v>
      </c>
      <c r="P617" s="4">
        <f t="shared" si="29"/>
        <v>17.085250737463127</v>
      </c>
    </row>
    <row r="618" spans="1:16" x14ac:dyDescent="0.25">
      <c r="A618" s="1">
        <v>45543</v>
      </c>
      <c r="B618" s="1" t="str">
        <f t="shared" si="27"/>
        <v>Sunday</v>
      </c>
      <c r="C618" s="1" t="b">
        <f t="shared" si="28"/>
        <v>1</v>
      </c>
      <c r="D618">
        <f>VLOOKUP($A618,survey_2yrs!A:B, 2)</f>
        <v>46.5</v>
      </c>
      <c r="E618">
        <f>VLOOKUP($A618,survey_2yrs!$A:C, 3)</f>
        <v>53.5</v>
      </c>
      <c r="F618">
        <f>VLOOKUP($A618,survey_2yrs!$A:D, 4)</f>
        <v>50.7</v>
      </c>
      <c r="G618">
        <f>_xlfn.XLOOKUP(A618,survey_2yrs!A:A,survey_2yrs!E:E)</f>
        <v>49.3</v>
      </c>
      <c r="H618">
        <f>_xlfn.XLOOKUP($A618,weather_2yrs!$A:$A,weather_2yrs!B:B)</f>
        <v>83.8</v>
      </c>
      <c r="I618">
        <f>_xlfn.XLOOKUP($A618,weather_2yrs!$A:$A,weather_2yrs!C:C)</f>
        <v>0.45</v>
      </c>
      <c r="J618">
        <f>_xlfn.XLOOKUP($A618,weather_2yrs!$A:$A,weather_2yrs!D:D)</f>
        <v>1</v>
      </c>
      <c r="K618">
        <f>_xlfn.XLOOKUP($A618,weather_2yrs!$A:$A,weather_2yrs!E:E)</f>
        <v>81.5</v>
      </c>
      <c r="L618">
        <f>_xlfn.XLOOKUP($A618,sales!$A:$A,sales!B:B)</f>
        <v>1</v>
      </c>
      <c r="M618" t="str">
        <f>_xlfn.XLOOKUP($A618,sales!$A:$A,sales!C:C)</f>
        <v>Miami Beach</v>
      </c>
      <c r="N618">
        <f>_xlfn.XLOOKUP($A618,sales!$A:$A,sales!D:D)</f>
        <v>282</v>
      </c>
      <c r="O618">
        <f>_xlfn.XLOOKUP($A618,sales!$A:$A,sales!E:E)</f>
        <v>5429.91</v>
      </c>
      <c r="P618" s="4">
        <f t="shared" si="29"/>
        <v>19.254999999999999</v>
      </c>
    </row>
    <row r="619" spans="1:16" x14ac:dyDescent="0.25">
      <c r="A619" s="1">
        <v>45544</v>
      </c>
      <c r="B619" s="1" t="str">
        <f t="shared" si="27"/>
        <v>Monday</v>
      </c>
      <c r="C619" s="1" t="b">
        <f t="shared" si="28"/>
        <v>0</v>
      </c>
      <c r="D619">
        <f>VLOOKUP($A619,survey_2yrs!A:B, 2)</f>
        <v>44.8</v>
      </c>
      <c r="E619">
        <f>VLOOKUP($A619,survey_2yrs!$A:C, 3)</f>
        <v>55.2</v>
      </c>
      <c r="F619">
        <f>VLOOKUP($A619,survey_2yrs!$A:D, 4)</f>
        <v>43.7</v>
      </c>
      <c r="G619">
        <f>_xlfn.XLOOKUP(A619,survey_2yrs!A:A,survey_2yrs!E:E)</f>
        <v>56.3</v>
      </c>
      <c r="H619">
        <f>_xlfn.XLOOKUP($A619,weather_2yrs!$A:$A,weather_2yrs!B:B)</f>
        <v>87.9</v>
      </c>
      <c r="I619">
        <f>_xlfn.XLOOKUP($A619,weather_2yrs!$A:$A,weather_2yrs!C:C)</f>
        <v>0</v>
      </c>
      <c r="J619">
        <f>_xlfn.XLOOKUP($A619,weather_2yrs!$A:$A,weather_2yrs!D:D)</f>
        <v>0</v>
      </c>
      <c r="K619">
        <f>_xlfn.XLOOKUP($A619,weather_2yrs!$A:$A,weather_2yrs!E:E)</f>
        <v>74.8</v>
      </c>
      <c r="L619">
        <f>_xlfn.XLOOKUP($A619,sales!$A:$A,sales!B:B)</f>
        <v>1</v>
      </c>
      <c r="M619" t="str">
        <f>_xlfn.XLOOKUP($A619,sales!$A:$A,sales!C:C)</f>
        <v>Miami Beach</v>
      </c>
      <c r="N619">
        <f>_xlfn.XLOOKUP($A619,sales!$A:$A,sales!D:D)</f>
        <v>308</v>
      </c>
      <c r="O619">
        <f>_xlfn.XLOOKUP($A619,sales!$A:$A,sales!E:E)</f>
        <v>5399.45</v>
      </c>
      <c r="P619" s="4">
        <f t="shared" si="29"/>
        <v>17.530681818181819</v>
      </c>
    </row>
    <row r="620" spans="1:16" x14ac:dyDescent="0.25">
      <c r="A620" s="1">
        <v>45545</v>
      </c>
      <c r="B620" s="1" t="str">
        <f t="shared" si="27"/>
        <v>Tuesday</v>
      </c>
      <c r="C620" s="1" t="b">
        <f t="shared" si="28"/>
        <v>0</v>
      </c>
      <c r="D620">
        <f>VLOOKUP($A620,survey_2yrs!A:B, 2)</f>
        <v>44.7</v>
      </c>
      <c r="E620">
        <f>VLOOKUP($A620,survey_2yrs!$A:C, 3)</f>
        <v>55.3</v>
      </c>
      <c r="F620">
        <f>VLOOKUP($A620,survey_2yrs!$A:D, 4)</f>
        <v>44.2</v>
      </c>
      <c r="G620">
        <f>_xlfn.XLOOKUP(A620,survey_2yrs!A:A,survey_2yrs!E:E)</f>
        <v>55.8</v>
      </c>
      <c r="H620">
        <f>_xlfn.XLOOKUP($A620,weather_2yrs!$A:$A,weather_2yrs!B:B)</f>
        <v>96.3</v>
      </c>
      <c r="I620">
        <f>_xlfn.XLOOKUP($A620,weather_2yrs!$A:$A,weather_2yrs!C:C)</f>
        <v>0</v>
      </c>
      <c r="J620">
        <f>_xlfn.XLOOKUP($A620,weather_2yrs!$A:$A,weather_2yrs!D:D)</f>
        <v>0</v>
      </c>
      <c r="K620">
        <f>_xlfn.XLOOKUP($A620,weather_2yrs!$A:$A,weather_2yrs!E:E)</f>
        <v>71.599999999999994</v>
      </c>
      <c r="L620">
        <f>_xlfn.XLOOKUP($A620,sales!$A:$A,sales!B:B)</f>
        <v>1</v>
      </c>
      <c r="M620" t="str">
        <f>_xlfn.XLOOKUP($A620,sales!$A:$A,sales!C:C)</f>
        <v>Miami Beach</v>
      </c>
      <c r="N620">
        <f>_xlfn.XLOOKUP($A620,sales!$A:$A,sales!D:D)</f>
        <v>345</v>
      </c>
      <c r="O620">
        <f>_xlfn.XLOOKUP($A620,sales!$A:$A,sales!E:E)</f>
        <v>6214.78</v>
      </c>
      <c r="P620" s="4">
        <f t="shared" si="29"/>
        <v>18.013855072463766</v>
      </c>
    </row>
    <row r="621" spans="1:16" x14ac:dyDescent="0.25">
      <c r="A621" s="1">
        <v>45546</v>
      </c>
      <c r="B621" s="1" t="str">
        <f t="shared" si="27"/>
        <v>Wednesday</v>
      </c>
      <c r="C621" s="1" t="b">
        <f t="shared" si="28"/>
        <v>0</v>
      </c>
      <c r="D621">
        <f>VLOOKUP($A621,survey_2yrs!A:B, 2)</f>
        <v>46.1</v>
      </c>
      <c r="E621">
        <f>VLOOKUP($A621,survey_2yrs!$A:C, 3)</f>
        <v>53.9</v>
      </c>
      <c r="F621">
        <f>VLOOKUP($A621,survey_2yrs!$A:D, 4)</f>
        <v>45.6</v>
      </c>
      <c r="G621">
        <f>_xlfn.XLOOKUP(A621,survey_2yrs!A:A,survey_2yrs!E:E)</f>
        <v>54.4</v>
      </c>
      <c r="H621">
        <f>_xlfn.XLOOKUP($A621,weather_2yrs!$A:$A,weather_2yrs!B:B)</f>
        <v>87.3</v>
      </c>
      <c r="I621">
        <f>_xlfn.XLOOKUP($A621,weather_2yrs!$A:$A,weather_2yrs!C:C)</f>
        <v>0</v>
      </c>
      <c r="J621">
        <f>_xlfn.XLOOKUP($A621,weather_2yrs!$A:$A,weather_2yrs!D:D)</f>
        <v>0</v>
      </c>
      <c r="K621">
        <f>_xlfn.XLOOKUP($A621,weather_2yrs!$A:$A,weather_2yrs!E:E)</f>
        <v>72.599999999999994</v>
      </c>
      <c r="L621">
        <f>_xlfn.XLOOKUP($A621,sales!$A:$A,sales!B:B)</f>
        <v>1</v>
      </c>
      <c r="M621" t="str">
        <f>_xlfn.XLOOKUP($A621,sales!$A:$A,sales!C:C)</f>
        <v>Miami Beach</v>
      </c>
      <c r="N621">
        <f>_xlfn.XLOOKUP($A621,sales!$A:$A,sales!D:D)</f>
        <v>314</v>
      </c>
      <c r="O621">
        <f>_xlfn.XLOOKUP($A621,sales!$A:$A,sales!E:E)</f>
        <v>6015.78</v>
      </c>
      <c r="P621" s="4">
        <f t="shared" si="29"/>
        <v>19.158535031847133</v>
      </c>
    </row>
    <row r="622" spans="1:16" x14ac:dyDescent="0.25">
      <c r="A622" s="1">
        <v>45547</v>
      </c>
      <c r="B622" s="1" t="str">
        <f t="shared" si="27"/>
        <v>Thursday</v>
      </c>
      <c r="C622" s="1" t="b">
        <f t="shared" si="28"/>
        <v>0</v>
      </c>
      <c r="D622">
        <f>VLOOKUP($A622,survey_2yrs!A:B, 2)</f>
        <v>46.5</v>
      </c>
      <c r="E622">
        <f>VLOOKUP($A622,survey_2yrs!$A:C, 3)</f>
        <v>53.5</v>
      </c>
      <c r="F622">
        <f>VLOOKUP($A622,survey_2yrs!$A:D, 4)</f>
        <v>45.6</v>
      </c>
      <c r="G622">
        <f>_xlfn.XLOOKUP(A622,survey_2yrs!A:A,survey_2yrs!E:E)</f>
        <v>54.4</v>
      </c>
      <c r="H622">
        <f>_xlfn.XLOOKUP($A622,weather_2yrs!$A:$A,weather_2yrs!B:B)</f>
        <v>91.7</v>
      </c>
      <c r="I622">
        <f>_xlfn.XLOOKUP($A622,weather_2yrs!$A:$A,weather_2yrs!C:C)</f>
        <v>0.94</v>
      </c>
      <c r="J622">
        <f>_xlfn.XLOOKUP($A622,weather_2yrs!$A:$A,weather_2yrs!D:D)</f>
        <v>1</v>
      </c>
      <c r="K622">
        <f>_xlfn.XLOOKUP($A622,weather_2yrs!$A:$A,weather_2yrs!E:E)</f>
        <v>68</v>
      </c>
      <c r="L622">
        <f>_xlfn.XLOOKUP($A622,sales!$A:$A,sales!B:B)</f>
        <v>1</v>
      </c>
      <c r="M622" t="str">
        <f>_xlfn.XLOOKUP($A622,sales!$A:$A,sales!C:C)</f>
        <v>Miami Beach</v>
      </c>
      <c r="N622">
        <f>_xlfn.XLOOKUP($A622,sales!$A:$A,sales!D:D)</f>
        <v>307</v>
      </c>
      <c r="O622">
        <f>_xlfn.XLOOKUP($A622,sales!$A:$A,sales!E:E)</f>
        <v>5600.28</v>
      </c>
      <c r="P622" s="4">
        <f t="shared" si="29"/>
        <v>18.241954397394135</v>
      </c>
    </row>
    <row r="623" spans="1:16" x14ac:dyDescent="0.25">
      <c r="A623" s="1">
        <v>45548</v>
      </c>
      <c r="B623" s="1" t="str">
        <f t="shared" si="27"/>
        <v>Friday</v>
      </c>
      <c r="C623" s="1" t="b">
        <f t="shared" si="28"/>
        <v>0</v>
      </c>
      <c r="D623">
        <f>VLOOKUP($A623,survey_2yrs!A:B, 2)</f>
        <v>46.6</v>
      </c>
      <c r="E623">
        <f>VLOOKUP($A623,survey_2yrs!$A:C, 3)</f>
        <v>53.4</v>
      </c>
      <c r="F623">
        <f>VLOOKUP($A623,survey_2yrs!$A:D, 4)</f>
        <v>45.3</v>
      </c>
      <c r="G623">
        <f>_xlfn.XLOOKUP(A623,survey_2yrs!A:A,survey_2yrs!E:E)</f>
        <v>54.7</v>
      </c>
      <c r="H623">
        <f>_xlfn.XLOOKUP($A623,weather_2yrs!$A:$A,weather_2yrs!B:B)</f>
        <v>90.9</v>
      </c>
      <c r="I623">
        <f>_xlfn.XLOOKUP($A623,weather_2yrs!$A:$A,weather_2yrs!C:C)</f>
        <v>0</v>
      </c>
      <c r="J623">
        <f>_xlfn.XLOOKUP($A623,weather_2yrs!$A:$A,weather_2yrs!D:D)</f>
        <v>0</v>
      </c>
      <c r="K623">
        <f>_xlfn.XLOOKUP($A623,weather_2yrs!$A:$A,weather_2yrs!E:E)</f>
        <v>71.3</v>
      </c>
      <c r="L623">
        <f>_xlfn.XLOOKUP($A623,sales!$A:$A,sales!B:B)</f>
        <v>1</v>
      </c>
      <c r="M623" t="str">
        <f>_xlfn.XLOOKUP($A623,sales!$A:$A,sales!C:C)</f>
        <v>Miami Beach</v>
      </c>
      <c r="N623">
        <f>_xlfn.XLOOKUP($A623,sales!$A:$A,sales!D:D)</f>
        <v>328</v>
      </c>
      <c r="O623">
        <f>_xlfn.XLOOKUP($A623,sales!$A:$A,sales!E:E)</f>
        <v>5648</v>
      </c>
      <c r="P623" s="4">
        <f t="shared" si="29"/>
        <v>17.219512195121951</v>
      </c>
    </row>
    <row r="624" spans="1:16" x14ac:dyDescent="0.25">
      <c r="A624" s="1">
        <v>45549</v>
      </c>
      <c r="B624" s="1" t="str">
        <f t="shared" si="27"/>
        <v>Saturday</v>
      </c>
      <c r="C624" s="1" t="b">
        <f t="shared" si="28"/>
        <v>1</v>
      </c>
      <c r="D624">
        <f>VLOOKUP($A624,survey_2yrs!A:B, 2)</f>
        <v>45.3</v>
      </c>
      <c r="E624">
        <f>VLOOKUP($A624,survey_2yrs!$A:C, 3)</f>
        <v>54.7</v>
      </c>
      <c r="F624">
        <f>VLOOKUP($A624,survey_2yrs!$A:D, 4)</f>
        <v>50.8</v>
      </c>
      <c r="G624">
        <f>_xlfn.XLOOKUP(A624,survey_2yrs!A:A,survey_2yrs!E:E)</f>
        <v>49.2</v>
      </c>
      <c r="H624">
        <f>_xlfn.XLOOKUP($A624,weather_2yrs!$A:$A,weather_2yrs!B:B)</f>
        <v>90.2</v>
      </c>
      <c r="I624">
        <f>_xlfn.XLOOKUP($A624,weather_2yrs!$A:$A,weather_2yrs!C:C)</f>
        <v>0</v>
      </c>
      <c r="J624">
        <f>_xlfn.XLOOKUP($A624,weather_2yrs!$A:$A,weather_2yrs!D:D)</f>
        <v>0</v>
      </c>
      <c r="K624">
        <f>_xlfn.XLOOKUP($A624,weather_2yrs!$A:$A,weather_2yrs!E:E)</f>
        <v>67.5</v>
      </c>
      <c r="L624">
        <f>_xlfn.XLOOKUP($A624,sales!$A:$A,sales!B:B)</f>
        <v>1</v>
      </c>
      <c r="M624" t="str">
        <f>_xlfn.XLOOKUP($A624,sales!$A:$A,sales!C:C)</f>
        <v>Miami Beach</v>
      </c>
      <c r="N624">
        <f>_xlfn.XLOOKUP($A624,sales!$A:$A,sales!D:D)</f>
        <v>345</v>
      </c>
      <c r="O624">
        <f>_xlfn.XLOOKUP($A624,sales!$A:$A,sales!E:E)</f>
        <v>6619.58</v>
      </c>
      <c r="P624" s="4">
        <f t="shared" si="29"/>
        <v>19.187188405797102</v>
      </c>
    </row>
    <row r="625" spans="1:16" x14ac:dyDescent="0.25">
      <c r="A625" s="1">
        <v>45550</v>
      </c>
      <c r="B625" s="1" t="str">
        <f t="shared" si="27"/>
        <v>Sunday</v>
      </c>
      <c r="C625" s="1" t="b">
        <f t="shared" si="28"/>
        <v>1</v>
      </c>
      <c r="D625">
        <f>VLOOKUP($A625,survey_2yrs!A:B, 2)</f>
        <v>48</v>
      </c>
      <c r="E625">
        <f>VLOOKUP($A625,survey_2yrs!$A:C, 3)</f>
        <v>52</v>
      </c>
      <c r="F625">
        <f>VLOOKUP($A625,survey_2yrs!$A:D, 4)</f>
        <v>51.6</v>
      </c>
      <c r="G625">
        <f>_xlfn.XLOOKUP(A625,survey_2yrs!A:A,survey_2yrs!E:E)</f>
        <v>48.4</v>
      </c>
      <c r="H625">
        <f>_xlfn.XLOOKUP($A625,weather_2yrs!$A:$A,weather_2yrs!B:B)</f>
        <v>88.9</v>
      </c>
      <c r="I625">
        <f>_xlfn.XLOOKUP($A625,weather_2yrs!$A:$A,weather_2yrs!C:C)</f>
        <v>0</v>
      </c>
      <c r="J625">
        <f>_xlfn.XLOOKUP($A625,weather_2yrs!$A:$A,weather_2yrs!D:D)</f>
        <v>0</v>
      </c>
      <c r="K625">
        <f>_xlfn.XLOOKUP($A625,weather_2yrs!$A:$A,weather_2yrs!E:E)</f>
        <v>75.5</v>
      </c>
      <c r="L625">
        <f>_xlfn.XLOOKUP($A625,sales!$A:$A,sales!B:B)</f>
        <v>1</v>
      </c>
      <c r="M625" t="str">
        <f>_xlfn.XLOOKUP($A625,sales!$A:$A,sales!C:C)</f>
        <v>Miami Beach</v>
      </c>
      <c r="N625">
        <f>_xlfn.XLOOKUP($A625,sales!$A:$A,sales!D:D)</f>
        <v>366</v>
      </c>
      <c r="O625">
        <f>_xlfn.XLOOKUP($A625,sales!$A:$A,sales!E:E)</f>
        <v>6511.08</v>
      </c>
      <c r="P625" s="4">
        <f t="shared" si="29"/>
        <v>17.78983606557377</v>
      </c>
    </row>
    <row r="626" spans="1:16" x14ac:dyDescent="0.25">
      <c r="A626" s="1">
        <v>45551</v>
      </c>
      <c r="B626" s="1" t="str">
        <f t="shared" si="27"/>
        <v>Monday</v>
      </c>
      <c r="C626" s="1" t="b">
        <f t="shared" si="28"/>
        <v>0</v>
      </c>
      <c r="D626">
        <f>VLOOKUP($A626,survey_2yrs!A:B, 2)</f>
        <v>48.7</v>
      </c>
      <c r="E626">
        <f>VLOOKUP($A626,survey_2yrs!$A:C, 3)</f>
        <v>51.3</v>
      </c>
      <c r="F626">
        <f>VLOOKUP($A626,survey_2yrs!$A:D, 4)</f>
        <v>45.6</v>
      </c>
      <c r="G626">
        <f>_xlfn.XLOOKUP(A626,survey_2yrs!A:A,survey_2yrs!E:E)</f>
        <v>54.4</v>
      </c>
      <c r="H626">
        <f>_xlfn.XLOOKUP($A626,weather_2yrs!$A:$A,weather_2yrs!B:B)</f>
        <v>86.3</v>
      </c>
      <c r="I626">
        <f>_xlfn.XLOOKUP($A626,weather_2yrs!$A:$A,weather_2yrs!C:C)</f>
        <v>0</v>
      </c>
      <c r="J626">
        <f>_xlfn.XLOOKUP($A626,weather_2yrs!$A:$A,weather_2yrs!D:D)</f>
        <v>0</v>
      </c>
      <c r="K626">
        <f>_xlfn.XLOOKUP($A626,weather_2yrs!$A:$A,weather_2yrs!E:E)</f>
        <v>78.8</v>
      </c>
      <c r="L626">
        <f>_xlfn.XLOOKUP($A626,sales!$A:$A,sales!B:B)</f>
        <v>1</v>
      </c>
      <c r="M626" t="str">
        <f>_xlfn.XLOOKUP($A626,sales!$A:$A,sales!C:C)</f>
        <v>Miami Beach</v>
      </c>
      <c r="N626">
        <f>_xlfn.XLOOKUP($A626,sales!$A:$A,sales!D:D)</f>
        <v>282</v>
      </c>
      <c r="O626">
        <f>_xlfn.XLOOKUP($A626,sales!$A:$A,sales!E:E)</f>
        <v>5472.11</v>
      </c>
      <c r="P626" s="4">
        <f t="shared" si="29"/>
        <v>19.404645390070922</v>
      </c>
    </row>
    <row r="627" spans="1:16" x14ac:dyDescent="0.25">
      <c r="A627" s="1">
        <v>45552</v>
      </c>
      <c r="B627" s="1" t="str">
        <f t="shared" si="27"/>
        <v>Tuesday</v>
      </c>
      <c r="C627" s="1" t="b">
        <f t="shared" si="28"/>
        <v>0</v>
      </c>
      <c r="D627">
        <f>VLOOKUP($A627,survey_2yrs!A:B, 2)</f>
        <v>46.4</v>
      </c>
      <c r="E627">
        <f>VLOOKUP($A627,survey_2yrs!$A:C, 3)</f>
        <v>53.6</v>
      </c>
      <c r="F627">
        <f>VLOOKUP($A627,survey_2yrs!$A:D, 4)</f>
        <v>45.1</v>
      </c>
      <c r="G627">
        <f>_xlfn.XLOOKUP(A627,survey_2yrs!A:A,survey_2yrs!E:E)</f>
        <v>54.9</v>
      </c>
      <c r="H627">
        <f>_xlfn.XLOOKUP($A627,weather_2yrs!$A:$A,weather_2yrs!B:B)</f>
        <v>89.1</v>
      </c>
      <c r="I627">
        <f>_xlfn.XLOOKUP($A627,weather_2yrs!$A:$A,weather_2yrs!C:C)</f>
        <v>0.83</v>
      </c>
      <c r="J627">
        <f>_xlfn.XLOOKUP($A627,weather_2yrs!$A:$A,weather_2yrs!D:D)</f>
        <v>1</v>
      </c>
      <c r="K627">
        <f>_xlfn.XLOOKUP($A627,weather_2yrs!$A:$A,weather_2yrs!E:E)</f>
        <v>82.8</v>
      </c>
      <c r="L627">
        <f>_xlfn.XLOOKUP($A627,sales!$A:$A,sales!B:B)</f>
        <v>1</v>
      </c>
      <c r="M627" t="str">
        <f>_xlfn.XLOOKUP($A627,sales!$A:$A,sales!C:C)</f>
        <v>Miami Beach</v>
      </c>
      <c r="N627">
        <f>_xlfn.XLOOKUP($A627,sales!$A:$A,sales!D:D)</f>
        <v>277</v>
      </c>
      <c r="O627">
        <f>_xlfn.XLOOKUP($A627,sales!$A:$A,sales!E:E)</f>
        <v>5179.6000000000004</v>
      </c>
      <c r="P627" s="4">
        <f t="shared" si="29"/>
        <v>18.698916967509028</v>
      </c>
    </row>
    <row r="628" spans="1:16" x14ac:dyDescent="0.25">
      <c r="A628" s="1">
        <v>45553</v>
      </c>
      <c r="B628" s="1" t="str">
        <f t="shared" si="27"/>
        <v>Wednesday</v>
      </c>
      <c r="C628" s="1" t="b">
        <f t="shared" si="28"/>
        <v>0</v>
      </c>
      <c r="D628">
        <f>VLOOKUP($A628,survey_2yrs!A:B, 2)</f>
        <v>46.2</v>
      </c>
      <c r="E628">
        <f>VLOOKUP($A628,survey_2yrs!$A:C, 3)</f>
        <v>53.8</v>
      </c>
      <c r="F628">
        <f>VLOOKUP($A628,survey_2yrs!$A:D, 4)</f>
        <v>44</v>
      </c>
      <c r="G628">
        <f>_xlfn.XLOOKUP(A628,survey_2yrs!A:A,survey_2yrs!E:E)</f>
        <v>56</v>
      </c>
      <c r="H628">
        <f>_xlfn.XLOOKUP($A628,weather_2yrs!$A:$A,weather_2yrs!B:B)</f>
        <v>89.8</v>
      </c>
      <c r="I628">
        <f>_xlfn.XLOOKUP($A628,weather_2yrs!$A:$A,weather_2yrs!C:C)</f>
        <v>0.83</v>
      </c>
      <c r="J628">
        <f>_xlfn.XLOOKUP($A628,weather_2yrs!$A:$A,weather_2yrs!D:D)</f>
        <v>1</v>
      </c>
      <c r="K628">
        <f>_xlfn.XLOOKUP($A628,weather_2yrs!$A:$A,weather_2yrs!E:E)</f>
        <v>78.400000000000006</v>
      </c>
      <c r="L628">
        <f>_xlfn.XLOOKUP($A628,sales!$A:$A,sales!B:B)</f>
        <v>1</v>
      </c>
      <c r="M628" t="str">
        <f>_xlfn.XLOOKUP($A628,sales!$A:$A,sales!C:C)</f>
        <v>Miami Beach</v>
      </c>
      <c r="N628">
        <f>_xlfn.XLOOKUP($A628,sales!$A:$A,sales!D:D)</f>
        <v>286</v>
      </c>
      <c r="O628">
        <f>_xlfn.XLOOKUP($A628,sales!$A:$A,sales!E:E)</f>
        <v>4806.95</v>
      </c>
      <c r="P628" s="4">
        <f t="shared" si="29"/>
        <v>16.807517482517483</v>
      </c>
    </row>
    <row r="629" spans="1:16" x14ac:dyDescent="0.25">
      <c r="A629" s="1">
        <v>45554</v>
      </c>
      <c r="B629" s="1" t="str">
        <f t="shared" si="27"/>
        <v>Thursday</v>
      </c>
      <c r="C629" s="1" t="b">
        <f t="shared" si="28"/>
        <v>0</v>
      </c>
      <c r="D629">
        <f>VLOOKUP($A629,survey_2yrs!A:B, 2)</f>
        <v>44.6</v>
      </c>
      <c r="E629">
        <f>VLOOKUP($A629,survey_2yrs!$A:C, 3)</f>
        <v>55.4</v>
      </c>
      <c r="F629">
        <f>VLOOKUP($A629,survey_2yrs!$A:D, 4)</f>
        <v>43</v>
      </c>
      <c r="G629">
        <f>_xlfn.XLOOKUP(A629,survey_2yrs!A:A,survey_2yrs!E:E)</f>
        <v>57</v>
      </c>
      <c r="H629">
        <f>_xlfn.XLOOKUP($A629,weather_2yrs!$A:$A,weather_2yrs!B:B)</f>
        <v>90.5</v>
      </c>
      <c r="I629">
        <f>_xlfn.XLOOKUP($A629,weather_2yrs!$A:$A,weather_2yrs!C:C)</f>
        <v>0.68</v>
      </c>
      <c r="J629">
        <f>_xlfn.XLOOKUP($A629,weather_2yrs!$A:$A,weather_2yrs!D:D)</f>
        <v>1</v>
      </c>
      <c r="K629">
        <f>_xlfn.XLOOKUP($A629,weather_2yrs!$A:$A,weather_2yrs!E:E)</f>
        <v>75.400000000000006</v>
      </c>
      <c r="L629">
        <f>_xlfn.XLOOKUP($A629,sales!$A:$A,sales!B:B)</f>
        <v>1</v>
      </c>
      <c r="M629" t="str">
        <f>_xlfn.XLOOKUP($A629,sales!$A:$A,sales!C:C)</f>
        <v>Miami Beach</v>
      </c>
      <c r="N629">
        <f>_xlfn.XLOOKUP($A629,sales!$A:$A,sales!D:D)</f>
        <v>305</v>
      </c>
      <c r="O629">
        <f>_xlfn.XLOOKUP($A629,sales!$A:$A,sales!E:E)</f>
        <v>5668.51</v>
      </c>
      <c r="P629" s="4">
        <f t="shared" si="29"/>
        <v>18.585278688524593</v>
      </c>
    </row>
    <row r="630" spans="1:16" x14ac:dyDescent="0.25">
      <c r="A630" s="1">
        <v>45555</v>
      </c>
      <c r="B630" s="1" t="str">
        <f t="shared" si="27"/>
        <v>Friday</v>
      </c>
      <c r="C630" s="1" t="b">
        <f t="shared" si="28"/>
        <v>0</v>
      </c>
      <c r="D630">
        <f>VLOOKUP($A630,survey_2yrs!A:B, 2)</f>
        <v>46.2</v>
      </c>
      <c r="E630">
        <f>VLOOKUP($A630,survey_2yrs!$A:C, 3)</f>
        <v>53.8</v>
      </c>
      <c r="F630">
        <f>VLOOKUP($A630,survey_2yrs!$A:D, 4)</f>
        <v>44.2</v>
      </c>
      <c r="G630">
        <f>_xlfn.XLOOKUP(A630,survey_2yrs!A:A,survey_2yrs!E:E)</f>
        <v>55.8</v>
      </c>
      <c r="H630">
        <f>_xlfn.XLOOKUP($A630,weather_2yrs!$A:$A,weather_2yrs!B:B)</f>
        <v>87.4</v>
      </c>
      <c r="I630">
        <f>_xlfn.XLOOKUP($A630,weather_2yrs!$A:$A,weather_2yrs!C:C)</f>
        <v>7.0000000000000007E-2</v>
      </c>
      <c r="J630">
        <f>_xlfn.XLOOKUP($A630,weather_2yrs!$A:$A,weather_2yrs!D:D)</f>
        <v>1</v>
      </c>
      <c r="K630">
        <f>_xlfn.XLOOKUP($A630,weather_2yrs!$A:$A,weather_2yrs!E:E)</f>
        <v>76.900000000000006</v>
      </c>
      <c r="L630">
        <f>_xlfn.XLOOKUP($A630,sales!$A:$A,sales!B:B)</f>
        <v>1</v>
      </c>
      <c r="M630" t="str">
        <f>_xlfn.XLOOKUP($A630,sales!$A:$A,sales!C:C)</f>
        <v>Miami Beach</v>
      </c>
      <c r="N630">
        <f>_xlfn.XLOOKUP($A630,sales!$A:$A,sales!D:D)</f>
        <v>345</v>
      </c>
      <c r="O630">
        <f>_xlfn.XLOOKUP($A630,sales!$A:$A,sales!E:E)</f>
        <v>5989.95</v>
      </c>
      <c r="P630" s="4">
        <f t="shared" si="29"/>
        <v>17.362173913043478</v>
      </c>
    </row>
    <row r="631" spans="1:16" x14ac:dyDescent="0.25">
      <c r="A631" s="1">
        <v>45556</v>
      </c>
      <c r="B631" s="1" t="str">
        <f t="shared" si="27"/>
        <v>Saturday</v>
      </c>
      <c r="C631" s="1" t="b">
        <f t="shared" si="28"/>
        <v>1</v>
      </c>
      <c r="D631">
        <f>VLOOKUP($A631,survey_2yrs!A:B, 2)</f>
        <v>46.3</v>
      </c>
      <c r="E631">
        <f>VLOOKUP($A631,survey_2yrs!$A:C, 3)</f>
        <v>53.7</v>
      </c>
      <c r="F631">
        <f>VLOOKUP($A631,survey_2yrs!$A:D, 4)</f>
        <v>49.8</v>
      </c>
      <c r="G631">
        <f>_xlfn.XLOOKUP(A631,survey_2yrs!A:A,survey_2yrs!E:E)</f>
        <v>50.2</v>
      </c>
      <c r="H631">
        <f>_xlfn.XLOOKUP($A631,weather_2yrs!$A:$A,weather_2yrs!B:B)</f>
        <v>89.5</v>
      </c>
      <c r="I631">
        <f>_xlfn.XLOOKUP($A631,weather_2yrs!$A:$A,weather_2yrs!C:C)</f>
        <v>0</v>
      </c>
      <c r="J631">
        <f>_xlfn.XLOOKUP($A631,weather_2yrs!$A:$A,weather_2yrs!D:D)</f>
        <v>0</v>
      </c>
      <c r="K631">
        <f>_xlfn.XLOOKUP($A631,weather_2yrs!$A:$A,weather_2yrs!E:E)</f>
        <v>71.8</v>
      </c>
      <c r="L631">
        <f>_xlfn.XLOOKUP($A631,sales!$A:$A,sales!B:B)</f>
        <v>1</v>
      </c>
      <c r="M631" t="str">
        <f>_xlfn.XLOOKUP($A631,sales!$A:$A,sales!C:C)</f>
        <v>Miami Beach</v>
      </c>
      <c r="N631">
        <f>_xlfn.XLOOKUP($A631,sales!$A:$A,sales!D:D)</f>
        <v>361</v>
      </c>
      <c r="O631">
        <f>_xlfn.XLOOKUP($A631,sales!$A:$A,sales!E:E)</f>
        <v>6944.08</v>
      </c>
      <c r="P631" s="4">
        <f t="shared" si="29"/>
        <v>19.235678670360112</v>
      </c>
    </row>
    <row r="632" spans="1:16" x14ac:dyDescent="0.25">
      <c r="A632" s="1">
        <v>45557</v>
      </c>
      <c r="B632" s="1" t="str">
        <f t="shared" si="27"/>
        <v>Sunday</v>
      </c>
      <c r="C632" s="1" t="b">
        <f t="shared" si="28"/>
        <v>1</v>
      </c>
      <c r="D632">
        <f>VLOOKUP($A632,survey_2yrs!A:B, 2)</f>
        <v>44.9</v>
      </c>
      <c r="E632">
        <f>VLOOKUP($A632,survey_2yrs!$A:C, 3)</f>
        <v>55.1</v>
      </c>
      <c r="F632">
        <f>VLOOKUP($A632,survey_2yrs!$A:D, 4)</f>
        <v>50</v>
      </c>
      <c r="G632">
        <f>_xlfn.XLOOKUP(A632,survey_2yrs!A:A,survey_2yrs!E:E)</f>
        <v>50</v>
      </c>
      <c r="H632">
        <f>_xlfn.XLOOKUP($A632,weather_2yrs!$A:$A,weather_2yrs!B:B)</f>
        <v>89.4</v>
      </c>
      <c r="I632">
        <f>_xlfn.XLOOKUP($A632,weather_2yrs!$A:$A,weather_2yrs!C:C)</f>
        <v>0</v>
      </c>
      <c r="J632">
        <f>_xlfn.XLOOKUP($A632,weather_2yrs!$A:$A,weather_2yrs!D:D)</f>
        <v>0</v>
      </c>
      <c r="K632">
        <f>_xlfn.XLOOKUP($A632,weather_2yrs!$A:$A,weather_2yrs!E:E)</f>
        <v>77.5</v>
      </c>
      <c r="L632">
        <f>_xlfn.XLOOKUP($A632,sales!$A:$A,sales!B:B)</f>
        <v>1</v>
      </c>
      <c r="M632" t="str">
        <f>_xlfn.XLOOKUP($A632,sales!$A:$A,sales!C:C)</f>
        <v>Miami Beach</v>
      </c>
      <c r="N632">
        <f>_xlfn.XLOOKUP($A632,sales!$A:$A,sales!D:D)</f>
        <v>359</v>
      </c>
      <c r="O632">
        <f>_xlfn.XLOOKUP($A632,sales!$A:$A,sales!E:E)</f>
        <v>6854.59</v>
      </c>
      <c r="P632" s="4">
        <f t="shared" si="29"/>
        <v>19.09356545961003</v>
      </c>
    </row>
    <row r="633" spans="1:16" x14ac:dyDescent="0.25">
      <c r="A633" s="1">
        <v>45558</v>
      </c>
      <c r="B633" s="1" t="str">
        <f t="shared" si="27"/>
        <v>Monday</v>
      </c>
      <c r="C633" s="1" t="b">
        <f t="shared" si="28"/>
        <v>0</v>
      </c>
      <c r="D633">
        <f>VLOOKUP($A633,survey_2yrs!A:B, 2)</f>
        <v>45.6</v>
      </c>
      <c r="E633">
        <f>VLOOKUP($A633,survey_2yrs!$A:C, 3)</f>
        <v>54.4</v>
      </c>
      <c r="F633">
        <f>VLOOKUP($A633,survey_2yrs!$A:D, 4)</f>
        <v>46</v>
      </c>
      <c r="G633">
        <f>_xlfn.XLOOKUP(A633,survey_2yrs!A:A,survey_2yrs!E:E)</f>
        <v>54</v>
      </c>
      <c r="H633">
        <f>_xlfn.XLOOKUP($A633,weather_2yrs!$A:$A,weather_2yrs!B:B)</f>
        <v>91.2</v>
      </c>
      <c r="I633">
        <f>_xlfn.XLOOKUP($A633,weather_2yrs!$A:$A,weather_2yrs!C:C)</f>
        <v>0</v>
      </c>
      <c r="J633">
        <f>_xlfn.XLOOKUP($A633,weather_2yrs!$A:$A,weather_2yrs!D:D)</f>
        <v>0</v>
      </c>
      <c r="K633">
        <f>_xlfn.XLOOKUP($A633,weather_2yrs!$A:$A,weather_2yrs!E:E)</f>
        <v>78.400000000000006</v>
      </c>
      <c r="L633">
        <f>_xlfn.XLOOKUP($A633,sales!$A:$A,sales!B:B)</f>
        <v>1</v>
      </c>
      <c r="M633" t="str">
        <f>_xlfn.XLOOKUP($A633,sales!$A:$A,sales!C:C)</f>
        <v>Miami Beach</v>
      </c>
      <c r="N633">
        <f>_xlfn.XLOOKUP($A633,sales!$A:$A,sales!D:D)</f>
        <v>373</v>
      </c>
      <c r="O633">
        <f>_xlfn.XLOOKUP($A633,sales!$A:$A,sales!E:E)</f>
        <v>7406.94</v>
      </c>
      <c r="P633" s="4">
        <f t="shared" si="29"/>
        <v>19.857747989276138</v>
      </c>
    </row>
    <row r="634" spans="1:16" x14ac:dyDescent="0.25">
      <c r="A634" s="1">
        <v>45559</v>
      </c>
      <c r="B634" s="1" t="str">
        <f t="shared" si="27"/>
        <v>Tuesday</v>
      </c>
      <c r="C634" s="1" t="b">
        <f t="shared" si="28"/>
        <v>0</v>
      </c>
      <c r="D634">
        <f>VLOOKUP($A634,survey_2yrs!A:B, 2)</f>
        <v>45.5</v>
      </c>
      <c r="E634">
        <f>VLOOKUP($A634,survey_2yrs!$A:C, 3)</f>
        <v>54.5</v>
      </c>
      <c r="F634">
        <f>VLOOKUP($A634,survey_2yrs!$A:D, 4)</f>
        <v>44</v>
      </c>
      <c r="G634">
        <f>_xlfn.XLOOKUP(A634,survey_2yrs!A:A,survey_2yrs!E:E)</f>
        <v>56</v>
      </c>
      <c r="H634">
        <f>_xlfn.XLOOKUP($A634,weather_2yrs!$A:$A,weather_2yrs!B:B)</f>
        <v>90.2</v>
      </c>
      <c r="I634">
        <f>_xlfn.XLOOKUP($A634,weather_2yrs!$A:$A,weather_2yrs!C:C)</f>
        <v>0</v>
      </c>
      <c r="J634">
        <f>_xlfn.XLOOKUP($A634,weather_2yrs!$A:$A,weather_2yrs!D:D)</f>
        <v>0</v>
      </c>
      <c r="K634">
        <f>_xlfn.XLOOKUP($A634,weather_2yrs!$A:$A,weather_2yrs!E:E)</f>
        <v>69.7</v>
      </c>
      <c r="L634">
        <f>_xlfn.XLOOKUP($A634,sales!$A:$A,sales!B:B)</f>
        <v>1</v>
      </c>
      <c r="M634" t="str">
        <f>_xlfn.XLOOKUP($A634,sales!$A:$A,sales!C:C)</f>
        <v>Miami Beach</v>
      </c>
      <c r="N634">
        <f>_xlfn.XLOOKUP($A634,sales!$A:$A,sales!D:D)</f>
        <v>300</v>
      </c>
      <c r="O634">
        <f>_xlfn.XLOOKUP($A634,sales!$A:$A,sales!E:E)</f>
        <v>5961.77</v>
      </c>
      <c r="P634" s="4">
        <f t="shared" si="29"/>
        <v>19.872566666666668</v>
      </c>
    </row>
    <row r="635" spans="1:16" x14ac:dyDescent="0.25">
      <c r="A635" s="1">
        <v>45560</v>
      </c>
      <c r="B635" s="1" t="str">
        <f t="shared" si="27"/>
        <v>Wednesday</v>
      </c>
      <c r="C635" s="1" t="b">
        <f t="shared" si="28"/>
        <v>0</v>
      </c>
      <c r="D635">
        <f>VLOOKUP($A635,survey_2yrs!A:B, 2)</f>
        <v>47</v>
      </c>
      <c r="E635">
        <f>VLOOKUP($A635,survey_2yrs!$A:C, 3)</f>
        <v>53</v>
      </c>
      <c r="F635">
        <f>VLOOKUP($A635,survey_2yrs!$A:D, 4)</f>
        <v>44.5</v>
      </c>
      <c r="G635">
        <f>_xlfn.XLOOKUP(A635,survey_2yrs!A:A,survey_2yrs!E:E)</f>
        <v>55.5</v>
      </c>
      <c r="H635">
        <f>_xlfn.XLOOKUP($A635,weather_2yrs!$A:$A,weather_2yrs!B:B)</f>
        <v>87.6</v>
      </c>
      <c r="I635">
        <f>_xlfn.XLOOKUP($A635,weather_2yrs!$A:$A,weather_2yrs!C:C)</f>
        <v>0</v>
      </c>
      <c r="J635">
        <f>_xlfn.XLOOKUP($A635,weather_2yrs!$A:$A,weather_2yrs!D:D)</f>
        <v>0</v>
      </c>
      <c r="K635">
        <f>_xlfn.XLOOKUP($A635,weather_2yrs!$A:$A,weather_2yrs!E:E)</f>
        <v>82.3</v>
      </c>
      <c r="L635">
        <f>_xlfn.XLOOKUP($A635,sales!$A:$A,sales!B:B)</f>
        <v>1</v>
      </c>
      <c r="M635" t="str">
        <f>_xlfn.XLOOKUP($A635,sales!$A:$A,sales!C:C)</f>
        <v>Miami Beach</v>
      </c>
      <c r="N635">
        <f>_xlfn.XLOOKUP($A635,sales!$A:$A,sales!D:D)</f>
        <v>305</v>
      </c>
      <c r="O635">
        <f>_xlfn.XLOOKUP($A635,sales!$A:$A,sales!E:E)</f>
        <v>5688.55</v>
      </c>
      <c r="P635" s="4">
        <f t="shared" si="29"/>
        <v>18.650983606557379</v>
      </c>
    </row>
    <row r="636" spans="1:16" x14ac:dyDescent="0.25">
      <c r="A636" s="1">
        <v>45561</v>
      </c>
      <c r="B636" s="1" t="str">
        <f t="shared" si="27"/>
        <v>Thursday</v>
      </c>
      <c r="C636" s="1" t="b">
        <f t="shared" si="28"/>
        <v>0</v>
      </c>
      <c r="D636">
        <f>VLOOKUP($A636,survey_2yrs!A:B, 2)</f>
        <v>45.9</v>
      </c>
      <c r="E636">
        <f>VLOOKUP($A636,survey_2yrs!$A:C, 3)</f>
        <v>54.1</v>
      </c>
      <c r="F636">
        <f>VLOOKUP($A636,survey_2yrs!$A:D, 4)</f>
        <v>44.9</v>
      </c>
      <c r="G636">
        <f>_xlfn.XLOOKUP(A636,survey_2yrs!A:A,survey_2yrs!E:E)</f>
        <v>55.1</v>
      </c>
      <c r="H636">
        <f>_xlfn.XLOOKUP($A636,weather_2yrs!$A:$A,weather_2yrs!B:B)</f>
        <v>89.3</v>
      </c>
      <c r="I636">
        <f>_xlfn.XLOOKUP($A636,weather_2yrs!$A:$A,weather_2yrs!C:C)</f>
        <v>0.8</v>
      </c>
      <c r="J636">
        <f>_xlfn.XLOOKUP($A636,weather_2yrs!$A:$A,weather_2yrs!D:D)</f>
        <v>1</v>
      </c>
      <c r="K636">
        <f>_xlfn.XLOOKUP($A636,weather_2yrs!$A:$A,weather_2yrs!E:E)</f>
        <v>79.099999999999994</v>
      </c>
      <c r="L636">
        <f>_xlfn.XLOOKUP($A636,sales!$A:$A,sales!B:B)</f>
        <v>1</v>
      </c>
      <c r="M636" t="str">
        <f>_xlfn.XLOOKUP($A636,sales!$A:$A,sales!C:C)</f>
        <v>Miami Beach</v>
      </c>
      <c r="N636">
        <f>_xlfn.XLOOKUP($A636,sales!$A:$A,sales!D:D)</f>
        <v>329</v>
      </c>
      <c r="O636">
        <f>_xlfn.XLOOKUP($A636,sales!$A:$A,sales!E:E)</f>
        <v>6012.94</v>
      </c>
      <c r="P636" s="4">
        <f t="shared" si="29"/>
        <v>18.27641337386018</v>
      </c>
    </row>
    <row r="637" spans="1:16" x14ac:dyDescent="0.25">
      <c r="A637" s="1">
        <v>45562</v>
      </c>
      <c r="B637" s="1" t="str">
        <f t="shared" si="27"/>
        <v>Friday</v>
      </c>
      <c r="C637" s="1" t="b">
        <f t="shared" si="28"/>
        <v>0</v>
      </c>
      <c r="D637">
        <f>VLOOKUP($A637,survey_2yrs!A:B, 2)</f>
        <v>46.7</v>
      </c>
      <c r="E637">
        <f>VLOOKUP($A637,survey_2yrs!$A:C, 3)</f>
        <v>53.3</v>
      </c>
      <c r="F637">
        <f>VLOOKUP($A637,survey_2yrs!$A:D, 4)</f>
        <v>45.3</v>
      </c>
      <c r="G637">
        <f>_xlfn.XLOOKUP(A637,survey_2yrs!A:A,survey_2yrs!E:E)</f>
        <v>54.7</v>
      </c>
      <c r="H637">
        <f>_xlfn.XLOOKUP($A637,weather_2yrs!$A:$A,weather_2yrs!B:B)</f>
        <v>89.2</v>
      </c>
      <c r="I637">
        <f>_xlfn.XLOOKUP($A637,weather_2yrs!$A:$A,weather_2yrs!C:C)</f>
        <v>0.23</v>
      </c>
      <c r="J637">
        <f>_xlfn.XLOOKUP($A637,weather_2yrs!$A:$A,weather_2yrs!D:D)</f>
        <v>1</v>
      </c>
      <c r="K637">
        <f>_xlfn.XLOOKUP($A637,weather_2yrs!$A:$A,weather_2yrs!E:E)</f>
        <v>69.5</v>
      </c>
      <c r="L637">
        <f>_xlfn.XLOOKUP($A637,sales!$A:$A,sales!B:B)</f>
        <v>1</v>
      </c>
      <c r="M637" t="str">
        <f>_xlfn.XLOOKUP($A637,sales!$A:$A,sales!C:C)</f>
        <v>Miami Beach</v>
      </c>
      <c r="N637">
        <f>_xlfn.XLOOKUP($A637,sales!$A:$A,sales!D:D)</f>
        <v>323</v>
      </c>
      <c r="O637">
        <f>_xlfn.XLOOKUP($A637,sales!$A:$A,sales!E:E)</f>
        <v>6222.19</v>
      </c>
      <c r="P637" s="4">
        <f t="shared" si="29"/>
        <v>19.26374613003096</v>
      </c>
    </row>
    <row r="638" spans="1:16" x14ac:dyDescent="0.25">
      <c r="A638" s="1">
        <v>45563</v>
      </c>
      <c r="B638" s="1" t="str">
        <f t="shared" si="27"/>
        <v>Saturday</v>
      </c>
      <c r="C638" s="1" t="b">
        <f t="shared" si="28"/>
        <v>1</v>
      </c>
      <c r="D638">
        <f>VLOOKUP($A638,survey_2yrs!A:B, 2)</f>
        <v>47</v>
      </c>
      <c r="E638">
        <f>VLOOKUP($A638,survey_2yrs!$A:C, 3)</f>
        <v>53</v>
      </c>
      <c r="F638">
        <f>VLOOKUP($A638,survey_2yrs!$A:D, 4)</f>
        <v>51.2</v>
      </c>
      <c r="G638">
        <f>_xlfn.XLOOKUP(A638,survey_2yrs!A:A,survey_2yrs!E:E)</f>
        <v>48.8</v>
      </c>
      <c r="H638">
        <f>_xlfn.XLOOKUP($A638,weather_2yrs!$A:$A,weather_2yrs!B:B)</f>
        <v>89.2</v>
      </c>
      <c r="I638">
        <f>_xlfn.XLOOKUP($A638,weather_2yrs!$A:$A,weather_2yrs!C:C)</f>
        <v>0</v>
      </c>
      <c r="J638">
        <f>_xlfn.XLOOKUP($A638,weather_2yrs!$A:$A,weather_2yrs!D:D)</f>
        <v>0</v>
      </c>
      <c r="K638">
        <f>_xlfn.XLOOKUP($A638,weather_2yrs!$A:$A,weather_2yrs!E:E)</f>
        <v>69.8</v>
      </c>
      <c r="L638">
        <f>_xlfn.XLOOKUP($A638,sales!$A:$A,sales!B:B)</f>
        <v>1</v>
      </c>
      <c r="M638" t="str">
        <f>_xlfn.XLOOKUP($A638,sales!$A:$A,sales!C:C)</f>
        <v>Miami Beach</v>
      </c>
      <c r="N638">
        <f>_xlfn.XLOOKUP($A638,sales!$A:$A,sales!D:D)</f>
        <v>351</v>
      </c>
      <c r="O638">
        <f>_xlfn.XLOOKUP($A638,sales!$A:$A,sales!E:E)</f>
        <v>6843.38</v>
      </c>
      <c r="P638" s="4">
        <f t="shared" si="29"/>
        <v>19.496809116809118</v>
      </c>
    </row>
    <row r="639" spans="1:16" x14ac:dyDescent="0.25">
      <c r="A639" s="1">
        <v>45564</v>
      </c>
      <c r="B639" s="1" t="str">
        <f t="shared" si="27"/>
        <v>Sunday</v>
      </c>
      <c r="C639" s="1" t="b">
        <f t="shared" si="28"/>
        <v>1</v>
      </c>
      <c r="D639">
        <f>VLOOKUP($A639,survey_2yrs!A:B, 2)</f>
        <v>45.2</v>
      </c>
      <c r="E639">
        <f>VLOOKUP($A639,survey_2yrs!$A:C, 3)</f>
        <v>54.8</v>
      </c>
      <c r="F639">
        <f>VLOOKUP($A639,survey_2yrs!$A:D, 4)</f>
        <v>51.2</v>
      </c>
      <c r="G639">
        <f>_xlfn.XLOOKUP(A639,survey_2yrs!A:A,survey_2yrs!E:E)</f>
        <v>48.8</v>
      </c>
      <c r="H639">
        <f>_xlfn.XLOOKUP($A639,weather_2yrs!$A:$A,weather_2yrs!B:B)</f>
        <v>89.4</v>
      </c>
      <c r="I639">
        <f>_xlfn.XLOOKUP($A639,weather_2yrs!$A:$A,weather_2yrs!C:C)</f>
        <v>0</v>
      </c>
      <c r="J639">
        <f>_xlfn.XLOOKUP($A639,weather_2yrs!$A:$A,weather_2yrs!D:D)</f>
        <v>0</v>
      </c>
      <c r="K639">
        <f>_xlfn.XLOOKUP($A639,weather_2yrs!$A:$A,weather_2yrs!E:E)</f>
        <v>75</v>
      </c>
      <c r="L639">
        <f>_xlfn.XLOOKUP($A639,sales!$A:$A,sales!B:B)</f>
        <v>1</v>
      </c>
      <c r="M639" t="str">
        <f>_xlfn.XLOOKUP($A639,sales!$A:$A,sales!C:C)</f>
        <v>Miami Beach</v>
      </c>
      <c r="N639">
        <f>_xlfn.XLOOKUP($A639,sales!$A:$A,sales!D:D)</f>
        <v>355</v>
      </c>
      <c r="O639">
        <f>_xlfn.XLOOKUP($A639,sales!$A:$A,sales!E:E)</f>
        <v>6636.66</v>
      </c>
      <c r="P639" s="4">
        <f t="shared" si="29"/>
        <v>18.694816901408451</v>
      </c>
    </row>
    <row r="640" spans="1:16" x14ac:dyDescent="0.25">
      <c r="A640" s="1">
        <v>45565</v>
      </c>
      <c r="B640" s="1" t="str">
        <f t="shared" si="27"/>
        <v>Monday</v>
      </c>
      <c r="C640" s="1" t="b">
        <f t="shared" si="28"/>
        <v>0</v>
      </c>
      <c r="D640">
        <f>VLOOKUP($A640,survey_2yrs!A:B, 2)</f>
        <v>46.5</v>
      </c>
      <c r="E640">
        <f>VLOOKUP($A640,survey_2yrs!$A:C, 3)</f>
        <v>53.5</v>
      </c>
      <c r="F640">
        <f>VLOOKUP($A640,survey_2yrs!$A:D, 4)</f>
        <v>45.1</v>
      </c>
      <c r="G640">
        <f>_xlfn.XLOOKUP(A640,survey_2yrs!A:A,survey_2yrs!E:E)</f>
        <v>54.9</v>
      </c>
      <c r="H640">
        <f>_xlfn.XLOOKUP($A640,weather_2yrs!$A:$A,weather_2yrs!B:B)</f>
        <v>91.3</v>
      </c>
      <c r="I640">
        <f>_xlfn.XLOOKUP($A640,weather_2yrs!$A:$A,weather_2yrs!C:C)</f>
        <v>0</v>
      </c>
      <c r="J640">
        <f>_xlfn.XLOOKUP($A640,weather_2yrs!$A:$A,weather_2yrs!D:D)</f>
        <v>0</v>
      </c>
      <c r="K640">
        <f>_xlfn.XLOOKUP($A640,weather_2yrs!$A:$A,weather_2yrs!E:E)</f>
        <v>59.2</v>
      </c>
      <c r="L640">
        <f>_xlfn.XLOOKUP($A640,sales!$A:$A,sales!B:B)</f>
        <v>1</v>
      </c>
      <c r="M640" t="str">
        <f>_xlfn.XLOOKUP($A640,sales!$A:$A,sales!C:C)</f>
        <v>Miami Beach</v>
      </c>
      <c r="N640">
        <f>_xlfn.XLOOKUP($A640,sales!$A:$A,sales!D:D)</f>
        <v>291</v>
      </c>
      <c r="O640">
        <f>_xlfn.XLOOKUP($A640,sales!$A:$A,sales!E:E)</f>
        <v>5398.29</v>
      </c>
      <c r="P640" s="4">
        <f t="shared" si="29"/>
        <v>18.550824742268041</v>
      </c>
    </row>
    <row r="641" spans="1:16" x14ac:dyDescent="0.25">
      <c r="A641" s="1">
        <v>45566</v>
      </c>
      <c r="B641" s="1" t="str">
        <f t="shared" si="27"/>
        <v>Tuesday</v>
      </c>
      <c r="C641" s="1" t="b">
        <f t="shared" si="28"/>
        <v>0</v>
      </c>
      <c r="D641">
        <f>VLOOKUP($A641,survey_2yrs!A:B, 2)</f>
        <v>47.3</v>
      </c>
      <c r="E641">
        <f>VLOOKUP($A641,survey_2yrs!$A:C, 3)</f>
        <v>52.7</v>
      </c>
      <c r="F641">
        <f>VLOOKUP($A641,survey_2yrs!$A:D, 4)</f>
        <v>43.9</v>
      </c>
      <c r="G641">
        <f>_xlfn.XLOOKUP(A641,survey_2yrs!A:A,survey_2yrs!E:E)</f>
        <v>56.1</v>
      </c>
      <c r="H641">
        <f>_xlfn.XLOOKUP($A641,weather_2yrs!$A:$A,weather_2yrs!B:B)</f>
        <v>86.8</v>
      </c>
      <c r="I641">
        <f>_xlfn.XLOOKUP($A641,weather_2yrs!$A:$A,weather_2yrs!C:C)</f>
        <v>0</v>
      </c>
      <c r="J641">
        <f>_xlfn.XLOOKUP($A641,weather_2yrs!$A:$A,weather_2yrs!D:D)</f>
        <v>0</v>
      </c>
      <c r="K641">
        <f>_xlfn.XLOOKUP($A641,weather_2yrs!$A:$A,weather_2yrs!E:E)</f>
        <v>71</v>
      </c>
      <c r="L641">
        <f>_xlfn.XLOOKUP($A641,sales!$A:$A,sales!B:B)</f>
        <v>1</v>
      </c>
      <c r="M641" t="str">
        <f>_xlfn.XLOOKUP($A641,sales!$A:$A,sales!C:C)</f>
        <v>Miami Beach</v>
      </c>
      <c r="N641">
        <f>_xlfn.XLOOKUP($A641,sales!$A:$A,sales!D:D)</f>
        <v>289</v>
      </c>
      <c r="O641">
        <f>_xlfn.XLOOKUP($A641,sales!$A:$A,sales!E:E)</f>
        <v>5654.33</v>
      </c>
      <c r="P641" s="4">
        <f t="shared" si="29"/>
        <v>19.565155709342559</v>
      </c>
    </row>
    <row r="642" spans="1:16" x14ac:dyDescent="0.25">
      <c r="A642" s="1">
        <v>45567</v>
      </c>
      <c r="B642" s="1" t="str">
        <f t="shared" si="27"/>
        <v>Wednesday</v>
      </c>
      <c r="C642" s="1" t="b">
        <f t="shared" si="28"/>
        <v>0</v>
      </c>
      <c r="D642">
        <f>VLOOKUP($A642,survey_2yrs!A:B, 2)</f>
        <v>44.7</v>
      </c>
      <c r="E642">
        <f>VLOOKUP($A642,survey_2yrs!$A:C, 3)</f>
        <v>55.3</v>
      </c>
      <c r="F642">
        <f>VLOOKUP($A642,survey_2yrs!$A:D, 4)</f>
        <v>45.3</v>
      </c>
      <c r="G642">
        <f>_xlfn.XLOOKUP(A642,survey_2yrs!A:A,survey_2yrs!E:E)</f>
        <v>54.7</v>
      </c>
      <c r="H642">
        <f>_xlfn.XLOOKUP($A642,weather_2yrs!$A:$A,weather_2yrs!B:B)</f>
        <v>88.1</v>
      </c>
      <c r="I642">
        <f>_xlfn.XLOOKUP($A642,weather_2yrs!$A:$A,weather_2yrs!C:C)</f>
        <v>0</v>
      </c>
      <c r="J642">
        <f>_xlfn.XLOOKUP($A642,weather_2yrs!$A:$A,weather_2yrs!D:D)</f>
        <v>0</v>
      </c>
      <c r="K642">
        <f>_xlfn.XLOOKUP($A642,weather_2yrs!$A:$A,weather_2yrs!E:E)</f>
        <v>73.8</v>
      </c>
      <c r="L642">
        <f>_xlfn.XLOOKUP($A642,sales!$A:$A,sales!B:B)</f>
        <v>1</v>
      </c>
      <c r="M642" t="str">
        <f>_xlfn.XLOOKUP($A642,sales!$A:$A,sales!C:C)</f>
        <v>Miami Beach</v>
      </c>
      <c r="N642">
        <f>_xlfn.XLOOKUP($A642,sales!$A:$A,sales!D:D)</f>
        <v>319</v>
      </c>
      <c r="O642">
        <f>_xlfn.XLOOKUP($A642,sales!$A:$A,sales!E:E)</f>
        <v>6049.48</v>
      </c>
      <c r="P642" s="4">
        <f t="shared" si="29"/>
        <v>18.963887147335424</v>
      </c>
    </row>
    <row r="643" spans="1:16" x14ac:dyDescent="0.25">
      <c r="A643" s="1">
        <v>45568</v>
      </c>
      <c r="B643" s="1" t="str">
        <f t="shared" ref="B643:B706" si="30">TEXT(A643, "dddd")</f>
        <v>Thursday</v>
      </c>
      <c r="C643" s="1" t="b">
        <f t="shared" ref="C643:C706" si="31">IF(WEEKDAY(A643,2)&gt;5,TRUE,FALSE)</f>
        <v>0</v>
      </c>
      <c r="D643">
        <f>VLOOKUP($A643,survey_2yrs!A:B, 2)</f>
        <v>44.6</v>
      </c>
      <c r="E643">
        <f>VLOOKUP($A643,survey_2yrs!$A:C, 3)</f>
        <v>55.4</v>
      </c>
      <c r="F643">
        <f>VLOOKUP($A643,survey_2yrs!$A:D, 4)</f>
        <v>42.6</v>
      </c>
      <c r="G643">
        <f>_xlfn.XLOOKUP(A643,survey_2yrs!A:A,survey_2yrs!E:E)</f>
        <v>57.4</v>
      </c>
      <c r="H643">
        <f>_xlfn.XLOOKUP($A643,weather_2yrs!$A:$A,weather_2yrs!B:B)</f>
        <v>94.9</v>
      </c>
      <c r="I643">
        <f>_xlfn.XLOOKUP($A643,weather_2yrs!$A:$A,weather_2yrs!C:C)</f>
        <v>0</v>
      </c>
      <c r="J643">
        <f>_xlfn.XLOOKUP($A643,weather_2yrs!$A:$A,weather_2yrs!D:D)</f>
        <v>0</v>
      </c>
      <c r="K643">
        <f>_xlfn.XLOOKUP($A643,weather_2yrs!$A:$A,weather_2yrs!E:E)</f>
        <v>64.900000000000006</v>
      </c>
      <c r="L643">
        <f>_xlfn.XLOOKUP($A643,sales!$A:$A,sales!B:B)</f>
        <v>1</v>
      </c>
      <c r="M643" t="str">
        <f>_xlfn.XLOOKUP($A643,sales!$A:$A,sales!C:C)</f>
        <v>Miami Beach</v>
      </c>
      <c r="N643">
        <f>_xlfn.XLOOKUP($A643,sales!$A:$A,sales!D:D)</f>
        <v>367</v>
      </c>
      <c r="O643">
        <f>_xlfn.XLOOKUP($A643,sales!$A:$A,sales!E:E)</f>
        <v>6566.35</v>
      </c>
      <c r="P643" s="4">
        <f t="shared" ref="P643:P706" si="32">O643/N643</f>
        <v>17.891961852861037</v>
      </c>
    </row>
    <row r="644" spans="1:16" x14ac:dyDescent="0.25">
      <c r="A644" s="1">
        <v>45569</v>
      </c>
      <c r="B644" s="1" t="str">
        <f t="shared" si="30"/>
        <v>Friday</v>
      </c>
      <c r="C644" s="1" t="b">
        <f t="shared" si="31"/>
        <v>0</v>
      </c>
      <c r="D644">
        <f>VLOOKUP($A644,survey_2yrs!A:B, 2)</f>
        <v>48</v>
      </c>
      <c r="E644">
        <f>VLOOKUP($A644,survey_2yrs!$A:C, 3)</f>
        <v>52</v>
      </c>
      <c r="F644">
        <f>VLOOKUP($A644,survey_2yrs!$A:D, 4)</f>
        <v>44.5</v>
      </c>
      <c r="G644">
        <f>_xlfn.XLOOKUP(A644,survey_2yrs!A:A,survey_2yrs!E:E)</f>
        <v>55.5</v>
      </c>
      <c r="H644">
        <f>_xlfn.XLOOKUP($A644,weather_2yrs!$A:$A,weather_2yrs!B:B)</f>
        <v>90</v>
      </c>
      <c r="I644">
        <f>_xlfn.XLOOKUP($A644,weather_2yrs!$A:$A,weather_2yrs!C:C)</f>
        <v>0</v>
      </c>
      <c r="J644">
        <f>_xlfn.XLOOKUP($A644,weather_2yrs!$A:$A,weather_2yrs!D:D)</f>
        <v>0</v>
      </c>
      <c r="K644">
        <f>_xlfn.XLOOKUP($A644,weather_2yrs!$A:$A,weather_2yrs!E:E)</f>
        <v>67.2</v>
      </c>
      <c r="L644">
        <f>_xlfn.XLOOKUP($A644,sales!$A:$A,sales!B:B)</f>
        <v>1</v>
      </c>
      <c r="M644" t="str">
        <f>_xlfn.XLOOKUP($A644,sales!$A:$A,sales!C:C)</f>
        <v>Miami Beach</v>
      </c>
      <c r="N644">
        <f>_xlfn.XLOOKUP($A644,sales!$A:$A,sales!D:D)</f>
        <v>308</v>
      </c>
      <c r="O644">
        <f>_xlfn.XLOOKUP($A644,sales!$A:$A,sales!E:E)</f>
        <v>5781.71</v>
      </c>
      <c r="P644" s="4">
        <f t="shared" si="32"/>
        <v>18.771785714285713</v>
      </c>
    </row>
    <row r="645" spans="1:16" x14ac:dyDescent="0.25">
      <c r="A645" s="1">
        <v>45570</v>
      </c>
      <c r="B645" s="1" t="str">
        <f t="shared" si="30"/>
        <v>Saturday</v>
      </c>
      <c r="C645" s="1" t="b">
        <f t="shared" si="31"/>
        <v>1</v>
      </c>
      <c r="D645">
        <f>VLOOKUP($A645,survey_2yrs!A:B, 2)</f>
        <v>46.6</v>
      </c>
      <c r="E645">
        <f>VLOOKUP($A645,survey_2yrs!$A:C, 3)</f>
        <v>53.4</v>
      </c>
      <c r="F645">
        <f>VLOOKUP($A645,survey_2yrs!$A:D, 4)</f>
        <v>49.6</v>
      </c>
      <c r="G645">
        <f>_xlfn.XLOOKUP(A645,survey_2yrs!A:A,survey_2yrs!E:E)</f>
        <v>50.4</v>
      </c>
      <c r="H645">
        <f>_xlfn.XLOOKUP($A645,weather_2yrs!$A:$A,weather_2yrs!B:B)</f>
        <v>94.9</v>
      </c>
      <c r="I645">
        <f>_xlfn.XLOOKUP($A645,weather_2yrs!$A:$A,weather_2yrs!C:C)</f>
        <v>0</v>
      </c>
      <c r="J645">
        <f>_xlfn.XLOOKUP($A645,weather_2yrs!$A:$A,weather_2yrs!D:D)</f>
        <v>0</v>
      </c>
      <c r="K645">
        <f>_xlfn.XLOOKUP($A645,weather_2yrs!$A:$A,weather_2yrs!E:E)</f>
        <v>77.7</v>
      </c>
      <c r="L645">
        <f>_xlfn.XLOOKUP($A645,sales!$A:$A,sales!B:B)</f>
        <v>1</v>
      </c>
      <c r="M645" t="str">
        <f>_xlfn.XLOOKUP($A645,sales!$A:$A,sales!C:C)</f>
        <v>Miami Beach</v>
      </c>
      <c r="N645">
        <f>_xlfn.XLOOKUP($A645,sales!$A:$A,sales!D:D)</f>
        <v>387</v>
      </c>
      <c r="O645">
        <f>_xlfn.XLOOKUP($A645,sales!$A:$A,sales!E:E)</f>
        <v>7182.93</v>
      </c>
      <c r="P645" s="4">
        <f t="shared" si="32"/>
        <v>18.560542635658916</v>
      </c>
    </row>
    <row r="646" spans="1:16" x14ac:dyDescent="0.25">
      <c r="A646" s="1">
        <v>45571</v>
      </c>
      <c r="B646" s="1" t="str">
        <f t="shared" si="30"/>
        <v>Sunday</v>
      </c>
      <c r="C646" s="1" t="b">
        <f t="shared" si="31"/>
        <v>1</v>
      </c>
      <c r="D646">
        <f>VLOOKUP($A646,survey_2yrs!A:B, 2)</f>
        <v>45.4</v>
      </c>
      <c r="E646">
        <f>VLOOKUP($A646,survey_2yrs!$A:C, 3)</f>
        <v>54.6</v>
      </c>
      <c r="F646">
        <f>VLOOKUP($A646,survey_2yrs!$A:D, 4)</f>
        <v>48.1</v>
      </c>
      <c r="G646">
        <f>_xlfn.XLOOKUP(A646,survey_2yrs!A:A,survey_2yrs!E:E)</f>
        <v>51.9</v>
      </c>
      <c r="H646">
        <f>_xlfn.XLOOKUP($A646,weather_2yrs!$A:$A,weather_2yrs!B:B)</f>
        <v>88</v>
      </c>
      <c r="I646">
        <f>_xlfn.XLOOKUP($A646,weather_2yrs!$A:$A,weather_2yrs!C:C)</f>
        <v>0</v>
      </c>
      <c r="J646">
        <f>_xlfn.XLOOKUP($A646,weather_2yrs!$A:$A,weather_2yrs!D:D)</f>
        <v>0</v>
      </c>
      <c r="K646">
        <f>_xlfn.XLOOKUP($A646,weather_2yrs!$A:$A,weather_2yrs!E:E)</f>
        <v>63.1</v>
      </c>
      <c r="L646">
        <f>_xlfn.XLOOKUP($A646,sales!$A:$A,sales!B:B)</f>
        <v>1</v>
      </c>
      <c r="M646" t="str">
        <f>_xlfn.XLOOKUP($A646,sales!$A:$A,sales!C:C)</f>
        <v>Miami Beach</v>
      </c>
      <c r="N646">
        <f>_xlfn.XLOOKUP($A646,sales!$A:$A,sales!D:D)</f>
        <v>362</v>
      </c>
      <c r="O646">
        <f>_xlfn.XLOOKUP($A646,sales!$A:$A,sales!E:E)</f>
        <v>6494.65</v>
      </c>
      <c r="P646" s="4">
        <f t="shared" si="32"/>
        <v>17.941022099447512</v>
      </c>
    </row>
    <row r="647" spans="1:16" x14ac:dyDescent="0.25">
      <c r="A647" s="1">
        <v>45572</v>
      </c>
      <c r="B647" s="1" t="str">
        <f t="shared" si="30"/>
        <v>Monday</v>
      </c>
      <c r="C647" s="1" t="b">
        <f t="shared" si="31"/>
        <v>0</v>
      </c>
      <c r="D647">
        <f>VLOOKUP($A647,survey_2yrs!A:B, 2)</f>
        <v>47.2</v>
      </c>
      <c r="E647">
        <f>VLOOKUP($A647,survey_2yrs!$A:C, 3)</f>
        <v>52.8</v>
      </c>
      <c r="F647">
        <f>VLOOKUP($A647,survey_2yrs!$A:D, 4)</f>
        <v>44</v>
      </c>
      <c r="G647">
        <f>_xlfn.XLOOKUP(A647,survey_2yrs!A:A,survey_2yrs!E:E)</f>
        <v>56</v>
      </c>
      <c r="H647">
        <f>_xlfn.XLOOKUP($A647,weather_2yrs!$A:$A,weather_2yrs!B:B)</f>
        <v>89</v>
      </c>
      <c r="I647">
        <f>_xlfn.XLOOKUP($A647,weather_2yrs!$A:$A,weather_2yrs!C:C)</f>
        <v>0</v>
      </c>
      <c r="J647">
        <f>_xlfn.XLOOKUP($A647,weather_2yrs!$A:$A,weather_2yrs!D:D)</f>
        <v>0</v>
      </c>
      <c r="K647">
        <f>_xlfn.XLOOKUP($A647,weather_2yrs!$A:$A,weather_2yrs!E:E)</f>
        <v>72.2</v>
      </c>
      <c r="L647">
        <f>_xlfn.XLOOKUP($A647,sales!$A:$A,sales!B:B)</f>
        <v>1</v>
      </c>
      <c r="M647" t="str">
        <f>_xlfn.XLOOKUP($A647,sales!$A:$A,sales!C:C)</f>
        <v>Miami Beach</v>
      </c>
      <c r="N647">
        <f>_xlfn.XLOOKUP($A647,sales!$A:$A,sales!D:D)</f>
        <v>317</v>
      </c>
      <c r="O647">
        <f>_xlfn.XLOOKUP($A647,sales!$A:$A,sales!E:E)</f>
        <v>5953.32</v>
      </c>
      <c r="P647" s="4">
        <f t="shared" si="32"/>
        <v>18.780189274447949</v>
      </c>
    </row>
    <row r="648" spans="1:16" x14ac:dyDescent="0.25">
      <c r="A648" s="1">
        <v>45573</v>
      </c>
      <c r="B648" s="1" t="str">
        <f t="shared" si="30"/>
        <v>Tuesday</v>
      </c>
      <c r="C648" s="1" t="b">
        <f t="shared" si="31"/>
        <v>0</v>
      </c>
      <c r="D648">
        <f>VLOOKUP($A648,survey_2yrs!A:B, 2)</f>
        <v>47.7</v>
      </c>
      <c r="E648">
        <f>VLOOKUP($A648,survey_2yrs!$A:C, 3)</f>
        <v>52.3</v>
      </c>
      <c r="F648">
        <f>VLOOKUP($A648,survey_2yrs!$A:D, 4)</f>
        <v>46.2</v>
      </c>
      <c r="G648">
        <f>_xlfn.XLOOKUP(A648,survey_2yrs!A:A,survey_2yrs!E:E)</f>
        <v>53.8</v>
      </c>
      <c r="H648">
        <f>_xlfn.XLOOKUP($A648,weather_2yrs!$A:$A,weather_2yrs!B:B)</f>
        <v>90.1</v>
      </c>
      <c r="I648">
        <f>_xlfn.XLOOKUP($A648,weather_2yrs!$A:$A,weather_2yrs!C:C)</f>
        <v>0</v>
      </c>
      <c r="J648">
        <f>_xlfn.XLOOKUP($A648,weather_2yrs!$A:$A,weather_2yrs!D:D)</f>
        <v>0</v>
      </c>
      <c r="K648">
        <f>_xlfn.XLOOKUP($A648,weather_2yrs!$A:$A,weather_2yrs!E:E)</f>
        <v>72.900000000000006</v>
      </c>
      <c r="L648">
        <f>_xlfn.XLOOKUP($A648,sales!$A:$A,sales!B:B)</f>
        <v>1</v>
      </c>
      <c r="M648" t="str">
        <f>_xlfn.XLOOKUP($A648,sales!$A:$A,sales!C:C)</f>
        <v>Miami Beach</v>
      </c>
      <c r="N648">
        <f>_xlfn.XLOOKUP($A648,sales!$A:$A,sales!D:D)</f>
        <v>318</v>
      </c>
      <c r="O648">
        <f>_xlfn.XLOOKUP($A648,sales!$A:$A,sales!E:E)</f>
        <v>6164.25</v>
      </c>
      <c r="P648" s="4">
        <f t="shared" si="32"/>
        <v>19.384433962264151</v>
      </c>
    </row>
    <row r="649" spans="1:16" x14ac:dyDescent="0.25">
      <c r="A649" s="1">
        <v>45574</v>
      </c>
      <c r="B649" s="1" t="str">
        <f t="shared" si="30"/>
        <v>Wednesday</v>
      </c>
      <c r="C649" s="1" t="b">
        <f t="shared" si="31"/>
        <v>0</v>
      </c>
      <c r="D649">
        <f>VLOOKUP($A649,survey_2yrs!A:B, 2)</f>
        <v>46.8</v>
      </c>
      <c r="E649">
        <f>VLOOKUP($A649,survey_2yrs!$A:C, 3)</f>
        <v>53.2</v>
      </c>
      <c r="F649">
        <f>VLOOKUP($A649,survey_2yrs!$A:D, 4)</f>
        <v>43.4</v>
      </c>
      <c r="G649">
        <f>_xlfn.XLOOKUP(A649,survey_2yrs!A:A,survey_2yrs!E:E)</f>
        <v>56.6</v>
      </c>
      <c r="H649">
        <f>_xlfn.XLOOKUP($A649,weather_2yrs!$A:$A,weather_2yrs!B:B)</f>
        <v>86.9</v>
      </c>
      <c r="I649">
        <f>_xlfn.XLOOKUP($A649,weather_2yrs!$A:$A,weather_2yrs!C:C)</f>
        <v>0</v>
      </c>
      <c r="J649">
        <f>_xlfn.XLOOKUP($A649,weather_2yrs!$A:$A,weather_2yrs!D:D)</f>
        <v>0</v>
      </c>
      <c r="K649">
        <f>_xlfn.XLOOKUP($A649,weather_2yrs!$A:$A,weather_2yrs!E:E)</f>
        <v>69.400000000000006</v>
      </c>
      <c r="L649">
        <f>_xlfn.XLOOKUP($A649,sales!$A:$A,sales!B:B)</f>
        <v>1</v>
      </c>
      <c r="M649" t="str">
        <f>_xlfn.XLOOKUP($A649,sales!$A:$A,sales!C:C)</f>
        <v>Miami Beach</v>
      </c>
      <c r="N649">
        <f>_xlfn.XLOOKUP($A649,sales!$A:$A,sales!D:D)</f>
        <v>331</v>
      </c>
      <c r="O649">
        <f>_xlfn.XLOOKUP($A649,sales!$A:$A,sales!E:E)</f>
        <v>6019.84</v>
      </c>
      <c r="P649" s="4">
        <f t="shared" si="32"/>
        <v>18.186827794561935</v>
      </c>
    </row>
    <row r="650" spans="1:16" x14ac:dyDescent="0.25">
      <c r="A650" s="1">
        <v>45575</v>
      </c>
      <c r="B650" s="1" t="str">
        <f t="shared" si="30"/>
        <v>Thursday</v>
      </c>
      <c r="C650" s="1" t="b">
        <f t="shared" si="31"/>
        <v>0</v>
      </c>
      <c r="D650">
        <f>VLOOKUP($A650,survey_2yrs!A:B, 2)</f>
        <v>45.4</v>
      </c>
      <c r="E650">
        <f>VLOOKUP($A650,survey_2yrs!$A:C, 3)</f>
        <v>54.6</v>
      </c>
      <c r="F650">
        <f>VLOOKUP($A650,survey_2yrs!$A:D, 4)</f>
        <v>44.7</v>
      </c>
      <c r="G650">
        <f>_xlfn.XLOOKUP(A650,survey_2yrs!A:A,survey_2yrs!E:E)</f>
        <v>55.3</v>
      </c>
      <c r="H650">
        <f>_xlfn.XLOOKUP($A650,weather_2yrs!$A:$A,weather_2yrs!B:B)</f>
        <v>87.9</v>
      </c>
      <c r="I650">
        <f>_xlfn.XLOOKUP($A650,weather_2yrs!$A:$A,weather_2yrs!C:C)</f>
        <v>0.08</v>
      </c>
      <c r="J650">
        <f>_xlfn.XLOOKUP($A650,weather_2yrs!$A:$A,weather_2yrs!D:D)</f>
        <v>1</v>
      </c>
      <c r="K650">
        <f>_xlfn.XLOOKUP($A650,weather_2yrs!$A:$A,weather_2yrs!E:E)</f>
        <v>73.2</v>
      </c>
      <c r="L650">
        <f>_xlfn.XLOOKUP($A650,sales!$A:$A,sales!B:B)</f>
        <v>1</v>
      </c>
      <c r="M650" t="str">
        <f>_xlfn.XLOOKUP($A650,sales!$A:$A,sales!C:C)</f>
        <v>Miami Beach</v>
      </c>
      <c r="N650">
        <f>_xlfn.XLOOKUP($A650,sales!$A:$A,sales!D:D)</f>
        <v>327</v>
      </c>
      <c r="O650">
        <f>_xlfn.XLOOKUP($A650,sales!$A:$A,sales!E:E)</f>
        <v>6085.93</v>
      </c>
      <c r="P650" s="4">
        <f t="shared" si="32"/>
        <v>18.611406727828747</v>
      </c>
    </row>
    <row r="651" spans="1:16" x14ac:dyDescent="0.25">
      <c r="A651" s="1">
        <v>45576</v>
      </c>
      <c r="B651" s="1" t="str">
        <f t="shared" si="30"/>
        <v>Friday</v>
      </c>
      <c r="C651" s="1" t="b">
        <f t="shared" si="31"/>
        <v>0</v>
      </c>
      <c r="D651">
        <f>VLOOKUP($A651,survey_2yrs!A:B, 2)</f>
        <v>45.3</v>
      </c>
      <c r="E651">
        <f>VLOOKUP($A651,survey_2yrs!$A:C, 3)</f>
        <v>54.7</v>
      </c>
      <c r="F651">
        <f>VLOOKUP($A651,survey_2yrs!$A:D, 4)</f>
        <v>43.2</v>
      </c>
      <c r="G651">
        <f>_xlfn.XLOOKUP(A651,survey_2yrs!A:A,survey_2yrs!E:E)</f>
        <v>56.8</v>
      </c>
      <c r="H651">
        <f>_xlfn.XLOOKUP($A651,weather_2yrs!$A:$A,weather_2yrs!B:B)</f>
        <v>83.1</v>
      </c>
      <c r="I651">
        <f>_xlfn.XLOOKUP($A651,weather_2yrs!$A:$A,weather_2yrs!C:C)</f>
        <v>0</v>
      </c>
      <c r="J651">
        <f>_xlfn.XLOOKUP($A651,weather_2yrs!$A:$A,weather_2yrs!D:D)</f>
        <v>0</v>
      </c>
      <c r="K651">
        <f>_xlfn.XLOOKUP($A651,weather_2yrs!$A:$A,weather_2yrs!E:E)</f>
        <v>80.3</v>
      </c>
      <c r="L651">
        <f>_xlfn.XLOOKUP($A651,sales!$A:$A,sales!B:B)</f>
        <v>1</v>
      </c>
      <c r="M651" t="str">
        <f>_xlfn.XLOOKUP($A651,sales!$A:$A,sales!C:C)</f>
        <v>Miami Beach</v>
      </c>
      <c r="N651">
        <f>_xlfn.XLOOKUP($A651,sales!$A:$A,sales!D:D)</f>
        <v>279</v>
      </c>
      <c r="O651">
        <f>_xlfn.XLOOKUP($A651,sales!$A:$A,sales!E:E)</f>
        <v>5163.05</v>
      </c>
      <c r="P651" s="4">
        <f t="shared" si="32"/>
        <v>18.505555555555556</v>
      </c>
    </row>
    <row r="652" spans="1:16" x14ac:dyDescent="0.25">
      <c r="A652" s="1">
        <v>45577</v>
      </c>
      <c r="B652" s="1" t="str">
        <f t="shared" si="30"/>
        <v>Saturday</v>
      </c>
      <c r="C652" s="1" t="b">
        <f t="shared" si="31"/>
        <v>1</v>
      </c>
      <c r="D652">
        <f>VLOOKUP($A652,survey_2yrs!A:B, 2)</f>
        <v>45.3</v>
      </c>
      <c r="E652">
        <f>VLOOKUP($A652,survey_2yrs!$A:C, 3)</f>
        <v>54.7</v>
      </c>
      <c r="F652">
        <f>VLOOKUP($A652,survey_2yrs!$A:D, 4)</f>
        <v>49.4</v>
      </c>
      <c r="G652">
        <f>_xlfn.XLOOKUP(A652,survey_2yrs!A:A,survey_2yrs!E:E)</f>
        <v>50.6</v>
      </c>
      <c r="H652">
        <f>_xlfn.XLOOKUP($A652,weather_2yrs!$A:$A,weather_2yrs!B:B)</f>
        <v>87.8</v>
      </c>
      <c r="I652">
        <f>_xlfn.XLOOKUP($A652,weather_2yrs!$A:$A,weather_2yrs!C:C)</f>
        <v>0</v>
      </c>
      <c r="J652">
        <f>_xlfn.XLOOKUP($A652,weather_2yrs!$A:$A,weather_2yrs!D:D)</f>
        <v>0</v>
      </c>
      <c r="K652">
        <f>_xlfn.XLOOKUP($A652,weather_2yrs!$A:$A,weather_2yrs!E:E)</f>
        <v>78.8</v>
      </c>
      <c r="L652">
        <f>_xlfn.XLOOKUP($A652,sales!$A:$A,sales!B:B)</f>
        <v>1</v>
      </c>
      <c r="M652" t="str">
        <f>_xlfn.XLOOKUP($A652,sales!$A:$A,sales!C:C)</f>
        <v>Miami Beach</v>
      </c>
      <c r="N652">
        <f>_xlfn.XLOOKUP($A652,sales!$A:$A,sales!D:D)</f>
        <v>364</v>
      </c>
      <c r="O652">
        <f>_xlfn.XLOOKUP($A652,sales!$A:$A,sales!E:E)</f>
        <v>6686.99</v>
      </c>
      <c r="P652" s="4">
        <f t="shared" si="32"/>
        <v>18.370851648351646</v>
      </c>
    </row>
    <row r="653" spans="1:16" x14ac:dyDescent="0.25">
      <c r="A653" s="1">
        <v>45578</v>
      </c>
      <c r="B653" s="1" t="str">
        <f t="shared" si="30"/>
        <v>Sunday</v>
      </c>
      <c r="C653" s="1" t="b">
        <f t="shared" si="31"/>
        <v>1</v>
      </c>
      <c r="D653">
        <f>VLOOKUP($A653,survey_2yrs!A:B, 2)</f>
        <v>44.2</v>
      </c>
      <c r="E653">
        <f>VLOOKUP($A653,survey_2yrs!$A:C, 3)</f>
        <v>55.8</v>
      </c>
      <c r="F653">
        <f>VLOOKUP($A653,survey_2yrs!$A:D, 4)</f>
        <v>50.3</v>
      </c>
      <c r="G653">
        <f>_xlfn.XLOOKUP(A653,survey_2yrs!A:A,survey_2yrs!E:E)</f>
        <v>49.7</v>
      </c>
      <c r="H653">
        <f>_xlfn.XLOOKUP($A653,weather_2yrs!$A:$A,weather_2yrs!B:B)</f>
        <v>87.7</v>
      </c>
      <c r="I653">
        <f>_xlfn.XLOOKUP($A653,weather_2yrs!$A:$A,weather_2yrs!C:C)</f>
        <v>0</v>
      </c>
      <c r="J653">
        <f>_xlfn.XLOOKUP($A653,weather_2yrs!$A:$A,weather_2yrs!D:D)</f>
        <v>0</v>
      </c>
      <c r="K653">
        <f>_xlfn.XLOOKUP($A653,weather_2yrs!$A:$A,weather_2yrs!E:E)</f>
        <v>71.8</v>
      </c>
      <c r="L653">
        <f>_xlfn.XLOOKUP($A653,sales!$A:$A,sales!B:B)</f>
        <v>1</v>
      </c>
      <c r="M653" t="str">
        <f>_xlfn.XLOOKUP($A653,sales!$A:$A,sales!C:C)</f>
        <v>Miami Beach</v>
      </c>
      <c r="N653">
        <f>_xlfn.XLOOKUP($A653,sales!$A:$A,sales!D:D)</f>
        <v>356</v>
      </c>
      <c r="O653">
        <f>_xlfn.XLOOKUP($A653,sales!$A:$A,sales!E:E)</f>
        <v>6008.56</v>
      </c>
      <c r="P653" s="4">
        <f t="shared" si="32"/>
        <v>16.87797752808989</v>
      </c>
    </row>
    <row r="654" spans="1:16" x14ac:dyDescent="0.25">
      <c r="A654" s="1">
        <v>45579</v>
      </c>
      <c r="B654" s="1" t="str">
        <f t="shared" si="30"/>
        <v>Monday</v>
      </c>
      <c r="C654" s="1" t="b">
        <f t="shared" si="31"/>
        <v>0</v>
      </c>
      <c r="D654">
        <f>VLOOKUP($A654,survey_2yrs!A:B, 2)</f>
        <v>46.7</v>
      </c>
      <c r="E654">
        <f>VLOOKUP($A654,survey_2yrs!$A:C, 3)</f>
        <v>53.3</v>
      </c>
      <c r="F654">
        <f>VLOOKUP($A654,survey_2yrs!$A:D, 4)</f>
        <v>42.6</v>
      </c>
      <c r="G654">
        <f>_xlfn.XLOOKUP(A654,survey_2yrs!A:A,survey_2yrs!E:E)</f>
        <v>57.4</v>
      </c>
      <c r="H654">
        <f>_xlfn.XLOOKUP($A654,weather_2yrs!$A:$A,weather_2yrs!B:B)</f>
        <v>86.3</v>
      </c>
      <c r="I654">
        <f>_xlfn.XLOOKUP($A654,weather_2yrs!$A:$A,weather_2yrs!C:C)</f>
        <v>0</v>
      </c>
      <c r="J654">
        <f>_xlfn.XLOOKUP($A654,weather_2yrs!$A:$A,weather_2yrs!D:D)</f>
        <v>0</v>
      </c>
      <c r="K654">
        <f>_xlfn.XLOOKUP($A654,weather_2yrs!$A:$A,weather_2yrs!E:E)</f>
        <v>63.6</v>
      </c>
      <c r="L654">
        <f>_xlfn.XLOOKUP($A654,sales!$A:$A,sales!B:B)</f>
        <v>1</v>
      </c>
      <c r="M654" t="str">
        <f>_xlfn.XLOOKUP($A654,sales!$A:$A,sales!C:C)</f>
        <v>Miami Beach</v>
      </c>
      <c r="N654">
        <f>_xlfn.XLOOKUP($A654,sales!$A:$A,sales!D:D)</f>
        <v>284</v>
      </c>
      <c r="O654">
        <f>_xlfn.XLOOKUP($A654,sales!$A:$A,sales!E:E)</f>
        <v>4922.3</v>
      </c>
      <c r="P654" s="4">
        <f t="shared" si="32"/>
        <v>17.332042253521127</v>
      </c>
    </row>
    <row r="655" spans="1:16" x14ac:dyDescent="0.25">
      <c r="A655" s="1">
        <v>45580</v>
      </c>
      <c r="B655" s="1" t="str">
        <f t="shared" si="30"/>
        <v>Tuesday</v>
      </c>
      <c r="C655" s="1" t="b">
        <f t="shared" si="31"/>
        <v>0</v>
      </c>
      <c r="D655">
        <f>VLOOKUP($A655,survey_2yrs!A:B, 2)</f>
        <v>45.5</v>
      </c>
      <c r="E655">
        <f>VLOOKUP($A655,survey_2yrs!$A:C, 3)</f>
        <v>54.5</v>
      </c>
      <c r="F655">
        <f>VLOOKUP($A655,survey_2yrs!$A:D, 4)</f>
        <v>44.4</v>
      </c>
      <c r="G655">
        <f>_xlfn.XLOOKUP(A655,survey_2yrs!A:A,survey_2yrs!E:E)</f>
        <v>55.6</v>
      </c>
      <c r="H655">
        <f>_xlfn.XLOOKUP($A655,weather_2yrs!$A:$A,weather_2yrs!B:B)</f>
        <v>88.5</v>
      </c>
      <c r="I655">
        <f>_xlfn.XLOOKUP($A655,weather_2yrs!$A:$A,weather_2yrs!C:C)</f>
        <v>0</v>
      </c>
      <c r="J655">
        <f>_xlfn.XLOOKUP($A655,weather_2yrs!$A:$A,weather_2yrs!D:D)</f>
        <v>0</v>
      </c>
      <c r="K655">
        <f>_xlfn.XLOOKUP($A655,weather_2yrs!$A:$A,weather_2yrs!E:E)</f>
        <v>63.3</v>
      </c>
      <c r="L655">
        <f>_xlfn.XLOOKUP($A655,sales!$A:$A,sales!B:B)</f>
        <v>1</v>
      </c>
      <c r="M655" t="str">
        <f>_xlfn.XLOOKUP($A655,sales!$A:$A,sales!C:C)</f>
        <v>Miami Beach</v>
      </c>
      <c r="N655">
        <f>_xlfn.XLOOKUP($A655,sales!$A:$A,sales!D:D)</f>
        <v>315</v>
      </c>
      <c r="O655">
        <f>_xlfn.XLOOKUP($A655,sales!$A:$A,sales!E:E)</f>
        <v>5944.26</v>
      </c>
      <c r="P655" s="4">
        <f t="shared" si="32"/>
        <v>18.870666666666668</v>
      </c>
    </row>
    <row r="656" spans="1:16" x14ac:dyDescent="0.25">
      <c r="A656" s="1">
        <v>45581</v>
      </c>
      <c r="B656" s="1" t="str">
        <f t="shared" si="30"/>
        <v>Wednesday</v>
      </c>
      <c r="C656" s="1" t="b">
        <f t="shared" si="31"/>
        <v>0</v>
      </c>
      <c r="D656">
        <f>VLOOKUP($A656,survey_2yrs!A:B, 2)</f>
        <v>45.3</v>
      </c>
      <c r="E656">
        <f>VLOOKUP($A656,survey_2yrs!$A:C, 3)</f>
        <v>54.7</v>
      </c>
      <c r="F656">
        <f>VLOOKUP($A656,survey_2yrs!$A:D, 4)</f>
        <v>45.2</v>
      </c>
      <c r="G656">
        <f>_xlfn.XLOOKUP(A656,survey_2yrs!A:A,survey_2yrs!E:E)</f>
        <v>54.8</v>
      </c>
      <c r="H656">
        <f>_xlfn.XLOOKUP($A656,weather_2yrs!$A:$A,weather_2yrs!B:B)</f>
        <v>96.1</v>
      </c>
      <c r="I656">
        <f>_xlfn.XLOOKUP($A656,weather_2yrs!$A:$A,weather_2yrs!C:C)</f>
        <v>0</v>
      </c>
      <c r="J656">
        <f>_xlfn.XLOOKUP($A656,weather_2yrs!$A:$A,weather_2yrs!D:D)</f>
        <v>0</v>
      </c>
      <c r="K656">
        <f>_xlfn.XLOOKUP($A656,weather_2yrs!$A:$A,weather_2yrs!E:E)</f>
        <v>68.900000000000006</v>
      </c>
      <c r="L656">
        <f>_xlfn.XLOOKUP($A656,sales!$A:$A,sales!B:B)</f>
        <v>1</v>
      </c>
      <c r="M656" t="str">
        <f>_xlfn.XLOOKUP($A656,sales!$A:$A,sales!C:C)</f>
        <v>Miami Beach</v>
      </c>
      <c r="N656">
        <f>_xlfn.XLOOKUP($A656,sales!$A:$A,sales!D:D)</f>
        <v>366</v>
      </c>
      <c r="O656">
        <f>_xlfn.XLOOKUP($A656,sales!$A:$A,sales!E:E)</f>
        <v>6279.03</v>
      </c>
      <c r="P656" s="4">
        <f t="shared" si="32"/>
        <v>17.155819672131148</v>
      </c>
    </row>
    <row r="657" spans="1:16" x14ac:dyDescent="0.25">
      <c r="A657" s="1">
        <v>45582</v>
      </c>
      <c r="B657" s="1" t="str">
        <f t="shared" si="30"/>
        <v>Thursday</v>
      </c>
      <c r="C657" s="1" t="b">
        <f t="shared" si="31"/>
        <v>0</v>
      </c>
      <c r="D657">
        <f>VLOOKUP($A657,survey_2yrs!A:B, 2)</f>
        <v>45.7</v>
      </c>
      <c r="E657">
        <f>VLOOKUP($A657,survey_2yrs!$A:C, 3)</f>
        <v>54.3</v>
      </c>
      <c r="F657">
        <f>VLOOKUP($A657,survey_2yrs!$A:D, 4)</f>
        <v>43.5</v>
      </c>
      <c r="G657">
        <f>_xlfn.XLOOKUP(A657,survey_2yrs!A:A,survey_2yrs!E:E)</f>
        <v>56.5</v>
      </c>
      <c r="H657">
        <f>_xlfn.XLOOKUP($A657,weather_2yrs!$A:$A,weather_2yrs!B:B)</f>
        <v>88.8</v>
      </c>
      <c r="I657">
        <f>_xlfn.XLOOKUP($A657,weather_2yrs!$A:$A,weather_2yrs!C:C)</f>
        <v>0</v>
      </c>
      <c r="J657">
        <f>_xlfn.XLOOKUP($A657,weather_2yrs!$A:$A,weather_2yrs!D:D)</f>
        <v>0</v>
      </c>
      <c r="K657">
        <f>_xlfn.XLOOKUP($A657,weather_2yrs!$A:$A,weather_2yrs!E:E)</f>
        <v>70</v>
      </c>
      <c r="L657">
        <f>_xlfn.XLOOKUP($A657,sales!$A:$A,sales!B:B)</f>
        <v>1</v>
      </c>
      <c r="M657" t="str">
        <f>_xlfn.XLOOKUP($A657,sales!$A:$A,sales!C:C)</f>
        <v>Miami Beach</v>
      </c>
      <c r="N657">
        <f>_xlfn.XLOOKUP($A657,sales!$A:$A,sales!D:D)</f>
        <v>308</v>
      </c>
      <c r="O657">
        <f>_xlfn.XLOOKUP($A657,sales!$A:$A,sales!E:E)</f>
        <v>5809.35</v>
      </c>
      <c r="P657" s="4">
        <f t="shared" si="32"/>
        <v>18.861525974025977</v>
      </c>
    </row>
    <row r="658" spans="1:16" x14ac:dyDescent="0.25">
      <c r="A658" s="1">
        <v>45583</v>
      </c>
      <c r="B658" s="1" t="str">
        <f t="shared" si="30"/>
        <v>Friday</v>
      </c>
      <c r="C658" s="1" t="b">
        <f t="shared" si="31"/>
        <v>0</v>
      </c>
      <c r="D658">
        <f>VLOOKUP($A658,survey_2yrs!A:B, 2)</f>
        <v>46.3</v>
      </c>
      <c r="E658">
        <f>VLOOKUP($A658,survey_2yrs!$A:C, 3)</f>
        <v>53.7</v>
      </c>
      <c r="F658">
        <f>VLOOKUP($A658,survey_2yrs!$A:D, 4)</f>
        <v>43.9</v>
      </c>
      <c r="G658">
        <f>_xlfn.XLOOKUP(A658,survey_2yrs!A:A,survey_2yrs!E:E)</f>
        <v>56.1</v>
      </c>
      <c r="H658">
        <f>_xlfn.XLOOKUP($A658,weather_2yrs!$A:$A,weather_2yrs!B:B)</f>
        <v>89.4</v>
      </c>
      <c r="I658">
        <f>_xlfn.XLOOKUP($A658,weather_2yrs!$A:$A,weather_2yrs!C:C)</f>
        <v>0</v>
      </c>
      <c r="J658">
        <f>_xlfn.XLOOKUP($A658,weather_2yrs!$A:$A,weather_2yrs!D:D)</f>
        <v>0</v>
      </c>
      <c r="K658">
        <f>_xlfn.XLOOKUP($A658,weather_2yrs!$A:$A,weather_2yrs!E:E)</f>
        <v>78.400000000000006</v>
      </c>
      <c r="L658">
        <f>_xlfn.XLOOKUP($A658,sales!$A:$A,sales!B:B)</f>
        <v>1</v>
      </c>
      <c r="M658" t="str">
        <f>_xlfn.XLOOKUP($A658,sales!$A:$A,sales!C:C)</f>
        <v>Miami Beach</v>
      </c>
      <c r="N658">
        <f>_xlfn.XLOOKUP($A658,sales!$A:$A,sales!D:D)</f>
        <v>327</v>
      </c>
      <c r="O658">
        <f>_xlfn.XLOOKUP($A658,sales!$A:$A,sales!E:E)</f>
        <v>6257.16</v>
      </c>
      <c r="P658" s="4">
        <f t="shared" si="32"/>
        <v>19.135045871559633</v>
      </c>
    </row>
    <row r="659" spans="1:16" x14ac:dyDescent="0.25">
      <c r="A659" s="1">
        <v>45584</v>
      </c>
      <c r="B659" s="1" t="str">
        <f t="shared" si="30"/>
        <v>Saturday</v>
      </c>
      <c r="C659" s="1" t="b">
        <f t="shared" si="31"/>
        <v>1</v>
      </c>
      <c r="D659">
        <f>VLOOKUP($A659,survey_2yrs!A:B, 2)</f>
        <v>46.5</v>
      </c>
      <c r="E659">
        <f>VLOOKUP($A659,survey_2yrs!$A:C, 3)</f>
        <v>53.5</v>
      </c>
      <c r="F659">
        <f>VLOOKUP($A659,survey_2yrs!$A:D, 4)</f>
        <v>50.7</v>
      </c>
      <c r="G659">
        <f>_xlfn.XLOOKUP(A659,survey_2yrs!A:A,survey_2yrs!E:E)</f>
        <v>49.3</v>
      </c>
      <c r="H659">
        <f>_xlfn.XLOOKUP($A659,weather_2yrs!$A:$A,weather_2yrs!B:B)</f>
        <v>88.6</v>
      </c>
      <c r="I659">
        <f>_xlfn.XLOOKUP($A659,weather_2yrs!$A:$A,weather_2yrs!C:C)</f>
        <v>0</v>
      </c>
      <c r="J659">
        <f>_xlfn.XLOOKUP($A659,weather_2yrs!$A:$A,weather_2yrs!D:D)</f>
        <v>0</v>
      </c>
      <c r="K659">
        <f>_xlfn.XLOOKUP($A659,weather_2yrs!$A:$A,weather_2yrs!E:E)</f>
        <v>69.599999999999994</v>
      </c>
      <c r="L659">
        <f>_xlfn.XLOOKUP($A659,sales!$A:$A,sales!B:B)</f>
        <v>1</v>
      </c>
      <c r="M659" t="str">
        <f>_xlfn.XLOOKUP($A659,sales!$A:$A,sales!C:C)</f>
        <v>Miami Beach</v>
      </c>
      <c r="N659">
        <f>_xlfn.XLOOKUP($A659,sales!$A:$A,sales!D:D)</f>
        <v>350</v>
      </c>
      <c r="O659">
        <f>_xlfn.XLOOKUP($A659,sales!$A:$A,sales!E:E)</f>
        <v>6283.84</v>
      </c>
      <c r="P659" s="4">
        <f t="shared" si="32"/>
        <v>17.953828571428573</v>
      </c>
    </row>
    <row r="660" spans="1:16" x14ac:dyDescent="0.25">
      <c r="A660" s="1">
        <v>45585</v>
      </c>
      <c r="B660" s="1" t="str">
        <f t="shared" si="30"/>
        <v>Sunday</v>
      </c>
      <c r="C660" s="1" t="b">
        <f t="shared" si="31"/>
        <v>1</v>
      </c>
      <c r="D660">
        <f>VLOOKUP($A660,survey_2yrs!A:B, 2)</f>
        <v>46.2</v>
      </c>
      <c r="E660">
        <f>VLOOKUP($A660,survey_2yrs!$A:C, 3)</f>
        <v>53.8</v>
      </c>
      <c r="F660">
        <f>VLOOKUP($A660,survey_2yrs!$A:D, 4)</f>
        <v>51.6</v>
      </c>
      <c r="G660">
        <f>_xlfn.XLOOKUP(A660,survey_2yrs!A:A,survey_2yrs!E:E)</f>
        <v>48.4</v>
      </c>
      <c r="H660">
        <f>_xlfn.XLOOKUP($A660,weather_2yrs!$A:$A,weather_2yrs!B:B)</f>
        <v>87.6</v>
      </c>
      <c r="I660">
        <f>_xlfn.XLOOKUP($A660,weather_2yrs!$A:$A,weather_2yrs!C:C)</f>
        <v>0</v>
      </c>
      <c r="J660">
        <f>_xlfn.XLOOKUP($A660,weather_2yrs!$A:$A,weather_2yrs!D:D)</f>
        <v>0</v>
      </c>
      <c r="K660">
        <f>_xlfn.XLOOKUP($A660,weather_2yrs!$A:$A,weather_2yrs!E:E)</f>
        <v>75</v>
      </c>
      <c r="L660">
        <f>_xlfn.XLOOKUP($A660,sales!$A:$A,sales!B:B)</f>
        <v>1</v>
      </c>
      <c r="M660" t="str">
        <f>_xlfn.XLOOKUP($A660,sales!$A:$A,sales!C:C)</f>
        <v>Miami Beach</v>
      </c>
      <c r="N660">
        <f>_xlfn.XLOOKUP($A660,sales!$A:$A,sales!D:D)</f>
        <v>353</v>
      </c>
      <c r="O660">
        <f>_xlfn.XLOOKUP($A660,sales!$A:$A,sales!E:E)</f>
        <v>6887.8</v>
      </c>
      <c r="P660" s="4">
        <f t="shared" si="32"/>
        <v>19.512181303116147</v>
      </c>
    </row>
    <row r="661" spans="1:16" x14ac:dyDescent="0.25">
      <c r="A661" s="1">
        <v>45586</v>
      </c>
      <c r="B661" s="1" t="str">
        <f t="shared" si="30"/>
        <v>Monday</v>
      </c>
      <c r="C661" s="1" t="b">
        <f t="shared" si="31"/>
        <v>0</v>
      </c>
      <c r="D661">
        <f>VLOOKUP($A661,survey_2yrs!A:B, 2)</f>
        <v>44.4</v>
      </c>
      <c r="E661">
        <f>VLOOKUP($A661,survey_2yrs!$A:C, 3)</f>
        <v>55.6</v>
      </c>
      <c r="F661">
        <f>VLOOKUP($A661,survey_2yrs!$A:D, 4)</f>
        <v>43.3</v>
      </c>
      <c r="G661">
        <f>_xlfn.XLOOKUP(A661,survey_2yrs!A:A,survey_2yrs!E:E)</f>
        <v>56.7</v>
      </c>
      <c r="H661">
        <f>_xlfn.XLOOKUP($A661,weather_2yrs!$A:$A,weather_2yrs!B:B)</f>
        <v>87.5</v>
      </c>
      <c r="I661">
        <f>_xlfn.XLOOKUP($A661,weather_2yrs!$A:$A,weather_2yrs!C:C)</f>
        <v>0</v>
      </c>
      <c r="J661">
        <f>_xlfn.XLOOKUP($A661,weather_2yrs!$A:$A,weather_2yrs!D:D)</f>
        <v>0</v>
      </c>
      <c r="K661">
        <f>_xlfn.XLOOKUP($A661,weather_2yrs!$A:$A,weather_2yrs!E:E)</f>
        <v>63.4</v>
      </c>
      <c r="L661">
        <f>_xlfn.XLOOKUP($A661,sales!$A:$A,sales!B:B)</f>
        <v>1</v>
      </c>
      <c r="M661" t="str">
        <f>_xlfn.XLOOKUP($A661,sales!$A:$A,sales!C:C)</f>
        <v>Miami Beach</v>
      </c>
      <c r="N661">
        <f>_xlfn.XLOOKUP($A661,sales!$A:$A,sales!D:D)</f>
        <v>332</v>
      </c>
      <c r="O661">
        <f>_xlfn.XLOOKUP($A661,sales!$A:$A,sales!E:E)</f>
        <v>6459.94</v>
      </c>
      <c r="P661" s="4">
        <f t="shared" si="32"/>
        <v>19.457650602409636</v>
      </c>
    </row>
    <row r="662" spans="1:16" x14ac:dyDescent="0.25">
      <c r="A662" s="1">
        <v>45587</v>
      </c>
      <c r="B662" s="1" t="str">
        <f t="shared" si="30"/>
        <v>Tuesday</v>
      </c>
      <c r="C662" s="1" t="b">
        <f t="shared" si="31"/>
        <v>0</v>
      </c>
      <c r="D662">
        <f>VLOOKUP($A662,survey_2yrs!A:B, 2)</f>
        <v>46.2</v>
      </c>
      <c r="E662">
        <f>VLOOKUP($A662,survey_2yrs!$A:C, 3)</f>
        <v>53.8</v>
      </c>
      <c r="F662">
        <f>VLOOKUP($A662,survey_2yrs!$A:D, 4)</f>
        <v>43.5</v>
      </c>
      <c r="G662">
        <f>_xlfn.XLOOKUP(A662,survey_2yrs!A:A,survey_2yrs!E:E)</f>
        <v>56.5</v>
      </c>
      <c r="H662">
        <f>_xlfn.XLOOKUP($A662,weather_2yrs!$A:$A,weather_2yrs!B:B)</f>
        <v>86</v>
      </c>
      <c r="I662">
        <f>_xlfn.XLOOKUP($A662,weather_2yrs!$A:$A,weather_2yrs!C:C)</f>
        <v>0</v>
      </c>
      <c r="J662">
        <f>_xlfn.XLOOKUP($A662,weather_2yrs!$A:$A,weather_2yrs!D:D)</f>
        <v>0</v>
      </c>
      <c r="K662">
        <f>_xlfn.XLOOKUP($A662,weather_2yrs!$A:$A,weather_2yrs!E:E)</f>
        <v>59.2</v>
      </c>
      <c r="L662">
        <f>_xlfn.XLOOKUP($A662,sales!$A:$A,sales!B:B)</f>
        <v>1</v>
      </c>
      <c r="M662" t="str">
        <f>_xlfn.XLOOKUP($A662,sales!$A:$A,sales!C:C)</f>
        <v>Miami Beach</v>
      </c>
      <c r="N662">
        <f>_xlfn.XLOOKUP($A662,sales!$A:$A,sales!D:D)</f>
        <v>301</v>
      </c>
      <c r="O662">
        <f>_xlfn.XLOOKUP($A662,sales!$A:$A,sales!E:E)</f>
        <v>6076.39</v>
      </c>
      <c r="P662" s="4">
        <f t="shared" si="32"/>
        <v>20.18734219269103</v>
      </c>
    </row>
    <row r="663" spans="1:16" x14ac:dyDescent="0.25">
      <c r="A663" s="1">
        <v>45588</v>
      </c>
      <c r="B663" s="1" t="str">
        <f t="shared" si="30"/>
        <v>Wednesday</v>
      </c>
      <c r="C663" s="1" t="b">
        <f t="shared" si="31"/>
        <v>0</v>
      </c>
      <c r="D663">
        <f>VLOOKUP($A663,survey_2yrs!A:B, 2)</f>
        <v>46.9</v>
      </c>
      <c r="E663">
        <f>VLOOKUP($A663,survey_2yrs!$A:C, 3)</f>
        <v>53.1</v>
      </c>
      <c r="F663">
        <f>VLOOKUP($A663,survey_2yrs!$A:D, 4)</f>
        <v>45.2</v>
      </c>
      <c r="G663">
        <f>_xlfn.XLOOKUP(A663,survey_2yrs!A:A,survey_2yrs!E:E)</f>
        <v>54.8</v>
      </c>
      <c r="H663">
        <f>_xlfn.XLOOKUP($A663,weather_2yrs!$A:$A,weather_2yrs!B:B)</f>
        <v>90.4</v>
      </c>
      <c r="I663">
        <f>_xlfn.XLOOKUP($A663,weather_2yrs!$A:$A,weather_2yrs!C:C)</f>
        <v>0.52</v>
      </c>
      <c r="J663">
        <f>_xlfn.XLOOKUP($A663,weather_2yrs!$A:$A,weather_2yrs!D:D)</f>
        <v>1</v>
      </c>
      <c r="K663">
        <f>_xlfn.XLOOKUP($A663,weather_2yrs!$A:$A,weather_2yrs!E:E)</f>
        <v>70.400000000000006</v>
      </c>
      <c r="L663">
        <f>_xlfn.XLOOKUP($A663,sales!$A:$A,sales!B:B)</f>
        <v>1</v>
      </c>
      <c r="M663" t="str">
        <f>_xlfn.XLOOKUP($A663,sales!$A:$A,sales!C:C)</f>
        <v>Miami Beach</v>
      </c>
      <c r="N663">
        <f>_xlfn.XLOOKUP($A663,sales!$A:$A,sales!D:D)</f>
        <v>328</v>
      </c>
      <c r="O663">
        <f>_xlfn.XLOOKUP($A663,sales!$A:$A,sales!E:E)</f>
        <v>5823.5</v>
      </c>
      <c r="P663" s="4">
        <f t="shared" si="32"/>
        <v>17.754573170731707</v>
      </c>
    </row>
    <row r="664" spans="1:16" x14ac:dyDescent="0.25">
      <c r="A664" s="1">
        <v>45589</v>
      </c>
      <c r="B664" s="1" t="str">
        <f t="shared" si="30"/>
        <v>Thursday</v>
      </c>
      <c r="C664" s="1" t="b">
        <f t="shared" si="31"/>
        <v>0</v>
      </c>
      <c r="D664">
        <f>VLOOKUP($A664,survey_2yrs!A:B, 2)</f>
        <v>47.4</v>
      </c>
      <c r="E664">
        <f>VLOOKUP($A664,survey_2yrs!$A:C, 3)</f>
        <v>52.6</v>
      </c>
      <c r="F664">
        <f>VLOOKUP($A664,survey_2yrs!$A:D, 4)</f>
        <v>44</v>
      </c>
      <c r="G664">
        <f>_xlfn.XLOOKUP(A664,survey_2yrs!A:A,survey_2yrs!E:E)</f>
        <v>56</v>
      </c>
      <c r="H664">
        <f>_xlfn.XLOOKUP($A664,weather_2yrs!$A:$A,weather_2yrs!B:B)</f>
        <v>88.1</v>
      </c>
      <c r="I664">
        <f>_xlfn.XLOOKUP($A664,weather_2yrs!$A:$A,weather_2yrs!C:C)</f>
        <v>0</v>
      </c>
      <c r="J664">
        <f>_xlfn.XLOOKUP($A664,weather_2yrs!$A:$A,weather_2yrs!D:D)</f>
        <v>0</v>
      </c>
      <c r="K664">
        <f>_xlfn.XLOOKUP($A664,weather_2yrs!$A:$A,weather_2yrs!E:E)</f>
        <v>66.2</v>
      </c>
      <c r="L664">
        <f>_xlfn.XLOOKUP($A664,sales!$A:$A,sales!B:B)</f>
        <v>1</v>
      </c>
      <c r="M664" t="str">
        <f>_xlfn.XLOOKUP($A664,sales!$A:$A,sales!C:C)</f>
        <v>Miami Beach</v>
      </c>
      <c r="N664">
        <f>_xlfn.XLOOKUP($A664,sales!$A:$A,sales!D:D)</f>
        <v>290</v>
      </c>
      <c r="O664">
        <f>_xlfn.XLOOKUP($A664,sales!$A:$A,sales!E:E)</f>
        <v>5206.3900000000003</v>
      </c>
      <c r="P664" s="4">
        <f t="shared" si="32"/>
        <v>17.953068965517243</v>
      </c>
    </row>
    <row r="665" spans="1:16" x14ac:dyDescent="0.25">
      <c r="A665" s="1">
        <v>45590</v>
      </c>
      <c r="B665" s="1" t="str">
        <f t="shared" si="30"/>
        <v>Friday</v>
      </c>
      <c r="C665" s="1" t="b">
        <f t="shared" si="31"/>
        <v>0</v>
      </c>
      <c r="D665">
        <f>VLOOKUP($A665,survey_2yrs!A:B, 2)</f>
        <v>45.4</v>
      </c>
      <c r="E665">
        <f>VLOOKUP($A665,survey_2yrs!$A:C, 3)</f>
        <v>54.6</v>
      </c>
      <c r="F665">
        <f>VLOOKUP($A665,survey_2yrs!$A:D, 4)</f>
        <v>43.4</v>
      </c>
      <c r="G665">
        <f>_xlfn.XLOOKUP(A665,survey_2yrs!A:A,survey_2yrs!E:E)</f>
        <v>56.6</v>
      </c>
      <c r="H665">
        <f>_xlfn.XLOOKUP($A665,weather_2yrs!$A:$A,weather_2yrs!B:B)</f>
        <v>87.7</v>
      </c>
      <c r="I665">
        <f>_xlfn.XLOOKUP($A665,weather_2yrs!$A:$A,weather_2yrs!C:C)</f>
        <v>0</v>
      </c>
      <c r="J665">
        <f>_xlfn.XLOOKUP($A665,weather_2yrs!$A:$A,weather_2yrs!D:D)</f>
        <v>0</v>
      </c>
      <c r="K665">
        <f>_xlfn.XLOOKUP($A665,weather_2yrs!$A:$A,weather_2yrs!E:E)</f>
        <v>67.099999999999994</v>
      </c>
      <c r="L665">
        <f>_xlfn.XLOOKUP($A665,sales!$A:$A,sales!B:B)</f>
        <v>1</v>
      </c>
      <c r="M665" t="str">
        <f>_xlfn.XLOOKUP($A665,sales!$A:$A,sales!C:C)</f>
        <v>Miami Beach</v>
      </c>
      <c r="N665">
        <f>_xlfn.XLOOKUP($A665,sales!$A:$A,sales!D:D)</f>
        <v>347</v>
      </c>
      <c r="O665">
        <f>_xlfn.XLOOKUP($A665,sales!$A:$A,sales!E:E)</f>
        <v>6848.19</v>
      </c>
      <c r="P665" s="4">
        <f t="shared" si="32"/>
        <v>19.735417867435157</v>
      </c>
    </row>
    <row r="666" spans="1:16" x14ac:dyDescent="0.25">
      <c r="A666" s="1">
        <v>45591</v>
      </c>
      <c r="B666" s="1" t="str">
        <f t="shared" si="30"/>
        <v>Saturday</v>
      </c>
      <c r="C666" s="1" t="b">
        <f t="shared" si="31"/>
        <v>1</v>
      </c>
      <c r="D666">
        <f>VLOOKUP($A666,survey_2yrs!A:B, 2)</f>
        <v>46.4</v>
      </c>
      <c r="E666">
        <f>VLOOKUP($A666,survey_2yrs!$A:C, 3)</f>
        <v>53.6</v>
      </c>
      <c r="F666">
        <f>VLOOKUP($A666,survey_2yrs!$A:D, 4)</f>
        <v>50.9</v>
      </c>
      <c r="G666">
        <f>_xlfn.XLOOKUP(A666,survey_2yrs!A:A,survey_2yrs!E:E)</f>
        <v>49.1</v>
      </c>
      <c r="H666">
        <f>_xlfn.XLOOKUP($A666,weather_2yrs!$A:$A,weather_2yrs!B:B)</f>
        <v>82.8</v>
      </c>
      <c r="I666">
        <f>_xlfn.XLOOKUP($A666,weather_2yrs!$A:$A,weather_2yrs!C:C)</f>
        <v>0</v>
      </c>
      <c r="J666">
        <f>_xlfn.XLOOKUP($A666,weather_2yrs!$A:$A,weather_2yrs!D:D)</f>
        <v>0</v>
      </c>
      <c r="K666">
        <f>_xlfn.XLOOKUP($A666,weather_2yrs!$A:$A,weather_2yrs!E:E)</f>
        <v>69.8</v>
      </c>
      <c r="L666">
        <f>_xlfn.XLOOKUP($A666,sales!$A:$A,sales!B:B)</f>
        <v>1</v>
      </c>
      <c r="M666" t="str">
        <f>_xlfn.XLOOKUP($A666,sales!$A:$A,sales!C:C)</f>
        <v>Miami Beach</v>
      </c>
      <c r="N666">
        <f>_xlfn.XLOOKUP($A666,sales!$A:$A,sales!D:D)</f>
        <v>325</v>
      </c>
      <c r="O666">
        <f>_xlfn.XLOOKUP($A666,sales!$A:$A,sales!E:E)</f>
        <v>6186.46</v>
      </c>
      <c r="P666" s="4">
        <f t="shared" si="32"/>
        <v>19.035261538461537</v>
      </c>
    </row>
    <row r="667" spans="1:16" x14ac:dyDescent="0.25">
      <c r="A667" s="1">
        <v>45592</v>
      </c>
      <c r="B667" s="1" t="str">
        <f t="shared" si="30"/>
        <v>Sunday</v>
      </c>
      <c r="C667" s="1" t="b">
        <f t="shared" si="31"/>
        <v>1</v>
      </c>
      <c r="D667">
        <f>VLOOKUP($A667,survey_2yrs!A:B, 2)</f>
        <v>45.1</v>
      </c>
      <c r="E667">
        <f>VLOOKUP($A667,survey_2yrs!$A:C, 3)</f>
        <v>54.9</v>
      </c>
      <c r="F667">
        <f>VLOOKUP($A667,survey_2yrs!$A:D, 4)</f>
        <v>48.8</v>
      </c>
      <c r="G667">
        <f>_xlfn.XLOOKUP(A667,survey_2yrs!A:A,survey_2yrs!E:E)</f>
        <v>51.2</v>
      </c>
      <c r="H667">
        <f>_xlfn.XLOOKUP($A667,weather_2yrs!$A:$A,weather_2yrs!B:B)</f>
        <v>85.7</v>
      </c>
      <c r="I667">
        <f>_xlfn.XLOOKUP($A667,weather_2yrs!$A:$A,weather_2yrs!C:C)</f>
        <v>0.14000000000000001</v>
      </c>
      <c r="J667">
        <f>_xlfn.XLOOKUP($A667,weather_2yrs!$A:$A,weather_2yrs!D:D)</f>
        <v>1</v>
      </c>
      <c r="K667">
        <f>_xlfn.XLOOKUP($A667,weather_2yrs!$A:$A,weather_2yrs!E:E)</f>
        <v>65.099999999999994</v>
      </c>
      <c r="L667">
        <f>_xlfn.XLOOKUP($A667,sales!$A:$A,sales!B:B)</f>
        <v>1</v>
      </c>
      <c r="M667" t="str">
        <f>_xlfn.XLOOKUP($A667,sales!$A:$A,sales!C:C)</f>
        <v>Miami Beach</v>
      </c>
      <c r="N667">
        <f>_xlfn.XLOOKUP($A667,sales!$A:$A,sales!D:D)</f>
        <v>368</v>
      </c>
      <c r="O667">
        <f>_xlfn.XLOOKUP($A667,sales!$A:$A,sales!E:E)</f>
        <v>6915.67</v>
      </c>
      <c r="P667" s="4">
        <f t="shared" si="32"/>
        <v>18.79258152173913</v>
      </c>
    </row>
    <row r="668" spans="1:16" x14ac:dyDescent="0.25">
      <c r="A668" s="1">
        <v>45593</v>
      </c>
      <c r="B668" s="1" t="str">
        <f t="shared" si="30"/>
        <v>Monday</v>
      </c>
      <c r="C668" s="1" t="b">
        <f t="shared" si="31"/>
        <v>0</v>
      </c>
      <c r="D668">
        <f>VLOOKUP($A668,survey_2yrs!A:B, 2)</f>
        <v>44.6</v>
      </c>
      <c r="E668">
        <f>VLOOKUP($A668,survey_2yrs!$A:C, 3)</f>
        <v>55.4</v>
      </c>
      <c r="F668">
        <f>VLOOKUP($A668,survey_2yrs!$A:D, 4)</f>
        <v>45.3</v>
      </c>
      <c r="G668">
        <f>_xlfn.XLOOKUP(A668,survey_2yrs!A:A,survey_2yrs!E:E)</f>
        <v>54.7</v>
      </c>
      <c r="H668">
        <f>_xlfn.XLOOKUP($A668,weather_2yrs!$A:$A,weather_2yrs!B:B)</f>
        <v>87.5</v>
      </c>
      <c r="I668">
        <f>_xlfn.XLOOKUP($A668,weather_2yrs!$A:$A,weather_2yrs!C:C)</f>
        <v>0</v>
      </c>
      <c r="J668">
        <f>_xlfn.XLOOKUP($A668,weather_2yrs!$A:$A,weather_2yrs!D:D)</f>
        <v>0</v>
      </c>
      <c r="K668">
        <f>_xlfn.XLOOKUP($A668,weather_2yrs!$A:$A,weather_2yrs!E:E)</f>
        <v>66.3</v>
      </c>
      <c r="L668">
        <f>_xlfn.XLOOKUP($A668,sales!$A:$A,sales!B:B)</f>
        <v>1</v>
      </c>
      <c r="M668" t="str">
        <f>_xlfn.XLOOKUP($A668,sales!$A:$A,sales!C:C)</f>
        <v>Miami Beach</v>
      </c>
      <c r="N668">
        <f>_xlfn.XLOOKUP($A668,sales!$A:$A,sales!D:D)</f>
        <v>305</v>
      </c>
      <c r="O668">
        <f>_xlfn.XLOOKUP($A668,sales!$A:$A,sales!E:E)</f>
        <v>5172.2299999999996</v>
      </c>
      <c r="P668" s="4">
        <f t="shared" si="32"/>
        <v>16.958131147540982</v>
      </c>
    </row>
    <row r="669" spans="1:16" x14ac:dyDescent="0.25">
      <c r="A669" s="1">
        <v>45594</v>
      </c>
      <c r="B669" s="1" t="str">
        <f t="shared" si="30"/>
        <v>Tuesday</v>
      </c>
      <c r="C669" s="1" t="b">
        <f t="shared" si="31"/>
        <v>0</v>
      </c>
      <c r="D669">
        <f>VLOOKUP($A669,survey_2yrs!A:B, 2)</f>
        <v>46.8</v>
      </c>
      <c r="E669">
        <f>VLOOKUP($A669,survey_2yrs!$A:C, 3)</f>
        <v>53.2</v>
      </c>
      <c r="F669">
        <f>VLOOKUP($A669,survey_2yrs!$A:D, 4)</f>
        <v>45</v>
      </c>
      <c r="G669">
        <f>_xlfn.XLOOKUP(A669,survey_2yrs!A:A,survey_2yrs!E:E)</f>
        <v>55</v>
      </c>
      <c r="H669">
        <f>_xlfn.XLOOKUP($A669,weather_2yrs!$A:$A,weather_2yrs!B:B)</f>
        <v>90.1</v>
      </c>
      <c r="I669">
        <f>_xlfn.XLOOKUP($A669,weather_2yrs!$A:$A,weather_2yrs!C:C)</f>
        <v>0</v>
      </c>
      <c r="J669">
        <f>_xlfn.XLOOKUP($A669,weather_2yrs!$A:$A,weather_2yrs!D:D)</f>
        <v>0</v>
      </c>
      <c r="K669">
        <f>_xlfn.XLOOKUP($A669,weather_2yrs!$A:$A,weather_2yrs!E:E)</f>
        <v>61.6</v>
      </c>
      <c r="L669">
        <f>_xlfn.XLOOKUP($A669,sales!$A:$A,sales!B:B)</f>
        <v>1</v>
      </c>
      <c r="M669" t="str">
        <f>_xlfn.XLOOKUP($A669,sales!$A:$A,sales!C:C)</f>
        <v>Miami Beach</v>
      </c>
      <c r="N669">
        <f>_xlfn.XLOOKUP($A669,sales!$A:$A,sales!D:D)</f>
        <v>320</v>
      </c>
      <c r="O669">
        <f>_xlfn.XLOOKUP($A669,sales!$A:$A,sales!E:E)</f>
        <v>5286.88</v>
      </c>
      <c r="P669" s="4">
        <f t="shared" si="32"/>
        <v>16.5215</v>
      </c>
    </row>
    <row r="670" spans="1:16" x14ac:dyDescent="0.25">
      <c r="A670" s="1">
        <v>45595</v>
      </c>
      <c r="B670" s="1" t="str">
        <f t="shared" si="30"/>
        <v>Wednesday</v>
      </c>
      <c r="C670" s="1" t="b">
        <f t="shared" si="31"/>
        <v>0</v>
      </c>
      <c r="D670">
        <f>VLOOKUP($A670,survey_2yrs!A:B, 2)</f>
        <v>46.6</v>
      </c>
      <c r="E670">
        <f>VLOOKUP($A670,survey_2yrs!$A:C, 3)</f>
        <v>53.4</v>
      </c>
      <c r="F670">
        <f>VLOOKUP($A670,survey_2yrs!$A:D, 4)</f>
        <v>42.7</v>
      </c>
      <c r="G670">
        <f>_xlfn.XLOOKUP(A670,survey_2yrs!A:A,survey_2yrs!E:E)</f>
        <v>57.3</v>
      </c>
      <c r="H670">
        <f>_xlfn.XLOOKUP($A670,weather_2yrs!$A:$A,weather_2yrs!B:B)</f>
        <v>83.3</v>
      </c>
      <c r="I670">
        <f>_xlfn.XLOOKUP($A670,weather_2yrs!$A:$A,weather_2yrs!C:C)</f>
        <v>1.25</v>
      </c>
      <c r="J670">
        <f>_xlfn.XLOOKUP($A670,weather_2yrs!$A:$A,weather_2yrs!D:D)</f>
        <v>1</v>
      </c>
      <c r="K670">
        <f>_xlfn.XLOOKUP($A670,weather_2yrs!$A:$A,weather_2yrs!E:E)</f>
        <v>66</v>
      </c>
      <c r="L670">
        <f>_xlfn.XLOOKUP($A670,sales!$A:$A,sales!B:B)</f>
        <v>1</v>
      </c>
      <c r="M670" t="str">
        <f>_xlfn.XLOOKUP($A670,sales!$A:$A,sales!C:C)</f>
        <v>Miami Beach</v>
      </c>
      <c r="N670">
        <f>_xlfn.XLOOKUP($A670,sales!$A:$A,sales!D:D)</f>
        <v>285</v>
      </c>
      <c r="O670">
        <f>_xlfn.XLOOKUP($A670,sales!$A:$A,sales!E:E)</f>
        <v>5184.08</v>
      </c>
      <c r="P670" s="4">
        <f t="shared" si="32"/>
        <v>18.18975438596491</v>
      </c>
    </row>
    <row r="671" spans="1:16" x14ac:dyDescent="0.25">
      <c r="A671" s="1">
        <v>45596</v>
      </c>
      <c r="B671" s="1" t="str">
        <f t="shared" si="30"/>
        <v>Thursday</v>
      </c>
      <c r="C671" s="1" t="b">
        <f t="shared" si="31"/>
        <v>0</v>
      </c>
      <c r="D671">
        <f>VLOOKUP($A671,survey_2yrs!A:B, 2)</f>
        <v>44.6</v>
      </c>
      <c r="E671">
        <f>VLOOKUP($A671,survey_2yrs!$A:C, 3)</f>
        <v>55.4</v>
      </c>
      <c r="F671">
        <f>VLOOKUP($A671,survey_2yrs!$A:D, 4)</f>
        <v>44.6</v>
      </c>
      <c r="G671">
        <f>_xlfn.XLOOKUP(A671,survey_2yrs!A:A,survey_2yrs!E:E)</f>
        <v>55.4</v>
      </c>
      <c r="H671">
        <f>_xlfn.XLOOKUP($A671,weather_2yrs!$A:$A,weather_2yrs!B:B)</f>
        <v>86.7</v>
      </c>
      <c r="I671">
        <f>_xlfn.XLOOKUP($A671,weather_2yrs!$A:$A,weather_2yrs!C:C)</f>
        <v>0</v>
      </c>
      <c r="J671">
        <f>_xlfn.XLOOKUP($A671,weather_2yrs!$A:$A,weather_2yrs!D:D)</f>
        <v>0</v>
      </c>
      <c r="K671">
        <f>_xlfn.XLOOKUP($A671,weather_2yrs!$A:$A,weather_2yrs!E:E)</f>
        <v>64.2</v>
      </c>
      <c r="L671">
        <f>_xlfn.XLOOKUP($A671,sales!$A:$A,sales!B:B)</f>
        <v>1</v>
      </c>
      <c r="M671" t="str">
        <f>_xlfn.XLOOKUP($A671,sales!$A:$A,sales!C:C)</f>
        <v>Miami Beach</v>
      </c>
      <c r="N671">
        <f>_xlfn.XLOOKUP($A671,sales!$A:$A,sales!D:D)</f>
        <v>322</v>
      </c>
      <c r="O671">
        <f>_xlfn.XLOOKUP($A671,sales!$A:$A,sales!E:E)</f>
        <v>5821.66</v>
      </c>
      <c r="P671" s="4">
        <f t="shared" si="32"/>
        <v>18.079689440993789</v>
      </c>
    </row>
    <row r="672" spans="1:16" x14ac:dyDescent="0.25">
      <c r="A672" s="1">
        <v>45597</v>
      </c>
      <c r="B672" s="1" t="str">
        <f t="shared" si="30"/>
        <v>Friday</v>
      </c>
      <c r="C672" s="1" t="b">
        <f t="shared" si="31"/>
        <v>0</v>
      </c>
      <c r="D672">
        <f>VLOOKUP($A672,survey_2yrs!A:B, 2)</f>
        <v>46.4</v>
      </c>
      <c r="E672">
        <f>VLOOKUP($A672,survey_2yrs!$A:C, 3)</f>
        <v>53.6</v>
      </c>
      <c r="F672">
        <f>VLOOKUP($A672,survey_2yrs!$A:D, 4)</f>
        <v>43.9</v>
      </c>
      <c r="G672">
        <f>_xlfn.XLOOKUP(A672,survey_2yrs!A:A,survey_2yrs!E:E)</f>
        <v>56.1</v>
      </c>
      <c r="H672">
        <f>_xlfn.XLOOKUP($A672,weather_2yrs!$A:$A,weather_2yrs!B:B)</f>
        <v>86.6</v>
      </c>
      <c r="I672">
        <f>_xlfn.XLOOKUP($A672,weather_2yrs!$A:$A,weather_2yrs!C:C)</f>
        <v>0.78</v>
      </c>
      <c r="J672">
        <f>_xlfn.XLOOKUP($A672,weather_2yrs!$A:$A,weather_2yrs!D:D)</f>
        <v>1</v>
      </c>
      <c r="K672">
        <f>_xlfn.XLOOKUP($A672,weather_2yrs!$A:$A,weather_2yrs!E:E)</f>
        <v>73.599999999999994</v>
      </c>
      <c r="L672">
        <f>_xlfn.XLOOKUP($A672,sales!$A:$A,sales!B:B)</f>
        <v>1</v>
      </c>
      <c r="M672" t="str">
        <f>_xlfn.XLOOKUP($A672,sales!$A:$A,sales!C:C)</f>
        <v>Miami Beach</v>
      </c>
      <c r="N672">
        <f>_xlfn.XLOOKUP($A672,sales!$A:$A,sales!D:D)</f>
        <v>297</v>
      </c>
      <c r="O672">
        <f>_xlfn.XLOOKUP($A672,sales!$A:$A,sales!E:E)</f>
        <v>5489.92</v>
      </c>
      <c r="P672" s="4">
        <f t="shared" si="32"/>
        <v>18.484579124579124</v>
      </c>
    </row>
    <row r="673" spans="1:16" x14ac:dyDescent="0.25">
      <c r="A673" s="1">
        <v>45598</v>
      </c>
      <c r="B673" s="1" t="str">
        <f t="shared" si="30"/>
        <v>Saturday</v>
      </c>
      <c r="C673" s="1" t="b">
        <f t="shared" si="31"/>
        <v>1</v>
      </c>
      <c r="D673">
        <f>VLOOKUP($A673,survey_2yrs!A:B, 2)</f>
        <v>46.3</v>
      </c>
      <c r="E673">
        <f>VLOOKUP($A673,survey_2yrs!$A:C, 3)</f>
        <v>53.7</v>
      </c>
      <c r="F673">
        <f>VLOOKUP($A673,survey_2yrs!$A:D, 4)</f>
        <v>49</v>
      </c>
      <c r="G673">
        <f>_xlfn.XLOOKUP(A673,survey_2yrs!A:A,survey_2yrs!E:E)</f>
        <v>51</v>
      </c>
      <c r="H673">
        <f>_xlfn.XLOOKUP($A673,weather_2yrs!$A:$A,weather_2yrs!B:B)</f>
        <v>87.6</v>
      </c>
      <c r="I673">
        <f>_xlfn.XLOOKUP($A673,weather_2yrs!$A:$A,weather_2yrs!C:C)</f>
        <v>0</v>
      </c>
      <c r="J673">
        <f>_xlfn.XLOOKUP($A673,weather_2yrs!$A:$A,weather_2yrs!D:D)</f>
        <v>0</v>
      </c>
      <c r="K673">
        <f>_xlfn.XLOOKUP($A673,weather_2yrs!$A:$A,weather_2yrs!E:E)</f>
        <v>62.2</v>
      </c>
      <c r="L673">
        <f>_xlfn.XLOOKUP($A673,sales!$A:$A,sales!B:B)</f>
        <v>1</v>
      </c>
      <c r="M673" t="str">
        <f>_xlfn.XLOOKUP($A673,sales!$A:$A,sales!C:C)</f>
        <v>Miami Beach</v>
      </c>
      <c r="N673">
        <f>_xlfn.XLOOKUP($A673,sales!$A:$A,sales!D:D)</f>
        <v>358</v>
      </c>
      <c r="O673">
        <f>_xlfn.XLOOKUP($A673,sales!$A:$A,sales!E:E)</f>
        <v>6841.69</v>
      </c>
      <c r="P673" s="4">
        <f t="shared" si="32"/>
        <v>19.11086592178771</v>
      </c>
    </row>
    <row r="674" spans="1:16" x14ac:dyDescent="0.25">
      <c r="A674" s="1">
        <v>45599</v>
      </c>
      <c r="B674" s="1" t="str">
        <f t="shared" si="30"/>
        <v>Sunday</v>
      </c>
      <c r="C674" s="1" t="b">
        <f t="shared" si="31"/>
        <v>1</v>
      </c>
      <c r="D674">
        <f>VLOOKUP($A674,survey_2yrs!A:B, 2)</f>
        <v>45.8</v>
      </c>
      <c r="E674">
        <f>VLOOKUP($A674,survey_2yrs!$A:C, 3)</f>
        <v>54.2</v>
      </c>
      <c r="F674">
        <f>VLOOKUP($A674,survey_2yrs!$A:D, 4)</f>
        <v>50.2</v>
      </c>
      <c r="G674">
        <f>_xlfn.XLOOKUP(A674,survey_2yrs!A:A,survey_2yrs!E:E)</f>
        <v>49.8</v>
      </c>
      <c r="H674">
        <f>_xlfn.XLOOKUP($A674,weather_2yrs!$A:$A,weather_2yrs!B:B)</f>
        <v>91.9</v>
      </c>
      <c r="I674">
        <f>_xlfn.XLOOKUP($A674,weather_2yrs!$A:$A,weather_2yrs!C:C)</f>
        <v>0</v>
      </c>
      <c r="J674">
        <f>_xlfn.XLOOKUP($A674,weather_2yrs!$A:$A,weather_2yrs!D:D)</f>
        <v>0</v>
      </c>
      <c r="K674">
        <f>_xlfn.XLOOKUP($A674,weather_2yrs!$A:$A,weather_2yrs!E:E)</f>
        <v>66.3</v>
      </c>
      <c r="L674">
        <f>_xlfn.XLOOKUP($A674,sales!$A:$A,sales!B:B)</f>
        <v>1</v>
      </c>
      <c r="M674" t="str">
        <f>_xlfn.XLOOKUP($A674,sales!$A:$A,sales!C:C)</f>
        <v>Miami Beach</v>
      </c>
      <c r="N674">
        <f>_xlfn.XLOOKUP($A674,sales!$A:$A,sales!D:D)</f>
        <v>367</v>
      </c>
      <c r="O674">
        <f>_xlfn.XLOOKUP($A674,sales!$A:$A,sales!E:E)</f>
        <v>7085.98</v>
      </c>
      <c r="P674" s="4">
        <f t="shared" si="32"/>
        <v>19.30784741144414</v>
      </c>
    </row>
    <row r="675" spans="1:16" x14ac:dyDescent="0.25">
      <c r="A675" s="1">
        <v>45600</v>
      </c>
      <c r="B675" s="1" t="str">
        <f t="shared" si="30"/>
        <v>Monday</v>
      </c>
      <c r="C675" s="1" t="b">
        <f t="shared" si="31"/>
        <v>0</v>
      </c>
      <c r="D675">
        <f>VLOOKUP($A675,survey_2yrs!A:B, 2)</f>
        <v>47.1</v>
      </c>
      <c r="E675">
        <f>VLOOKUP($A675,survey_2yrs!$A:C, 3)</f>
        <v>52.9</v>
      </c>
      <c r="F675">
        <f>VLOOKUP($A675,survey_2yrs!$A:D, 4)</f>
        <v>44.3</v>
      </c>
      <c r="G675">
        <f>_xlfn.XLOOKUP(A675,survey_2yrs!A:A,survey_2yrs!E:E)</f>
        <v>55.7</v>
      </c>
      <c r="H675">
        <f>_xlfn.XLOOKUP($A675,weather_2yrs!$A:$A,weather_2yrs!B:B)</f>
        <v>83.3</v>
      </c>
      <c r="I675">
        <f>_xlfn.XLOOKUP($A675,weather_2yrs!$A:$A,weather_2yrs!C:C)</f>
        <v>0</v>
      </c>
      <c r="J675">
        <f>_xlfn.XLOOKUP($A675,weather_2yrs!$A:$A,weather_2yrs!D:D)</f>
        <v>0</v>
      </c>
      <c r="K675">
        <f>_xlfn.XLOOKUP($A675,weather_2yrs!$A:$A,weather_2yrs!E:E)</f>
        <v>72</v>
      </c>
      <c r="L675">
        <f>_xlfn.XLOOKUP($A675,sales!$A:$A,sales!B:B)</f>
        <v>1</v>
      </c>
      <c r="M675" t="str">
        <f>_xlfn.XLOOKUP($A675,sales!$A:$A,sales!C:C)</f>
        <v>Miami Beach</v>
      </c>
      <c r="N675">
        <f>_xlfn.XLOOKUP($A675,sales!$A:$A,sales!D:D)</f>
        <v>287</v>
      </c>
      <c r="O675">
        <f>_xlfn.XLOOKUP($A675,sales!$A:$A,sales!E:E)</f>
        <v>5066.49</v>
      </c>
      <c r="P675" s="4">
        <f t="shared" si="32"/>
        <v>17.65327526132404</v>
      </c>
    </row>
    <row r="676" spans="1:16" x14ac:dyDescent="0.25">
      <c r="A676" s="1">
        <v>45601</v>
      </c>
      <c r="B676" s="1" t="str">
        <f t="shared" si="30"/>
        <v>Tuesday</v>
      </c>
      <c r="C676" s="1" t="b">
        <f t="shared" si="31"/>
        <v>0</v>
      </c>
      <c r="D676">
        <f>VLOOKUP($A676,survey_2yrs!A:B, 2)</f>
        <v>46.7</v>
      </c>
      <c r="E676">
        <f>VLOOKUP($A676,survey_2yrs!$A:C, 3)</f>
        <v>53.3</v>
      </c>
      <c r="F676">
        <f>VLOOKUP($A676,survey_2yrs!$A:D, 4)</f>
        <v>43.6</v>
      </c>
      <c r="G676">
        <f>_xlfn.XLOOKUP(A676,survey_2yrs!A:A,survey_2yrs!E:E)</f>
        <v>56.4</v>
      </c>
      <c r="H676">
        <f>_xlfn.XLOOKUP($A676,weather_2yrs!$A:$A,weather_2yrs!B:B)</f>
        <v>83.1</v>
      </c>
      <c r="I676">
        <f>_xlfn.XLOOKUP($A676,weather_2yrs!$A:$A,weather_2yrs!C:C)</f>
        <v>0.79</v>
      </c>
      <c r="J676">
        <f>_xlfn.XLOOKUP($A676,weather_2yrs!$A:$A,weather_2yrs!D:D)</f>
        <v>1</v>
      </c>
      <c r="K676">
        <f>_xlfn.XLOOKUP($A676,weather_2yrs!$A:$A,weather_2yrs!E:E)</f>
        <v>65.8</v>
      </c>
      <c r="L676">
        <f>_xlfn.XLOOKUP($A676,sales!$A:$A,sales!B:B)</f>
        <v>1</v>
      </c>
      <c r="M676" t="str">
        <f>_xlfn.XLOOKUP($A676,sales!$A:$A,sales!C:C)</f>
        <v>Miami Beach</v>
      </c>
      <c r="N676">
        <f>_xlfn.XLOOKUP($A676,sales!$A:$A,sales!D:D)</f>
        <v>269</v>
      </c>
      <c r="O676">
        <f>_xlfn.XLOOKUP($A676,sales!$A:$A,sales!E:E)</f>
        <v>4688.99</v>
      </c>
      <c r="P676" s="4">
        <f t="shared" si="32"/>
        <v>17.431189591078066</v>
      </c>
    </row>
    <row r="677" spans="1:16" x14ac:dyDescent="0.25">
      <c r="A677" s="1">
        <v>45602</v>
      </c>
      <c r="B677" s="1" t="str">
        <f t="shared" si="30"/>
        <v>Wednesday</v>
      </c>
      <c r="C677" s="1" t="b">
        <f t="shared" si="31"/>
        <v>0</v>
      </c>
      <c r="D677">
        <f>VLOOKUP($A677,survey_2yrs!A:B, 2)</f>
        <v>45</v>
      </c>
      <c r="E677">
        <f>VLOOKUP($A677,survey_2yrs!$A:C, 3)</f>
        <v>55</v>
      </c>
      <c r="F677">
        <f>VLOOKUP($A677,survey_2yrs!$A:D, 4)</f>
        <v>43.4</v>
      </c>
      <c r="G677">
        <f>_xlfn.XLOOKUP(A677,survey_2yrs!A:A,survey_2yrs!E:E)</f>
        <v>56.6</v>
      </c>
      <c r="H677">
        <f>_xlfn.XLOOKUP($A677,weather_2yrs!$A:$A,weather_2yrs!B:B)</f>
        <v>86</v>
      </c>
      <c r="I677">
        <f>_xlfn.XLOOKUP($A677,weather_2yrs!$A:$A,weather_2yrs!C:C)</f>
        <v>0</v>
      </c>
      <c r="J677">
        <f>_xlfn.XLOOKUP($A677,weather_2yrs!$A:$A,weather_2yrs!D:D)</f>
        <v>0</v>
      </c>
      <c r="K677">
        <f>_xlfn.XLOOKUP($A677,weather_2yrs!$A:$A,weather_2yrs!E:E)</f>
        <v>58.8</v>
      </c>
      <c r="L677">
        <f>_xlfn.XLOOKUP($A677,sales!$A:$A,sales!B:B)</f>
        <v>1</v>
      </c>
      <c r="M677" t="str">
        <f>_xlfn.XLOOKUP($A677,sales!$A:$A,sales!C:C)</f>
        <v>Miami Beach</v>
      </c>
      <c r="N677">
        <f>_xlfn.XLOOKUP($A677,sales!$A:$A,sales!D:D)</f>
        <v>292</v>
      </c>
      <c r="O677">
        <f>_xlfn.XLOOKUP($A677,sales!$A:$A,sales!E:E)</f>
        <v>5683.83</v>
      </c>
      <c r="P677" s="4">
        <f t="shared" si="32"/>
        <v>19.465171232876713</v>
      </c>
    </row>
    <row r="678" spans="1:16" x14ac:dyDescent="0.25">
      <c r="A678" s="1">
        <v>45603</v>
      </c>
      <c r="B678" s="1" t="str">
        <f t="shared" si="30"/>
        <v>Thursday</v>
      </c>
      <c r="C678" s="1" t="b">
        <f t="shared" si="31"/>
        <v>0</v>
      </c>
      <c r="D678">
        <f>VLOOKUP($A678,survey_2yrs!A:B, 2)</f>
        <v>45.6</v>
      </c>
      <c r="E678">
        <f>VLOOKUP($A678,survey_2yrs!$A:C, 3)</f>
        <v>54.4</v>
      </c>
      <c r="F678">
        <f>VLOOKUP($A678,survey_2yrs!$A:D, 4)</f>
        <v>41</v>
      </c>
      <c r="G678">
        <f>_xlfn.XLOOKUP(A678,survey_2yrs!A:A,survey_2yrs!E:E)</f>
        <v>59</v>
      </c>
      <c r="H678">
        <f>_xlfn.XLOOKUP($A678,weather_2yrs!$A:$A,weather_2yrs!B:B)</f>
        <v>83.8</v>
      </c>
      <c r="I678">
        <f>_xlfn.XLOOKUP($A678,weather_2yrs!$A:$A,weather_2yrs!C:C)</f>
        <v>1.64</v>
      </c>
      <c r="J678">
        <f>_xlfn.XLOOKUP($A678,weather_2yrs!$A:$A,weather_2yrs!D:D)</f>
        <v>1</v>
      </c>
      <c r="K678">
        <f>_xlfn.XLOOKUP($A678,weather_2yrs!$A:$A,weather_2yrs!E:E)</f>
        <v>61.6</v>
      </c>
      <c r="L678">
        <f>_xlfn.XLOOKUP($A678,sales!$A:$A,sales!B:B)</f>
        <v>1</v>
      </c>
      <c r="M678" t="str">
        <f>_xlfn.XLOOKUP($A678,sales!$A:$A,sales!C:C)</f>
        <v>Miami Beach</v>
      </c>
      <c r="N678">
        <f>_xlfn.XLOOKUP($A678,sales!$A:$A,sales!D:D)</f>
        <v>243</v>
      </c>
      <c r="O678">
        <f>_xlfn.XLOOKUP($A678,sales!$A:$A,sales!E:E)</f>
        <v>4410.57</v>
      </c>
      <c r="P678" s="4">
        <f t="shared" si="32"/>
        <v>18.150493827160492</v>
      </c>
    </row>
    <row r="679" spans="1:16" x14ac:dyDescent="0.25">
      <c r="A679" s="1">
        <v>45604</v>
      </c>
      <c r="B679" s="1" t="str">
        <f t="shared" si="30"/>
        <v>Friday</v>
      </c>
      <c r="C679" s="1" t="b">
        <f t="shared" si="31"/>
        <v>0</v>
      </c>
      <c r="D679">
        <f>VLOOKUP($A679,survey_2yrs!A:B, 2)</f>
        <v>47.7</v>
      </c>
      <c r="E679">
        <f>VLOOKUP($A679,survey_2yrs!$A:C, 3)</f>
        <v>52.3</v>
      </c>
      <c r="F679">
        <f>VLOOKUP($A679,survey_2yrs!$A:D, 4)</f>
        <v>44.1</v>
      </c>
      <c r="G679">
        <f>_xlfn.XLOOKUP(A679,survey_2yrs!A:A,survey_2yrs!E:E)</f>
        <v>55.9</v>
      </c>
      <c r="H679">
        <f>_xlfn.XLOOKUP($A679,weather_2yrs!$A:$A,weather_2yrs!B:B)</f>
        <v>82.8</v>
      </c>
      <c r="I679">
        <f>_xlfn.XLOOKUP($A679,weather_2yrs!$A:$A,weather_2yrs!C:C)</f>
        <v>0</v>
      </c>
      <c r="J679">
        <f>_xlfn.XLOOKUP($A679,weather_2yrs!$A:$A,weather_2yrs!D:D)</f>
        <v>0</v>
      </c>
      <c r="K679">
        <f>_xlfn.XLOOKUP($A679,weather_2yrs!$A:$A,weather_2yrs!E:E)</f>
        <v>76</v>
      </c>
      <c r="L679">
        <f>_xlfn.XLOOKUP($A679,sales!$A:$A,sales!B:B)</f>
        <v>1</v>
      </c>
      <c r="M679" t="str">
        <f>_xlfn.XLOOKUP($A679,sales!$A:$A,sales!C:C)</f>
        <v>Miami Beach</v>
      </c>
      <c r="N679">
        <f>_xlfn.XLOOKUP($A679,sales!$A:$A,sales!D:D)</f>
        <v>285</v>
      </c>
      <c r="O679">
        <f>_xlfn.XLOOKUP($A679,sales!$A:$A,sales!E:E)</f>
        <v>5279.02</v>
      </c>
      <c r="P679" s="4">
        <f t="shared" si="32"/>
        <v>18.522877192982456</v>
      </c>
    </row>
    <row r="680" spans="1:16" x14ac:dyDescent="0.25">
      <c r="A680" s="1">
        <v>45605</v>
      </c>
      <c r="B680" s="1" t="str">
        <f t="shared" si="30"/>
        <v>Saturday</v>
      </c>
      <c r="C680" s="1" t="b">
        <f t="shared" si="31"/>
        <v>1</v>
      </c>
      <c r="D680">
        <f>VLOOKUP($A680,survey_2yrs!A:B, 2)</f>
        <v>45.9</v>
      </c>
      <c r="E680">
        <f>VLOOKUP($A680,survey_2yrs!$A:C, 3)</f>
        <v>54.1</v>
      </c>
      <c r="F680">
        <f>VLOOKUP($A680,survey_2yrs!$A:D, 4)</f>
        <v>50</v>
      </c>
      <c r="G680">
        <f>_xlfn.XLOOKUP(A680,survey_2yrs!A:A,survey_2yrs!E:E)</f>
        <v>50</v>
      </c>
      <c r="H680">
        <f>_xlfn.XLOOKUP($A680,weather_2yrs!$A:$A,weather_2yrs!B:B)</f>
        <v>88</v>
      </c>
      <c r="I680">
        <f>_xlfn.XLOOKUP($A680,weather_2yrs!$A:$A,weather_2yrs!C:C)</f>
        <v>0</v>
      </c>
      <c r="J680">
        <f>_xlfn.XLOOKUP($A680,weather_2yrs!$A:$A,weather_2yrs!D:D)</f>
        <v>0</v>
      </c>
      <c r="K680">
        <f>_xlfn.XLOOKUP($A680,weather_2yrs!$A:$A,weather_2yrs!E:E)</f>
        <v>68.3</v>
      </c>
      <c r="L680">
        <f>_xlfn.XLOOKUP($A680,sales!$A:$A,sales!B:B)</f>
        <v>1</v>
      </c>
      <c r="M680" t="str">
        <f>_xlfn.XLOOKUP($A680,sales!$A:$A,sales!C:C)</f>
        <v>Miami Beach</v>
      </c>
      <c r="N680">
        <f>_xlfn.XLOOKUP($A680,sales!$A:$A,sales!D:D)</f>
        <v>326</v>
      </c>
      <c r="O680">
        <f>_xlfn.XLOOKUP($A680,sales!$A:$A,sales!E:E)</f>
        <v>6482.83</v>
      </c>
      <c r="P680" s="4">
        <f t="shared" si="32"/>
        <v>19.885981595092023</v>
      </c>
    </row>
    <row r="681" spans="1:16" x14ac:dyDescent="0.25">
      <c r="A681" s="1">
        <v>45606</v>
      </c>
      <c r="B681" s="1" t="str">
        <f t="shared" si="30"/>
        <v>Sunday</v>
      </c>
      <c r="C681" s="1" t="b">
        <f t="shared" si="31"/>
        <v>1</v>
      </c>
      <c r="D681">
        <f>VLOOKUP($A681,survey_2yrs!A:B, 2)</f>
        <v>45.2</v>
      </c>
      <c r="E681">
        <f>VLOOKUP($A681,survey_2yrs!$A:C, 3)</f>
        <v>54.8</v>
      </c>
      <c r="F681">
        <f>VLOOKUP($A681,survey_2yrs!$A:D, 4)</f>
        <v>49.7</v>
      </c>
      <c r="G681">
        <f>_xlfn.XLOOKUP(A681,survey_2yrs!A:A,survey_2yrs!E:E)</f>
        <v>50.3</v>
      </c>
      <c r="H681">
        <f>_xlfn.XLOOKUP($A681,weather_2yrs!$A:$A,weather_2yrs!B:B)</f>
        <v>86.7</v>
      </c>
      <c r="I681">
        <f>_xlfn.XLOOKUP($A681,weather_2yrs!$A:$A,weather_2yrs!C:C)</f>
        <v>0</v>
      </c>
      <c r="J681">
        <f>_xlfn.XLOOKUP($A681,weather_2yrs!$A:$A,weather_2yrs!D:D)</f>
        <v>0</v>
      </c>
      <c r="K681">
        <f>_xlfn.XLOOKUP($A681,weather_2yrs!$A:$A,weather_2yrs!E:E)</f>
        <v>61.7</v>
      </c>
      <c r="L681">
        <f>_xlfn.XLOOKUP($A681,sales!$A:$A,sales!B:B)</f>
        <v>1</v>
      </c>
      <c r="M681" t="str">
        <f>_xlfn.XLOOKUP($A681,sales!$A:$A,sales!C:C)</f>
        <v>Miami Beach</v>
      </c>
      <c r="N681">
        <f>_xlfn.XLOOKUP($A681,sales!$A:$A,sales!D:D)</f>
        <v>371</v>
      </c>
      <c r="O681">
        <f>_xlfn.XLOOKUP($A681,sales!$A:$A,sales!E:E)</f>
        <v>6763.48</v>
      </c>
      <c r="P681" s="4">
        <f t="shared" si="32"/>
        <v>18.230404312668462</v>
      </c>
    </row>
    <row r="682" spans="1:16" x14ac:dyDescent="0.25">
      <c r="A682" s="1">
        <v>45607</v>
      </c>
      <c r="B682" s="1" t="str">
        <f t="shared" si="30"/>
        <v>Monday</v>
      </c>
      <c r="C682" s="1" t="b">
        <f t="shared" si="31"/>
        <v>0</v>
      </c>
      <c r="D682">
        <f>VLOOKUP($A682,survey_2yrs!A:B, 2)</f>
        <v>46.2</v>
      </c>
      <c r="E682">
        <f>VLOOKUP($A682,survey_2yrs!$A:C, 3)</f>
        <v>53.8</v>
      </c>
      <c r="F682">
        <f>VLOOKUP($A682,survey_2yrs!$A:D, 4)</f>
        <v>44.5</v>
      </c>
      <c r="G682">
        <f>_xlfn.XLOOKUP(A682,survey_2yrs!A:A,survey_2yrs!E:E)</f>
        <v>55.5</v>
      </c>
      <c r="H682">
        <f>_xlfn.XLOOKUP($A682,weather_2yrs!$A:$A,weather_2yrs!B:B)</f>
        <v>85.1</v>
      </c>
      <c r="I682">
        <f>_xlfn.XLOOKUP($A682,weather_2yrs!$A:$A,weather_2yrs!C:C)</f>
        <v>0</v>
      </c>
      <c r="J682">
        <f>_xlfn.XLOOKUP($A682,weather_2yrs!$A:$A,weather_2yrs!D:D)</f>
        <v>0</v>
      </c>
      <c r="K682">
        <f>_xlfn.XLOOKUP($A682,weather_2yrs!$A:$A,weather_2yrs!E:E)</f>
        <v>62.7</v>
      </c>
      <c r="L682">
        <f>_xlfn.XLOOKUP($A682,sales!$A:$A,sales!B:B)</f>
        <v>1</v>
      </c>
      <c r="M682" t="str">
        <f>_xlfn.XLOOKUP($A682,sales!$A:$A,sales!C:C)</f>
        <v>Miami Beach</v>
      </c>
      <c r="N682">
        <f>_xlfn.XLOOKUP($A682,sales!$A:$A,sales!D:D)</f>
        <v>335</v>
      </c>
      <c r="O682">
        <f>_xlfn.XLOOKUP($A682,sales!$A:$A,sales!E:E)</f>
        <v>5657.44</v>
      </c>
      <c r="P682" s="4">
        <f t="shared" si="32"/>
        <v>16.887880597014924</v>
      </c>
    </row>
    <row r="683" spans="1:16" x14ac:dyDescent="0.25">
      <c r="A683" s="1">
        <v>45608</v>
      </c>
      <c r="B683" s="1" t="str">
        <f t="shared" si="30"/>
        <v>Tuesday</v>
      </c>
      <c r="C683" s="1" t="b">
        <f t="shared" si="31"/>
        <v>0</v>
      </c>
      <c r="D683">
        <f>VLOOKUP($A683,survey_2yrs!A:B, 2)</f>
        <v>46.5</v>
      </c>
      <c r="E683">
        <f>VLOOKUP($A683,survey_2yrs!$A:C, 3)</f>
        <v>53.5</v>
      </c>
      <c r="F683">
        <f>VLOOKUP($A683,survey_2yrs!$A:D, 4)</f>
        <v>43.5</v>
      </c>
      <c r="G683">
        <f>_xlfn.XLOOKUP(A683,survey_2yrs!A:A,survey_2yrs!E:E)</f>
        <v>56.5</v>
      </c>
      <c r="H683">
        <f>_xlfn.XLOOKUP($A683,weather_2yrs!$A:$A,weather_2yrs!B:B)</f>
        <v>84.9</v>
      </c>
      <c r="I683">
        <f>_xlfn.XLOOKUP($A683,weather_2yrs!$A:$A,weather_2yrs!C:C)</f>
        <v>0</v>
      </c>
      <c r="J683">
        <f>_xlfn.XLOOKUP($A683,weather_2yrs!$A:$A,weather_2yrs!D:D)</f>
        <v>0</v>
      </c>
      <c r="K683">
        <f>_xlfn.XLOOKUP($A683,weather_2yrs!$A:$A,weather_2yrs!E:E)</f>
        <v>66.3</v>
      </c>
      <c r="L683">
        <f>_xlfn.XLOOKUP($A683,sales!$A:$A,sales!B:B)</f>
        <v>1</v>
      </c>
      <c r="M683" t="str">
        <f>_xlfn.XLOOKUP($A683,sales!$A:$A,sales!C:C)</f>
        <v>Miami Beach</v>
      </c>
      <c r="N683">
        <f>_xlfn.XLOOKUP($A683,sales!$A:$A,sales!D:D)</f>
        <v>280</v>
      </c>
      <c r="O683">
        <f>_xlfn.XLOOKUP($A683,sales!$A:$A,sales!E:E)</f>
        <v>5334.11</v>
      </c>
      <c r="P683" s="4">
        <f t="shared" si="32"/>
        <v>19.050392857142857</v>
      </c>
    </row>
    <row r="684" spans="1:16" x14ac:dyDescent="0.25">
      <c r="A684" s="1">
        <v>45609</v>
      </c>
      <c r="B684" s="1" t="str">
        <f t="shared" si="30"/>
        <v>Wednesday</v>
      </c>
      <c r="C684" s="1" t="b">
        <f t="shared" si="31"/>
        <v>0</v>
      </c>
      <c r="D684">
        <f>VLOOKUP($A684,survey_2yrs!A:B, 2)</f>
        <v>46.2</v>
      </c>
      <c r="E684">
        <f>VLOOKUP($A684,survey_2yrs!$A:C, 3)</f>
        <v>53.8</v>
      </c>
      <c r="F684">
        <f>VLOOKUP($A684,survey_2yrs!$A:D, 4)</f>
        <v>43.3</v>
      </c>
      <c r="G684">
        <f>_xlfn.XLOOKUP(A684,survey_2yrs!A:A,survey_2yrs!E:E)</f>
        <v>56.7</v>
      </c>
      <c r="H684">
        <f>_xlfn.XLOOKUP($A684,weather_2yrs!$A:$A,weather_2yrs!B:B)</f>
        <v>85.9</v>
      </c>
      <c r="I684">
        <f>_xlfn.XLOOKUP($A684,weather_2yrs!$A:$A,weather_2yrs!C:C)</f>
        <v>0</v>
      </c>
      <c r="J684">
        <f>_xlfn.XLOOKUP($A684,weather_2yrs!$A:$A,weather_2yrs!D:D)</f>
        <v>0</v>
      </c>
      <c r="K684">
        <f>_xlfn.XLOOKUP($A684,weather_2yrs!$A:$A,weather_2yrs!E:E)</f>
        <v>62</v>
      </c>
      <c r="L684">
        <f>_xlfn.XLOOKUP($A684,sales!$A:$A,sales!B:B)</f>
        <v>1</v>
      </c>
      <c r="M684" t="str">
        <f>_xlfn.XLOOKUP($A684,sales!$A:$A,sales!C:C)</f>
        <v>Miami Beach</v>
      </c>
      <c r="N684">
        <f>_xlfn.XLOOKUP($A684,sales!$A:$A,sales!D:D)</f>
        <v>315</v>
      </c>
      <c r="O684">
        <f>_xlfn.XLOOKUP($A684,sales!$A:$A,sales!E:E)</f>
        <v>5927.78</v>
      </c>
      <c r="P684" s="4">
        <f t="shared" si="32"/>
        <v>18.818349206349204</v>
      </c>
    </row>
    <row r="685" spans="1:16" x14ac:dyDescent="0.25">
      <c r="A685" s="1">
        <v>45610</v>
      </c>
      <c r="B685" s="1" t="str">
        <f t="shared" si="30"/>
        <v>Thursday</v>
      </c>
      <c r="C685" s="1" t="b">
        <f t="shared" si="31"/>
        <v>0</v>
      </c>
      <c r="D685">
        <f>VLOOKUP($A685,survey_2yrs!A:B, 2)</f>
        <v>45.9</v>
      </c>
      <c r="E685">
        <f>VLOOKUP($A685,survey_2yrs!$A:C, 3)</f>
        <v>54.1</v>
      </c>
      <c r="F685">
        <f>VLOOKUP($A685,survey_2yrs!$A:D, 4)</f>
        <v>42.4</v>
      </c>
      <c r="G685">
        <f>_xlfn.XLOOKUP(A685,survey_2yrs!A:A,survey_2yrs!E:E)</f>
        <v>57.6</v>
      </c>
      <c r="H685">
        <f>_xlfn.XLOOKUP($A685,weather_2yrs!$A:$A,weather_2yrs!B:B)</f>
        <v>76.2</v>
      </c>
      <c r="I685">
        <f>_xlfn.XLOOKUP($A685,weather_2yrs!$A:$A,weather_2yrs!C:C)</f>
        <v>0</v>
      </c>
      <c r="J685">
        <f>_xlfn.XLOOKUP($A685,weather_2yrs!$A:$A,weather_2yrs!D:D)</f>
        <v>0</v>
      </c>
      <c r="K685">
        <f>_xlfn.XLOOKUP($A685,weather_2yrs!$A:$A,weather_2yrs!E:E)</f>
        <v>61.6</v>
      </c>
      <c r="L685">
        <f>_xlfn.XLOOKUP($A685,sales!$A:$A,sales!B:B)</f>
        <v>1</v>
      </c>
      <c r="M685" t="str">
        <f>_xlfn.XLOOKUP($A685,sales!$A:$A,sales!C:C)</f>
        <v>Miami Beach</v>
      </c>
      <c r="N685">
        <f>_xlfn.XLOOKUP($A685,sales!$A:$A,sales!D:D)</f>
        <v>259</v>
      </c>
      <c r="O685">
        <f>_xlfn.XLOOKUP($A685,sales!$A:$A,sales!E:E)</f>
        <v>4964.04</v>
      </c>
      <c r="P685" s="4">
        <f t="shared" si="32"/>
        <v>19.166177606177605</v>
      </c>
    </row>
    <row r="686" spans="1:16" x14ac:dyDescent="0.25">
      <c r="A686" s="1">
        <v>45611</v>
      </c>
      <c r="B686" s="1" t="str">
        <f t="shared" si="30"/>
        <v>Friday</v>
      </c>
      <c r="C686" s="1" t="b">
        <f t="shared" si="31"/>
        <v>0</v>
      </c>
      <c r="D686">
        <f>VLOOKUP($A686,survey_2yrs!A:B, 2)</f>
        <v>47.2</v>
      </c>
      <c r="E686">
        <f>VLOOKUP($A686,survey_2yrs!$A:C, 3)</f>
        <v>52.8</v>
      </c>
      <c r="F686">
        <f>VLOOKUP($A686,survey_2yrs!$A:D, 4)</f>
        <v>45</v>
      </c>
      <c r="G686">
        <f>_xlfn.XLOOKUP(A686,survey_2yrs!A:A,survey_2yrs!E:E)</f>
        <v>55</v>
      </c>
      <c r="H686">
        <f>_xlfn.XLOOKUP($A686,weather_2yrs!$A:$A,weather_2yrs!B:B)</f>
        <v>77.599999999999994</v>
      </c>
      <c r="I686">
        <f>_xlfn.XLOOKUP($A686,weather_2yrs!$A:$A,weather_2yrs!C:C)</f>
        <v>0</v>
      </c>
      <c r="J686">
        <f>_xlfn.XLOOKUP($A686,weather_2yrs!$A:$A,weather_2yrs!D:D)</f>
        <v>0</v>
      </c>
      <c r="K686">
        <f>_xlfn.XLOOKUP($A686,weather_2yrs!$A:$A,weather_2yrs!E:E)</f>
        <v>59.7</v>
      </c>
      <c r="L686">
        <f>_xlfn.XLOOKUP($A686,sales!$A:$A,sales!B:B)</f>
        <v>1</v>
      </c>
      <c r="M686" t="str">
        <f>_xlfn.XLOOKUP($A686,sales!$A:$A,sales!C:C)</f>
        <v>Miami Beach</v>
      </c>
      <c r="N686">
        <f>_xlfn.XLOOKUP($A686,sales!$A:$A,sales!D:D)</f>
        <v>265</v>
      </c>
      <c r="O686">
        <f>_xlfn.XLOOKUP($A686,sales!$A:$A,sales!E:E)</f>
        <v>4929.91</v>
      </c>
      <c r="P686" s="4">
        <f t="shared" si="32"/>
        <v>18.603433962264152</v>
      </c>
    </row>
    <row r="687" spans="1:16" x14ac:dyDescent="0.25">
      <c r="A687" s="1">
        <v>45612</v>
      </c>
      <c r="B687" s="1" t="str">
        <f t="shared" si="30"/>
        <v>Saturday</v>
      </c>
      <c r="C687" s="1" t="b">
        <f t="shared" si="31"/>
        <v>1</v>
      </c>
      <c r="D687">
        <f>VLOOKUP($A687,survey_2yrs!A:B, 2)</f>
        <v>47.3</v>
      </c>
      <c r="E687">
        <f>VLOOKUP($A687,survey_2yrs!$A:C, 3)</f>
        <v>52.7</v>
      </c>
      <c r="F687">
        <f>VLOOKUP($A687,survey_2yrs!$A:D, 4)</f>
        <v>49</v>
      </c>
      <c r="G687">
        <f>_xlfn.XLOOKUP(A687,survey_2yrs!A:A,survey_2yrs!E:E)</f>
        <v>51</v>
      </c>
      <c r="H687">
        <f>_xlfn.XLOOKUP($A687,weather_2yrs!$A:$A,weather_2yrs!B:B)</f>
        <v>88.2</v>
      </c>
      <c r="I687">
        <f>_xlfn.XLOOKUP($A687,weather_2yrs!$A:$A,weather_2yrs!C:C)</f>
        <v>0</v>
      </c>
      <c r="J687">
        <f>_xlfn.XLOOKUP($A687,weather_2yrs!$A:$A,weather_2yrs!D:D)</f>
        <v>0</v>
      </c>
      <c r="K687">
        <f>_xlfn.XLOOKUP($A687,weather_2yrs!$A:$A,weather_2yrs!E:E)</f>
        <v>59.8</v>
      </c>
      <c r="L687">
        <f>_xlfn.XLOOKUP($A687,sales!$A:$A,sales!B:B)</f>
        <v>1</v>
      </c>
      <c r="M687" t="str">
        <f>_xlfn.XLOOKUP($A687,sales!$A:$A,sales!C:C)</f>
        <v>Miami Beach</v>
      </c>
      <c r="N687">
        <f>_xlfn.XLOOKUP($A687,sales!$A:$A,sales!D:D)</f>
        <v>349</v>
      </c>
      <c r="O687">
        <f>_xlfn.XLOOKUP($A687,sales!$A:$A,sales!E:E)</f>
        <v>6475.56</v>
      </c>
      <c r="P687" s="4">
        <f t="shared" si="32"/>
        <v>18.554613180515762</v>
      </c>
    </row>
    <row r="688" spans="1:16" x14ac:dyDescent="0.25">
      <c r="A688" s="1">
        <v>45613</v>
      </c>
      <c r="B688" s="1" t="str">
        <f t="shared" si="30"/>
        <v>Sunday</v>
      </c>
      <c r="C688" s="1" t="b">
        <f t="shared" si="31"/>
        <v>1</v>
      </c>
      <c r="D688">
        <f>VLOOKUP($A688,survey_2yrs!A:B, 2)</f>
        <v>45.6</v>
      </c>
      <c r="E688">
        <f>VLOOKUP($A688,survey_2yrs!$A:C, 3)</f>
        <v>54.4</v>
      </c>
      <c r="F688">
        <f>VLOOKUP($A688,survey_2yrs!$A:D, 4)</f>
        <v>50.2</v>
      </c>
      <c r="G688">
        <f>_xlfn.XLOOKUP(A688,survey_2yrs!A:A,survey_2yrs!E:E)</f>
        <v>49.8</v>
      </c>
      <c r="H688">
        <f>_xlfn.XLOOKUP($A688,weather_2yrs!$A:$A,weather_2yrs!B:B)</f>
        <v>86.1</v>
      </c>
      <c r="I688">
        <f>_xlfn.XLOOKUP($A688,weather_2yrs!$A:$A,weather_2yrs!C:C)</f>
        <v>2.02</v>
      </c>
      <c r="J688">
        <f>_xlfn.XLOOKUP($A688,weather_2yrs!$A:$A,weather_2yrs!D:D)</f>
        <v>1</v>
      </c>
      <c r="K688">
        <f>_xlfn.XLOOKUP($A688,weather_2yrs!$A:$A,weather_2yrs!E:E)</f>
        <v>56.6</v>
      </c>
      <c r="L688">
        <f>_xlfn.XLOOKUP($A688,sales!$A:$A,sales!B:B)</f>
        <v>1</v>
      </c>
      <c r="M688" t="str">
        <f>_xlfn.XLOOKUP($A688,sales!$A:$A,sales!C:C)</f>
        <v>Miami Beach</v>
      </c>
      <c r="N688">
        <f>_xlfn.XLOOKUP($A688,sales!$A:$A,sales!D:D)</f>
        <v>313</v>
      </c>
      <c r="O688">
        <f>_xlfn.XLOOKUP($A688,sales!$A:$A,sales!E:E)</f>
        <v>6034.34</v>
      </c>
      <c r="P688" s="4">
        <f t="shared" si="32"/>
        <v>19.279041533546327</v>
      </c>
    </row>
    <row r="689" spans="1:16" x14ac:dyDescent="0.25">
      <c r="A689" s="1">
        <v>45614</v>
      </c>
      <c r="B689" s="1" t="str">
        <f t="shared" si="30"/>
        <v>Monday</v>
      </c>
      <c r="C689" s="1" t="b">
        <f t="shared" si="31"/>
        <v>0</v>
      </c>
      <c r="D689">
        <f>VLOOKUP($A689,survey_2yrs!A:B, 2)</f>
        <v>46.2</v>
      </c>
      <c r="E689">
        <f>VLOOKUP($A689,survey_2yrs!$A:C, 3)</f>
        <v>53.8</v>
      </c>
      <c r="F689">
        <f>VLOOKUP($A689,survey_2yrs!$A:D, 4)</f>
        <v>44.5</v>
      </c>
      <c r="G689">
        <f>_xlfn.XLOOKUP(A689,survey_2yrs!A:A,survey_2yrs!E:E)</f>
        <v>55.5</v>
      </c>
      <c r="H689">
        <f>_xlfn.XLOOKUP($A689,weather_2yrs!$A:$A,weather_2yrs!B:B)</f>
        <v>81.099999999999994</v>
      </c>
      <c r="I689">
        <f>_xlfn.XLOOKUP($A689,weather_2yrs!$A:$A,weather_2yrs!C:C)</f>
        <v>0</v>
      </c>
      <c r="J689">
        <f>_xlfn.XLOOKUP($A689,weather_2yrs!$A:$A,weather_2yrs!D:D)</f>
        <v>0</v>
      </c>
      <c r="K689">
        <f>_xlfn.XLOOKUP($A689,weather_2yrs!$A:$A,weather_2yrs!E:E)</f>
        <v>58.6</v>
      </c>
      <c r="L689">
        <f>_xlfn.XLOOKUP($A689,sales!$A:$A,sales!B:B)</f>
        <v>1</v>
      </c>
      <c r="M689" t="str">
        <f>_xlfn.XLOOKUP($A689,sales!$A:$A,sales!C:C)</f>
        <v>Miami Beach</v>
      </c>
      <c r="N689">
        <f>_xlfn.XLOOKUP($A689,sales!$A:$A,sales!D:D)</f>
        <v>281</v>
      </c>
      <c r="O689">
        <f>_xlfn.XLOOKUP($A689,sales!$A:$A,sales!E:E)</f>
        <v>5312.43</v>
      </c>
      <c r="P689" s="4">
        <f t="shared" si="32"/>
        <v>18.905444839857651</v>
      </c>
    </row>
    <row r="690" spans="1:16" x14ac:dyDescent="0.25">
      <c r="A690" s="1">
        <v>45615</v>
      </c>
      <c r="B690" s="1" t="str">
        <f t="shared" si="30"/>
        <v>Tuesday</v>
      </c>
      <c r="C690" s="1" t="b">
        <f t="shared" si="31"/>
        <v>0</v>
      </c>
      <c r="D690">
        <f>VLOOKUP($A690,survey_2yrs!A:B, 2)</f>
        <v>45.5</v>
      </c>
      <c r="E690">
        <f>VLOOKUP($A690,survey_2yrs!$A:C, 3)</f>
        <v>54.5</v>
      </c>
      <c r="F690">
        <f>VLOOKUP($A690,survey_2yrs!$A:D, 4)</f>
        <v>43.5</v>
      </c>
      <c r="G690">
        <f>_xlfn.XLOOKUP(A690,survey_2yrs!A:A,survey_2yrs!E:E)</f>
        <v>56.5</v>
      </c>
      <c r="H690">
        <f>_xlfn.XLOOKUP($A690,weather_2yrs!$A:$A,weather_2yrs!B:B)</f>
        <v>82.6</v>
      </c>
      <c r="I690">
        <f>_xlfn.XLOOKUP($A690,weather_2yrs!$A:$A,weather_2yrs!C:C)</f>
        <v>0</v>
      </c>
      <c r="J690">
        <f>_xlfn.XLOOKUP($A690,weather_2yrs!$A:$A,weather_2yrs!D:D)</f>
        <v>0</v>
      </c>
      <c r="K690">
        <f>_xlfn.XLOOKUP($A690,weather_2yrs!$A:$A,weather_2yrs!E:E)</f>
        <v>58.3</v>
      </c>
      <c r="L690">
        <f>_xlfn.XLOOKUP($A690,sales!$A:$A,sales!B:B)</f>
        <v>1</v>
      </c>
      <c r="M690" t="str">
        <f>_xlfn.XLOOKUP($A690,sales!$A:$A,sales!C:C)</f>
        <v>Miami Beach</v>
      </c>
      <c r="N690">
        <f>_xlfn.XLOOKUP($A690,sales!$A:$A,sales!D:D)</f>
        <v>249</v>
      </c>
      <c r="O690">
        <f>_xlfn.XLOOKUP($A690,sales!$A:$A,sales!E:E)</f>
        <v>4507.71</v>
      </c>
      <c r="P690" s="4">
        <f t="shared" si="32"/>
        <v>18.103253012048192</v>
      </c>
    </row>
    <row r="691" spans="1:16" x14ac:dyDescent="0.25">
      <c r="A691" s="1">
        <v>45616</v>
      </c>
      <c r="B691" s="1" t="str">
        <f t="shared" si="30"/>
        <v>Wednesday</v>
      </c>
      <c r="C691" s="1" t="b">
        <f t="shared" si="31"/>
        <v>0</v>
      </c>
      <c r="D691">
        <f>VLOOKUP($A691,survey_2yrs!A:B, 2)</f>
        <v>46.7</v>
      </c>
      <c r="E691">
        <f>VLOOKUP($A691,survey_2yrs!$A:C, 3)</f>
        <v>53.3</v>
      </c>
      <c r="F691">
        <f>VLOOKUP($A691,survey_2yrs!$A:D, 4)</f>
        <v>43.8</v>
      </c>
      <c r="G691">
        <f>_xlfn.XLOOKUP(A691,survey_2yrs!A:A,survey_2yrs!E:E)</f>
        <v>56.2</v>
      </c>
      <c r="H691">
        <f>_xlfn.XLOOKUP($A691,weather_2yrs!$A:$A,weather_2yrs!B:B)</f>
        <v>85.9</v>
      </c>
      <c r="I691">
        <f>_xlfn.XLOOKUP($A691,weather_2yrs!$A:$A,weather_2yrs!C:C)</f>
        <v>0</v>
      </c>
      <c r="J691">
        <f>_xlfn.XLOOKUP($A691,weather_2yrs!$A:$A,weather_2yrs!D:D)</f>
        <v>0</v>
      </c>
      <c r="K691">
        <f>_xlfn.XLOOKUP($A691,weather_2yrs!$A:$A,weather_2yrs!E:E)</f>
        <v>67.400000000000006</v>
      </c>
      <c r="L691">
        <f>_xlfn.XLOOKUP($A691,sales!$A:$A,sales!B:B)</f>
        <v>1</v>
      </c>
      <c r="M691" t="str">
        <f>_xlfn.XLOOKUP($A691,sales!$A:$A,sales!C:C)</f>
        <v>Miami Beach</v>
      </c>
      <c r="N691">
        <f>_xlfn.XLOOKUP($A691,sales!$A:$A,sales!D:D)</f>
        <v>307</v>
      </c>
      <c r="O691">
        <f>_xlfn.XLOOKUP($A691,sales!$A:$A,sales!E:E)</f>
        <v>6541.73</v>
      </c>
      <c r="P691" s="4">
        <f t="shared" si="32"/>
        <v>21.308566775244298</v>
      </c>
    </row>
    <row r="692" spans="1:16" x14ac:dyDescent="0.25">
      <c r="A692" s="1">
        <v>45617</v>
      </c>
      <c r="B692" s="1" t="str">
        <f t="shared" si="30"/>
        <v>Thursday</v>
      </c>
      <c r="C692" s="1" t="b">
        <f t="shared" si="31"/>
        <v>0</v>
      </c>
      <c r="D692">
        <f>VLOOKUP($A692,survey_2yrs!A:B, 2)</f>
        <v>46.9</v>
      </c>
      <c r="E692">
        <f>VLOOKUP($A692,survey_2yrs!$A:C, 3)</f>
        <v>53.1</v>
      </c>
      <c r="F692">
        <f>VLOOKUP($A692,survey_2yrs!$A:D, 4)</f>
        <v>44.5</v>
      </c>
      <c r="G692">
        <f>_xlfn.XLOOKUP(A692,survey_2yrs!A:A,survey_2yrs!E:E)</f>
        <v>55.5</v>
      </c>
      <c r="H692">
        <f>_xlfn.XLOOKUP($A692,weather_2yrs!$A:$A,weather_2yrs!B:B)</f>
        <v>82.3</v>
      </c>
      <c r="I692">
        <f>_xlfn.XLOOKUP($A692,weather_2yrs!$A:$A,weather_2yrs!C:C)</f>
        <v>0</v>
      </c>
      <c r="J692">
        <f>_xlfn.XLOOKUP($A692,weather_2yrs!$A:$A,weather_2yrs!D:D)</f>
        <v>0</v>
      </c>
      <c r="K692">
        <f>_xlfn.XLOOKUP($A692,weather_2yrs!$A:$A,weather_2yrs!E:E)</f>
        <v>60.6</v>
      </c>
      <c r="L692">
        <f>_xlfn.XLOOKUP($A692,sales!$A:$A,sales!B:B)</f>
        <v>1</v>
      </c>
      <c r="M692" t="str">
        <f>_xlfn.XLOOKUP($A692,sales!$A:$A,sales!C:C)</f>
        <v>Miami Beach</v>
      </c>
      <c r="N692">
        <f>_xlfn.XLOOKUP($A692,sales!$A:$A,sales!D:D)</f>
        <v>251</v>
      </c>
      <c r="O692">
        <f>_xlfn.XLOOKUP($A692,sales!$A:$A,sales!E:E)</f>
        <v>4042.17</v>
      </c>
      <c r="P692" s="4">
        <f t="shared" si="32"/>
        <v>16.104262948207172</v>
      </c>
    </row>
    <row r="693" spans="1:16" x14ac:dyDescent="0.25">
      <c r="A693" s="1">
        <v>45618</v>
      </c>
      <c r="B693" s="1" t="str">
        <f t="shared" si="30"/>
        <v>Friday</v>
      </c>
      <c r="C693" s="1" t="b">
        <f t="shared" si="31"/>
        <v>0</v>
      </c>
      <c r="D693">
        <f>VLOOKUP($A693,survey_2yrs!A:B, 2)</f>
        <v>46</v>
      </c>
      <c r="E693">
        <f>VLOOKUP($A693,survey_2yrs!$A:C, 3)</f>
        <v>54</v>
      </c>
      <c r="F693">
        <f>VLOOKUP($A693,survey_2yrs!$A:D, 4)</f>
        <v>43.8</v>
      </c>
      <c r="G693">
        <f>_xlfn.XLOOKUP(A693,survey_2yrs!A:A,survey_2yrs!E:E)</f>
        <v>56.2</v>
      </c>
      <c r="H693">
        <f>_xlfn.XLOOKUP($A693,weather_2yrs!$A:$A,weather_2yrs!B:B)</f>
        <v>77.400000000000006</v>
      </c>
      <c r="I693">
        <f>_xlfn.XLOOKUP($A693,weather_2yrs!$A:$A,weather_2yrs!C:C)</f>
        <v>0</v>
      </c>
      <c r="J693">
        <f>_xlfn.XLOOKUP($A693,weather_2yrs!$A:$A,weather_2yrs!D:D)</f>
        <v>0</v>
      </c>
      <c r="K693">
        <f>_xlfn.XLOOKUP($A693,weather_2yrs!$A:$A,weather_2yrs!E:E)</f>
        <v>67</v>
      </c>
      <c r="L693">
        <f>_xlfn.XLOOKUP($A693,sales!$A:$A,sales!B:B)</f>
        <v>1</v>
      </c>
      <c r="M693" t="str">
        <f>_xlfn.XLOOKUP($A693,sales!$A:$A,sales!C:C)</f>
        <v>Miami Beach</v>
      </c>
      <c r="N693">
        <f>_xlfn.XLOOKUP($A693,sales!$A:$A,sales!D:D)</f>
        <v>263</v>
      </c>
      <c r="O693">
        <f>_xlfn.XLOOKUP($A693,sales!$A:$A,sales!E:E)</f>
        <v>5192.75</v>
      </c>
      <c r="P693" s="4">
        <f t="shared" si="32"/>
        <v>19.744296577946766</v>
      </c>
    </row>
    <row r="694" spans="1:16" x14ac:dyDescent="0.25">
      <c r="A694" s="1">
        <v>45619</v>
      </c>
      <c r="B694" s="1" t="str">
        <f t="shared" si="30"/>
        <v>Saturday</v>
      </c>
      <c r="C694" s="1" t="b">
        <f t="shared" si="31"/>
        <v>1</v>
      </c>
      <c r="D694">
        <f>VLOOKUP($A694,survey_2yrs!A:B, 2)</f>
        <v>47.2</v>
      </c>
      <c r="E694">
        <f>VLOOKUP($A694,survey_2yrs!$A:C, 3)</f>
        <v>52.8</v>
      </c>
      <c r="F694">
        <f>VLOOKUP($A694,survey_2yrs!$A:D, 4)</f>
        <v>52</v>
      </c>
      <c r="G694">
        <f>_xlfn.XLOOKUP(A694,survey_2yrs!A:A,survey_2yrs!E:E)</f>
        <v>48</v>
      </c>
      <c r="H694">
        <f>_xlfn.XLOOKUP($A694,weather_2yrs!$A:$A,weather_2yrs!B:B)</f>
        <v>78.7</v>
      </c>
      <c r="I694">
        <f>_xlfn.XLOOKUP($A694,weather_2yrs!$A:$A,weather_2yrs!C:C)</f>
        <v>0</v>
      </c>
      <c r="J694">
        <f>_xlfn.XLOOKUP($A694,weather_2yrs!$A:$A,weather_2yrs!D:D)</f>
        <v>0</v>
      </c>
      <c r="K694">
        <f>_xlfn.XLOOKUP($A694,weather_2yrs!$A:$A,weather_2yrs!E:E)</f>
        <v>65.5</v>
      </c>
      <c r="L694">
        <f>_xlfn.XLOOKUP($A694,sales!$A:$A,sales!B:B)</f>
        <v>1</v>
      </c>
      <c r="M694" t="str">
        <f>_xlfn.XLOOKUP($A694,sales!$A:$A,sales!C:C)</f>
        <v>Miami Beach</v>
      </c>
      <c r="N694">
        <f>_xlfn.XLOOKUP($A694,sales!$A:$A,sales!D:D)</f>
        <v>312</v>
      </c>
      <c r="O694">
        <f>_xlfn.XLOOKUP($A694,sales!$A:$A,sales!E:E)</f>
        <v>5787.21</v>
      </c>
      <c r="P694" s="4">
        <f t="shared" si="32"/>
        <v>18.548750000000002</v>
      </c>
    </row>
    <row r="695" spans="1:16" x14ac:dyDescent="0.25">
      <c r="A695" s="1">
        <v>45620</v>
      </c>
      <c r="B695" s="1" t="str">
        <f t="shared" si="30"/>
        <v>Sunday</v>
      </c>
      <c r="C695" s="1" t="b">
        <f t="shared" si="31"/>
        <v>1</v>
      </c>
      <c r="D695">
        <f>VLOOKUP($A695,survey_2yrs!A:B, 2)</f>
        <v>47.9</v>
      </c>
      <c r="E695">
        <f>VLOOKUP($A695,survey_2yrs!$A:C, 3)</f>
        <v>52.1</v>
      </c>
      <c r="F695">
        <f>VLOOKUP($A695,survey_2yrs!$A:D, 4)</f>
        <v>50.7</v>
      </c>
      <c r="G695">
        <f>_xlfn.XLOOKUP(A695,survey_2yrs!A:A,survey_2yrs!E:E)</f>
        <v>49.3</v>
      </c>
      <c r="H695">
        <f>_xlfn.XLOOKUP($A695,weather_2yrs!$A:$A,weather_2yrs!B:B)</f>
        <v>84.5</v>
      </c>
      <c r="I695">
        <f>_xlfn.XLOOKUP($A695,weather_2yrs!$A:$A,weather_2yrs!C:C)</f>
        <v>0</v>
      </c>
      <c r="J695">
        <f>_xlfn.XLOOKUP($A695,weather_2yrs!$A:$A,weather_2yrs!D:D)</f>
        <v>0</v>
      </c>
      <c r="K695">
        <f>_xlfn.XLOOKUP($A695,weather_2yrs!$A:$A,weather_2yrs!E:E)</f>
        <v>62.6</v>
      </c>
      <c r="L695">
        <f>_xlfn.XLOOKUP($A695,sales!$A:$A,sales!B:B)</f>
        <v>1</v>
      </c>
      <c r="M695" t="str">
        <f>_xlfn.XLOOKUP($A695,sales!$A:$A,sales!C:C)</f>
        <v>Miami Beach</v>
      </c>
      <c r="N695">
        <f>_xlfn.XLOOKUP($A695,sales!$A:$A,sales!D:D)</f>
        <v>358</v>
      </c>
      <c r="O695">
        <f>_xlfn.XLOOKUP($A695,sales!$A:$A,sales!E:E)</f>
        <v>6683.13</v>
      </c>
      <c r="P695" s="4">
        <f t="shared" si="32"/>
        <v>18.667960893854747</v>
      </c>
    </row>
    <row r="696" spans="1:16" x14ac:dyDescent="0.25">
      <c r="A696" s="1">
        <v>45621</v>
      </c>
      <c r="B696" s="1" t="str">
        <f t="shared" si="30"/>
        <v>Monday</v>
      </c>
      <c r="C696" s="1" t="b">
        <f t="shared" si="31"/>
        <v>0</v>
      </c>
      <c r="D696">
        <f>VLOOKUP($A696,survey_2yrs!A:B, 2)</f>
        <v>47.4</v>
      </c>
      <c r="E696">
        <f>VLOOKUP($A696,survey_2yrs!$A:C, 3)</f>
        <v>52.6</v>
      </c>
      <c r="F696">
        <f>VLOOKUP($A696,survey_2yrs!$A:D, 4)</f>
        <v>43.4</v>
      </c>
      <c r="G696">
        <f>_xlfn.XLOOKUP(A696,survey_2yrs!A:A,survey_2yrs!E:E)</f>
        <v>56.6</v>
      </c>
      <c r="H696">
        <f>_xlfn.XLOOKUP($A696,weather_2yrs!$A:$A,weather_2yrs!B:B)</f>
        <v>83.9</v>
      </c>
      <c r="I696">
        <f>_xlfn.XLOOKUP($A696,weather_2yrs!$A:$A,weather_2yrs!C:C)</f>
        <v>0</v>
      </c>
      <c r="J696">
        <f>_xlfn.XLOOKUP($A696,weather_2yrs!$A:$A,weather_2yrs!D:D)</f>
        <v>0</v>
      </c>
      <c r="K696">
        <f>_xlfn.XLOOKUP($A696,weather_2yrs!$A:$A,weather_2yrs!E:E)</f>
        <v>56.8</v>
      </c>
      <c r="L696">
        <f>_xlfn.XLOOKUP($A696,sales!$A:$A,sales!B:B)</f>
        <v>1</v>
      </c>
      <c r="M696" t="str">
        <f>_xlfn.XLOOKUP($A696,sales!$A:$A,sales!C:C)</f>
        <v>Miami Beach</v>
      </c>
      <c r="N696">
        <f>_xlfn.XLOOKUP($A696,sales!$A:$A,sales!D:D)</f>
        <v>317</v>
      </c>
      <c r="O696">
        <f>_xlfn.XLOOKUP($A696,sales!$A:$A,sales!E:E)</f>
        <v>5572.05</v>
      </c>
      <c r="P696" s="4">
        <f t="shared" si="32"/>
        <v>17.577444794952683</v>
      </c>
    </row>
    <row r="697" spans="1:16" x14ac:dyDescent="0.25">
      <c r="A697" s="1">
        <v>45622</v>
      </c>
      <c r="B697" s="1" t="str">
        <f t="shared" si="30"/>
        <v>Tuesday</v>
      </c>
      <c r="C697" s="1" t="b">
        <f t="shared" si="31"/>
        <v>0</v>
      </c>
      <c r="D697">
        <f>VLOOKUP($A697,survey_2yrs!A:B, 2)</f>
        <v>48</v>
      </c>
      <c r="E697">
        <f>VLOOKUP($A697,survey_2yrs!$A:C, 3)</f>
        <v>52</v>
      </c>
      <c r="F697">
        <f>VLOOKUP($A697,survey_2yrs!$A:D, 4)</f>
        <v>42.4</v>
      </c>
      <c r="G697">
        <f>_xlfn.XLOOKUP(A697,survey_2yrs!A:A,survey_2yrs!E:E)</f>
        <v>57.6</v>
      </c>
      <c r="H697">
        <f>_xlfn.XLOOKUP($A697,weather_2yrs!$A:$A,weather_2yrs!B:B)</f>
        <v>84.8</v>
      </c>
      <c r="I697">
        <f>_xlfn.XLOOKUP($A697,weather_2yrs!$A:$A,weather_2yrs!C:C)</f>
        <v>0.74</v>
      </c>
      <c r="J697">
        <f>_xlfn.XLOOKUP($A697,weather_2yrs!$A:$A,weather_2yrs!D:D)</f>
        <v>1</v>
      </c>
      <c r="K697">
        <f>_xlfn.XLOOKUP($A697,weather_2yrs!$A:$A,weather_2yrs!E:E)</f>
        <v>59</v>
      </c>
      <c r="L697">
        <f>_xlfn.XLOOKUP($A697,sales!$A:$A,sales!B:B)</f>
        <v>1</v>
      </c>
      <c r="M697" t="str">
        <f>_xlfn.XLOOKUP($A697,sales!$A:$A,sales!C:C)</f>
        <v>Miami Beach</v>
      </c>
      <c r="N697">
        <f>_xlfn.XLOOKUP($A697,sales!$A:$A,sales!D:D)</f>
        <v>289</v>
      </c>
      <c r="O697">
        <f>_xlfn.XLOOKUP($A697,sales!$A:$A,sales!E:E)</f>
        <v>5430.77</v>
      </c>
      <c r="P697" s="4">
        <f t="shared" si="32"/>
        <v>18.791591695501733</v>
      </c>
    </row>
    <row r="698" spans="1:16" x14ac:dyDescent="0.25">
      <c r="A698" s="1">
        <v>45623</v>
      </c>
      <c r="B698" s="1" t="str">
        <f t="shared" si="30"/>
        <v>Wednesday</v>
      </c>
      <c r="C698" s="1" t="b">
        <f t="shared" si="31"/>
        <v>0</v>
      </c>
      <c r="D698">
        <f>VLOOKUP($A698,survey_2yrs!A:B, 2)</f>
        <v>47.9</v>
      </c>
      <c r="E698">
        <f>VLOOKUP($A698,survey_2yrs!$A:C, 3)</f>
        <v>52.1</v>
      </c>
      <c r="F698">
        <f>VLOOKUP($A698,survey_2yrs!$A:D, 4)</f>
        <v>45</v>
      </c>
      <c r="G698">
        <f>_xlfn.XLOOKUP(A698,survey_2yrs!A:A,survey_2yrs!E:E)</f>
        <v>55</v>
      </c>
      <c r="H698">
        <f>_xlfn.XLOOKUP($A698,weather_2yrs!$A:$A,weather_2yrs!B:B)</f>
        <v>92.3</v>
      </c>
      <c r="I698">
        <f>_xlfn.XLOOKUP($A698,weather_2yrs!$A:$A,weather_2yrs!C:C)</f>
        <v>0</v>
      </c>
      <c r="J698">
        <f>_xlfn.XLOOKUP($A698,weather_2yrs!$A:$A,weather_2yrs!D:D)</f>
        <v>0</v>
      </c>
      <c r="K698">
        <f>_xlfn.XLOOKUP($A698,weather_2yrs!$A:$A,weather_2yrs!E:E)</f>
        <v>61.9</v>
      </c>
      <c r="L698">
        <f>_xlfn.XLOOKUP($A698,sales!$A:$A,sales!B:B)</f>
        <v>1</v>
      </c>
      <c r="M698" t="str">
        <f>_xlfn.XLOOKUP($A698,sales!$A:$A,sales!C:C)</f>
        <v>Miami Beach</v>
      </c>
      <c r="N698">
        <f>_xlfn.XLOOKUP($A698,sales!$A:$A,sales!D:D)</f>
        <v>354</v>
      </c>
      <c r="O698">
        <f>_xlfn.XLOOKUP($A698,sales!$A:$A,sales!E:E)</f>
        <v>6500.75</v>
      </c>
      <c r="P698" s="4">
        <f t="shared" si="32"/>
        <v>18.363700564971751</v>
      </c>
    </row>
    <row r="699" spans="1:16" x14ac:dyDescent="0.25">
      <c r="A699" s="1">
        <v>45624</v>
      </c>
      <c r="B699" s="1" t="str">
        <f t="shared" si="30"/>
        <v>Thursday</v>
      </c>
      <c r="C699" s="1" t="b">
        <f t="shared" si="31"/>
        <v>0</v>
      </c>
      <c r="D699">
        <f>VLOOKUP($A699,survey_2yrs!A:B, 2)</f>
        <v>48.3</v>
      </c>
      <c r="E699">
        <f>VLOOKUP($A699,survey_2yrs!$A:C, 3)</f>
        <v>51.7</v>
      </c>
      <c r="F699">
        <f>VLOOKUP($A699,survey_2yrs!$A:D, 4)</f>
        <v>43.1</v>
      </c>
      <c r="G699">
        <f>_xlfn.XLOOKUP(A699,survey_2yrs!A:A,survey_2yrs!E:E)</f>
        <v>56.9</v>
      </c>
      <c r="H699">
        <f>_xlfn.XLOOKUP($A699,weather_2yrs!$A:$A,weather_2yrs!B:B)</f>
        <v>77.3</v>
      </c>
      <c r="I699">
        <f>_xlfn.XLOOKUP($A699,weather_2yrs!$A:$A,weather_2yrs!C:C)</f>
        <v>0</v>
      </c>
      <c r="J699">
        <f>_xlfn.XLOOKUP($A699,weather_2yrs!$A:$A,weather_2yrs!D:D)</f>
        <v>0</v>
      </c>
      <c r="K699">
        <f>_xlfn.XLOOKUP($A699,weather_2yrs!$A:$A,weather_2yrs!E:E)</f>
        <v>56.7</v>
      </c>
      <c r="L699">
        <f>_xlfn.XLOOKUP($A699,sales!$A:$A,sales!B:B)</f>
        <v>1</v>
      </c>
      <c r="M699" t="str">
        <f>_xlfn.XLOOKUP($A699,sales!$A:$A,sales!C:C)</f>
        <v>Miami Beach</v>
      </c>
      <c r="N699">
        <f>_xlfn.XLOOKUP($A699,sales!$A:$A,sales!D:D)</f>
        <v>234</v>
      </c>
      <c r="O699">
        <f>_xlfn.XLOOKUP($A699,sales!$A:$A,sales!E:E)</f>
        <v>4346.63</v>
      </c>
      <c r="P699" s="4">
        <f t="shared" si="32"/>
        <v>18.575341880341881</v>
      </c>
    </row>
    <row r="700" spans="1:16" x14ac:dyDescent="0.25">
      <c r="A700" s="1">
        <v>45625</v>
      </c>
      <c r="B700" s="1" t="str">
        <f t="shared" si="30"/>
        <v>Friday</v>
      </c>
      <c r="C700" s="1" t="b">
        <f t="shared" si="31"/>
        <v>0</v>
      </c>
      <c r="D700">
        <f>VLOOKUP($A700,survey_2yrs!A:B, 2)</f>
        <v>48.8</v>
      </c>
      <c r="E700">
        <f>VLOOKUP($A700,survey_2yrs!$A:C, 3)</f>
        <v>51.2</v>
      </c>
      <c r="F700">
        <f>VLOOKUP($A700,survey_2yrs!$A:D, 4)</f>
        <v>43.7</v>
      </c>
      <c r="G700">
        <f>_xlfn.XLOOKUP(A700,survey_2yrs!A:A,survey_2yrs!E:E)</f>
        <v>56.3</v>
      </c>
      <c r="H700">
        <f>_xlfn.XLOOKUP($A700,weather_2yrs!$A:$A,weather_2yrs!B:B)</f>
        <v>82.8</v>
      </c>
      <c r="I700">
        <f>_xlfn.XLOOKUP($A700,weather_2yrs!$A:$A,weather_2yrs!C:C)</f>
        <v>0</v>
      </c>
      <c r="J700">
        <f>_xlfn.XLOOKUP($A700,weather_2yrs!$A:$A,weather_2yrs!D:D)</f>
        <v>0</v>
      </c>
      <c r="K700">
        <f>_xlfn.XLOOKUP($A700,weather_2yrs!$A:$A,weather_2yrs!E:E)</f>
        <v>67.900000000000006</v>
      </c>
      <c r="L700">
        <f>_xlfn.XLOOKUP($A700,sales!$A:$A,sales!B:B)</f>
        <v>1</v>
      </c>
      <c r="M700" t="str">
        <f>_xlfn.XLOOKUP($A700,sales!$A:$A,sales!C:C)</f>
        <v>Miami Beach</v>
      </c>
      <c r="N700">
        <f>_xlfn.XLOOKUP($A700,sales!$A:$A,sales!D:D)</f>
        <v>311</v>
      </c>
      <c r="O700">
        <f>_xlfn.XLOOKUP($A700,sales!$A:$A,sales!E:E)</f>
        <v>5216.41</v>
      </c>
      <c r="P700" s="4">
        <f t="shared" si="32"/>
        <v>16.773022508038586</v>
      </c>
    </row>
    <row r="701" spans="1:16" x14ac:dyDescent="0.25">
      <c r="A701" s="1">
        <v>45626</v>
      </c>
      <c r="B701" s="1" t="str">
        <f t="shared" si="30"/>
        <v>Saturday</v>
      </c>
      <c r="C701" s="1" t="b">
        <f t="shared" si="31"/>
        <v>1</v>
      </c>
      <c r="D701">
        <f>VLOOKUP($A701,survey_2yrs!A:B, 2)</f>
        <v>47.6</v>
      </c>
      <c r="E701">
        <f>VLOOKUP($A701,survey_2yrs!$A:C, 3)</f>
        <v>52.4</v>
      </c>
      <c r="F701">
        <f>VLOOKUP($A701,survey_2yrs!$A:D, 4)</f>
        <v>50.4</v>
      </c>
      <c r="G701">
        <f>_xlfn.XLOOKUP(A701,survey_2yrs!A:A,survey_2yrs!E:E)</f>
        <v>49.6</v>
      </c>
      <c r="H701">
        <f>_xlfn.XLOOKUP($A701,weather_2yrs!$A:$A,weather_2yrs!B:B)</f>
        <v>81.400000000000006</v>
      </c>
      <c r="I701">
        <f>_xlfn.XLOOKUP($A701,weather_2yrs!$A:$A,weather_2yrs!C:C)</f>
        <v>0</v>
      </c>
      <c r="J701">
        <f>_xlfn.XLOOKUP($A701,weather_2yrs!$A:$A,weather_2yrs!D:D)</f>
        <v>0</v>
      </c>
      <c r="K701">
        <f>_xlfn.XLOOKUP($A701,weather_2yrs!$A:$A,weather_2yrs!E:E)</f>
        <v>57.2</v>
      </c>
      <c r="L701">
        <f>_xlfn.XLOOKUP($A701,sales!$A:$A,sales!B:B)</f>
        <v>1</v>
      </c>
      <c r="M701" t="str">
        <f>_xlfn.XLOOKUP($A701,sales!$A:$A,sales!C:C)</f>
        <v>Miami Beach</v>
      </c>
      <c r="N701">
        <f>_xlfn.XLOOKUP($A701,sales!$A:$A,sales!D:D)</f>
        <v>309</v>
      </c>
      <c r="O701">
        <f>_xlfn.XLOOKUP($A701,sales!$A:$A,sales!E:E)</f>
        <v>5701.18</v>
      </c>
      <c r="P701" s="4">
        <f t="shared" si="32"/>
        <v>18.450420711974111</v>
      </c>
    </row>
    <row r="702" spans="1:16" x14ac:dyDescent="0.25">
      <c r="A702" s="1">
        <v>45627</v>
      </c>
      <c r="B702" s="1" t="str">
        <f t="shared" si="30"/>
        <v>Sunday</v>
      </c>
      <c r="C702" s="1" t="b">
        <f t="shared" si="31"/>
        <v>1</v>
      </c>
      <c r="D702">
        <f>VLOOKUP($A702,survey_2yrs!A:B, 2)</f>
        <v>48.5</v>
      </c>
      <c r="E702">
        <f>VLOOKUP($A702,survey_2yrs!$A:C, 3)</f>
        <v>51.5</v>
      </c>
      <c r="F702">
        <f>VLOOKUP($A702,survey_2yrs!$A:D, 4)</f>
        <v>50</v>
      </c>
      <c r="G702">
        <f>_xlfn.XLOOKUP(A702,survey_2yrs!A:A,survey_2yrs!E:E)</f>
        <v>50</v>
      </c>
      <c r="H702">
        <f>_xlfn.XLOOKUP($A702,weather_2yrs!$A:$A,weather_2yrs!B:B)</f>
        <v>80.5</v>
      </c>
      <c r="I702">
        <f>_xlfn.XLOOKUP($A702,weather_2yrs!$A:$A,weather_2yrs!C:C)</f>
        <v>0</v>
      </c>
      <c r="J702">
        <f>_xlfn.XLOOKUP($A702,weather_2yrs!$A:$A,weather_2yrs!D:D)</f>
        <v>0</v>
      </c>
      <c r="K702">
        <f>_xlfn.XLOOKUP($A702,weather_2yrs!$A:$A,weather_2yrs!E:E)</f>
        <v>57.8</v>
      </c>
      <c r="L702">
        <f>_xlfn.XLOOKUP($A702,sales!$A:$A,sales!B:B)</f>
        <v>1</v>
      </c>
      <c r="M702" t="str">
        <f>_xlfn.XLOOKUP($A702,sales!$A:$A,sales!C:C)</f>
        <v>Miami Beach</v>
      </c>
      <c r="N702">
        <f>_xlfn.XLOOKUP($A702,sales!$A:$A,sales!D:D)</f>
        <v>322</v>
      </c>
      <c r="O702">
        <f>_xlfn.XLOOKUP($A702,sales!$A:$A,sales!E:E)</f>
        <v>5722.67</v>
      </c>
      <c r="P702" s="4">
        <f t="shared" si="32"/>
        <v>17.77226708074534</v>
      </c>
    </row>
    <row r="703" spans="1:16" x14ac:dyDescent="0.25">
      <c r="A703" s="1">
        <v>45628</v>
      </c>
      <c r="B703" s="1" t="str">
        <f t="shared" si="30"/>
        <v>Monday</v>
      </c>
      <c r="C703" s="1" t="b">
        <f t="shared" si="31"/>
        <v>0</v>
      </c>
      <c r="D703">
        <f>VLOOKUP($A703,survey_2yrs!A:B, 2)</f>
        <v>48</v>
      </c>
      <c r="E703">
        <f>VLOOKUP($A703,survey_2yrs!$A:C, 3)</f>
        <v>52</v>
      </c>
      <c r="F703">
        <f>VLOOKUP($A703,survey_2yrs!$A:D, 4)</f>
        <v>45.5</v>
      </c>
      <c r="G703">
        <f>_xlfn.XLOOKUP(A703,survey_2yrs!A:A,survey_2yrs!E:E)</f>
        <v>54.5</v>
      </c>
      <c r="H703">
        <f>_xlfn.XLOOKUP($A703,weather_2yrs!$A:$A,weather_2yrs!B:B)</f>
        <v>83.8</v>
      </c>
      <c r="I703">
        <f>_xlfn.XLOOKUP($A703,weather_2yrs!$A:$A,weather_2yrs!C:C)</f>
        <v>0</v>
      </c>
      <c r="J703">
        <f>_xlfn.XLOOKUP($A703,weather_2yrs!$A:$A,weather_2yrs!D:D)</f>
        <v>0</v>
      </c>
      <c r="K703">
        <f>_xlfn.XLOOKUP($A703,weather_2yrs!$A:$A,weather_2yrs!E:E)</f>
        <v>60.4</v>
      </c>
      <c r="L703">
        <f>_xlfn.XLOOKUP($A703,sales!$A:$A,sales!B:B)</f>
        <v>1</v>
      </c>
      <c r="M703" t="str">
        <f>_xlfn.XLOOKUP($A703,sales!$A:$A,sales!C:C)</f>
        <v>Miami Beach</v>
      </c>
      <c r="N703">
        <f>_xlfn.XLOOKUP($A703,sales!$A:$A,sales!D:D)</f>
        <v>292</v>
      </c>
      <c r="O703">
        <f>_xlfn.XLOOKUP($A703,sales!$A:$A,sales!E:E)</f>
        <v>5518.59</v>
      </c>
      <c r="P703" s="4">
        <f t="shared" si="32"/>
        <v>18.899280821917809</v>
      </c>
    </row>
    <row r="704" spans="1:16" x14ac:dyDescent="0.25">
      <c r="A704" s="1">
        <v>45629</v>
      </c>
      <c r="B704" s="1" t="str">
        <f t="shared" si="30"/>
        <v>Tuesday</v>
      </c>
      <c r="C704" s="1" t="b">
        <f t="shared" si="31"/>
        <v>0</v>
      </c>
      <c r="D704">
        <f>VLOOKUP($A704,survey_2yrs!A:B, 2)</f>
        <v>45.8</v>
      </c>
      <c r="E704">
        <f>VLOOKUP($A704,survey_2yrs!$A:C, 3)</f>
        <v>54.2</v>
      </c>
      <c r="F704">
        <f>VLOOKUP($A704,survey_2yrs!$A:D, 4)</f>
        <v>43.3</v>
      </c>
      <c r="G704">
        <f>_xlfn.XLOOKUP(A704,survey_2yrs!A:A,survey_2yrs!E:E)</f>
        <v>56.7</v>
      </c>
      <c r="H704">
        <f>_xlfn.XLOOKUP($A704,weather_2yrs!$A:$A,weather_2yrs!B:B)</f>
        <v>82.8</v>
      </c>
      <c r="I704">
        <f>_xlfn.XLOOKUP($A704,weather_2yrs!$A:$A,weather_2yrs!C:C)</f>
        <v>0.22</v>
      </c>
      <c r="J704">
        <f>_xlfn.XLOOKUP($A704,weather_2yrs!$A:$A,weather_2yrs!D:D)</f>
        <v>1</v>
      </c>
      <c r="K704">
        <f>_xlfn.XLOOKUP($A704,weather_2yrs!$A:$A,weather_2yrs!E:E)</f>
        <v>68.400000000000006</v>
      </c>
      <c r="L704">
        <f>_xlfn.XLOOKUP($A704,sales!$A:$A,sales!B:B)</f>
        <v>1</v>
      </c>
      <c r="M704" t="str">
        <f>_xlfn.XLOOKUP($A704,sales!$A:$A,sales!C:C)</f>
        <v>Miami Beach</v>
      </c>
      <c r="N704">
        <f>_xlfn.XLOOKUP($A704,sales!$A:$A,sales!D:D)</f>
        <v>281</v>
      </c>
      <c r="O704">
        <f>_xlfn.XLOOKUP($A704,sales!$A:$A,sales!E:E)</f>
        <v>5196.7700000000004</v>
      </c>
      <c r="P704" s="4">
        <f t="shared" si="32"/>
        <v>18.493843416370108</v>
      </c>
    </row>
    <row r="705" spans="1:16" x14ac:dyDescent="0.25">
      <c r="A705" s="1">
        <v>45630</v>
      </c>
      <c r="B705" s="1" t="str">
        <f t="shared" si="30"/>
        <v>Wednesday</v>
      </c>
      <c r="C705" s="1" t="b">
        <f t="shared" si="31"/>
        <v>0</v>
      </c>
      <c r="D705">
        <f>VLOOKUP($A705,survey_2yrs!A:B, 2)</f>
        <v>48.4</v>
      </c>
      <c r="E705">
        <f>VLOOKUP($A705,survey_2yrs!$A:C, 3)</f>
        <v>51.6</v>
      </c>
      <c r="F705">
        <f>VLOOKUP($A705,survey_2yrs!$A:D, 4)</f>
        <v>44.9</v>
      </c>
      <c r="G705">
        <f>_xlfn.XLOOKUP(A705,survey_2yrs!A:A,survey_2yrs!E:E)</f>
        <v>55.1</v>
      </c>
      <c r="H705">
        <f>_xlfn.XLOOKUP($A705,weather_2yrs!$A:$A,weather_2yrs!B:B)</f>
        <v>83.7</v>
      </c>
      <c r="I705">
        <f>_xlfn.XLOOKUP($A705,weather_2yrs!$A:$A,weather_2yrs!C:C)</f>
        <v>1.73</v>
      </c>
      <c r="J705">
        <f>_xlfn.XLOOKUP($A705,weather_2yrs!$A:$A,weather_2yrs!D:D)</f>
        <v>1</v>
      </c>
      <c r="K705">
        <f>_xlfn.XLOOKUP($A705,weather_2yrs!$A:$A,weather_2yrs!E:E)</f>
        <v>50</v>
      </c>
      <c r="L705">
        <f>_xlfn.XLOOKUP($A705,sales!$A:$A,sales!B:B)</f>
        <v>1</v>
      </c>
      <c r="M705" t="str">
        <f>_xlfn.XLOOKUP($A705,sales!$A:$A,sales!C:C)</f>
        <v>Miami Beach</v>
      </c>
      <c r="N705">
        <f>_xlfn.XLOOKUP($A705,sales!$A:$A,sales!D:D)</f>
        <v>263</v>
      </c>
      <c r="O705">
        <f>_xlfn.XLOOKUP($A705,sales!$A:$A,sales!E:E)</f>
        <v>5080.1400000000003</v>
      </c>
      <c r="P705" s="4">
        <f t="shared" si="32"/>
        <v>19.316121673003803</v>
      </c>
    </row>
    <row r="706" spans="1:16" x14ac:dyDescent="0.25">
      <c r="A706" s="1">
        <v>45631</v>
      </c>
      <c r="B706" s="1" t="str">
        <f t="shared" si="30"/>
        <v>Thursday</v>
      </c>
      <c r="C706" s="1" t="b">
        <f t="shared" si="31"/>
        <v>0</v>
      </c>
      <c r="D706">
        <f>VLOOKUP($A706,survey_2yrs!A:B, 2)</f>
        <v>48.5</v>
      </c>
      <c r="E706">
        <f>VLOOKUP($A706,survey_2yrs!$A:C, 3)</f>
        <v>51.5</v>
      </c>
      <c r="F706">
        <f>VLOOKUP($A706,survey_2yrs!$A:D, 4)</f>
        <v>44.7</v>
      </c>
      <c r="G706">
        <f>_xlfn.XLOOKUP(A706,survey_2yrs!A:A,survey_2yrs!E:E)</f>
        <v>55.3</v>
      </c>
      <c r="H706">
        <f>_xlfn.XLOOKUP($A706,weather_2yrs!$A:$A,weather_2yrs!B:B)</f>
        <v>77.5</v>
      </c>
      <c r="I706">
        <f>_xlfn.XLOOKUP($A706,weather_2yrs!$A:$A,weather_2yrs!C:C)</f>
        <v>0</v>
      </c>
      <c r="J706">
        <f>_xlfn.XLOOKUP($A706,weather_2yrs!$A:$A,weather_2yrs!D:D)</f>
        <v>0</v>
      </c>
      <c r="K706">
        <f>_xlfn.XLOOKUP($A706,weather_2yrs!$A:$A,weather_2yrs!E:E)</f>
        <v>56.5</v>
      </c>
      <c r="L706">
        <f>_xlfn.XLOOKUP($A706,sales!$A:$A,sales!B:B)</f>
        <v>1</v>
      </c>
      <c r="M706" t="str">
        <f>_xlfn.XLOOKUP($A706,sales!$A:$A,sales!C:C)</f>
        <v>Miami Beach</v>
      </c>
      <c r="N706">
        <f>_xlfn.XLOOKUP($A706,sales!$A:$A,sales!D:D)</f>
        <v>257</v>
      </c>
      <c r="O706">
        <f>_xlfn.XLOOKUP($A706,sales!$A:$A,sales!E:E)</f>
        <v>5164.4399999999996</v>
      </c>
      <c r="P706" s="4">
        <f t="shared" si="32"/>
        <v>20.095097276264589</v>
      </c>
    </row>
    <row r="707" spans="1:16" x14ac:dyDescent="0.25">
      <c r="A707" s="1">
        <v>45632</v>
      </c>
      <c r="B707" s="1" t="str">
        <f t="shared" ref="B707:B732" si="33">TEXT(A707, "dddd")</f>
        <v>Friday</v>
      </c>
      <c r="C707" s="1" t="b">
        <f t="shared" ref="C707:C732" si="34">IF(WEEKDAY(A707,2)&gt;5,TRUE,FALSE)</f>
        <v>0</v>
      </c>
      <c r="D707">
        <f>VLOOKUP($A707,survey_2yrs!A:B, 2)</f>
        <v>47</v>
      </c>
      <c r="E707">
        <f>VLOOKUP($A707,survey_2yrs!$A:C, 3)</f>
        <v>53</v>
      </c>
      <c r="F707">
        <f>VLOOKUP($A707,survey_2yrs!$A:D, 4)</f>
        <v>44.4</v>
      </c>
      <c r="G707">
        <f>_xlfn.XLOOKUP(A707,survey_2yrs!A:A,survey_2yrs!E:E)</f>
        <v>55.6</v>
      </c>
      <c r="H707">
        <f>_xlfn.XLOOKUP($A707,weather_2yrs!$A:$A,weather_2yrs!B:B)</f>
        <v>79.900000000000006</v>
      </c>
      <c r="I707">
        <f>_xlfn.XLOOKUP($A707,weather_2yrs!$A:$A,weather_2yrs!C:C)</f>
        <v>0.02</v>
      </c>
      <c r="J707">
        <f>_xlfn.XLOOKUP($A707,weather_2yrs!$A:$A,weather_2yrs!D:D)</f>
        <v>1</v>
      </c>
      <c r="K707">
        <f>_xlfn.XLOOKUP($A707,weather_2yrs!$A:$A,weather_2yrs!E:E)</f>
        <v>56.4</v>
      </c>
      <c r="L707">
        <f>_xlfn.XLOOKUP($A707,sales!$A:$A,sales!B:B)</f>
        <v>1</v>
      </c>
      <c r="M707" t="str">
        <f>_xlfn.XLOOKUP($A707,sales!$A:$A,sales!C:C)</f>
        <v>Miami Beach</v>
      </c>
      <c r="N707">
        <f>_xlfn.XLOOKUP($A707,sales!$A:$A,sales!D:D)</f>
        <v>268</v>
      </c>
      <c r="O707">
        <f>_xlfn.XLOOKUP($A707,sales!$A:$A,sales!E:E)</f>
        <v>5294.07</v>
      </c>
      <c r="P707" s="4">
        <f t="shared" ref="P707:P732" si="35">O707/N707</f>
        <v>19.753992537313433</v>
      </c>
    </row>
    <row r="708" spans="1:16" x14ac:dyDescent="0.25">
      <c r="A708" s="1">
        <v>45633</v>
      </c>
      <c r="B708" s="1" t="str">
        <f t="shared" si="33"/>
        <v>Saturday</v>
      </c>
      <c r="C708" s="1" t="b">
        <f t="shared" si="34"/>
        <v>1</v>
      </c>
      <c r="D708">
        <f>VLOOKUP($A708,survey_2yrs!A:B, 2)</f>
        <v>47.1</v>
      </c>
      <c r="E708">
        <f>VLOOKUP($A708,survey_2yrs!$A:C, 3)</f>
        <v>52.9</v>
      </c>
      <c r="F708">
        <f>VLOOKUP($A708,survey_2yrs!$A:D, 4)</f>
        <v>50.3</v>
      </c>
      <c r="G708">
        <f>_xlfn.XLOOKUP(A708,survey_2yrs!A:A,survey_2yrs!E:E)</f>
        <v>49.7</v>
      </c>
      <c r="H708">
        <f>_xlfn.XLOOKUP($A708,weather_2yrs!$A:$A,weather_2yrs!B:B)</f>
        <v>74.599999999999994</v>
      </c>
      <c r="I708">
        <f>_xlfn.XLOOKUP($A708,weather_2yrs!$A:$A,weather_2yrs!C:C)</f>
        <v>0.86</v>
      </c>
      <c r="J708">
        <f>_xlfn.XLOOKUP($A708,weather_2yrs!$A:$A,weather_2yrs!D:D)</f>
        <v>1</v>
      </c>
      <c r="K708">
        <f>_xlfn.XLOOKUP($A708,weather_2yrs!$A:$A,weather_2yrs!E:E)</f>
        <v>52</v>
      </c>
      <c r="L708">
        <f>_xlfn.XLOOKUP($A708,sales!$A:$A,sales!B:B)</f>
        <v>1</v>
      </c>
      <c r="M708" t="str">
        <f>_xlfn.XLOOKUP($A708,sales!$A:$A,sales!C:C)</f>
        <v>Miami Beach</v>
      </c>
      <c r="N708">
        <f>_xlfn.XLOOKUP($A708,sales!$A:$A,sales!D:D)</f>
        <v>271</v>
      </c>
      <c r="O708">
        <f>_xlfn.XLOOKUP($A708,sales!$A:$A,sales!E:E)</f>
        <v>4707.1000000000004</v>
      </c>
      <c r="P708" s="4">
        <f t="shared" si="35"/>
        <v>17.369372693726937</v>
      </c>
    </row>
    <row r="709" spans="1:16" x14ac:dyDescent="0.25">
      <c r="A709" s="1">
        <v>45634</v>
      </c>
      <c r="B709" s="1" t="str">
        <f t="shared" si="33"/>
        <v>Sunday</v>
      </c>
      <c r="C709" s="1" t="b">
        <f t="shared" si="34"/>
        <v>1</v>
      </c>
      <c r="D709">
        <f>VLOOKUP($A709,survey_2yrs!A:B, 2)</f>
        <v>48</v>
      </c>
      <c r="E709">
        <f>VLOOKUP($A709,survey_2yrs!$A:C, 3)</f>
        <v>52</v>
      </c>
      <c r="F709">
        <f>VLOOKUP($A709,survey_2yrs!$A:D, 4)</f>
        <v>52.5</v>
      </c>
      <c r="G709">
        <f>_xlfn.XLOOKUP(A709,survey_2yrs!A:A,survey_2yrs!E:E)</f>
        <v>47.5</v>
      </c>
      <c r="H709">
        <f>_xlfn.XLOOKUP($A709,weather_2yrs!$A:$A,weather_2yrs!B:B)</f>
        <v>73.2</v>
      </c>
      <c r="I709">
        <f>_xlfn.XLOOKUP($A709,weather_2yrs!$A:$A,weather_2yrs!C:C)</f>
        <v>0</v>
      </c>
      <c r="J709">
        <f>_xlfn.XLOOKUP($A709,weather_2yrs!$A:$A,weather_2yrs!D:D)</f>
        <v>0</v>
      </c>
      <c r="K709">
        <f>_xlfn.XLOOKUP($A709,weather_2yrs!$A:$A,weather_2yrs!E:E)</f>
        <v>57.6</v>
      </c>
      <c r="L709">
        <f>_xlfn.XLOOKUP($A709,sales!$A:$A,sales!B:B)</f>
        <v>1</v>
      </c>
      <c r="M709" t="str">
        <f>_xlfn.XLOOKUP($A709,sales!$A:$A,sales!C:C)</f>
        <v>Miami Beach</v>
      </c>
      <c r="N709">
        <f>_xlfn.XLOOKUP($A709,sales!$A:$A,sales!D:D)</f>
        <v>259</v>
      </c>
      <c r="O709">
        <f>_xlfn.XLOOKUP($A709,sales!$A:$A,sales!E:E)</f>
        <v>4860.08</v>
      </c>
      <c r="P709" s="4">
        <f t="shared" si="35"/>
        <v>18.764787644787646</v>
      </c>
    </row>
    <row r="710" spans="1:16" x14ac:dyDescent="0.25">
      <c r="A710" s="1">
        <v>45635</v>
      </c>
      <c r="B710" s="1" t="str">
        <f t="shared" si="33"/>
        <v>Monday</v>
      </c>
      <c r="C710" s="1" t="b">
        <f t="shared" si="34"/>
        <v>0</v>
      </c>
      <c r="D710">
        <f>VLOOKUP($A710,survey_2yrs!A:B, 2)</f>
        <v>48.7</v>
      </c>
      <c r="E710">
        <f>VLOOKUP($A710,survey_2yrs!$A:C, 3)</f>
        <v>51.3</v>
      </c>
      <c r="F710">
        <f>VLOOKUP($A710,survey_2yrs!$A:D, 4)</f>
        <v>43.9</v>
      </c>
      <c r="G710">
        <f>_xlfn.XLOOKUP(A710,survey_2yrs!A:A,survey_2yrs!E:E)</f>
        <v>56.1</v>
      </c>
      <c r="H710">
        <f>_xlfn.XLOOKUP($A710,weather_2yrs!$A:$A,weather_2yrs!B:B)</f>
        <v>83.7</v>
      </c>
      <c r="I710">
        <f>_xlfn.XLOOKUP($A710,weather_2yrs!$A:$A,weather_2yrs!C:C)</f>
        <v>0</v>
      </c>
      <c r="J710">
        <f>_xlfn.XLOOKUP($A710,weather_2yrs!$A:$A,weather_2yrs!D:D)</f>
        <v>0</v>
      </c>
      <c r="K710">
        <f>_xlfn.XLOOKUP($A710,weather_2yrs!$A:$A,weather_2yrs!E:E)</f>
        <v>56.6</v>
      </c>
      <c r="L710">
        <f>_xlfn.XLOOKUP($A710,sales!$A:$A,sales!B:B)</f>
        <v>1</v>
      </c>
      <c r="M710" t="str">
        <f>_xlfn.XLOOKUP($A710,sales!$A:$A,sales!C:C)</f>
        <v>Miami Beach</v>
      </c>
      <c r="N710">
        <f>_xlfn.XLOOKUP($A710,sales!$A:$A,sales!D:D)</f>
        <v>300</v>
      </c>
      <c r="O710">
        <f>_xlfn.XLOOKUP($A710,sales!$A:$A,sales!E:E)</f>
        <v>5657.21</v>
      </c>
      <c r="P710" s="4">
        <f t="shared" si="35"/>
        <v>18.857366666666667</v>
      </c>
    </row>
    <row r="711" spans="1:16" x14ac:dyDescent="0.25">
      <c r="A711" s="1">
        <v>45636</v>
      </c>
      <c r="B711" s="1" t="str">
        <f t="shared" si="33"/>
        <v>Tuesday</v>
      </c>
      <c r="C711" s="1" t="b">
        <f t="shared" si="34"/>
        <v>0</v>
      </c>
      <c r="D711">
        <f>VLOOKUP($A711,survey_2yrs!A:B, 2)</f>
        <v>47.4</v>
      </c>
      <c r="E711">
        <f>VLOOKUP($A711,survey_2yrs!$A:C, 3)</f>
        <v>52.6</v>
      </c>
      <c r="F711">
        <f>VLOOKUP($A711,survey_2yrs!$A:D, 4)</f>
        <v>45.6</v>
      </c>
      <c r="G711">
        <f>_xlfn.XLOOKUP(A711,survey_2yrs!A:A,survey_2yrs!E:E)</f>
        <v>54.4</v>
      </c>
      <c r="H711">
        <f>_xlfn.XLOOKUP($A711,weather_2yrs!$A:$A,weather_2yrs!B:B)</f>
        <v>74.7</v>
      </c>
      <c r="I711">
        <f>_xlfn.XLOOKUP($A711,weather_2yrs!$A:$A,weather_2yrs!C:C)</f>
        <v>0</v>
      </c>
      <c r="J711">
        <f>_xlfn.XLOOKUP($A711,weather_2yrs!$A:$A,weather_2yrs!D:D)</f>
        <v>0</v>
      </c>
      <c r="K711">
        <f>_xlfn.XLOOKUP($A711,weather_2yrs!$A:$A,weather_2yrs!E:E)</f>
        <v>59.1</v>
      </c>
      <c r="L711">
        <f>_xlfn.XLOOKUP($A711,sales!$A:$A,sales!B:B)</f>
        <v>1</v>
      </c>
      <c r="M711" t="str">
        <f>_xlfn.XLOOKUP($A711,sales!$A:$A,sales!C:C)</f>
        <v>Miami Beach</v>
      </c>
      <c r="N711">
        <f>_xlfn.XLOOKUP($A711,sales!$A:$A,sales!D:D)</f>
        <v>263</v>
      </c>
      <c r="O711">
        <f>_xlfn.XLOOKUP($A711,sales!$A:$A,sales!E:E)</f>
        <v>4785.08</v>
      </c>
      <c r="P711" s="4">
        <f t="shared" si="35"/>
        <v>18.194220532319392</v>
      </c>
    </row>
    <row r="712" spans="1:16" x14ac:dyDescent="0.25">
      <c r="A712" s="1">
        <v>45637</v>
      </c>
      <c r="B712" s="1" t="str">
        <f t="shared" si="33"/>
        <v>Wednesday</v>
      </c>
      <c r="C712" s="1" t="b">
        <f t="shared" si="34"/>
        <v>0</v>
      </c>
      <c r="D712">
        <f>VLOOKUP($A712,survey_2yrs!A:B, 2)</f>
        <v>48.8</v>
      </c>
      <c r="E712">
        <f>VLOOKUP($A712,survey_2yrs!$A:C, 3)</f>
        <v>51.2</v>
      </c>
      <c r="F712">
        <f>VLOOKUP($A712,survey_2yrs!$A:D, 4)</f>
        <v>42.4</v>
      </c>
      <c r="G712">
        <f>_xlfn.XLOOKUP(A712,survey_2yrs!A:A,survey_2yrs!E:E)</f>
        <v>57.6</v>
      </c>
      <c r="H712">
        <f>_xlfn.XLOOKUP($A712,weather_2yrs!$A:$A,weather_2yrs!B:B)</f>
        <v>78.900000000000006</v>
      </c>
      <c r="I712">
        <f>_xlfn.XLOOKUP($A712,weather_2yrs!$A:$A,weather_2yrs!C:C)</f>
        <v>0</v>
      </c>
      <c r="J712">
        <f>_xlfn.XLOOKUP($A712,weather_2yrs!$A:$A,weather_2yrs!D:D)</f>
        <v>0</v>
      </c>
      <c r="K712">
        <f>_xlfn.XLOOKUP($A712,weather_2yrs!$A:$A,weather_2yrs!E:E)</f>
        <v>49.3</v>
      </c>
      <c r="L712">
        <f>_xlfn.XLOOKUP($A712,sales!$A:$A,sales!B:B)</f>
        <v>1</v>
      </c>
      <c r="M712" t="str">
        <f>_xlfn.XLOOKUP($A712,sales!$A:$A,sales!C:C)</f>
        <v>Miami Beach</v>
      </c>
      <c r="N712">
        <f>_xlfn.XLOOKUP($A712,sales!$A:$A,sales!D:D)</f>
        <v>277</v>
      </c>
      <c r="O712">
        <f>_xlfn.XLOOKUP($A712,sales!$A:$A,sales!E:E)</f>
        <v>5032.93</v>
      </c>
      <c r="P712" s="4">
        <f t="shared" si="35"/>
        <v>18.169422382671481</v>
      </c>
    </row>
    <row r="713" spans="1:16" x14ac:dyDescent="0.25">
      <c r="A713" s="1">
        <v>45638</v>
      </c>
      <c r="B713" s="1" t="str">
        <f t="shared" si="33"/>
        <v>Thursday</v>
      </c>
      <c r="C713" s="1" t="b">
        <f t="shared" si="34"/>
        <v>0</v>
      </c>
      <c r="D713">
        <f>VLOOKUP($A713,survey_2yrs!A:B, 2)</f>
        <v>49.4</v>
      </c>
      <c r="E713">
        <f>VLOOKUP($A713,survey_2yrs!$A:C, 3)</f>
        <v>50.6</v>
      </c>
      <c r="F713">
        <f>VLOOKUP($A713,survey_2yrs!$A:D, 4)</f>
        <v>45.7</v>
      </c>
      <c r="G713">
        <f>_xlfn.XLOOKUP(A713,survey_2yrs!A:A,survey_2yrs!E:E)</f>
        <v>54.3</v>
      </c>
      <c r="H713">
        <f>_xlfn.XLOOKUP($A713,weather_2yrs!$A:$A,weather_2yrs!B:B)</f>
        <v>75.7</v>
      </c>
      <c r="I713">
        <f>_xlfn.XLOOKUP($A713,weather_2yrs!$A:$A,weather_2yrs!C:C)</f>
        <v>0</v>
      </c>
      <c r="J713">
        <f>_xlfn.XLOOKUP($A713,weather_2yrs!$A:$A,weather_2yrs!D:D)</f>
        <v>0</v>
      </c>
      <c r="K713">
        <f>_xlfn.XLOOKUP($A713,weather_2yrs!$A:$A,weather_2yrs!E:E)</f>
        <v>56.8</v>
      </c>
      <c r="L713">
        <f>_xlfn.XLOOKUP($A713,sales!$A:$A,sales!B:B)</f>
        <v>1</v>
      </c>
      <c r="M713" t="str">
        <f>_xlfn.XLOOKUP($A713,sales!$A:$A,sales!C:C)</f>
        <v>Miami Beach</v>
      </c>
      <c r="N713">
        <f>_xlfn.XLOOKUP($A713,sales!$A:$A,sales!D:D)</f>
        <v>256</v>
      </c>
      <c r="O713">
        <f>_xlfn.XLOOKUP($A713,sales!$A:$A,sales!E:E)</f>
        <v>5247.37</v>
      </c>
      <c r="P713" s="4">
        <f t="shared" si="35"/>
        <v>20.4975390625</v>
      </c>
    </row>
    <row r="714" spans="1:16" x14ac:dyDescent="0.25">
      <c r="A714" s="1">
        <v>45639</v>
      </c>
      <c r="B714" s="1" t="str">
        <f t="shared" si="33"/>
        <v>Friday</v>
      </c>
      <c r="C714" s="1" t="b">
        <f t="shared" si="34"/>
        <v>0</v>
      </c>
      <c r="D714">
        <f>VLOOKUP($A714,survey_2yrs!A:B, 2)</f>
        <v>49.7</v>
      </c>
      <c r="E714">
        <f>VLOOKUP($A714,survey_2yrs!$A:C, 3)</f>
        <v>50.3</v>
      </c>
      <c r="F714">
        <f>VLOOKUP($A714,survey_2yrs!$A:D, 4)</f>
        <v>46</v>
      </c>
      <c r="G714">
        <f>_xlfn.XLOOKUP(A714,survey_2yrs!A:A,survey_2yrs!E:E)</f>
        <v>54</v>
      </c>
      <c r="H714">
        <f>_xlfn.XLOOKUP($A714,weather_2yrs!$A:$A,weather_2yrs!B:B)</f>
        <v>72.099999999999994</v>
      </c>
      <c r="I714">
        <f>_xlfn.XLOOKUP($A714,weather_2yrs!$A:$A,weather_2yrs!C:C)</f>
        <v>0</v>
      </c>
      <c r="J714">
        <f>_xlfn.XLOOKUP($A714,weather_2yrs!$A:$A,weather_2yrs!D:D)</f>
        <v>0</v>
      </c>
      <c r="K714">
        <f>_xlfn.XLOOKUP($A714,weather_2yrs!$A:$A,weather_2yrs!E:E)</f>
        <v>54.4</v>
      </c>
      <c r="L714">
        <f>_xlfn.XLOOKUP($A714,sales!$A:$A,sales!B:B)</f>
        <v>1</v>
      </c>
      <c r="M714" t="str">
        <f>_xlfn.XLOOKUP($A714,sales!$A:$A,sales!C:C)</f>
        <v>Miami Beach</v>
      </c>
      <c r="N714">
        <f>_xlfn.XLOOKUP($A714,sales!$A:$A,sales!D:D)</f>
        <v>231</v>
      </c>
      <c r="O714">
        <f>_xlfn.XLOOKUP($A714,sales!$A:$A,sales!E:E)</f>
        <v>4405.2299999999996</v>
      </c>
      <c r="P714" s="4">
        <f t="shared" si="35"/>
        <v>19.07025974025974</v>
      </c>
    </row>
    <row r="715" spans="1:16" x14ac:dyDescent="0.25">
      <c r="A715" s="1">
        <v>45640</v>
      </c>
      <c r="B715" s="1" t="str">
        <f t="shared" si="33"/>
        <v>Saturday</v>
      </c>
      <c r="C715" s="1" t="b">
        <f t="shared" si="34"/>
        <v>1</v>
      </c>
      <c r="D715">
        <f>VLOOKUP($A715,survey_2yrs!A:B, 2)</f>
        <v>48.9</v>
      </c>
      <c r="E715">
        <f>VLOOKUP($A715,survey_2yrs!$A:C, 3)</f>
        <v>51.1</v>
      </c>
      <c r="F715">
        <f>VLOOKUP($A715,survey_2yrs!$A:D, 4)</f>
        <v>50.4</v>
      </c>
      <c r="G715">
        <f>_xlfn.XLOOKUP(A715,survey_2yrs!A:A,survey_2yrs!E:E)</f>
        <v>49.6</v>
      </c>
      <c r="H715">
        <f>_xlfn.XLOOKUP($A715,weather_2yrs!$A:$A,weather_2yrs!B:B)</f>
        <v>79</v>
      </c>
      <c r="I715">
        <f>_xlfn.XLOOKUP($A715,weather_2yrs!$A:$A,weather_2yrs!C:C)</f>
        <v>0</v>
      </c>
      <c r="J715">
        <f>_xlfn.XLOOKUP($A715,weather_2yrs!$A:$A,weather_2yrs!D:D)</f>
        <v>0</v>
      </c>
      <c r="K715">
        <f>_xlfn.XLOOKUP($A715,weather_2yrs!$A:$A,weather_2yrs!E:E)</f>
        <v>55.3</v>
      </c>
      <c r="L715">
        <f>_xlfn.XLOOKUP($A715,sales!$A:$A,sales!B:B)</f>
        <v>1</v>
      </c>
      <c r="M715" t="str">
        <f>_xlfn.XLOOKUP($A715,sales!$A:$A,sales!C:C)</f>
        <v>Miami Beach</v>
      </c>
      <c r="N715">
        <f>_xlfn.XLOOKUP($A715,sales!$A:$A,sales!D:D)</f>
        <v>328</v>
      </c>
      <c r="O715">
        <f>_xlfn.XLOOKUP($A715,sales!$A:$A,sales!E:E)</f>
        <v>5737.4</v>
      </c>
      <c r="P715" s="4">
        <f t="shared" si="35"/>
        <v>17.492073170731707</v>
      </c>
    </row>
    <row r="716" spans="1:16" x14ac:dyDescent="0.25">
      <c r="A716" s="1">
        <v>45641</v>
      </c>
      <c r="B716" s="1" t="str">
        <f t="shared" si="33"/>
        <v>Sunday</v>
      </c>
      <c r="C716" s="1" t="b">
        <f t="shared" si="34"/>
        <v>1</v>
      </c>
      <c r="D716">
        <f>VLOOKUP($A716,survey_2yrs!A:B, 2)</f>
        <v>47.8</v>
      </c>
      <c r="E716">
        <f>VLOOKUP($A716,survey_2yrs!$A:C, 3)</f>
        <v>52.2</v>
      </c>
      <c r="F716">
        <f>VLOOKUP($A716,survey_2yrs!$A:D, 4)</f>
        <v>49.3</v>
      </c>
      <c r="G716">
        <f>_xlfn.XLOOKUP(A716,survey_2yrs!A:A,survey_2yrs!E:E)</f>
        <v>50.7</v>
      </c>
      <c r="H716">
        <f>_xlfn.XLOOKUP($A716,weather_2yrs!$A:$A,weather_2yrs!B:B)</f>
        <v>78.5</v>
      </c>
      <c r="I716">
        <f>_xlfn.XLOOKUP($A716,weather_2yrs!$A:$A,weather_2yrs!C:C)</f>
        <v>1.52</v>
      </c>
      <c r="J716">
        <f>_xlfn.XLOOKUP($A716,weather_2yrs!$A:$A,weather_2yrs!D:D)</f>
        <v>1</v>
      </c>
      <c r="K716">
        <f>_xlfn.XLOOKUP($A716,weather_2yrs!$A:$A,weather_2yrs!E:E)</f>
        <v>49</v>
      </c>
      <c r="L716">
        <f>_xlfn.XLOOKUP($A716,sales!$A:$A,sales!B:B)</f>
        <v>1</v>
      </c>
      <c r="M716" t="str">
        <f>_xlfn.XLOOKUP($A716,sales!$A:$A,sales!C:C)</f>
        <v>Miami Beach</v>
      </c>
      <c r="N716">
        <f>_xlfn.XLOOKUP($A716,sales!$A:$A,sales!D:D)</f>
        <v>290</v>
      </c>
      <c r="O716">
        <f>_xlfn.XLOOKUP($A716,sales!$A:$A,sales!E:E)</f>
        <v>5204.51</v>
      </c>
      <c r="P716" s="4">
        <f t="shared" si="35"/>
        <v>17.946586206896551</v>
      </c>
    </row>
    <row r="717" spans="1:16" x14ac:dyDescent="0.25">
      <c r="A717" s="1">
        <v>45642</v>
      </c>
      <c r="B717" s="1" t="str">
        <f t="shared" si="33"/>
        <v>Monday</v>
      </c>
      <c r="C717" s="1" t="b">
        <f t="shared" si="34"/>
        <v>0</v>
      </c>
      <c r="D717">
        <f>VLOOKUP($A717,survey_2yrs!A:B, 2)</f>
        <v>47.8</v>
      </c>
      <c r="E717">
        <f>VLOOKUP($A717,survey_2yrs!$A:C, 3)</f>
        <v>52.2</v>
      </c>
      <c r="F717">
        <f>VLOOKUP($A717,survey_2yrs!$A:D, 4)</f>
        <v>44.3</v>
      </c>
      <c r="G717">
        <f>_xlfn.XLOOKUP(A717,survey_2yrs!A:A,survey_2yrs!E:E)</f>
        <v>55.7</v>
      </c>
      <c r="H717">
        <f>_xlfn.XLOOKUP($A717,weather_2yrs!$A:$A,weather_2yrs!B:B)</f>
        <v>78.8</v>
      </c>
      <c r="I717">
        <f>_xlfn.XLOOKUP($A717,weather_2yrs!$A:$A,weather_2yrs!C:C)</f>
        <v>0</v>
      </c>
      <c r="J717">
        <f>_xlfn.XLOOKUP($A717,weather_2yrs!$A:$A,weather_2yrs!D:D)</f>
        <v>0</v>
      </c>
      <c r="K717">
        <f>_xlfn.XLOOKUP($A717,weather_2yrs!$A:$A,weather_2yrs!E:E)</f>
        <v>59.7</v>
      </c>
      <c r="L717">
        <f>_xlfn.XLOOKUP($A717,sales!$A:$A,sales!B:B)</f>
        <v>1</v>
      </c>
      <c r="M717" t="str">
        <f>_xlfn.XLOOKUP($A717,sales!$A:$A,sales!C:C)</f>
        <v>Miami Beach</v>
      </c>
      <c r="N717">
        <f>_xlfn.XLOOKUP($A717,sales!$A:$A,sales!D:D)</f>
        <v>260</v>
      </c>
      <c r="O717">
        <f>_xlfn.XLOOKUP($A717,sales!$A:$A,sales!E:E)</f>
        <v>4833.22</v>
      </c>
      <c r="P717" s="4">
        <f t="shared" si="35"/>
        <v>18.589307692307692</v>
      </c>
    </row>
    <row r="718" spans="1:16" x14ac:dyDescent="0.25">
      <c r="A718" s="1">
        <v>45643</v>
      </c>
      <c r="B718" s="1" t="str">
        <f t="shared" si="33"/>
        <v>Tuesday</v>
      </c>
      <c r="C718" s="1" t="b">
        <f t="shared" si="34"/>
        <v>0</v>
      </c>
      <c r="D718">
        <f>VLOOKUP($A718,survey_2yrs!A:B, 2)</f>
        <v>47.7</v>
      </c>
      <c r="E718">
        <f>VLOOKUP($A718,survey_2yrs!$A:C, 3)</f>
        <v>52.3</v>
      </c>
      <c r="F718">
        <f>VLOOKUP($A718,survey_2yrs!$A:D, 4)</f>
        <v>41.3</v>
      </c>
      <c r="G718">
        <f>_xlfn.XLOOKUP(A718,survey_2yrs!A:A,survey_2yrs!E:E)</f>
        <v>58.7</v>
      </c>
      <c r="H718">
        <f>_xlfn.XLOOKUP($A718,weather_2yrs!$A:$A,weather_2yrs!B:B)</f>
        <v>77</v>
      </c>
      <c r="I718">
        <f>_xlfn.XLOOKUP($A718,weather_2yrs!$A:$A,weather_2yrs!C:C)</f>
        <v>1.75</v>
      </c>
      <c r="J718">
        <f>_xlfn.XLOOKUP($A718,weather_2yrs!$A:$A,weather_2yrs!D:D)</f>
        <v>1</v>
      </c>
      <c r="K718">
        <f>_xlfn.XLOOKUP($A718,weather_2yrs!$A:$A,weather_2yrs!E:E)</f>
        <v>47.3</v>
      </c>
      <c r="L718">
        <f>_xlfn.XLOOKUP($A718,sales!$A:$A,sales!B:B)</f>
        <v>1</v>
      </c>
      <c r="M718" t="str">
        <f>_xlfn.XLOOKUP($A718,sales!$A:$A,sales!C:C)</f>
        <v>Miami Beach</v>
      </c>
      <c r="N718">
        <f>_xlfn.XLOOKUP($A718,sales!$A:$A,sales!D:D)</f>
        <v>228</v>
      </c>
      <c r="O718">
        <f>_xlfn.XLOOKUP($A718,sales!$A:$A,sales!E:E)</f>
        <v>3895.68</v>
      </c>
      <c r="P718" s="4">
        <f t="shared" si="35"/>
        <v>17.086315789473684</v>
      </c>
    </row>
    <row r="719" spans="1:16" x14ac:dyDescent="0.25">
      <c r="A719" s="1">
        <v>45644</v>
      </c>
      <c r="B719" s="1" t="str">
        <f t="shared" si="33"/>
        <v>Wednesday</v>
      </c>
      <c r="C719" s="1" t="b">
        <f t="shared" si="34"/>
        <v>0</v>
      </c>
      <c r="D719">
        <f>VLOOKUP($A719,survey_2yrs!A:B, 2)</f>
        <v>50.5</v>
      </c>
      <c r="E719">
        <f>VLOOKUP($A719,survey_2yrs!$A:C, 3)</f>
        <v>49.5</v>
      </c>
      <c r="F719">
        <f>VLOOKUP($A719,survey_2yrs!$A:D, 4)</f>
        <v>46.5</v>
      </c>
      <c r="G719">
        <f>_xlfn.XLOOKUP(A719,survey_2yrs!A:A,survey_2yrs!E:E)</f>
        <v>53.5</v>
      </c>
      <c r="H719">
        <f>_xlfn.XLOOKUP($A719,weather_2yrs!$A:$A,weather_2yrs!B:B)</f>
        <v>76.400000000000006</v>
      </c>
      <c r="I719">
        <f>_xlfn.XLOOKUP($A719,weather_2yrs!$A:$A,weather_2yrs!C:C)</f>
        <v>2.21</v>
      </c>
      <c r="J719">
        <f>_xlfn.XLOOKUP($A719,weather_2yrs!$A:$A,weather_2yrs!D:D)</f>
        <v>1</v>
      </c>
      <c r="K719">
        <f>_xlfn.XLOOKUP($A719,weather_2yrs!$A:$A,weather_2yrs!E:E)</f>
        <v>47</v>
      </c>
      <c r="L719">
        <f>_xlfn.XLOOKUP($A719,sales!$A:$A,sales!B:B)</f>
        <v>1</v>
      </c>
      <c r="M719" t="str">
        <f>_xlfn.XLOOKUP($A719,sales!$A:$A,sales!C:C)</f>
        <v>Miami Beach</v>
      </c>
      <c r="N719">
        <f>_xlfn.XLOOKUP($A719,sales!$A:$A,sales!D:D)</f>
        <v>190</v>
      </c>
      <c r="O719">
        <f>_xlfn.XLOOKUP($A719,sales!$A:$A,sales!E:E)</f>
        <v>3869.65</v>
      </c>
      <c r="P719" s="4">
        <f t="shared" si="35"/>
        <v>20.366578947368421</v>
      </c>
    </row>
    <row r="720" spans="1:16" x14ac:dyDescent="0.25">
      <c r="A720" s="1">
        <v>45645</v>
      </c>
      <c r="B720" s="1" t="str">
        <f t="shared" si="33"/>
        <v>Thursday</v>
      </c>
      <c r="C720" s="1" t="b">
        <f t="shared" si="34"/>
        <v>0</v>
      </c>
      <c r="D720">
        <f>VLOOKUP($A720,survey_2yrs!A:B, 2)</f>
        <v>49.1</v>
      </c>
      <c r="E720">
        <f>VLOOKUP($A720,survey_2yrs!$A:C, 3)</f>
        <v>50.9</v>
      </c>
      <c r="F720">
        <f>VLOOKUP($A720,survey_2yrs!$A:D, 4)</f>
        <v>43</v>
      </c>
      <c r="G720">
        <f>_xlfn.XLOOKUP(A720,survey_2yrs!A:A,survey_2yrs!E:E)</f>
        <v>57</v>
      </c>
      <c r="H720">
        <f>_xlfn.XLOOKUP($A720,weather_2yrs!$A:$A,weather_2yrs!B:B)</f>
        <v>73.8</v>
      </c>
      <c r="I720">
        <f>_xlfn.XLOOKUP($A720,weather_2yrs!$A:$A,weather_2yrs!C:C)</f>
        <v>0</v>
      </c>
      <c r="J720">
        <f>_xlfn.XLOOKUP($A720,weather_2yrs!$A:$A,weather_2yrs!D:D)</f>
        <v>0</v>
      </c>
      <c r="K720">
        <f>_xlfn.XLOOKUP($A720,weather_2yrs!$A:$A,weather_2yrs!E:E)</f>
        <v>49</v>
      </c>
      <c r="L720">
        <f>_xlfn.XLOOKUP($A720,sales!$A:$A,sales!B:B)</f>
        <v>1</v>
      </c>
      <c r="M720" t="str">
        <f>_xlfn.XLOOKUP($A720,sales!$A:$A,sales!C:C)</f>
        <v>Miami Beach</v>
      </c>
      <c r="N720">
        <f>_xlfn.XLOOKUP($A720,sales!$A:$A,sales!D:D)</f>
        <v>239</v>
      </c>
      <c r="O720">
        <f>_xlfn.XLOOKUP($A720,sales!$A:$A,sales!E:E)</f>
        <v>4216.8100000000004</v>
      </c>
      <c r="P720" s="4">
        <f t="shared" si="35"/>
        <v>17.643556485355649</v>
      </c>
    </row>
    <row r="721" spans="1:16" x14ac:dyDescent="0.25">
      <c r="A721" s="1">
        <v>45646</v>
      </c>
      <c r="B721" s="1" t="str">
        <f t="shared" si="33"/>
        <v>Friday</v>
      </c>
      <c r="C721" s="1" t="b">
        <f t="shared" si="34"/>
        <v>0</v>
      </c>
      <c r="D721">
        <f>VLOOKUP($A721,survey_2yrs!A:B, 2)</f>
        <v>46.1</v>
      </c>
      <c r="E721">
        <f>VLOOKUP($A721,survey_2yrs!$A:C, 3)</f>
        <v>53.9</v>
      </c>
      <c r="F721">
        <f>VLOOKUP($A721,survey_2yrs!$A:D, 4)</f>
        <v>44.4</v>
      </c>
      <c r="G721">
        <f>_xlfn.XLOOKUP(A721,survey_2yrs!A:A,survey_2yrs!E:E)</f>
        <v>55.6</v>
      </c>
      <c r="H721">
        <f>_xlfn.XLOOKUP($A721,weather_2yrs!$A:$A,weather_2yrs!B:B)</f>
        <v>73.5</v>
      </c>
      <c r="I721">
        <f>_xlfn.XLOOKUP($A721,weather_2yrs!$A:$A,weather_2yrs!C:C)</f>
        <v>0</v>
      </c>
      <c r="J721">
        <f>_xlfn.XLOOKUP($A721,weather_2yrs!$A:$A,weather_2yrs!D:D)</f>
        <v>0</v>
      </c>
      <c r="K721">
        <f>_xlfn.XLOOKUP($A721,weather_2yrs!$A:$A,weather_2yrs!E:E)</f>
        <v>55.1</v>
      </c>
      <c r="L721">
        <f>_xlfn.XLOOKUP($A721,sales!$A:$A,sales!B:B)</f>
        <v>1</v>
      </c>
      <c r="M721" t="str">
        <f>_xlfn.XLOOKUP($A721,sales!$A:$A,sales!C:C)</f>
        <v>Miami Beach</v>
      </c>
      <c r="N721">
        <f>_xlfn.XLOOKUP($A721,sales!$A:$A,sales!D:D)</f>
        <v>240</v>
      </c>
      <c r="O721">
        <f>_xlfn.XLOOKUP($A721,sales!$A:$A,sales!E:E)</f>
        <v>4314.6099999999997</v>
      </c>
      <c r="P721" s="4">
        <f t="shared" si="35"/>
        <v>17.977541666666664</v>
      </c>
    </row>
    <row r="722" spans="1:16" x14ac:dyDescent="0.25">
      <c r="A722" s="1">
        <v>45647</v>
      </c>
      <c r="B722" s="1" t="str">
        <f t="shared" si="33"/>
        <v>Saturday</v>
      </c>
      <c r="C722" s="1" t="b">
        <f t="shared" si="34"/>
        <v>1</v>
      </c>
      <c r="D722">
        <f>VLOOKUP($A722,survey_2yrs!A:B, 2)</f>
        <v>49.7</v>
      </c>
      <c r="E722">
        <f>VLOOKUP($A722,survey_2yrs!$A:C, 3)</f>
        <v>50.3</v>
      </c>
      <c r="F722">
        <f>VLOOKUP($A722,survey_2yrs!$A:D, 4)</f>
        <v>51.9</v>
      </c>
      <c r="G722">
        <f>_xlfn.XLOOKUP(A722,survey_2yrs!A:A,survey_2yrs!E:E)</f>
        <v>48.1</v>
      </c>
      <c r="H722">
        <f>_xlfn.XLOOKUP($A722,weather_2yrs!$A:$A,weather_2yrs!B:B)</f>
        <v>76.7</v>
      </c>
      <c r="I722">
        <f>_xlfn.XLOOKUP($A722,weather_2yrs!$A:$A,weather_2yrs!C:C)</f>
        <v>0</v>
      </c>
      <c r="J722">
        <f>_xlfn.XLOOKUP($A722,weather_2yrs!$A:$A,weather_2yrs!D:D)</f>
        <v>0</v>
      </c>
      <c r="K722">
        <f>_xlfn.XLOOKUP($A722,weather_2yrs!$A:$A,weather_2yrs!E:E)</f>
        <v>50.8</v>
      </c>
      <c r="L722">
        <f>_xlfn.XLOOKUP($A722,sales!$A:$A,sales!B:B)</f>
        <v>1</v>
      </c>
      <c r="M722" t="str">
        <f>_xlfn.XLOOKUP($A722,sales!$A:$A,sales!C:C)</f>
        <v>Miami Beach</v>
      </c>
      <c r="N722">
        <f>_xlfn.XLOOKUP($A722,sales!$A:$A,sales!D:D)</f>
        <v>300</v>
      </c>
      <c r="O722">
        <f>_xlfn.XLOOKUP($A722,sales!$A:$A,sales!E:E)</f>
        <v>5562.31</v>
      </c>
      <c r="P722" s="4">
        <f t="shared" si="35"/>
        <v>18.541033333333335</v>
      </c>
    </row>
    <row r="723" spans="1:16" x14ac:dyDescent="0.25">
      <c r="A723" s="1">
        <v>45648</v>
      </c>
      <c r="B723" s="1" t="str">
        <f t="shared" si="33"/>
        <v>Sunday</v>
      </c>
      <c r="C723" s="1" t="b">
        <f t="shared" si="34"/>
        <v>1</v>
      </c>
      <c r="D723">
        <f>VLOOKUP($A723,survey_2yrs!A:B, 2)</f>
        <v>48.3</v>
      </c>
      <c r="E723">
        <f>VLOOKUP($A723,survey_2yrs!$A:C, 3)</f>
        <v>51.7</v>
      </c>
      <c r="F723">
        <f>VLOOKUP($A723,survey_2yrs!$A:D, 4)</f>
        <v>49</v>
      </c>
      <c r="G723">
        <f>_xlfn.XLOOKUP(A723,survey_2yrs!A:A,survey_2yrs!E:E)</f>
        <v>51</v>
      </c>
      <c r="H723">
        <f>_xlfn.XLOOKUP($A723,weather_2yrs!$A:$A,weather_2yrs!B:B)</f>
        <v>77.900000000000006</v>
      </c>
      <c r="I723">
        <f>_xlfn.XLOOKUP($A723,weather_2yrs!$A:$A,weather_2yrs!C:C)</f>
        <v>0</v>
      </c>
      <c r="J723">
        <f>_xlfn.XLOOKUP($A723,weather_2yrs!$A:$A,weather_2yrs!D:D)</f>
        <v>0</v>
      </c>
      <c r="K723">
        <f>_xlfn.XLOOKUP($A723,weather_2yrs!$A:$A,weather_2yrs!E:E)</f>
        <v>53.3</v>
      </c>
      <c r="L723">
        <f>_xlfn.XLOOKUP($A723,sales!$A:$A,sales!B:B)</f>
        <v>1</v>
      </c>
      <c r="M723" t="str">
        <f>_xlfn.XLOOKUP($A723,sales!$A:$A,sales!C:C)</f>
        <v>Miami Beach</v>
      </c>
      <c r="N723">
        <f>_xlfn.XLOOKUP($A723,sales!$A:$A,sales!D:D)</f>
        <v>297</v>
      </c>
      <c r="O723">
        <f>_xlfn.XLOOKUP($A723,sales!$A:$A,sales!E:E)</f>
        <v>5022.8500000000004</v>
      </c>
      <c r="P723" s="4">
        <f t="shared" si="35"/>
        <v>16.911952861952862</v>
      </c>
    </row>
    <row r="724" spans="1:16" x14ac:dyDescent="0.25">
      <c r="A724" s="1">
        <v>45649</v>
      </c>
      <c r="B724" s="1" t="str">
        <f t="shared" si="33"/>
        <v>Monday</v>
      </c>
      <c r="C724" s="1" t="b">
        <f t="shared" si="34"/>
        <v>0</v>
      </c>
      <c r="D724">
        <f>VLOOKUP($A724,survey_2yrs!A:B, 2)</f>
        <v>48.5</v>
      </c>
      <c r="E724">
        <f>VLOOKUP($A724,survey_2yrs!$A:C, 3)</f>
        <v>51.5</v>
      </c>
      <c r="F724">
        <f>VLOOKUP($A724,survey_2yrs!$A:D, 4)</f>
        <v>44.8</v>
      </c>
      <c r="G724">
        <f>_xlfn.XLOOKUP(A724,survey_2yrs!A:A,survey_2yrs!E:E)</f>
        <v>55.2</v>
      </c>
      <c r="H724">
        <f>_xlfn.XLOOKUP($A724,weather_2yrs!$A:$A,weather_2yrs!B:B)</f>
        <v>74.400000000000006</v>
      </c>
      <c r="I724">
        <f>_xlfn.XLOOKUP($A724,weather_2yrs!$A:$A,weather_2yrs!C:C)</f>
        <v>0</v>
      </c>
      <c r="J724">
        <f>_xlfn.XLOOKUP($A724,weather_2yrs!$A:$A,weather_2yrs!D:D)</f>
        <v>0</v>
      </c>
      <c r="K724">
        <f>_xlfn.XLOOKUP($A724,weather_2yrs!$A:$A,weather_2yrs!E:E)</f>
        <v>49.2</v>
      </c>
      <c r="L724">
        <f>_xlfn.XLOOKUP($A724,sales!$A:$A,sales!B:B)</f>
        <v>1</v>
      </c>
      <c r="M724" t="str">
        <f>_xlfn.XLOOKUP($A724,sales!$A:$A,sales!C:C)</f>
        <v>Miami Beach</v>
      </c>
      <c r="N724">
        <f>_xlfn.XLOOKUP($A724,sales!$A:$A,sales!D:D)</f>
        <v>237</v>
      </c>
      <c r="O724">
        <f>_xlfn.XLOOKUP($A724,sales!$A:$A,sales!E:E)</f>
        <v>4404.17</v>
      </c>
      <c r="P724" s="4">
        <f t="shared" si="35"/>
        <v>18.582995780590718</v>
      </c>
    </row>
    <row r="725" spans="1:16" x14ac:dyDescent="0.25">
      <c r="A725" s="1">
        <v>45650</v>
      </c>
      <c r="B725" s="1" t="str">
        <f t="shared" si="33"/>
        <v>Tuesday</v>
      </c>
      <c r="C725" s="1" t="b">
        <f t="shared" si="34"/>
        <v>0</v>
      </c>
      <c r="D725">
        <f>VLOOKUP($A725,survey_2yrs!A:B, 2)</f>
        <v>49.3</v>
      </c>
      <c r="E725">
        <f>VLOOKUP($A725,survey_2yrs!$A:C, 3)</f>
        <v>50.7</v>
      </c>
      <c r="F725">
        <f>VLOOKUP($A725,survey_2yrs!$A:D, 4)</f>
        <v>43.8</v>
      </c>
      <c r="G725">
        <f>_xlfn.XLOOKUP(A725,survey_2yrs!A:A,survey_2yrs!E:E)</f>
        <v>56.2</v>
      </c>
      <c r="H725">
        <f>_xlfn.XLOOKUP($A725,weather_2yrs!$A:$A,weather_2yrs!B:B)</f>
        <v>77.7</v>
      </c>
      <c r="I725">
        <f>_xlfn.XLOOKUP($A725,weather_2yrs!$A:$A,weather_2yrs!C:C)</f>
        <v>0</v>
      </c>
      <c r="J725">
        <f>_xlfn.XLOOKUP($A725,weather_2yrs!$A:$A,weather_2yrs!D:D)</f>
        <v>0</v>
      </c>
      <c r="K725">
        <f>_xlfn.XLOOKUP($A725,weather_2yrs!$A:$A,weather_2yrs!E:E)</f>
        <v>47.7</v>
      </c>
      <c r="L725">
        <f>_xlfn.XLOOKUP($A725,sales!$A:$A,sales!B:B)</f>
        <v>1</v>
      </c>
      <c r="M725" t="str">
        <f>_xlfn.XLOOKUP($A725,sales!$A:$A,sales!C:C)</f>
        <v>Miami Beach</v>
      </c>
      <c r="N725">
        <f>_xlfn.XLOOKUP($A725,sales!$A:$A,sales!D:D)</f>
        <v>273</v>
      </c>
      <c r="O725">
        <f>_xlfn.XLOOKUP($A725,sales!$A:$A,sales!E:E)</f>
        <v>5037.0200000000004</v>
      </c>
      <c r="P725" s="4">
        <f t="shared" si="35"/>
        <v>18.450622710622714</v>
      </c>
    </row>
    <row r="726" spans="1:16" x14ac:dyDescent="0.25">
      <c r="A726" s="1">
        <v>45651</v>
      </c>
      <c r="B726" s="1" t="str">
        <f t="shared" si="33"/>
        <v>Wednesday</v>
      </c>
      <c r="C726" s="1" t="b">
        <f t="shared" si="34"/>
        <v>0</v>
      </c>
      <c r="D726">
        <f>VLOOKUP($A726,survey_2yrs!A:B, 2)</f>
        <v>49.7</v>
      </c>
      <c r="E726">
        <f>VLOOKUP($A726,survey_2yrs!$A:C, 3)</f>
        <v>50.3</v>
      </c>
      <c r="F726">
        <f>VLOOKUP($A726,survey_2yrs!$A:D, 4)</f>
        <v>44.5</v>
      </c>
      <c r="G726">
        <f>_xlfn.XLOOKUP(A726,survey_2yrs!A:A,survey_2yrs!E:E)</f>
        <v>55.5</v>
      </c>
      <c r="H726">
        <f>_xlfn.XLOOKUP($A726,weather_2yrs!$A:$A,weather_2yrs!B:B)</f>
        <v>76.099999999999994</v>
      </c>
      <c r="I726">
        <f>_xlfn.XLOOKUP($A726,weather_2yrs!$A:$A,weather_2yrs!C:C)</f>
        <v>0.67</v>
      </c>
      <c r="J726">
        <f>_xlfn.XLOOKUP($A726,weather_2yrs!$A:$A,weather_2yrs!D:D)</f>
        <v>1</v>
      </c>
      <c r="K726">
        <f>_xlfn.XLOOKUP($A726,weather_2yrs!$A:$A,weather_2yrs!E:E)</f>
        <v>53.5</v>
      </c>
      <c r="L726">
        <f>_xlfn.XLOOKUP($A726,sales!$A:$A,sales!B:B)</f>
        <v>1</v>
      </c>
      <c r="M726" t="str">
        <f>_xlfn.XLOOKUP($A726,sales!$A:$A,sales!C:C)</f>
        <v>Miami Beach</v>
      </c>
      <c r="N726">
        <f>_xlfn.XLOOKUP($A726,sales!$A:$A,sales!D:D)</f>
        <v>231</v>
      </c>
      <c r="O726">
        <f>_xlfn.XLOOKUP($A726,sales!$A:$A,sales!E:E)</f>
        <v>4271.63</v>
      </c>
      <c r="P726" s="4">
        <f t="shared" si="35"/>
        <v>18.491904761904763</v>
      </c>
    </row>
    <row r="727" spans="1:16" x14ac:dyDescent="0.25">
      <c r="A727" s="1">
        <v>45652</v>
      </c>
      <c r="B727" s="1" t="str">
        <f t="shared" si="33"/>
        <v>Thursday</v>
      </c>
      <c r="C727" s="1" t="b">
        <f t="shared" si="34"/>
        <v>0</v>
      </c>
      <c r="D727">
        <f>VLOOKUP($A727,survey_2yrs!A:B, 2)</f>
        <v>50.3</v>
      </c>
      <c r="E727">
        <f>VLOOKUP($A727,survey_2yrs!$A:C, 3)</f>
        <v>49.7</v>
      </c>
      <c r="F727">
        <f>VLOOKUP($A727,survey_2yrs!$A:D, 4)</f>
        <v>44.2</v>
      </c>
      <c r="G727">
        <f>_xlfn.XLOOKUP(A727,survey_2yrs!A:A,survey_2yrs!E:E)</f>
        <v>55.8</v>
      </c>
      <c r="H727">
        <f>_xlfn.XLOOKUP($A727,weather_2yrs!$A:$A,weather_2yrs!B:B)</f>
        <v>79.099999999999994</v>
      </c>
      <c r="I727">
        <f>_xlfn.XLOOKUP($A727,weather_2yrs!$A:$A,weather_2yrs!C:C)</f>
        <v>0</v>
      </c>
      <c r="J727">
        <f>_xlfn.XLOOKUP($A727,weather_2yrs!$A:$A,weather_2yrs!D:D)</f>
        <v>0</v>
      </c>
      <c r="K727">
        <f>_xlfn.XLOOKUP($A727,weather_2yrs!$A:$A,weather_2yrs!E:E)</f>
        <v>35</v>
      </c>
      <c r="L727">
        <f>_xlfn.XLOOKUP($A727,sales!$A:$A,sales!B:B)</f>
        <v>1</v>
      </c>
      <c r="M727" t="str">
        <f>_xlfn.XLOOKUP($A727,sales!$A:$A,sales!C:C)</f>
        <v>Miami Beach</v>
      </c>
      <c r="N727">
        <f>_xlfn.XLOOKUP($A727,sales!$A:$A,sales!D:D)</f>
        <v>281</v>
      </c>
      <c r="O727">
        <f>_xlfn.XLOOKUP($A727,sales!$A:$A,sales!E:E)</f>
        <v>5444.6</v>
      </c>
      <c r="P727" s="4">
        <f t="shared" si="35"/>
        <v>19.375800711743775</v>
      </c>
    </row>
    <row r="728" spans="1:16" x14ac:dyDescent="0.25">
      <c r="A728" s="1">
        <v>45653</v>
      </c>
      <c r="B728" s="1" t="str">
        <f t="shared" si="33"/>
        <v>Friday</v>
      </c>
      <c r="C728" s="1" t="b">
        <f t="shared" si="34"/>
        <v>0</v>
      </c>
      <c r="D728">
        <f>VLOOKUP($A728,survey_2yrs!A:B, 2)</f>
        <v>48.5</v>
      </c>
      <c r="E728">
        <f>VLOOKUP($A728,survey_2yrs!$A:C, 3)</f>
        <v>51.5</v>
      </c>
      <c r="F728">
        <f>VLOOKUP($A728,survey_2yrs!$A:D, 4)</f>
        <v>44.5</v>
      </c>
      <c r="G728">
        <f>_xlfn.XLOOKUP(A728,survey_2yrs!A:A,survey_2yrs!E:E)</f>
        <v>55.5</v>
      </c>
      <c r="H728">
        <f>_xlfn.XLOOKUP($A728,weather_2yrs!$A:$A,weather_2yrs!B:B)</f>
        <v>82.2</v>
      </c>
      <c r="I728">
        <f>_xlfn.XLOOKUP($A728,weather_2yrs!$A:$A,weather_2yrs!C:C)</f>
        <v>0</v>
      </c>
      <c r="J728">
        <f>_xlfn.XLOOKUP($A728,weather_2yrs!$A:$A,weather_2yrs!D:D)</f>
        <v>0</v>
      </c>
      <c r="K728">
        <f>_xlfn.XLOOKUP($A728,weather_2yrs!$A:$A,weather_2yrs!E:E)</f>
        <v>51.6</v>
      </c>
      <c r="L728">
        <f>_xlfn.XLOOKUP($A728,sales!$A:$A,sales!B:B)</f>
        <v>1</v>
      </c>
      <c r="M728" t="str">
        <f>_xlfn.XLOOKUP($A728,sales!$A:$A,sales!C:C)</f>
        <v>Miami Beach</v>
      </c>
      <c r="N728">
        <f>_xlfn.XLOOKUP($A728,sales!$A:$A,sales!D:D)</f>
        <v>304</v>
      </c>
      <c r="O728">
        <f>_xlfn.XLOOKUP($A728,sales!$A:$A,sales!E:E)</f>
        <v>5486.46</v>
      </c>
      <c r="P728" s="4">
        <f t="shared" si="35"/>
        <v>18.047565789473683</v>
      </c>
    </row>
    <row r="729" spans="1:16" x14ac:dyDescent="0.25">
      <c r="A729" s="1">
        <v>45654</v>
      </c>
      <c r="B729" s="1" t="str">
        <f t="shared" si="33"/>
        <v>Saturday</v>
      </c>
      <c r="C729" s="1" t="b">
        <f t="shared" si="34"/>
        <v>1</v>
      </c>
      <c r="D729">
        <f>VLOOKUP($A729,survey_2yrs!A:B, 2)</f>
        <v>48.2</v>
      </c>
      <c r="E729">
        <f>VLOOKUP($A729,survey_2yrs!$A:C, 3)</f>
        <v>51.8</v>
      </c>
      <c r="F729">
        <f>VLOOKUP($A729,survey_2yrs!$A:D, 4)</f>
        <v>51.9</v>
      </c>
      <c r="G729">
        <f>_xlfn.XLOOKUP(A729,survey_2yrs!A:A,survey_2yrs!E:E)</f>
        <v>48.1</v>
      </c>
      <c r="H729">
        <f>_xlfn.XLOOKUP($A729,weather_2yrs!$A:$A,weather_2yrs!B:B)</f>
        <v>78.5</v>
      </c>
      <c r="I729">
        <f>_xlfn.XLOOKUP($A729,weather_2yrs!$A:$A,weather_2yrs!C:C)</f>
        <v>1.83</v>
      </c>
      <c r="J729">
        <f>_xlfn.XLOOKUP($A729,weather_2yrs!$A:$A,weather_2yrs!D:D)</f>
        <v>1</v>
      </c>
      <c r="K729">
        <f>_xlfn.XLOOKUP($A729,weather_2yrs!$A:$A,weather_2yrs!E:E)</f>
        <v>43.6</v>
      </c>
      <c r="L729">
        <f>_xlfn.XLOOKUP($A729,sales!$A:$A,sales!B:B)</f>
        <v>1</v>
      </c>
      <c r="M729" t="str">
        <f>_xlfn.XLOOKUP($A729,sales!$A:$A,sales!C:C)</f>
        <v>Miami Beach</v>
      </c>
      <c r="N729">
        <f>_xlfn.XLOOKUP($A729,sales!$A:$A,sales!D:D)</f>
        <v>273</v>
      </c>
      <c r="O729">
        <f>_xlfn.XLOOKUP($A729,sales!$A:$A,sales!E:E)</f>
        <v>4713.83</v>
      </c>
      <c r="P729" s="4">
        <f t="shared" si="35"/>
        <v>17.266776556776556</v>
      </c>
    </row>
    <row r="730" spans="1:16" x14ac:dyDescent="0.25">
      <c r="A730" s="1">
        <v>45655</v>
      </c>
      <c r="B730" s="1" t="str">
        <f t="shared" si="33"/>
        <v>Sunday</v>
      </c>
      <c r="C730" s="1" t="b">
        <f t="shared" si="34"/>
        <v>1</v>
      </c>
      <c r="D730">
        <f>VLOOKUP($A730,survey_2yrs!A:B, 2)</f>
        <v>50</v>
      </c>
      <c r="E730">
        <f>VLOOKUP($A730,survey_2yrs!$A:C, 3)</f>
        <v>50</v>
      </c>
      <c r="F730">
        <f>VLOOKUP($A730,survey_2yrs!$A:D, 4)</f>
        <v>51.9</v>
      </c>
      <c r="G730">
        <f>_xlfn.XLOOKUP(A730,survey_2yrs!A:A,survey_2yrs!E:E)</f>
        <v>48.1</v>
      </c>
      <c r="H730">
        <f>_xlfn.XLOOKUP($A730,weather_2yrs!$A:$A,weather_2yrs!B:B)</f>
        <v>74</v>
      </c>
      <c r="I730">
        <f>_xlfn.XLOOKUP($A730,weather_2yrs!$A:$A,weather_2yrs!C:C)</f>
        <v>0</v>
      </c>
      <c r="J730">
        <f>_xlfn.XLOOKUP($A730,weather_2yrs!$A:$A,weather_2yrs!D:D)</f>
        <v>0</v>
      </c>
      <c r="K730">
        <f>_xlfn.XLOOKUP($A730,weather_2yrs!$A:$A,weather_2yrs!E:E)</f>
        <v>52.1</v>
      </c>
      <c r="L730">
        <f>_xlfn.XLOOKUP($A730,sales!$A:$A,sales!B:B)</f>
        <v>1</v>
      </c>
      <c r="M730" t="str">
        <f>_xlfn.XLOOKUP($A730,sales!$A:$A,sales!C:C)</f>
        <v>Miami Beach</v>
      </c>
      <c r="N730">
        <f>_xlfn.XLOOKUP($A730,sales!$A:$A,sales!D:D)</f>
        <v>248</v>
      </c>
      <c r="O730">
        <f>_xlfn.XLOOKUP($A730,sales!$A:$A,sales!E:E)</f>
        <v>4588.3900000000003</v>
      </c>
      <c r="P730" s="4">
        <f t="shared" si="35"/>
        <v>18.501572580645163</v>
      </c>
    </row>
    <row r="731" spans="1:16" x14ac:dyDescent="0.25">
      <c r="A731" s="1">
        <v>45656</v>
      </c>
      <c r="B731" s="1" t="str">
        <f t="shared" si="33"/>
        <v>Monday</v>
      </c>
      <c r="C731" s="1" t="b">
        <f t="shared" si="34"/>
        <v>0</v>
      </c>
      <c r="D731">
        <f>VLOOKUP($A731,survey_2yrs!A:B, 2)</f>
        <v>48.9</v>
      </c>
      <c r="E731">
        <f>VLOOKUP($A731,survey_2yrs!$A:C, 3)</f>
        <v>51.1</v>
      </c>
      <c r="F731">
        <f>VLOOKUP($A731,survey_2yrs!$A:D, 4)</f>
        <v>46.1</v>
      </c>
      <c r="G731">
        <f>_xlfn.XLOOKUP(A731,survey_2yrs!A:A,survey_2yrs!E:E)</f>
        <v>53.9</v>
      </c>
      <c r="H731">
        <f>_xlfn.XLOOKUP($A731,weather_2yrs!$A:$A,weather_2yrs!B:B)</f>
        <v>75.5</v>
      </c>
      <c r="I731">
        <f>_xlfn.XLOOKUP($A731,weather_2yrs!$A:$A,weather_2yrs!C:C)</f>
        <v>0.48</v>
      </c>
      <c r="J731">
        <f>_xlfn.XLOOKUP($A731,weather_2yrs!$A:$A,weather_2yrs!D:D)</f>
        <v>1</v>
      </c>
      <c r="K731">
        <f>_xlfn.XLOOKUP($A731,weather_2yrs!$A:$A,weather_2yrs!E:E)</f>
        <v>39.299999999999997</v>
      </c>
      <c r="L731">
        <f>_xlfn.XLOOKUP($A731,sales!$A:$A,sales!B:B)</f>
        <v>1</v>
      </c>
      <c r="M731" t="str">
        <f>_xlfn.XLOOKUP($A731,sales!$A:$A,sales!C:C)</f>
        <v>Miami Beach</v>
      </c>
      <c r="N731">
        <f>_xlfn.XLOOKUP($A731,sales!$A:$A,sales!D:D)</f>
        <v>235</v>
      </c>
      <c r="O731">
        <f>_xlfn.XLOOKUP($A731,sales!$A:$A,sales!E:E)</f>
        <v>4554.18</v>
      </c>
      <c r="P731" s="4">
        <f t="shared" si="35"/>
        <v>19.379489361702127</v>
      </c>
    </row>
    <row r="732" spans="1:16" x14ac:dyDescent="0.25">
      <c r="A732" s="1">
        <v>45657</v>
      </c>
      <c r="B732" s="1" t="str">
        <f t="shared" si="33"/>
        <v>Tuesday</v>
      </c>
      <c r="C732" s="1" t="b">
        <f t="shared" si="34"/>
        <v>0</v>
      </c>
      <c r="D732">
        <f>VLOOKUP($A732,survey_2yrs!A:B, 2)</f>
        <v>50.2</v>
      </c>
      <c r="E732">
        <f>VLOOKUP($A732,survey_2yrs!$A:C, 3)</f>
        <v>49.8</v>
      </c>
      <c r="F732">
        <f>VLOOKUP($A732,survey_2yrs!$A:D, 4)</f>
        <v>43.8</v>
      </c>
      <c r="G732">
        <f>_xlfn.XLOOKUP(A732,survey_2yrs!A:A,survey_2yrs!E:E)</f>
        <v>56.2</v>
      </c>
      <c r="H732">
        <f>_xlfn.XLOOKUP($A732,weather_2yrs!$A:$A,weather_2yrs!B:B)</f>
        <v>70.900000000000006</v>
      </c>
      <c r="I732">
        <f>_xlfn.XLOOKUP($A732,weather_2yrs!$A:$A,weather_2yrs!C:C)</f>
        <v>0</v>
      </c>
      <c r="J732">
        <f>_xlfn.XLOOKUP($A732,weather_2yrs!$A:$A,weather_2yrs!D:D)</f>
        <v>0</v>
      </c>
      <c r="K732">
        <f>_xlfn.XLOOKUP($A732,weather_2yrs!$A:$A,weather_2yrs!E:E)</f>
        <v>47.8</v>
      </c>
      <c r="L732">
        <f>_xlfn.XLOOKUP($A732,sales!$A:$A,sales!B:B)</f>
        <v>1</v>
      </c>
      <c r="M732" t="str">
        <f>_xlfn.XLOOKUP($A732,sales!$A:$A,sales!C:C)</f>
        <v>Miami Beach</v>
      </c>
      <c r="N732">
        <f>_xlfn.XLOOKUP($A732,sales!$A:$A,sales!D:D)</f>
        <v>196</v>
      </c>
      <c r="O732">
        <f>_xlfn.XLOOKUP($A732,sales!$A:$A,sales!E:E)</f>
        <v>3755.53</v>
      </c>
      <c r="P732" s="4">
        <f t="shared" si="35"/>
        <v>19.160867346938776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04DF5C-4309-44BB-85A2-DCC3A383D5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survey_2yrs</vt:lpstr>
      <vt:lpstr>weather_2yrs</vt:lpstr>
      <vt:lpstr>sales</vt:lpstr>
      <vt:lpstr>queried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Shareen</dc:creator>
  <cp:lastModifiedBy>Kwago Hoot</cp:lastModifiedBy>
  <dcterms:created xsi:type="dcterms:W3CDTF">2026-07-30T07:15:16Z</dcterms:created>
  <dcterms:modified xsi:type="dcterms:W3CDTF">2026-08-02T15:47:36Z</dcterms:modified>
</cp:coreProperties>
</file>