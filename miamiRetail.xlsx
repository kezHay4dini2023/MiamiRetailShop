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en\Desktop\GET A JOB\ExcelRetailShopinMiami\"/>
    </mc:Choice>
  </mc:AlternateContent>
  <xr:revisionPtr revIDLastSave="0" documentId="13_ncr:1_{0DFC48C7-E70E-49D1-8A78-698295D1433B}" xr6:coauthVersionLast="47" xr6:coauthVersionMax="47" xr10:uidLastSave="{00000000-0000-0000-0000-000000000000}"/>
  <bookViews>
    <workbookView xWindow="-120" yWindow="-120" windowWidth="20730" windowHeight="11160" activeTab="3" xr2:uid="{1C650A16-5F23-4754-AFB7-51C77A51FDB6}"/>
  </bookViews>
  <sheets>
    <sheet name="sales_2yrs" sheetId="2" r:id="rId1"/>
    <sheet name="survey_2yrs" sheetId="3" r:id="rId2"/>
    <sheet name="weather_2yrs" sheetId="4" r:id="rId3"/>
    <sheet name="Miami_Retail" sheetId="5" r:id="rId4"/>
  </sheets>
  <definedNames>
    <definedName name="ExternalData_1" localSheetId="0" hidden="1">sales_2yrs!$A$1:$E$2925</definedName>
    <definedName name="ExternalData_1" localSheetId="1" hidden="1">survey_2yrs!$A$1:$E$732</definedName>
    <definedName name="ExternalData_1" localSheetId="2" hidden="1">weather_2yrs!$A$1:$E$732</definedName>
    <definedName name="ExternalData_2" localSheetId="3" hidden="1">Miami_Retail!$A$1:$Q$2925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8C79E-8039-4A95-9581-674837A637AB}" keepAlive="1" name="Query - Miami_Retail" description="Connection to the 'Miami_Retail' query in the workbook." type="5" refreshedVersion="8" background="1" saveData="1">
    <dbPr connection="Provider=Microsoft.Mashup.OleDb.1;Data Source=$Workbook$;Location=Miami_Retail;Extended Properties=&quot;&quot;" command="SELECT * FROM [Miami_Retail]"/>
  </connection>
  <connection id="2" xr16:uid="{89B25CB2-E687-4195-91B0-47158961881F}" keepAlive="1" name="Query - sales_2yrs" description="Connection to the 'sales_2yrs' query in the workbook." type="5" refreshedVersion="8" background="1" saveData="1">
    <dbPr connection="Provider=Microsoft.Mashup.OleDb.1;Data Source=$Workbook$;Location=sales_2yrs;Extended Properties=&quot;&quot;" command="SELECT * FROM [sales_2yrs]"/>
  </connection>
  <connection id="3" xr16:uid="{F102825B-F58A-4EAC-82B7-4874EF95D985}" keepAlive="1" name="Query - sales_2yrs (2)" description="Connection to the 'sales_2yrs (2)' query in the workbook." type="5" refreshedVersion="0" background="1">
    <dbPr connection="Provider=Microsoft.Mashup.OleDb.1;Data Source=$Workbook$;Location=&quot;sales_2yrs (2)&quot;;Extended Properties=&quot;&quot;" command="SELECT * FROM [sales_2yrs (2)]"/>
  </connection>
  <connection id="4" xr16:uid="{9228C0BC-DFE2-4FD5-AA80-DD2623A59447}" keepAlive="1" name="Query - survey_2yrs" description="Connection to the 'survey_2yrs' query in the workbook." type="5" refreshedVersion="8" background="1" saveData="1">
    <dbPr connection="Provider=Microsoft.Mashup.OleDb.1;Data Source=$Workbook$;Location=survey_2yrs;Extended Properties=&quot;&quot;" command="SELECT * FROM [survey_2yrs]"/>
  </connection>
  <connection id="5" xr16:uid="{94D88F15-EB9E-4CC9-8274-85247186B6FD}" keepAlive="1" name="Query - survey_2yrs (2)" description="Connection to the 'survey_2yrs (2)' query in the workbook." type="5" refreshedVersion="0" background="1">
    <dbPr connection="Provider=Microsoft.Mashup.OleDb.1;Data Source=$Workbook$;Location=&quot;survey_2yrs (2)&quot;;Extended Properties=&quot;&quot;" command="SELECT * FROM [survey_2yrs (2)]"/>
  </connection>
  <connection id="6" xr16:uid="{73C8A34D-855F-4587-A151-CDF00828A3D3}" keepAlive="1" name="Query - weather_2yrs" description="Connection to the 'weather_2yrs' query in the workbook." type="5" refreshedVersion="8" background="1" saveData="1">
    <dbPr connection="Provider=Microsoft.Mashup.OleDb.1;Data Source=$Workbook$;Location=weather_2yrs;Extended Properties=&quot;&quot;" command="SELECT * FROM [weather_2yrs]"/>
  </connection>
  <connection id="7" xr16:uid="{33412E00-3535-45E1-BDCE-01105027845F}" keepAlive="1" name="Query - weather_2yrs (2)" description="Connection to the 'weather_2yrs (2)' query in the workbook." type="5" refreshedVersion="0" background="1">
    <dbPr connection="Provider=Microsoft.Mashup.OleDb.1;Data Source=$Workbook$;Location=&quot;weather_2yrs (2)&quot;;Extended Properties=&quot;&quot;" command="SELECT * FROM [weather_2yrs (2)]"/>
  </connection>
</connections>
</file>

<file path=xl/sharedStrings.xml><?xml version="1.0" encoding="utf-8"?>
<sst xmlns="http://schemas.openxmlformats.org/spreadsheetml/2006/main" count="5880" uniqueCount="21">
  <si>
    <t>date</t>
  </si>
  <si>
    <t>shop_id</t>
  </si>
  <si>
    <t>shop_name</t>
  </si>
  <si>
    <t>customers</t>
  </si>
  <si>
    <t>sales_usd</t>
  </si>
  <si>
    <t>Miami Beach</t>
  </si>
  <si>
    <t>Orlando</t>
  </si>
  <si>
    <t>Tampa</t>
  </si>
  <si>
    <t>Jacksonville</t>
  </si>
  <si>
    <t>pct_male</t>
  </si>
  <si>
    <t>pct_female</t>
  </si>
  <si>
    <t>pct_family</t>
  </si>
  <si>
    <t>pct_single</t>
  </si>
  <si>
    <t>avg_temp_f</t>
  </si>
  <si>
    <t>precip_in</t>
  </si>
  <si>
    <t>is_rain</t>
  </si>
  <si>
    <t>humidity_pct</t>
  </si>
  <si>
    <t>day_of_the_week</t>
  </si>
  <si>
    <t>Is_Weekend</t>
  </si>
  <si>
    <t>sales_per_customer</t>
  </si>
  <si>
    <t>avg_temp_c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</si>
</sst>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9"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4500D5D-CC3A-4720-972C-267270712B4C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shop_id" tableColumnId="2"/>
      <queryTableField id="3" name="shop_name" tableColumnId="3"/>
      <queryTableField id="4" name="customers" tableColumnId="4"/>
      <queryTableField id="5" name="sales_us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15C9919-78E4-49BF-B913-994F1EB1A48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ct_male" tableColumnId="2"/>
      <queryTableField id="3" name="pct_female" tableColumnId="3"/>
      <queryTableField id="4" name="pct_family" tableColumnId="4"/>
      <queryTableField id="5" name="pct_singl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5BD8896-5280-448C-936C-05C09AC93EDE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avg_temp_f" tableColumnId="2"/>
      <queryTableField id="3" name="precip_in" tableColumnId="3"/>
      <queryTableField id="4" name="is_rain" tableColumnId="4"/>
      <queryTableField id="5" name="humidity_pc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92BAB83-4A5F-49E7-B5DF-161D7A8F0A80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14" dataBound="0" tableColumnId="14"/>
      <queryTableField id="15" dataBound="0" tableColumnId="15"/>
      <queryTableField id="2" name="shop_id" tableColumnId="2"/>
      <queryTableField id="3" name="shop_name" tableColumnId="3"/>
      <queryTableField id="4" name="customers" tableColumnId="4"/>
      <queryTableField id="5" name="sales_usd" tableColumnId="5"/>
      <queryTableField id="16" dataBound="0" tableColumnId="16"/>
      <queryTableField id="6" name="weather_2yrs (2).avg_temp_f" tableColumnId="6"/>
      <queryTableField id="17" dataBound="0" tableColumnId="18"/>
      <queryTableField id="7" name="weather_2yrs (2).precip_in" tableColumnId="7"/>
      <queryTableField id="8" name="weather_2yrs (2).is_rain" tableColumnId="8"/>
      <queryTableField id="9" name="weather_2yrs (2).humidity_pct" tableColumnId="9"/>
      <queryTableField id="10" name="survey_2yrs (2).pct_male" tableColumnId="10"/>
      <queryTableField id="11" name="survey_2yrs (2).pct_female" tableColumnId="11"/>
      <queryTableField id="12" name="survey_2yrs (2).pct_family" tableColumnId="12"/>
      <queryTableField id="13" name="survey_2yrs (2).pct_singl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E111E-3722-4690-BF67-865B35A78D04}" name="sales_2yrs" displayName="sales_2yrs" ref="A1:E2925" tableType="queryTable" totalsRowShown="0">
  <autoFilter ref="A1:E2925" xr:uid="{CBBE111E-3722-4690-BF67-865B35A78D04}"/>
  <tableColumns count="5">
    <tableColumn id="1" xr3:uid="{31A65BB2-7FFD-4529-B811-C32AECE748CC}" uniqueName="1" name="date" queryTableFieldId="1" dataDxfId="3"/>
    <tableColumn id="2" xr3:uid="{8267897B-FACE-42C3-AD95-24A4B81DA4B8}" uniqueName="2" name="shop_id" queryTableFieldId="2"/>
    <tableColumn id="3" xr3:uid="{AD036137-CA4B-4159-AA54-14E42CD9D5FD}" uniqueName="3" name="shop_name" queryTableFieldId="3" dataDxfId="2"/>
    <tableColumn id="4" xr3:uid="{FC0438E1-B3F4-408A-B12E-97B5328DCD47}" uniqueName="4" name="customers" queryTableFieldId="4"/>
    <tableColumn id="5" xr3:uid="{6DE250A8-9E56-44C5-8195-816D7E6DC517}" uniqueName="5" name="sales_us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A79A2-6CFC-4C00-8500-5FD334030762}" name="survey_2yrs" displayName="survey_2yrs" ref="A1:E732" tableType="queryTable" totalsRowShown="0">
  <autoFilter ref="A1:E732" xr:uid="{3E0A79A2-6CFC-4C00-8500-5FD334030762}"/>
  <tableColumns count="5">
    <tableColumn id="1" xr3:uid="{C5CD45DB-A531-41C5-9A23-245E9A025762}" uniqueName="1" name="date" queryTableFieldId="1" dataDxfId="1"/>
    <tableColumn id="2" xr3:uid="{6AB6CA27-3992-4E35-AC0B-4BA6513005F7}" uniqueName="2" name="pct_male" queryTableFieldId="2"/>
    <tableColumn id="3" xr3:uid="{BBD8C389-3AFB-4D9E-B4AF-974CD05420FD}" uniqueName="3" name="pct_female" queryTableFieldId="3"/>
    <tableColumn id="4" xr3:uid="{B1BF3E6E-2499-45F8-AEA8-8C6244FDCC51}" uniqueName="4" name="pct_family" queryTableFieldId="4"/>
    <tableColumn id="5" xr3:uid="{4B5466A2-C457-4DCC-803E-6EEEC9C057CE}" uniqueName="5" name="pct_singl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8F0EE-E2F6-49A1-9830-26E9B4857691}" name="weather_2yrs" displayName="weather_2yrs" ref="A1:E732" tableType="queryTable" totalsRowShown="0">
  <autoFilter ref="A1:E732" xr:uid="{94F8F0EE-E2F6-49A1-9830-26E9B4857691}"/>
  <tableColumns count="5">
    <tableColumn id="1" xr3:uid="{9179CA51-D5F6-459C-A34D-CC801EF82C7C}" uniqueName="1" name="date" queryTableFieldId="1" dataDxfId="0"/>
    <tableColumn id="2" xr3:uid="{A7E0B5A3-59C2-48D5-881B-AD3172693B6E}" uniqueName="2" name="avg_temp_f" queryTableFieldId="2"/>
    <tableColumn id="3" xr3:uid="{2BBBC754-D2DE-40BC-AD2F-38B40B53ED4A}" uniqueName="3" name="precip_in" queryTableFieldId="3"/>
    <tableColumn id="4" xr3:uid="{87FC2829-4CFA-4F6A-B161-17518E1689A4}" uniqueName="4" name="is_rain" queryTableFieldId="4"/>
    <tableColumn id="5" xr3:uid="{6A41EF40-4265-4763-B4DA-5163536E0192}" uniqueName="5" name="humidity_pc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CB519D-0B5E-439A-9F88-115E689CBE3B}" name="Miami_Retail" displayName="Miami_Retail" ref="A1:Q2925" tableType="queryTable" totalsRowShown="0">
  <autoFilter ref="A1:Q2925" xr:uid="{E1CB519D-0B5E-439A-9F88-115E689CBE3B}"/>
  <tableColumns count="17">
    <tableColumn id="1" xr3:uid="{7A93576E-F3F9-464D-A81D-1E27392C58B0}" uniqueName="1" name="date" queryTableFieldId="1" dataDxfId="8"/>
    <tableColumn id="14" xr3:uid="{4FBD3D1D-B49A-494F-BCD5-3EF63C972F27}" uniqueName="14" name="day_of_the_week" queryTableFieldId="14" dataDxfId="7">
      <calculatedColumnFormula>TEXT(A2, "dddd")</calculatedColumnFormula>
    </tableColumn>
    <tableColumn id="15" xr3:uid="{A79C6AE2-9D8B-491E-A50B-BFA9F76E7C0A}" uniqueName="15" name="Is_Weekend" queryTableFieldId="15" dataDxfId="6">
      <calculatedColumnFormula>IF(WEEKDAY(A2,2)&gt;5,TRUE,FALSE)</calculatedColumnFormula>
    </tableColumn>
    <tableColumn id="2" xr3:uid="{B1840396-5D1D-43F5-9C50-F53EDB8D89BF}" uniqueName="2" name="shop_id" queryTableFieldId="2"/>
    <tableColumn id="3" xr3:uid="{E6459E7C-ED28-4231-8F35-DB44254E830B}" uniqueName="3" name="shop_name" queryTableFieldId="3" dataDxfId="5"/>
    <tableColumn id="4" xr3:uid="{A62BDC87-96AE-44F4-9C89-6E52FD3D08A6}" uniqueName="4" name="customers" queryTableFieldId="4"/>
    <tableColumn id="5" xr3:uid="{6B350872-5C1F-4EBC-AE8F-A5B41452EC2F}" uniqueName="5" name="sales_usd" queryTableFieldId="5" dataCellStyle="Currency"/>
    <tableColumn id="16" xr3:uid="{AB276199-A4F7-4F1B-A7A0-5CD9B5F6691D}" uniqueName="16" name="sales_per_customer" queryTableFieldId="16" dataCellStyle="Currency">
      <calculatedColumnFormula>Miami_Retail[[#This Row],[sales_usd]] / Miami_Retail[[#This Row],[customers]]</calculatedColumnFormula>
    </tableColumn>
    <tableColumn id="6" xr3:uid="{CE9479E2-0A56-488C-BE86-085EFE93CEB9}" uniqueName="6" name="avg_temp_f" queryTableFieldId="6"/>
    <tableColumn id="18" xr3:uid="{25FB6734-4598-4B71-B44B-9452E9DE2CFC}" uniqueName="18" name="avg_temp_c" queryTableFieldId="17" dataDxfId="4">
      <calculatedColumnFormula>(Miami_Retail[[#This Row],[avg_temp_f]]-32) * (5/9)</calculatedColumnFormula>
    </tableColumn>
    <tableColumn id="7" xr3:uid="{9084F9EB-A18E-49B2-8D46-8D7FC1731FAE}" uniqueName="7" name="precip_in" queryTableFieldId="7"/>
    <tableColumn id="8" xr3:uid="{04AEA78C-8043-40E0-B6D9-33815161EB85}" uniqueName="8" name="is_rain" queryTableFieldId="8"/>
    <tableColumn id="9" xr3:uid="{8C19A10D-E8F1-4A98-B127-FC715567D9E5}" uniqueName="9" name="humidity_pct" queryTableFieldId="9"/>
    <tableColumn id="10" xr3:uid="{39B56C04-3BAE-4D3E-B4DA-75B9992418E8}" uniqueName="10" name="pct_male" queryTableFieldId="10"/>
    <tableColumn id="11" xr3:uid="{10F3B3F9-6C2D-4F62-B415-98591BBDFA9F}" uniqueName="11" name="pct_female" queryTableFieldId="11"/>
    <tableColumn id="12" xr3:uid="{E027C68C-C8B0-4F3D-9E26-F7A3074709C1}" uniqueName="12" name="pct_family" queryTableFieldId="12"/>
    <tableColumn id="13" xr3:uid="{282DF487-6FB7-4260-8D6D-64EF1831BA55}" uniqueName="13" name="pct_singl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6E7B-8845-45D4-A396-5329745A118D}">
  <dimension ref="A1:E2925"/>
  <sheetViews>
    <sheetView workbookViewId="0">
      <selection activeCell="C7" sqref="C7"/>
    </sheetView>
  </sheetViews>
  <sheetFormatPr defaultRowHeight="15" x14ac:dyDescent="0.25"/>
  <cols>
    <col min="1" max="1" width="10.42578125" bestFit="1" customWidth="1"/>
    <col min="2" max="2" width="10.28515625" bestFit="1" customWidth="1"/>
    <col min="3" max="3" width="13.5703125" bestFit="1" customWidth="1"/>
    <col min="4" max="4" width="12.85546875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44927</v>
      </c>
      <c r="B2">
        <v>1</v>
      </c>
      <c r="C2" t="s">
        <v>5</v>
      </c>
      <c r="D2">
        <v>296</v>
      </c>
      <c r="E2">
        <v>5440.48</v>
      </c>
    </row>
    <row r="3" spans="1:5" x14ac:dyDescent="0.25">
      <c r="A3" s="1">
        <v>44928</v>
      </c>
      <c r="B3">
        <v>1</v>
      </c>
      <c r="C3" t="s">
        <v>5</v>
      </c>
      <c r="D3">
        <v>253</v>
      </c>
      <c r="E3">
        <v>4754.25</v>
      </c>
    </row>
    <row r="4" spans="1:5" x14ac:dyDescent="0.25">
      <c r="A4" s="1">
        <v>44929</v>
      </c>
      <c r="B4">
        <v>1</v>
      </c>
      <c r="C4" t="s">
        <v>5</v>
      </c>
      <c r="D4">
        <v>225</v>
      </c>
      <c r="E4">
        <v>4326.42</v>
      </c>
    </row>
    <row r="5" spans="1:5" x14ac:dyDescent="0.25">
      <c r="A5" s="1">
        <v>44930</v>
      </c>
      <c r="B5">
        <v>1</v>
      </c>
      <c r="C5" t="s">
        <v>5</v>
      </c>
      <c r="D5">
        <v>246</v>
      </c>
      <c r="E5">
        <v>4570.1099999999997</v>
      </c>
    </row>
    <row r="6" spans="1:5" x14ac:dyDescent="0.25">
      <c r="A6" s="1">
        <v>44931</v>
      </c>
      <c r="B6">
        <v>1</v>
      </c>
      <c r="C6" t="s">
        <v>5</v>
      </c>
      <c r="D6">
        <v>235</v>
      </c>
      <c r="E6">
        <v>4202.1099999999997</v>
      </c>
    </row>
    <row r="7" spans="1:5" x14ac:dyDescent="0.25">
      <c r="A7" s="1">
        <v>44932</v>
      </c>
      <c r="B7">
        <v>1</v>
      </c>
      <c r="C7" t="s">
        <v>5</v>
      </c>
      <c r="D7">
        <v>223</v>
      </c>
      <c r="E7">
        <v>4067.3</v>
      </c>
    </row>
    <row r="8" spans="1:5" x14ac:dyDescent="0.25">
      <c r="A8" s="1">
        <v>44933</v>
      </c>
      <c r="B8">
        <v>1</v>
      </c>
      <c r="C8" t="s">
        <v>5</v>
      </c>
      <c r="D8">
        <v>304</v>
      </c>
      <c r="E8">
        <v>5141.29</v>
      </c>
    </row>
    <row r="9" spans="1:5" x14ac:dyDescent="0.25">
      <c r="A9" s="1">
        <v>44934</v>
      </c>
      <c r="B9">
        <v>1</v>
      </c>
      <c r="C9" t="s">
        <v>5</v>
      </c>
      <c r="D9">
        <v>235</v>
      </c>
      <c r="E9">
        <v>4270.28</v>
      </c>
    </row>
    <row r="10" spans="1:5" x14ac:dyDescent="0.25">
      <c r="A10" s="1">
        <v>44935</v>
      </c>
      <c r="B10">
        <v>1</v>
      </c>
      <c r="C10" t="s">
        <v>5</v>
      </c>
      <c r="D10">
        <v>251</v>
      </c>
      <c r="E10">
        <v>4431.6400000000003</v>
      </c>
    </row>
    <row r="11" spans="1:5" x14ac:dyDescent="0.25">
      <c r="A11" s="1">
        <v>44936</v>
      </c>
      <c r="B11">
        <v>1</v>
      </c>
      <c r="C11" t="s">
        <v>5</v>
      </c>
      <c r="D11">
        <v>215</v>
      </c>
      <c r="E11">
        <v>3918.9</v>
      </c>
    </row>
    <row r="12" spans="1:5" x14ac:dyDescent="0.25">
      <c r="A12" s="1">
        <v>44937</v>
      </c>
      <c r="B12">
        <v>1</v>
      </c>
      <c r="C12" t="s">
        <v>5</v>
      </c>
      <c r="D12">
        <v>219</v>
      </c>
      <c r="E12">
        <v>4151.6400000000003</v>
      </c>
    </row>
    <row r="13" spans="1:5" x14ac:dyDescent="0.25">
      <c r="A13" s="1">
        <v>44938</v>
      </c>
      <c r="B13">
        <v>1</v>
      </c>
      <c r="C13" t="s">
        <v>5</v>
      </c>
      <c r="D13">
        <v>211</v>
      </c>
      <c r="E13">
        <v>3894.75</v>
      </c>
    </row>
    <row r="14" spans="1:5" x14ac:dyDescent="0.25">
      <c r="A14" s="1">
        <v>44939</v>
      </c>
      <c r="B14">
        <v>1</v>
      </c>
      <c r="C14" t="s">
        <v>5</v>
      </c>
      <c r="D14">
        <v>237</v>
      </c>
      <c r="E14">
        <v>4477.8500000000004</v>
      </c>
    </row>
    <row r="15" spans="1:5" x14ac:dyDescent="0.25">
      <c r="A15" s="1">
        <v>44940</v>
      </c>
      <c r="B15">
        <v>1</v>
      </c>
      <c r="C15" t="s">
        <v>5</v>
      </c>
      <c r="D15">
        <v>263</v>
      </c>
      <c r="E15">
        <v>5073.2299999999996</v>
      </c>
    </row>
    <row r="16" spans="1:5" x14ac:dyDescent="0.25">
      <c r="A16" s="1">
        <v>44941</v>
      </c>
      <c r="B16">
        <v>1</v>
      </c>
      <c r="C16" t="s">
        <v>5</v>
      </c>
      <c r="D16">
        <v>270</v>
      </c>
      <c r="E16">
        <v>4512.7700000000004</v>
      </c>
    </row>
    <row r="17" spans="1:5" x14ac:dyDescent="0.25">
      <c r="A17" s="1">
        <v>44942</v>
      </c>
      <c r="B17">
        <v>1</v>
      </c>
      <c r="C17" t="s">
        <v>5</v>
      </c>
      <c r="D17">
        <v>230</v>
      </c>
      <c r="E17">
        <v>4276.97</v>
      </c>
    </row>
    <row r="18" spans="1:5" x14ac:dyDescent="0.25">
      <c r="A18" s="1">
        <v>44943</v>
      </c>
      <c r="B18">
        <v>1</v>
      </c>
      <c r="C18" t="s">
        <v>5</v>
      </c>
      <c r="D18">
        <v>254</v>
      </c>
      <c r="E18">
        <v>4594.63</v>
      </c>
    </row>
    <row r="19" spans="1:5" x14ac:dyDescent="0.25">
      <c r="A19" s="1">
        <v>44944</v>
      </c>
      <c r="B19">
        <v>1</v>
      </c>
      <c r="C19" t="s">
        <v>5</v>
      </c>
      <c r="D19">
        <v>216</v>
      </c>
      <c r="E19">
        <v>3603.99</v>
      </c>
    </row>
    <row r="20" spans="1:5" x14ac:dyDescent="0.25">
      <c r="A20" s="1">
        <v>44945</v>
      </c>
      <c r="B20">
        <v>1</v>
      </c>
      <c r="C20" t="s">
        <v>5</v>
      </c>
      <c r="D20">
        <v>288</v>
      </c>
      <c r="E20">
        <v>5246.91</v>
      </c>
    </row>
    <row r="21" spans="1:5" x14ac:dyDescent="0.25">
      <c r="A21" s="1">
        <v>44946</v>
      </c>
      <c r="B21">
        <v>1</v>
      </c>
      <c r="C21" t="s">
        <v>5</v>
      </c>
      <c r="D21">
        <v>232</v>
      </c>
      <c r="E21">
        <v>4301.6400000000003</v>
      </c>
    </row>
    <row r="22" spans="1:5" x14ac:dyDescent="0.25">
      <c r="A22" s="1">
        <v>44947</v>
      </c>
      <c r="B22">
        <v>1</v>
      </c>
      <c r="C22" t="s">
        <v>5</v>
      </c>
      <c r="D22">
        <v>300</v>
      </c>
      <c r="E22">
        <v>5584.36</v>
      </c>
    </row>
    <row r="23" spans="1:5" x14ac:dyDescent="0.25">
      <c r="A23" s="1">
        <v>44948</v>
      </c>
      <c r="B23">
        <v>1</v>
      </c>
      <c r="C23" t="s">
        <v>5</v>
      </c>
      <c r="D23">
        <v>294</v>
      </c>
      <c r="E23">
        <v>5686.73</v>
      </c>
    </row>
    <row r="24" spans="1:5" x14ac:dyDescent="0.25">
      <c r="A24" s="1">
        <v>44949</v>
      </c>
      <c r="B24">
        <v>1</v>
      </c>
      <c r="C24" t="s">
        <v>5</v>
      </c>
      <c r="D24">
        <v>243</v>
      </c>
      <c r="E24">
        <v>4434.38</v>
      </c>
    </row>
    <row r="25" spans="1:5" x14ac:dyDescent="0.25">
      <c r="A25" s="1">
        <v>44950</v>
      </c>
      <c r="B25">
        <v>1</v>
      </c>
      <c r="C25" t="s">
        <v>5</v>
      </c>
      <c r="D25">
        <v>206</v>
      </c>
      <c r="E25">
        <v>3820.07</v>
      </c>
    </row>
    <row r="26" spans="1:5" x14ac:dyDescent="0.25">
      <c r="A26" s="1">
        <v>44951</v>
      </c>
      <c r="B26">
        <v>1</v>
      </c>
      <c r="C26" t="s">
        <v>5</v>
      </c>
      <c r="D26">
        <v>181</v>
      </c>
      <c r="E26">
        <v>3660.64</v>
      </c>
    </row>
    <row r="27" spans="1:5" x14ac:dyDescent="0.25">
      <c r="A27" s="1">
        <v>44952</v>
      </c>
      <c r="B27">
        <v>1</v>
      </c>
      <c r="C27" t="s">
        <v>5</v>
      </c>
      <c r="D27">
        <v>206</v>
      </c>
      <c r="E27">
        <v>3913.96</v>
      </c>
    </row>
    <row r="28" spans="1:5" x14ac:dyDescent="0.25">
      <c r="A28" s="1">
        <v>44953</v>
      </c>
      <c r="B28">
        <v>1</v>
      </c>
      <c r="C28" t="s">
        <v>5</v>
      </c>
      <c r="D28">
        <v>216</v>
      </c>
      <c r="E28">
        <v>4253.25</v>
      </c>
    </row>
    <row r="29" spans="1:5" x14ac:dyDescent="0.25">
      <c r="A29" s="1">
        <v>44954</v>
      </c>
      <c r="B29">
        <v>1</v>
      </c>
      <c r="C29" t="s">
        <v>5</v>
      </c>
      <c r="D29">
        <v>207</v>
      </c>
      <c r="E29">
        <v>3817.82</v>
      </c>
    </row>
    <row r="30" spans="1:5" x14ac:dyDescent="0.25">
      <c r="A30" s="1">
        <v>44955</v>
      </c>
      <c r="B30">
        <v>1</v>
      </c>
      <c r="C30" t="s">
        <v>5</v>
      </c>
      <c r="D30">
        <v>278</v>
      </c>
      <c r="E30">
        <v>5762.8</v>
      </c>
    </row>
    <row r="31" spans="1:5" x14ac:dyDescent="0.25">
      <c r="A31" s="1">
        <v>44956</v>
      </c>
      <c r="B31">
        <v>1</v>
      </c>
      <c r="C31" t="s">
        <v>5</v>
      </c>
      <c r="D31">
        <v>268</v>
      </c>
      <c r="E31">
        <v>4885.71</v>
      </c>
    </row>
    <row r="32" spans="1:5" x14ac:dyDescent="0.25">
      <c r="A32" s="1">
        <v>44957</v>
      </c>
      <c r="B32">
        <v>1</v>
      </c>
      <c r="C32" t="s">
        <v>5</v>
      </c>
      <c r="D32">
        <v>214</v>
      </c>
      <c r="E32">
        <v>3882.07</v>
      </c>
    </row>
    <row r="33" spans="1:5" x14ac:dyDescent="0.25">
      <c r="A33" s="1">
        <v>44958</v>
      </c>
      <c r="B33">
        <v>1</v>
      </c>
      <c r="C33" t="s">
        <v>5</v>
      </c>
      <c r="D33">
        <v>226</v>
      </c>
      <c r="E33">
        <v>4031.55</v>
      </c>
    </row>
    <row r="34" spans="1:5" x14ac:dyDescent="0.25">
      <c r="A34" s="1">
        <v>44959</v>
      </c>
      <c r="B34">
        <v>1</v>
      </c>
      <c r="C34" t="s">
        <v>5</v>
      </c>
      <c r="D34">
        <v>230</v>
      </c>
      <c r="E34">
        <v>4403.41</v>
      </c>
    </row>
    <row r="35" spans="1:5" x14ac:dyDescent="0.25">
      <c r="A35" s="1">
        <v>44960</v>
      </c>
      <c r="B35">
        <v>1</v>
      </c>
      <c r="C35" t="s">
        <v>5</v>
      </c>
      <c r="D35">
        <v>256</v>
      </c>
      <c r="E35">
        <v>4474.51</v>
      </c>
    </row>
    <row r="36" spans="1:5" x14ac:dyDescent="0.25">
      <c r="A36" s="1">
        <v>44961</v>
      </c>
      <c r="B36">
        <v>1</v>
      </c>
      <c r="C36" t="s">
        <v>5</v>
      </c>
      <c r="D36">
        <v>260</v>
      </c>
      <c r="E36">
        <v>4639.1099999999997</v>
      </c>
    </row>
    <row r="37" spans="1:5" x14ac:dyDescent="0.25">
      <c r="A37" s="1">
        <v>44962</v>
      </c>
      <c r="B37">
        <v>1</v>
      </c>
      <c r="C37" t="s">
        <v>5</v>
      </c>
      <c r="D37">
        <v>248</v>
      </c>
      <c r="E37">
        <v>4864.28</v>
      </c>
    </row>
    <row r="38" spans="1:5" x14ac:dyDescent="0.25">
      <c r="A38" s="1">
        <v>44963</v>
      </c>
      <c r="B38">
        <v>1</v>
      </c>
      <c r="C38" t="s">
        <v>5</v>
      </c>
      <c r="D38">
        <v>241</v>
      </c>
      <c r="E38">
        <v>4425.4399999999996</v>
      </c>
    </row>
    <row r="39" spans="1:5" x14ac:dyDescent="0.25">
      <c r="A39" s="1">
        <v>44964</v>
      </c>
      <c r="B39">
        <v>1</v>
      </c>
      <c r="C39" t="s">
        <v>5</v>
      </c>
      <c r="D39">
        <v>181</v>
      </c>
      <c r="E39">
        <v>3606.07</v>
      </c>
    </row>
    <row r="40" spans="1:5" x14ac:dyDescent="0.25">
      <c r="A40" s="1">
        <v>44965</v>
      </c>
      <c r="B40">
        <v>1</v>
      </c>
      <c r="C40" t="s">
        <v>5</v>
      </c>
      <c r="D40">
        <v>166</v>
      </c>
      <c r="E40">
        <v>2871.62</v>
      </c>
    </row>
    <row r="41" spans="1:5" x14ac:dyDescent="0.25">
      <c r="A41" s="1">
        <v>44966</v>
      </c>
      <c r="B41">
        <v>1</v>
      </c>
      <c r="C41" t="s">
        <v>5</v>
      </c>
      <c r="D41">
        <v>218</v>
      </c>
      <c r="E41">
        <v>3916.11</v>
      </c>
    </row>
    <row r="42" spans="1:5" x14ac:dyDescent="0.25">
      <c r="A42" s="1">
        <v>44967</v>
      </c>
      <c r="B42">
        <v>1</v>
      </c>
      <c r="C42" t="s">
        <v>5</v>
      </c>
      <c r="D42">
        <v>210</v>
      </c>
      <c r="E42">
        <v>4044.57</v>
      </c>
    </row>
    <row r="43" spans="1:5" x14ac:dyDescent="0.25">
      <c r="A43" s="1">
        <v>44968</v>
      </c>
      <c r="B43">
        <v>1</v>
      </c>
      <c r="C43" t="s">
        <v>5</v>
      </c>
      <c r="D43">
        <v>225</v>
      </c>
      <c r="E43">
        <v>3924.84</v>
      </c>
    </row>
    <row r="44" spans="1:5" x14ac:dyDescent="0.25">
      <c r="A44" s="1">
        <v>44969</v>
      </c>
      <c r="B44">
        <v>1</v>
      </c>
      <c r="C44" t="s">
        <v>5</v>
      </c>
      <c r="D44">
        <v>257</v>
      </c>
      <c r="E44">
        <v>5156.3</v>
      </c>
    </row>
    <row r="45" spans="1:5" x14ac:dyDescent="0.25">
      <c r="A45" s="1">
        <v>44970</v>
      </c>
      <c r="B45">
        <v>1</v>
      </c>
      <c r="C45" t="s">
        <v>5</v>
      </c>
      <c r="D45">
        <v>234</v>
      </c>
      <c r="E45">
        <v>4036.07</v>
      </c>
    </row>
    <row r="46" spans="1:5" x14ac:dyDescent="0.25">
      <c r="A46" s="1">
        <v>44971</v>
      </c>
      <c r="B46">
        <v>1</v>
      </c>
      <c r="C46" t="s">
        <v>5</v>
      </c>
      <c r="D46">
        <v>201</v>
      </c>
      <c r="E46">
        <v>3978.71</v>
      </c>
    </row>
    <row r="47" spans="1:5" x14ac:dyDescent="0.25">
      <c r="A47" s="1">
        <v>44972</v>
      </c>
      <c r="B47">
        <v>1</v>
      </c>
      <c r="C47" t="s">
        <v>5</v>
      </c>
      <c r="D47">
        <v>213</v>
      </c>
      <c r="E47">
        <v>4020.09</v>
      </c>
    </row>
    <row r="48" spans="1:5" x14ac:dyDescent="0.25">
      <c r="A48" s="1">
        <v>44973</v>
      </c>
      <c r="B48">
        <v>1</v>
      </c>
      <c r="C48" t="s">
        <v>5</v>
      </c>
      <c r="D48">
        <v>229</v>
      </c>
      <c r="E48">
        <v>4289.53</v>
      </c>
    </row>
    <row r="49" spans="1:5" x14ac:dyDescent="0.25">
      <c r="A49" s="1">
        <v>44974</v>
      </c>
      <c r="B49">
        <v>1</v>
      </c>
      <c r="C49" t="s">
        <v>5</v>
      </c>
      <c r="D49">
        <v>219</v>
      </c>
      <c r="E49">
        <v>4180.9399999999996</v>
      </c>
    </row>
    <row r="50" spans="1:5" x14ac:dyDescent="0.25">
      <c r="A50" s="1">
        <v>44975</v>
      </c>
      <c r="B50">
        <v>1</v>
      </c>
      <c r="C50" t="s">
        <v>5</v>
      </c>
      <c r="D50">
        <v>255</v>
      </c>
      <c r="E50">
        <v>5175.76</v>
      </c>
    </row>
    <row r="51" spans="1:5" x14ac:dyDescent="0.25">
      <c r="A51" s="1">
        <v>44976</v>
      </c>
      <c r="B51">
        <v>1</v>
      </c>
      <c r="C51" t="s">
        <v>5</v>
      </c>
      <c r="D51">
        <v>252</v>
      </c>
      <c r="E51">
        <v>4562.8599999999997</v>
      </c>
    </row>
    <row r="52" spans="1:5" x14ac:dyDescent="0.25">
      <c r="A52" s="1">
        <v>44977</v>
      </c>
      <c r="B52">
        <v>1</v>
      </c>
      <c r="C52" t="s">
        <v>5</v>
      </c>
      <c r="D52">
        <v>213</v>
      </c>
      <c r="E52">
        <v>4157.8999999999996</v>
      </c>
    </row>
    <row r="53" spans="1:5" x14ac:dyDescent="0.25">
      <c r="A53" s="1">
        <v>44978</v>
      </c>
      <c r="B53">
        <v>1</v>
      </c>
      <c r="C53" t="s">
        <v>5</v>
      </c>
      <c r="D53">
        <v>193</v>
      </c>
      <c r="E53">
        <v>3744.72</v>
      </c>
    </row>
    <row r="54" spans="1:5" x14ac:dyDescent="0.25">
      <c r="A54" s="1">
        <v>44979</v>
      </c>
      <c r="B54">
        <v>1</v>
      </c>
      <c r="C54" t="s">
        <v>5</v>
      </c>
      <c r="D54">
        <v>253</v>
      </c>
      <c r="E54">
        <v>4481.76</v>
      </c>
    </row>
    <row r="55" spans="1:5" x14ac:dyDescent="0.25">
      <c r="A55" s="1">
        <v>44980</v>
      </c>
      <c r="B55">
        <v>1</v>
      </c>
      <c r="C55" t="s">
        <v>5</v>
      </c>
      <c r="D55">
        <v>227</v>
      </c>
      <c r="E55">
        <v>4303.09</v>
      </c>
    </row>
    <row r="56" spans="1:5" x14ac:dyDescent="0.25">
      <c r="A56" s="1">
        <v>44981</v>
      </c>
      <c r="B56">
        <v>1</v>
      </c>
      <c r="C56" t="s">
        <v>5</v>
      </c>
      <c r="D56">
        <v>230</v>
      </c>
      <c r="E56">
        <v>4161.1099999999997</v>
      </c>
    </row>
    <row r="57" spans="1:5" x14ac:dyDescent="0.25">
      <c r="A57" s="1">
        <v>44982</v>
      </c>
      <c r="B57">
        <v>1</v>
      </c>
      <c r="C57" t="s">
        <v>5</v>
      </c>
      <c r="D57">
        <v>249</v>
      </c>
      <c r="E57">
        <v>4847.5600000000004</v>
      </c>
    </row>
    <row r="58" spans="1:5" x14ac:dyDescent="0.25">
      <c r="A58" s="1">
        <v>44983</v>
      </c>
      <c r="B58">
        <v>1</v>
      </c>
      <c r="C58" t="s">
        <v>5</v>
      </c>
      <c r="D58">
        <v>269</v>
      </c>
      <c r="E58">
        <v>5138.28</v>
      </c>
    </row>
    <row r="59" spans="1:5" x14ac:dyDescent="0.25">
      <c r="A59" s="1">
        <v>44984</v>
      </c>
      <c r="B59">
        <v>1</v>
      </c>
      <c r="C59" t="s">
        <v>5</v>
      </c>
      <c r="D59">
        <v>240</v>
      </c>
      <c r="E59">
        <v>4782.3599999999997</v>
      </c>
    </row>
    <row r="60" spans="1:5" x14ac:dyDescent="0.25">
      <c r="A60" s="1">
        <v>44985</v>
      </c>
      <c r="B60">
        <v>1</v>
      </c>
      <c r="C60" t="s">
        <v>5</v>
      </c>
      <c r="D60">
        <v>247</v>
      </c>
      <c r="E60">
        <v>4942.8</v>
      </c>
    </row>
    <row r="61" spans="1:5" x14ac:dyDescent="0.25">
      <c r="A61" s="1">
        <v>44986</v>
      </c>
      <c r="B61">
        <v>1</v>
      </c>
      <c r="C61" t="s">
        <v>5</v>
      </c>
      <c r="D61">
        <v>218</v>
      </c>
      <c r="E61">
        <v>3964.72</v>
      </c>
    </row>
    <row r="62" spans="1:5" x14ac:dyDescent="0.25">
      <c r="A62" s="1">
        <v>44987</v>
      </c>
      <c r="B62">
        <v>1</v>
      </c>
      <c r="C62" t="s">
        <v>5</v>
      </c>
      <c r="D62">
        <v>186</v>
      </c>
      <c r="E62">
        <v>3161.3</v>
      </c>
    </row>
    <row r="63" spans="1:5" x14ac:dyDescent="0.25">
      <c r="A63" s="1">
        <v>44988</v>
      </c>
      <c r="B63">
        <v>1</v>
      </c>
      <c r="C63" t="s">
        <v>5</v>
      </c>
      <c r="D63">
        <v>207</v>
      </c>
      <c r="E63">
        <v>3658.99</v>
      </c>
    </row>
    <row r="64" spans="1:5" x14ac:dyDescent="0.25">
      <c r="A64" s="1">
        <v>44989</v>
      </c>
      <c r="B64">
        <v>1</v>
      </c>
      <c r="C64" t="s">
        <v>5</v>
      </c>
      <c r="D64">
        <v>255</v>
      </c>
      <c r="E64">
        <v>5310.23</v>
      </c>
    </row>
    <row r="65" spans="1:5" x14ac:dyDescent="0.25">
      <c r="A65" s="1">
        <v>44990</v>
      </c>
      <c r="B65">
        <v>1</v>
      </c>
      <c r="C65" t="s">
        <v>5</v>
      </c>
      <c r="D65">
        <v>277</v>
      </c>
      <c r="E65">
        <v>4952.1899999999996</v>
      </c>
    </row>
    <row r="66" spans="1:5" x14ac:dyDescent="0.25">
      <c r="A66" s="1">
        <v>44991</v>
      </c>
      <c r="B66">
        <v>1</v>
      </c>
      <c r="C66" t="s">
        <v>5</v>
      </c>
      <c r="D66">
        <v>222</v>
      </c>
      <c r="E66">
        <v>3968.55</v>
      </c>
    </row>
    <row r="67" spans="1:5" x14ac:dyDescent="0.25">
      <c r="A67" s="1">
        <v>44992</v>
      </c>
      <c r="B67">
        <v>1</v>
      </c>
      <c r="C67" t="s">
        <v>5</v>
      </c>
      <c r="D67">
        <v>232</v>
      </c>
      <c r="E67">
        <v>4224.66</v>
      </c>
    </row>
    <row r="68" spans="1:5" x14ac:dyDescent="0.25">
      <c r="A68" s="1">
        <v>44993</v>
      </c>
      <c r="B68">
        <v>1</v>
      </c>
      <c r="C68" t="s">
        <v>5</v>
      </c>
      <c r="D68">
        <v>225</v>
      </c>
      <c r="E68">
        <v>4295.8500000000004</v>
      </c>
    </row>
    <row r="69" spans="1:5" x14ac:dyDescent="0.25">
      <c r="A69" s="1">
        <v>44994</v>
      </c>
      <c r="B69">
        <v>1</v>
      </c>
      <c r="C69" t="s">
        <v>5</v>
      </c>
      <c r="D69">
        <v>244</v>
      </c>
      <c r="E69">
        <v>5123.26</v>
      </c>
    </row>
    <row r="70" spans="1:5" x14ac:dyDescent="0.25">
      <c r="A70" s="1">
        <v>44995</v>
      </c>
      <c r="B70">
        <v>1</v>
      </c>
      <c r="C70" t="s">
        <v>5</v>
      </c>
      <c r="D70">
        <v>255</v>
      </c>
      <c r="E70">
        <v>4625.37</v>
      </c>
    </row>
    <row r="71" spans="1:5" x14ac:dyDescent="0.25">
      <c r="A71" s="1">
        <v>44996</v>
      </c>
      <c r="B71">
        <v>1</v>
      </c>
      <c r="C71" t="s">
        <v>5</v>
      </c>
      <c r="D71">
        <v>253</v>
      </c>
      <c r="E71">
        <v>4573.3500000000004</v>
      </c>
    </row>
    <row r="72" spans="1:5" x14ac:dyDescent="0.25">
      <c r="A72" s="1">
        <v>44997</v>
      </c>
      <c r="B72">
        <v>1</v>
      </c>
      <c r="C72" t="s">
        <v>5</v>
      </c>
      <c r="D72">
        <v>261</v>
      </c>
      <c r="E72">
        <v>5209.2700000000004</v>
      </c>
    </row>
    <row r="73" spans="1:5" x14ac:dyDescent="0.25">
      <c r="A73" s="1">
        <v>44998</v>
      </c>
      <c r="B73">
        <v>1</v>
      </c>
      <c r="C73" t="s">
        <v>5</v>
      </c>
      <c r="D73">
        <v>211</v>
      </c>
      <c r="E73">
        <v>4085.64</v>
      </c>
    </row>
    <row r="74" spans="1:5" x14ac:dyDescent="0.25">
      <c r="A74" s="1">
        <v>44999</v>
      </c>
      <c r="B74">
        <v>1</v>
      </c>
      <c r="C74" t="s">
        <v>5</v>
      </c>
      <c r="D74">
        <v>207</v>
      </c>
      <c r="E74">
        <v>4017.57</v>
      </c>
    </row>
    <row r="75" spans="1:5" x14ac:dyDescent="0.25">
      <c r="A75" s="1">
        <v>45000</v>
      </c>
      <c r="B75">
        <v>1</v>
      </c>
      <c r="C75" t="s">
        <v>5</v>
      </c>
      <c r="D75">
        <v>224</v>
      </c>
      <c r="E75">
        <v>4171.95</v>
      </c>
    </row>
    <row r="76" spans="1:5" x14ac:dyDescent="0.25">
      <c r="A76" s="1">
        <v>45001</v>
      </c>
      <c r="B76">
        <v>1</v>
      </c>
      <c r="C76" t="s">
        <v>5</v>
      </c>
      <c r="D76">
        <v>217</v>
      </c>
      <c r="E76">
        <v>3953.03</v>
      </c>
    </row>
    <row r="77" spans="1:5" x14ac:dyDescent="0.25">
      <c r="A77" s="1">
        <v>45002</v>
      </c>
      <c r="B77">
        <v>1</v>
      </c>
      <c r="C77" t="s">
        <v>5</v>
      </c>
      <c r="D77">
        <v>201</v>
      </c>
      <c r="E77">
        <v>3769.07</v>
      </c>
    </row>
    <row r="78" spans="1:5" x14ac:dyDescent="0.25">
      <c r="A78" s="1">
        <v>45003</v>
      </c>
      <c r="B78">
        <v>1</v>
      </c>
      <c r="C78" t="s">
        <v>5</v>
      </c>
      <c r="D78">
        <v>204</v>
      </c>
      <c r="E78">
        <v>3940.3</v>
      </c>
    </row>
    <row r="79" spans="1:5" x14ac:dyDescent="0.25">
      <c r="A79" s="1">
        <v>45004</v>
      </c>
      <c r="B79">
        <v>1</v>
      </c>
      <c r="C79" t="s">
        <v>5</v>
      </c>
      <c r="D79">
        <v>279</v>
      </c>
      <c r="E79">
        <v>5100.2700000000004</v>
      </c>
    </row>
    <row r="80" spans="1:5" x14ac:dyDescent="0.25">
      <c r="A80" s="1">
        <v>45005</v>
      </c>
      <c r="B80">
        <v>1</v>
      </c>
      <c r="C80" t="s">
        <v>5</v>
      </c>
      <c r="D80">
        <v>219</v>
      </c>
      <c r="E80">
        <v>4037.59</v>
      </c>
    </row>
    <row r="81" spans="1:5" x14ac:dyDescent="0.25">
      <c r="A81" s="1">
        <v>45006</v>
      </c>
      <c r="B81">
        <v>1</v>
      </c>
      <c r="C81" t="s">
        <v>5</v>
      </c>
      <c r="D81">
        <v>225</v>
      </c>
      <c r="E81">
        <v>4197.7299999999996</v>
      </c>
    </row>
    <row r="82" spans="1:5" x14ac:dyDescent="0.25">
      <c r="A82" s="1">
        <v>45007</v>
      </c>
      <c r="B82">
        <v>1</v>
      </c>
      <c r="C82" t="s">
        <v>5</v>
      </c>
      <c r="D82">
        <v>246</v>
      </c>
      <c r="E82">
        <v>4260.32</v>
      </c>
    </row>
    <row r="83" spans="1:5" x14ac:dyDescent="0.25">
      <c r="A83" s="1">
        <v>45008</v>
      </c>
      <c r="B83">
        <v>1</v>
      </c>
      <c r="C83" t="s">
        <v>5</v>
      </c>
      <c r="D83">
        <v>207</v>
      </c>
      <c r="E83">
        <v>3756.61</v>
      </c>
    </row>
    <row r="84" spans="1:5" x14ac:dyDescent="0.25">
      <c r="A84" s="1">
        <v>45009</v>
      </c>
      <c r="B84">
        <v>1</v>
      </c>
      <c r="C84" t="s">
        <v>5</v>
      </c>
      <c r="D84">
        <v>230</v>
      </c>
      <c r="E84">
        <v>4240.55</v>
      </c>
    </row>
    <row r="85" spans="1:5" x14ac:dyDescent="0.25">
      <c r="A85" s="1">
        <v>45010</v>
      </c>
      <c r="B85">
        <v>1</v>
      </c>
      <c r="C85" t="s">
        <v>5</v>
      </c>
      <c r="D85">
        <v>273</v>
      </c>
      <c r="E85">
        <v>5133.17</v>
      </c>
    </row>
    <row r="86" spans="1:5" x14ac:dyDescent="0.25">
      <c r="A86" s="1">
        <v>45011</v>
      </c>
      <c r="B86">
        <v>1</v>
      </c>
      <c r="C86" t="s">
        <v>5</v>
      </c>
      <c r="D86">
        <v>241</v>
      </c>
      <c r="E86">
        <v>4677.63</v>
      </c>
    </row>
    <row r="87" spans="1:5" x14ac:dyDescent="0.25">
      <c r="A87" s="1">
        <v>45012</v>
      </c>
      <c r="B87">
        <v>1</v>
      </c>
      <c r="C87" t="s">
        <v>5</v>
      </c>
      <c r="D87">
        <v>215</v>
      </c>
      <c r="E87">
        <v>3672.85</v>
      </c>
    </row>
    <row r="88" spans="1:5" x14ac:dyDescent="0.25">
      <c r="A88" s="1">
        <v>45013</v>
      </c>
      <c r="B88">
        <v>1</v>
      </c>
      <c r="C88" t="s">
        <v>5</v>
      </c>
      <c r="D88">
        <v>176</v>
      </c>
      <c r="E88">
        <v>2986.03</v>
      </c>
    </row>
    <row r="89" spans="1:5" x14ac:dyDescent="0.25">
      <c r="A89" s="1">
        <v>45014</v>
      </c>
      <c r="B89">
        <v>1</v>
      </c>
      <c r="C89" t="s">
        <v>5</v>
      </c>
      <c r="D89">
        <v>237</v>
      </c>
      <c r="E89">
        <v>4738.16</v>
      </c>
    </row>
    <row r="90" spans="1:5" x14ac:dyDescent="0.25">
      <c r="A90" s="1">
        <v>45015</v>
      </c>
      <c r="B90">
        <v>1</v>
      </c>
      <c r="C90" t="s">
        <v>5</v>
      </c>
      <c r="D90">
        <v>238</v>
      </c>
      <c r="E90">
        <v>4250.8900000000003</v>
      </c>
    </row>
    <row r="91" spans="1:5" x14ac:dyDescent="0.25">
      <c r="A91" s="1">
        <v>45016</v>
      </c>
      <c r="B91">
        <v>1</v>
      </c>
      <c r="C91" t="s">
        <v>5</v>
      </c>
      <c r="D91">
        <v>243</v>
      </c>
      <c r="E91">
        <v>4293.21</v>
      </c>
    </row>
    <row r="92" spans="1:5" x14ac:dyDescent="0.25">
      <c r="A92" s="1">
        <v>45017</v>
      </c>
      <c r="B92">
        <v>1</v>
      </c>
      <c r="C92" t="s">
        <v>5</v>
      </c>
      <c r="D92">
        <v>255</v>
      </c>
      <c r="E92">
        <v>4932.47</v>
      </c>
    </row>
    <row r="93" spans="1:5" x14ac:dyDescent="0.25">
      <c r="A93" s="1">
        <v>45018</v>
      </c>
      <c r="B93">
        <v>1</v>
      </c>
      <c r="C93" t="s">
        <v>5</v>
      </c>
      <c r="D93">
        <v>246</v>
      </c>
      <c r="E93">
        <v>4579.41</v>
      </c>
    </row>
    <row r="94" spans="1:5" x14ac:dyDescent="0.25">
      <c r="A94" s="1">
        <v>45019</v>
      </c>
      <c r="B94">
        <v>1</v>
      </c>
      <c r="C94" t="s">
        <v>5</v>
      </c>
      <c r="D94">
        <v>250</v>
      </c>
      <c r="E94">
        <v>4251.84</v>
      </c>
    </row>
    <row r="95" spans="1:5" x14ac:dyDescent="0.25">
      <c r="A95" s="1">
        <v>45020</v>
      </c>
      <c r="B95">
        <v>1</v>
      </c>
      <c r="C95" t="s">
        <v>5</v>
      </c>
      <c r="D95">
        <v>213</v>
      </c>
      <c r="E95">
        <v>3719.27</v>
      </c>
    </row>
    <row r="96" spans="1:5" x14ac:dyDescent="0.25">
      <c r="A96" s="1">
        <v>45021</v>
      </c>
      <c r="B96">
        <v>1</v>
      </c>
      <c r="C96" t="s">
        <v>5</v>
      </c>
      <c r="D96">
        <v>210</v>
      </c>
      <c r="E96">
        <v>4002.25</v>
      </c>
    </row>
    <row r="97" spans="1:5" x14ac:dyDescent="0.25">
      <c r="A97" s="1">
        <v>45022</v>
      </c>
      <c r="B97">
        <v>1</v>
      </c>
      <c r="C97" t="s">
        <v>5</v>
      </c>
      <c r="D97">
        <v>270</v>
      </c>
      <c r="E97">
        <v>4812.1899999999996</v>
      </c>
    </row>
    <row r="98" spans="1:5" x14ac:dyDescent="0.25">
      <c r="A98" s="1">
        <v>45023</v>
      </c>
      <c r="B98">
        <v>1</v>
      </c>
      <c r="C98" t="s">
        <v>5</v>
      </c>
      <c r="D98">
        <v>247</v>
      </c>
      <c r="E98">
        <v>4709.58</v>
      </c>
    </row>
    <row r="99" spans="1:5" x14ac:dyDescent="0.25">
      <c r="A99" s="1">
        <v>45024</v>
      </c>
      <c r="B99">
        <v>1</v>
      </c>
      <c r="C99" t="s">
        <v>5</v>
      </c>
      <c r="D99">
        <v>277</v>
      </c>
      <c r="E99">
        <v>5250.88</v>
      </c>
    </row>
    <row r="100" spans="1:5" x14ac:dyDescent="0.25">
      <c r="A100" s="1">
        <v>45025</v>
      </c>
      <c r="B100">
        <v>1</v>
      </c>
      <c r="C100" t="s">
        <v>5</v>
      </c>
      <c r="D100">
        <v>293</v>
      </c>
      <c r="E100">
        <v>5160.43</v>
      </c>
    </row>
    <row r="101" spans="1:5" x14ac:dyDescent="0.25">
      <c r="A101" s="1">
        <v>45026</v>
      </c>
      <c r="B101">
        <v>1</v>
      </c>
      <c r="C101" t="s">
        <v>5</v>
      </c>
      <c r="D101">
        <v>256</v>
      </c>
      <c r="E101">
        <v>5057.63</v>
      </c>
    </row>
    <row r="102" spans="1:5" x14ac:dyDescent="0.25">
      <c r="A102" s="1">
        <v>45027</v>
      </c>
      <c r="B102">
        <v>1</v>
      </c>
      <c r="C102" t="s">
        <v>5</v>
      </c>
      <c r="D102">
        <v>189</v>
      </c>
      <c r="E102">
        <v>3397.79</v>
      </c>
    </row>
    <row r="103" spans="1:5" x14ac:dyDescent="0.25">
      <c r="A103" s="1">
        <v>45028</v>
      </c>
      <c r="B103">
        <v>1</v>
      </c>
      <c r="C103" t="s">
        <v>5</v>
      </c>
      <c r="D103">
        <v>212</v>
      </c>
      <c r="E103">
        <v>4209.24</v>
      </c>
    </row>
    <row r="104" spans="1:5" x14ac:dyDescent="0.25">
      <c r="A104" s="1">
        <v>45029</v>
      </c>
      <c r="B104">
        <v>1</v>
      </c>
      <c r="C104" t="s">
        <v>5</v>
      </c>
      <c r="D104">
        <v>242</v>
      </c>
      <c r="E104">
        <v>4749.0600000000004</v>
      </c>
    </row>
    <row r="105" spans="1:5" x14ac:dyDescent="0.25">
      <c r="A105" s="1">
        <v>45030</v>
      </c>
      <c r="B105">
        <v>1</v>
      </c>
      <c r="C105" t="s">
        <v>5</v>
      </c>
      <c r="D105">
        <v>179</v>
      </c>
      <c r="E105">
        <v>3404.74</v>
      </c>
    </row>
    <row r="106" spans="1:5" x14ac:dyDescent="0.25">
      <c r="A106" s="1">
        <v>45031</v>
      </c>
      <c r="B106">
        <v>1</v>
      </c>
      <c r="C106" t="s">
        <v>5</v>
      </c>
      <c r="D106">
        <v>248</v>
      </c>
      <c r="E106">
        <v>4399.38</v>
      </c>
    </row>
    <row r="107" spans="1:5" x14ac:dyDescent="0.25">
      <c r="A107" s="1">
        <v>45032</v>
      </c>
      <c r="B107">
        <v>1</v>
      </c>
      <c r="C107" t="s">
        <v>5</v>
      </c>
      <c r="D107">
        <v>268</v>
      </c>
      <c r="E107">
        <v>4770.29</v>
      </c>
    </row>
    <row r="108" spans="1:5" x14ac:dyDescent="0.25">
      <c r="A108" s="1">
        <v>45033</v>
      </c>
      <c r="B108">
        <v>1</v>
      </c>
      <c r="C108" t="s">
        <v>5</v>
      </c>
      <c r="D108">
        <v>262</v>
      </c>
      <c r="E108">
        <v>5366.39</v>
      </c>
    </row>
    <row r="109" spans="1:5" x14ac:dyDescent="0.25">
      <c r="A109" s="1">
        <v>45034</v>
      </c>
      <c r="B109">
        <v>1</v>
      </c>
      <c r="C109" t="s">
        <v>5</v>
      </c>
      <c r="D109">
        <v>213</v>
      </c>
      <c r="E109">
        <v>3759.09</v>
      </c>
    </row>
    <row r="110" spans="1:5" x14ac:dyDescent="0.25">
      <c r="A110" s="1">
        <v>45035</v>
      </c>
      <c r="B110">
        <v>1</v>
      </c>
      <c r="C110" t="s">
        <v>5</v>
      </c>
      <c r="D110">
        <v>242</v>
      </c>
      <c r="E110">
        <v>4549.2</v>
      </c>
    </row>
    <row r="111" spans="1:5" x14ac:dyDescent="0.25">
      <c r="A111" s="1">
        <v>45036</v>
      </c>
      <c r="B111">
        <v>1</v>
      </c>
      <c r="C111" t="s">
        <v>5</v>
      </c>
      <c r="D111">
        <v>205</v>
      </c>
      <c r="E111">
        <v>3604.85</v>
      </c>
    </row>
    <row r="112" spans="1:5" x14ac:dyDescent="0.25">
      <c r="A112" s="1">
        <v>45037</v>
      </c>
      <c r="B112">
        <v>1</v>
      </c>
      <c r="C112" t="s">
        <v>5</v>
      </c>
      <c r="D112">
        <v>226</v>
      </c>
      <c r="E112">
        <v>3994.69</v>
      </c>
    </row>
    <row r="113" spans="1:5" x14ac:dyDescent="0.25">
      <c r="A113" s="1">
        <v>45038</v>
      </c>
      <c r="B113">
        <v>1</v>
      </c>
      <c r="C113" t="s">
        <v>5</v>
      </c>
      <c r="D113">
        <v>282</v>
      </c>
      <c r="E113">
        <v>5523.88</v>
      </c>
    </row>
    <row r="114" spans="1:5" x14ac:dyDescent="0.25">
      <c r="A114" s="1">
        <v>45039</v>
      </c>
      <c r="B114">
        <v>1</v>
      </c>
      <c r="C114" t="s">
        <v>5</v>
      </c>
      <c r="D114">
        <v>266</v>
      </c>
      <c r="E114">
        <v>5122.08</v>
      </c>
    </row>
    <row r="115" spans="1:5" x14ac:dyDescent="0.25">
      <c r="A115" s="1">
        <v>45040</v>
      </c>
      <c r="B115">
        <v>1</v>
      </c>
      <c r="C115" t="s">
        <v>5</v>
      </c>
      <c r="D115">
        <v>222</v>
      </c>
      <c r="E115">
        <v>4341.54</v>
      </c>
    </row>
    <row r="116" spans="1:5" x14ac:dyDescent="0.25">
      <c r="A116" s="1">
        <v>45041</v>
      </c>
      <c r="B116">
        <v>1</v>
      </c>
      <c r="C116" t="s">
        <v>5</v>
      </c>
      <c r="D116">
        <v>229</v>
      </c>
      <c r="E116">
        <v>3969.74</v>
      </c>
    </row>
    <row r="117" spans="1:5" x14ac:dyDescent="0.25">
      <c r="A117" s="1">
        <v>45042</v>
      </c>
      <c r="B117">
        <v>1</v>
      </c>
      <c r="C117" t="s">
        <v>5</v>
      </c>
      <c r="D117">
        <v>236</v>
      </c>
      <c r="E117">
        <v>4481.8500000000004</v>
      </c>
    </row>
    <row r="118" spans="1:5" x14ac:dyDescent="0.25">
      <c r="A118" s="1">
        <v>45043</v>
      </c>
      <c r="B118">
        <v>1</v>
      </c>
      <c r="C118" t="s">
        <v>5</v>
      </c>
      <c r="D118">
        <v>229</v>
      </c>
      <c r="E118">
        <v>4397.26</v>
      </c>
    </row>
    <row r="119" spans="1:5" x14ac:dyDescent="0.25">
      <c r="A119" s="1">
        <v>45044</v>
      </c>
      <c r="B119">
        <v>1</v>
      </c>
      <c r="C119" t="s">
        <v>5</v>
      </c>
      <c r="D119">
        <v>215</v>
      </c>
      <c r="E119">
        <v>3830.95</v>
      </c>
    </row>
    <row r="120" spans="1:5" x14ac:dyDescent="0.25">
      <c r="A120" s="1">
        <v>45045</v>
      </c>
      <c r="B120">
        <v>1</v>
      </c>
      <c r="C120" t="s">
        <v>5</v>
      </c>
      <c r="D120">
        <v>281</v>
      </c>
      <c r="E120">
        <v>5754.29</v>
      </c>
    </row>
    <row r="121" spans="1:5" x14ac:dyDescent="0.25">
      <c r="A121" s="1">
        <v>45046</v>
      </c>
      <c r="B121">
        <v>1</v>
      </c>
      <c r="C121" t="s">
        <v>5</v>
      </c>
      <c r="D121">
        <v>264</v>
      </c>
      <c r="E121">
        <v>5010</v>
      </c>
    </row>
    <row r="122" spans="1:5" x14ac:dyDescent="0.25">
      <c r="A122" s="1">
        <v>45047</v>
      </c>
      <c r="B122">
        <v>1</v>
      </c>
      <c r="C122" t="s">
        <v>5</v>
      </c>
      <c r="D122">
        <v>202</v>
      </c>
      <c r="E122">
        <v>3756.46</v>
      </c>
    </row>
    <row r="123" spans="1:5" x14ac:dyDescent="0.25">
      <c r="A123" s="1">
        <v>45048</v>
      </c>
      <c r="B123">
        <v>1</v>
      </c>
      <c r="C123" t="s">
        <v>5</v>
      </c>
      <c r="D123">
        <v>201</v>
      </c>
      <c r="E123">
        <v>3962.55</v>
      </c>
    </row>
    <row r="124" spans="1:5" x14ac:dyDescent="0.25">
      <c r="A124" s="1">
        <v>45049</v>
      </c>
      <c r="B124">
        <v>1</v>
      </c>
      <c r="C124" t="s">
        <v>5</v>
      </c>
      <c r="D124">
        <v>179</v>
      </c>
      <c r="E124">
        <v>3224.19</v>
      </c>
    </row>
    <row r="125" spans="1:5" x14ac:dyDescent="0.25">
      <c r="A125" s="1">
        <v>45050</v>
      </c>
      <c r="B125">
        <v>1</v>
      </c>
      <c r="C125" t="s">
        <v>5</v>
      </c>
      <c r="D125">
        <v>207</v>
      </c>
      <c r="E125">
        <v>3682.34</v>
      </c>
    </row>
    <row r="126" spans="1:5" x14ac:dyDescent="0.25">
      <c r="A126" s="1">
        <v>45051</v>
      </c>
      <c r="B126">
        <v>1</v>
      </c>
      <c r="C126" t="s">
        <v>5</v>
      </c>
      <c r="D126">
        <v>228</v>
      </c>
      <c r="E126">
        <v>4167.37</v>
      </c>
    </row>
    <row r="127" spans="1:5" x14ac:dyDescent="0.25">
      <c r="A127" s="1">
        <v>45052</v>
      </c>
      <c r="B127">
        <v>1</v>
      </c>
      <c r="C127" t="s">
        <v>5</v>
      </c>
      <c r="D127">
        <v>264</v>
      </c>
      <c r="E127">
        <v>4920</v>
      </c>
    </row>
    <row r="128" spans="1:5" x14ac:dyDescent="0.25">
      <c r="A128" s="1">
        <v>45053</v>
      </c>
      <c r="B128">
        <v>1</v>
      </c>
      <c r="C128" t="s">
        <v>5</v>
      </c>
      <c r="D128">
        <v>250</v>
      </c>
      <c r="E128">
        <v>4326.7</v>
      </c>
    </row>
    <row r="129" spans="1:5" x14ac:dyDescent="0.25">
      <c r="A129" s="1">
        <v>45054</v>
      </c>
      <c r="B129">
        <v>1</v>
      </c>
      <c r="C129" t="s">
        <v>5</v>
      </c>
      <c r="D129">
        <v>208</v>
      </c>
      <c r="E129">
        <v>3456.64</v>
      </c>
    </row>
    <row r="130" spans="1:5" x14ac:dyDescent="0.25">
      <c r="A130" s="1">
        <v>45055</v>
      </c>
      <c r="B130">
        <v>1</v>
      </c>
      <c r="C130" t="s">
        <v>5</v>
      </c>
      <c r="D130">
        <v>187</v>
      </c>
      <c r="E130">
        <v>3440.45</v>
      </c>
    </row>
    <row r="131" spans="1:5" x14ac:dyDescent="0.25">
      <c r="A131" s="1">
        <v>45056</v>
      </c>
      <c r="B131">
        <v>1</v>
      </c>
      <c r="C131" t="s">
        <v>5</v>
      </c>
      <c r="D131">
        <v>211</v>
      </c>
      <c r="E131">
        <v>3867.56</v>
      </c>
    </row>
    <row r="132" spans="1:5" x14ac:dyDescent="0.25">
      <c r="A132" s="1">
        <v>45057</v>
      </c>
      <c r="B132">
        <v>1</v>
      </c>
      <c r="C132" t="s">
        <v>5</v>
      </c>
      <c r="D132">
        <v>222</v>
      </c>
      <c r="E132">
        <v>4227.57</v>
      </c>
    </row>
    <row r="133" spans="1:5" x14ac:dyDescent="0.25">
      <c r="A133" s="1">
        <v>45058</v>
      </c>
      <c r="B133">
        <v>1</v>
      </c>
      <c r="C133" t="s">
        <v>5</v>
      </c>
      <c r="D133">
        <v>201</v>
      </c>
      <c r="E133">
        <v>3597.83</v>
      </c>
    </row>
    <row r="134" spans="1:5" x14ac:dyDescent="0.25">
      <c r="A134" s="1">
        <v>45059</v>
      </c>
      <c r="B134">
        <v>1</v>
      </c>
      <c r="C134" t="s">
        <v>5</v>
      </c>
      <c r="D134">
        <v>250</v>
      </c>
      <c r="E134">
        <v>4934.41</v>
      </c>
    </row>
    <row r="135" spans="1:5" x14ac:dyDescent="0.25">
      <c r="A135" s="1">
        <v>45060</v>
      </c>
      <c r="B135">
        <v>1</v>
      </c>
      <c r="C135" t="s">
        <v>5</v>
      </c>
      <c r="D135">
        <v>312</v>
      </c>
      <c r="E135">
        <v>5888.62</v>
      </c>
    </row>
    <row r="136" spans="1:5" x14ac:dyDescent="0.25">
      <c r="A136" s="1">
        <v>45061</v>
      </c>
      <c r="B136">
        <v>1</v>
      </c>
      <c r="C136" t="s">
        <v>5</v>
      </c>
      <c r="D136">
        <v>249</v>
      </c>
      <c r="E136">
        <v>4798.09</v>
      </c>
    </row>
    <row r="137" spans="1:5" x14ac:dyDescent="0.25">
      <c r="A137" s="1">
        <v>45062</v>
      </c>
      <c r="B137">
        <v>1</v>
      </c>
      <c r="C137" t="s">
        <v>5</v>
      </c>
      <c r="D137">
        <v>260</v>
      </c>
      <c r="E137">
        <v>4915.3100000000004</v>
      </c>
    </row>
    <row r="138" spans="1:5" x14ac:dyDescent="0.25">
      <c r="A138" s="1">
        <v>45063</v>
      </c>
      <c r="B138">
        <v>1</v>
      </c>
      <c r="C138" t="s">
        <v>5</v>
      </c>
      <c r="D138">
        <v>223</v>
      </c>
      <c r="E138">
        <v>4262.0600000000004</v>
      </c>
    </row>
    <row r="139" spans="1:5" x14ac:dyDescent="0.25">
      <c r="A139" s="1">
        <v>45064</v>
      </c>
      <c r="B139">
        <v>1</v>
      </c>
      <c r="C139" t="s">
        <v>5</v>
      </c>
      <c r="D139">
        <v>206</v>
      </c>
      <c r="E139">
        <v>3733.73</v>
      </c>
    </row>
    <row r="140" spans="1:5" x14ac:dyDescent="0.25">
      <c r="A140" s="1">
        <v>45065</v>
      </c>
      <c r="B140">
        <v>1</v>
      </c>
      <c r="C140" t="s">
        <v>5</v>
      </c>
      <c r="D140">
        <v>268</v>
      </c>
      <c r="E140">
        <v>4612.22</v>
      </c>
    </row>
    <row r="141" spans="1:5" x14ac:dyDescent="0.25">
      <c r="A141" s="1">
        <v>45066</v>
      </c>
      <c r="B141">
        <v>1</v>
      </c>
      <c r="C141" t="s">
        <v>5</v>
      </c>
      <c r="D141">
        <v>272</v>
      </c>
      <c r="E141">
        <v>5142.0200000000004</v>
      </c>
    </row>
    <row r="142" spans="1:5" x14ac:dyDescent="0.25">
      <c r="A142" s="1">
        <v>45067</v>
      </c>
      <c r="B142">
        <v>1</v>
      </c>
      <c r="C142" t="s">
        <v>5</v>
      </c>
      <c r="D142">
        <v>235</v>
      </c>
      <c r="E142">
        <v>4476.25</v>
      </c>
    </row>
    <row r="143" spans="1:5" x14ac:dyDescent="0.25">
      <c r="A143" s="1">
        <v>45068</v>
      </c>
      <c r="B143">
        <v>1</v>
      </c>
      <c r="C143" t="s">
        <v>5</v>
      </c>
      <c r="D143">
        <v>235</v>
      </c>
      <c r="E143">
        <v>4390.9399999999996</v>
      </c>
    </row>
    <row r="144" spans="1:5" x14ac:dyDescent="0.25">
      <c r="A144" s="1">
        <v>45069</v>
      </c>
      <c r="B144">
        <v>1</v>
      </c>
      <c r="C144" t="s">
        <v>5</v>
      </c>
      <c r="D144">
        <v>270</v>
      </c>
      <c r="E144">
        <v>4804.33</v>
      </c>
    </row>
    <row r="145" spans="1:5" x14ac:dyDescent="0.25">
      <c r="A145" s="1">
        <v>45070</v>
      </c>
      <c r="B145">
        <v>1</v>
      </c>
      <c r="C145" t="s">
        <v>5</v>
      </c>
      <c r="D145">
        <v>272</v>
      </c>
      <c r="E145">
        <v>4997.16</v>
      </c>
    </row>
    <row r="146" spans="1:5" x14ac:dyDescent="0.25">
      <c r="A146" s="1">
        <v>45071</v>
      </c>
      <c r="B146">
        <v>1</v>
      </c>
      <c r="C146" t="s">
        <v>5</v>
      </c>
      <c r="D146">
        <v>261</v>
      </c>
      <c r="E146">
        <v>5037.0200000000004</v>
      </c>
    </row>
    <row r="147" spans="1:5" x14ac:dyDescent="0.25">
      <c r="A147" s="1">
        <v>45072</v>
      </c>
      <c r="B147">
        <v>1</v>
      </c>
      <c r="C147" t="s">
        <v>5</v>
      </c>
      <c r="D147">
        <v>204</v>
      </c>
      <c r="E147">
        <v>3397.83</v>
      </c>
    </row>
    <row r="148" spans="1:5" x14ac:dyDescent="0.25">
      <c r="A148" s="1">
        <v>45073</v>
      </c>
      <c r="B148">
        <v>1</v>
      </c>
      <c r="C148" t="s">
        <v>5</v>
      </c>
      <c r="D148">
        <v>272</v>
      </c>
      <c r="E148">
        <v>4907.07</v>
      </c>
    </row>
    <row r="149" spans="1:5" x14ac:dyDescent="0.25">
      <c r="A149" s="1">
        <v>45074</v>
      </c>
      <c r="B149">
        <v>1</v>
      </c>
      <c r="C149" t="s">
        <v>5</v>
      </c>
      <c r="D149">
        <v>264</v>
      </c>
      <c r="E149">
        <v>4195.87</v>
      </c>
    </row>
    <row r="150" spans="1:5" x14ac:dyDescent="0.25">
      <c r="A150" s="1">
        <v>45075</v>
      </c>
      <c r="B150">
        <v>1</v>
      </c>
      <c r="C150" t="s">
        <v>5</v>
      </c>
      <c r="D150">
        <v>211</v>
      </c>
      <c r="E150">
        <v>4080.73</v>
      </c>
    </row>
    <row r="151" spans="1:5" x14ac:dyDescent="0.25">
      <c r="A151" s="1">
        <v>45076</v>
      </c>
      <c r="B151">
        <v>1</v>
      </c>
      <c r="C151" t="s">
        <v>5</v>
      </c>
      <c r="D151">
        <v>272</v>
      </c>
      <c r="E151">
        <v>5220.2299999999996</v>
      </c>
    </row>
    <row r="152" spans="1:5" x14ac:dyDescent="0.25">
      <c r="A152" s="1">
        <v>45077</v>
      </c>
      <c r="B152">
        <v>1</v>
      </c>
      <c r="C152" t="s">
        <v>5</v>
      </c>
      <c r="D152">
        <v>237</v>
      </c>
      <c r="E152">
        <v>4312.78</v>
      </c>
    </row>
    <row r="153" spans="1:5" x14ac:dyDescent="0.25">
      <c r="A153" s="1">
        <v>45078</v>
      </c>
      <c r="B153">
        <v>1</v>
      </c>
      <c r="C153" t="s">
        <v>5</v>
      </c>
      <c r="D153">
        <v>274</v>
      </c>
      <c r="E153">
        <v>4732.76</v>
      </c>
    </row>
    <row r="154" spans="1:5" x14ac:dyDescent="0.25">
      <c r="A154" s="1">
        <v>45079</v>
      </c>
      <c r="B154">
        <v>1</v>
      </c>
      <c r="C154" t="s">
        <v>5</v>
      </c>
      <c r="D154">
        <v>267</v>
      </c>
      <c r="E154">
        <v>5183.1099999999997</v>
      </c>
    </row>
    <row r="155" spans="1:5" x14ac:dyDescent="0.25">
      <c r="A155" s="1">
        <v>45080</v>
      </c>
      <c r="B155">
        <v>1</v>
      </c>
      <c r="C155" t="s">
        <v>5</v>
      </c>
      <c r="D155">
        <v>317</v>
      </c>
      <c r="E155">
        <v>5482.32</v>
      </c>
    </row>
    <row r="156" spans="1:5" x14ac:dyDescent="0.25">
      <c r="A156" s="1">
        <v>45081</v>
      </c>
      <c r="B156">
        <v>1</v>
      </c>
      <c r="C156" t="s">
        <v>5</v>
      </c>
      <c r="D156">
        <v>305</v>
      </c>
      <c r="E156">
        <v>6052.58</v>
      </c>
    </row>
    <row r="157" spans="1:5" x14ac:dyDescent="0.25">
      <c r="A157" s="1">
        <v>45082</v>
      </c>
      <c r="B157">
        <v>1</v>
      </c>
      <c r="C157" t="s">
        <v>5</v>
      </c>
      <c r="D157">
        <v>277</v>
      </c>
      <c r="E157">
        <v>5057.1000000000004</v>
      </c>
    </row>
    <row r="158" spans="1:5" x14ac:dyDescent="0.25">
      <c r="A158" s="1">
        <v>45083</v>
      </c>
      <c r="B158">
        <v>1</v>
      </c>
      <c r="C158" t="s">
        <v>5</v>
      </c>
      <c r="D158">
        <v>283</v>
      </c>
      <c r="E158">
        <v>5762.19</v>
      </c>
    </row>
    <row r="159" spans="1:5" x14ac:dyDescent="0.25">
      <c r="A159" s="1">
        <v>45084</v>
      </c>
      <c r="B159">
        <v>1</v>
      </c>
      <c r="C159" t="s">
        <v>5</v>
      </c>
      <c r="D159">
        <v>260</v>
      </c>
      <c r="E159">
        <v>4847.43</v>
      </c>
    </row>
    <row r="160" spans="1:5" x14ac:dyDescent="0.25">
      <c r="A160" s="1">
        <v>45085</v>
      </c>
      <c r="B160">
        <v>1</v>
      </c>
      <c r="C160" t="s">
        <v>5</v>
      </c>
      <c r="D160">
        <v>257</v>
      </c>
      <c r="E160">
        <v>4846.99</v>
      </c>
    </row>
    <row r="161" spans="1:5" x14ac:dyDescent="0.25">
      <c r="A161" s="1">
        <v>45086</v>
      </c>
      <c r="B161">
        <v>1</v>
      </c>
      <c r="C161" t="s">
        <v>5</v>
      </c>
      <c r="D161">
        <v>241</v>
      </c>
      <c r="E161">
        <v>4702.72</v>
      </c>
    </row>
    <row r="162" spans="1:5" x14ac:dyDescent="0.25">
      <c r="A162" s="1">
        <v>45087</v>
      </c>
      <c r="B162">
        <v>1</v>
      </c>
      <c r="C162" t="s">
        <v>5</v>
      </c>
      <c r="D162">
        <v>288</v>
      </c>
      <c r="E162">
        <v>5400.66</v>
      </c>
    </row>
    <row r="163" spans="1:5" x14ac:dyDescent="0.25">
      <c r="A163" s="1">
        <v>45088</v>
      </c>
      <c r="B163">
        <v>1</v>
      </c>
      <c r="C163" t="s">
        <v>5</v>
      </c>
      <c r="D163">
        <v>319</v>
      </c>
      <c r="E163">
        <v>5711.44</v>
      </c>
    </row>
    <row r="164" spans="1:5" x14ac:dyDescent="0.25">
      <c r="A164" s="1">
        <v>45089</v>
      </c>
      <c r="B164">
        <v>1</v>
      </c>
      <c r="C164" t="s">
        <v>5</v>
      </c>
      <c r="D164">
        <v>246</v>
      </c>
      <c r="E164">
        <v>4214.26</v>
      </c>
    </row>
    <row r="165" spans="1:5" x14ac:dyDescent="0.25">
      <c r="A165" s="1">
        <v>45090</v>
      </c>
      <c r="B165">
        <v>1</v>
      </c>
      <c r="C165" t="s">
        <v>5</v>
      </c>
      <c r="D165">
        <v>266</v>
      </c>
      <c r="E165">
        <v>4521.42</v>
      </c>
    </row>
    <row r="166" spans="1:5" x14ac:dyDescent="0.25">
      <c r="A166" s="1">
        <v>45091</v>
      </c>
      <c r="B166">
        <v>1</v>
      </c>
      <c r="C166" t="s">
        <v>5</v>
      </c>
      <c r="D166">
        <v>248</v>
      </c>
      <c r="E166">
        <v>4666.33</v>
      </c>
    </row>
    <row r="167" spans="1:5" x14ac:dyDescent="0.25">
      <c r="A167" s="1">
        <v>45092</v>
      </c>
      <c r="B167">
        <v>1</v>
      </c>
      <c r="C167" t="s">
        <v>5</v>
      </c>
      <c r="D167">
        <v>297</v>
      </c>
      <c r="E167">
        <v>5761.75</v>
      </c>
    </row>
    <row r="168" spans="1:5" x14ac:dyDescent="0.25">
      <c r="A168" s="1">
        <v>45093</v>
      </c>
      <c r="B168">
        <v>1</v>
      </c>
      <c r="C168" t="s">
        <v>5</v>
      </c>
      <c r="D168">
        <v>309</v>
      </c>
      <c r="E168">
        <v>5600.7</v>
      </c>
    </row>
    <row r="169" spans="1:5" x14ac:dyDescent="0.25">
      <c r="A169" s="1">
        <v>45094</v>
      </c>
      <c r="B169">
        <v>1</v>
      </c>
      <c r="C169" t="s">
        <v>5</v>
      </c>
      <c r="D169">
        <v>367</v>
      </c>
      <c r="E169">
        <v>6833.46</v>
      </c>
    </row>
    <row r="170" spans="1:5" x14ac:dyDescent="0.25">
      <c r="A170" s="1">
        <v>45095</v>
      </c>
      <c r="B170">
        <v>1</v>
      </c>
      <c r="C170" t="s">
        <v>5</v>
      </c>
      <c r="D170">
        <v>319</v>
      </c>
      <c r="E170">
        <v>5950.27</v>
      </c>
    </row>
    <row r="171" spans="1:5" x14ac:dyDescent="0.25">
      <c r="A171" s="1">
        <v>45096</v>
      </c>
      <c r="B171">
        <v>1</v>
      </c>
      <c r="C171" t="s">
        <v>5</v>
      </c>
      <c r="D171">
        <v>259</v>
      </c>
      <c r="E171">
        <v>5006.84</v>
      </c>
    </row>
    <row r="172" spans="1:5" x14ac:dyDescent="0.25">
      <c r="A172" s="1">
        <v>45097</v>
      </c>
      <c r="B172">
        <v>1</v>
      </c>
      <c r="C172" t="s">
        <v>5</v>
      </c>
      <c r="D172">
        <v>238</v>
      </c>
      <c r="E172">
        <v>4653.55</v>
      </c>
    </row>
    <row r="173" spans="1:5" x14ac:dyDescent="0.25">
      <c r="A173" s="1">
        <v>45098</v>
      </c>
      <c r="B173">
        <v>1</v>
      </c>
      <c r="C173" t="s">
        <v>5</v>
      </c>
      <c r="D173">
        <v>296</v>
      </c>
      <c r="E173">
        <v>5945.58</v>
      </c>
    </row>
    <row r="174" spans="1:5" x14ac:dyDescent="0.25">
      <c r="A174" s="1">
        <v>45099</v>
      </c>
      <c r="B174">
        <v>1</v>
      </c>
      <c r="C174" t="s">
        <v>5</v>
      </c>
      <c r="D174">
        <v>294</v>
      </c>
      <c r="E174">
        <v>5523.44</v>
      </c>
    </row>
    <row r="175" spans="1:5" x14ac:dyDescent="0.25">
      <c r="A175" s="1">
        <v>45100</v>
      </c>
      <c r="B175">
        <v>1</v>
      </c>
      <c r="C175" t="s">
        <v>5</v>
      </c>
      <c r="D175">
        <v>279</v>
      </c>
      <c r="E175">
        <v>5200.95</v>
      </c>
    </row>
    <row r="176" spans="1:5" x14ac:dyDescent="0.25">
      <c r="A176" s="1">
        <v>45101</v>
      </c>
      <c r="B176">
        <v>1</v>
      </c>
      <c r="C176" t="s">
        <v>5</v>
      </c>
      <c r="D176">
        <v>339</v>
      </c>
      <c r="E176">
        <v>6397.86</v>
      </c>
    </row>
    <row r="177" spans="1:5" x14ac:dyDescent="0.25">
      <c r="A177" s="1">
        <v>45102</v>
      </c>
      <c r="B177">
        <v>1</v>
      </c>
      <c r="C177" t="s">
        <v>5</v>
      </c>
      <c r="D177">
        <v>341</v>
      </c>
      <c r="E177">
        <v>6696.04</v>
      </c>
    </row>
    <row r="178" spans="1:5" x14ac:dyDescent="0.25">
      <c r="A178" s="1">
        <v>45103</v>
      </c>
      <c r="B178">
        <v>1</v>
      </c>
      <c r="C178" t="s">
        <v>5</v>
      </c>
      <c r="D178">
        <v>352</v>
      </c>
      <c r="E178">
        <v>6698.74</v>
      </c>
    </row>
    <row r="179" spans="1:5" x14ac:dyDescent="0.25">
      <c r="A179" s="1">
        <v>45104</v>
      </c>
      <c r="B179">
        <v>1</v>
      </c>
      <c r="C179" t="s">
        <v>5</v>
      </c>
      <c r="D179">
        <v>257</v>
      </c>
      <c r="E179">
        <v>5045.32</v>
      </c>
    </row>
    <row r="180" spans="1:5" x14ac:dyDescent="0.25">
      <c r="A180" s="1">
        <v>45105</v>
      </c>
      <c r="B180">
        <v>1</v>
      </c>
      <c r="C180" t="s">
        <v>5</v>
      </c>
      <c r="D180">
        <v>302</v>
      </c>
      <c r="E180">
        <v>5901.02</v>
      </c>
    </row>
    <row r="181" spans="1:5" x14ac:dyDescent="0.25">
      <c r="A181" s="1">
        <v>45106</v>
      </c>
      <c r="B181">
        <v>1</v>
      </c>
      <c r="C181" t="s">
        <v>5</v>
      </c>
      <c r="D181">
        <v>296</v>
      </c>
      <c r="E181">
        <v>5546.92</v>
      </c>
    </row>
    <row r="182" spans="1:5" x14ac:dyDescent="0.25">
      <c r="A182" s="1">
        <v>45107</v>
      </c>
      <c r="B182">
        <v>1</v>
      </c>
      <c r="C182" t="s">
        <v>5</v>
      </c>
      <c r="D182">
        <v>269</v>
      </c>
      <c r="E182">
        <v>4935.63</v>
      </c>
    </row>
    <row r="183" spans="1:5" x14ac:dyDescent="0.25">
      <c r="A183" s="1">
        <v>45108</v>
      </c>
      <c r="B183">
        <v>1</v>
      </c>
      <c r="C183" t="s">
        <v>5</v>
      </c>
      <c r="D183">
        <v>358</v>
      </c>
      <c r="E183">
        <v>6942.89</v>
      </c>
    </row>
    <row r="184" spans="1:5" x14ac:dyDescent="0.25">
      <c r="A184" s="1">
        <v>45109</v>
      </c>
      <c r="B184">
        <v>1</v>
      </c>
      <c r="C184" t="s">
        <v>5</v>
      </c>
      <c r="D184">
        <v>317</v>
      </c>
      <c r="E184">
        <v>5876.9</v>
      </c>
    </row>
    <row r="185" spans="1:5" x14ac:dyDescent="0.25">
      <c r="A185" s="1">
        <v>45110</v>
      </c>
      <c r="B185">
        <v>1</v>
      </c>
      <c r="C185" t="s">
        <v>5</v>
      </c>
      <c r="D185">
        <v>315</v>
      </c>
      <c r="E185">
        <v>6034.82</v>
      </c>
    </row>
    <row r="186" spans="1:5" x14ac:dyDescent="0.25">
      <c r="A186" s="1">
        <v>45111</v>
      </c>
      <c r="B186">
        <v>1</v>
      </c>
      <c r="C186" t="s">
        <v>5</v>
      </c>
      <c r="D186">
        <v>302</v>
      </c>
      <c r="E186">
        <v>5527.81</v>
      </c>
    </row>
    <row r="187" spans="1:5" x14ac:dyDescent="0.25">
      <c r="A187" s="1">
        <v>45112</v>
      </c>
      <c r="B187">
        <v>1</v>
      </c>
      <c r="C187" t="s">
        <v>5</v>
      </c>
      <c r="D187">
        <v>281</v>
      </c>
      <c r="E187">
        <v>5080.8599999999997</v>
      </c>
    </row>
    <row r="188" spans="1:5" x14ac:dyDescent="0.25">
      <c r="A188" s="1">
        <v>45113</v>
      </c>
      <c r="B188">
        <v>1</v>
      </c>
      <c r="C188" t="s">
        <v>5</v>
      </c>
      <c r="D188">
        <v>241</v>
      </c>
      <c r="E188">
        <v>4427.72</v>
      </c>
    </row>
    <row r="189" spans="1:5" x14ac:dyDescent="0.25">
      <c r="A189" s="1">
        <v>45114</v>
      </c>
      <c r="B189">
        <v>1</v>
      </c>
      <c r="C189" t="s">
        <v>5</v>
      </c>
      <c r="D189">
        <v>272</v>
      </c>
      <c r="E189">
        <v>5360.12</v>
      </c>
    </row>
    <row r="190" spans="1:5" x14ac:dyDescent="0.25">
      <c r="A190" s="1">
        <v>45115</v>
      </c>
      <c r="B190">
        <v>1</v>
      </c>
      <c r="C190" t="s">
        <v>5</v>
      </c>
      <c r="D190">
        <v>369</v>
      </c>
      <c r="E190">
        <v>7349.77</v>
      </c>
    </row>
    <row r="191" spans="1:5" x14ac:dyDescent="0.25">
      <c r="A191" s="1">
        <v>45116</v>
      </c>
      <c r="B191">
        <v>1</v>
      </c>
      <c r="C191" t="s">
        <v>5</v>
      </c>
      <c r="D191">
        <v>308</v>
      </c>
      <c r="E191">
        <v>4961.76</v>
      </c>
    </row>
    <row r="192" spans="1:5" x14ac:dyDescent="0.25">
      <c r="A192" s="1">
        <v>45117</v>
      </c>
      <c r="B192">
        <v>1</v>
      </c>
      <c r="C192" t="s">
        <v>5</v>
      </c>
      <c r="D192">
        <v>325</v>
      </c>
      <c r="E192">
        <v>5847.55</v>
      </c>
    </row>
    <row r="193" spans="1:5" x14ac:dyDescent="0.25">
      <c r="A193" s="1">
        <v>45118</v>
      </c>
      <c r="B193">
        <v>1</v>
      </c>
      <c r="C193" t="s">
        <v>5</v>
      </c>
      <c r="D193">
        <v>309</v>
      </c>
      <c r="E193">
        <v>6126.02</v>
      </c>
    </row>
    <row r="194" spans="1:5" x14ac:dyDescent="0.25">
      <c r="A194" s="1">
        <v>45119</v>
      </c>
      <c r="B194">
        <v>1</v>
      </c>
      <c r="C194" t="s">
        <v>5</v>
      </c>
      <c r="D194">
        <v>343</v>
      </c>
      <c r="E194">
        <v>6295.88</v>
      </c>
    </row>
    <row r="195" spans="1:5" x14ac:dyDescent="0.25">
      <c r="A195" s="1">
        <v>45120</v>
      </c>
      <c r="B195">
        <v>1</v>
      </c>
      <c r="C195" t="s">
        <v>5</v>
      </c>
      <c r="D195">
        <v>351</v>
      </c>
      <c r="E195">
        <v>6422.2</v>
      </c>
    </row>
    <row r="196" spans="1:5" x14ac:dyDescent="0.25">
      <c r="A196" s="1">
        <v>45121</v>
      </c>
      <c r="B196">
        <v>1</v>
      </c>
      <c r="C196" t="s">
        <v>5</v>
      </c>
      <c r="D196">
        <v>334</v>
      </c>
      <c r="E196">
        <v>5730.79</v>
      </c>
    </row>
    <row r="197" spans="1:5" x14ac:dyDescent="0.25">
      <c r="A197" s="1">
        <v>45122</v>
      </c>
      <c r="B197">
        <v>1</v>
      </c>
      <c r="C197" t="s">
        <v>5</v>
      </c>
      <c r="D197">
        <v>332</v>
      </c>
      <c r="E197">
        <v>6439.14</v>
      </c>
    </row>
    <row r="198" spans="1:5" x14ac:dyDescent="0.25">
      <c r="A198" s="1">
        <v>45123</v>
      </c>
      <c r="B198">
        <v>1</v>
      </c>
      <c r="C198" t="s">
        <v>5</v>
      </c>
      <c r="D198">
        <v>312</v>
      </c>
      <c r="E198">
        <v>5789.85</v>
      </c>
    </row>
    <row r="199" spans="1:5" x14ac:dyDescent="0.25">
      <c r="A199" s="1">
        <v>45124</v>
      </c>
      <c r="B199">
        <v>1</v>
      </c>
      <c r="C199" t="s">
        <v>5</v>
      </c>
      <c r="D199">
        <v>323</v>
      </c>
      <c r="E199">
        <v>6028.08</v>
      </c>
    </row>
    <row r="200" spans="1:5" x14ac:dyDescent="0.25">
      <c r="A200" s="1">
        <v>45125</v>
      </c>
      <c r="B200">
        <v>1</v>
      </c>
      <c r="C200" t="s">
        <v>5</v>
      </c>
      <c r="D200">
        <v>322</v>
      </c>
      <c r="E200">
        <v>6353.7</v>
      </c>
    </row>
    <row r="201" spans="1:5" x14ac:dyDescent="0.25">
      <c r="A201" s="1">
        <v>45126</v>
      </c>
      <c r="B201">
        <v>1</v>
      </c>
      <c r="C201" t="s">
        <v>5</v>
      </c>
      <c r="D201">
        <v>321</v>
      </c>
      <c r="E201">
        <v>5996.89</v>
      </c>
    </row>
    <row r="202" spans="1:5" x14ac:dyDescent="0.25">
      <c r="A202" s="1">
        <v>45127</v>
      </c>
      <c r="B202">
        <v>1</v>
      </c>
      <c r="C202" t="s">
        <v>5</v>
      </c>
      <c r="D202">
        <v>315</v>
      </c>
      <c r="E202">
        <v>6058.46</v>
      </c>
    </row>
    <row r="203" spans="1:5" x14ac:dyDescent="0.25">
      <c r="A203" s="1">
        <v>45128</v>
      </c>
      <c r="B203">
        <v>1</v>
      </c>
      <c r="C203" t="s">
        <v>5</v>
      </c>
      <c r="D203">
        <v>323</v>
      </c>
      <c r="E203">
        <v>5685.53</v>
      </c>
    </row>
    <row r="204" spans="1:5" x14ac:dyDescent="0.25">
      <c r="A204" s="1">
        <v>45129</v>
      </c>
      <c r="B204">
        <v>1</v>
      </c>
      <c r="C204" t="s">
        <v>5</v>
      </c>
      <c r="D204">
        <v>366</v>
      </c>
      <c r="E204">
        <v>7136.54</v>
      </c>
    </row>
    <row r="205" spans="1:5" x14ac:dyDescent="0.25">
      <c r="A205" s="1">
        <v>45130</v>
      </c>
      <c r="B205">
        <v>1</v>
      </c>
      <c r="C205" t="s">
        <v>5</v>
      </c>
      <c r="D205">
        <v>375</v>
      </c>
      <c r="E205">
        <v>6685.46</v>
      </c>
    </row>
    <row r="206" spans="1:5" x14ac:dyDescent="0.25">
      <c r="A206" s="1">
        <v>45131</v>
      </c>
      <c r="B206">
        <v>1</v>
      </c>
      <c r="C206" t="s">
        <v>5</v>
      </c>
      <c r="D206">
        <v>330</v>
      </c>
      <c r="E206">
        <v>6018.72</v>
      </c>
    </row>
    <row r="207" spans="1:5" x14ac:dyDescent="0.25">
      <c r="A207" s="1">
        <v>45132</v>
      </c>
      <c r="B207">
        <v>1</v>
      </c>
      <c r="C207" t="s">
        <v>5</v>
      </c>
      <c r="D207">
        <v>292</v>
      </c>
      <c r="E207">
        <v>5456.83</v>
      </c>
    </row>
    <row r="208" spans="1:5" x14ac:dyDescent="0.25">
      <c r="A208" s="1">
        <v>45133</v>
      </c>
      <c r="B208">
        <v>1</v>
      </c>
      <c r="C208" t="s">
        <v>5</v>
      </c>
      <c r="D208">
        <v>355</v>
      </c>
      <c r="E208">
        <v>6810.6</v>
      </c>
    </row>
    <row r="209" spans="1:5" x14ac:dyDescent="0.25">
      <c r="A209" s="1">
        <v>45134</v>
      </c>
      <c r="B209">
        <v>1</v>
      </c>
      <c r="C209" t="s">
        <v>5</v>
      </c>
      <c r="D209">
        <v>329</v>
      </c>
      <c r="E209">
        <v>5967.78</v>
      </c>
    </row>
    <row r="210" spans="1:5" x14ac:dyDescent="0.25">
      <c r="A210" s="1">
        <v>45135</v>
      </c>
      <c r="B210">
        <v>1</v>
      </c>
      <c r="C210" t="s">
        <v>5</v>
      </c>
      <c r="D210">
        <v>333</v>
      </c>
      <c r="E210">
        <v>5359.86</v>
      </c>
    </row>
    <row r="211" spans="1:5" x14ac:dyDescent="0.25">
      <c r="A211" s="1">
        <v>45136</v>
      </c>
      <c r="B211">
        <v>1</v>
      </c>
      <c r="C211" t="s">
        <v>5</v>
      </c>
      <c r="D211">
        <v>342</v>
      </c>
      <c r="E211">
        <v>6453.99</v>
      </c>
    </row>
    <row r="212" spans="1:5" x14ac:dyDescent="0.25">
      <c r="A212" s="1">
        <v>45137</v>
      </c>
      <c r="B212">
        <v>1</v>
      </c>
      <c r="C212" t="s">
        <v>5</v>
      </c>
      <c r="D212">
        <v>365</v>
      </c>
      <c r="E212">
        <v>6804.66</v>
      </c>
    </row>
    <row r="213" spans="1:5" x14ac:dyDescent="0.25">
      <c r="A213" s="1">
        <v>45138</v>
      </c>
      <c r="B213">
        <v>1</v>
      </c>
      <c r="C213" t="s">
        <v>5</v>
      </c>
      <c r="D213">
        <v>337</v>
      </c>
      <c r="E213">
        <v>5606.61</v>
      </c>
    </row>
    <row r="214" spans="1:5" x14ac:dyDescent="0.25">
      <c r="A214" s="1">
        <v>45139</v>
      </c>
      <c r="B214">
        <v>1</v>
      </c>
      <c r="C214" t="s">
        <v>5</v>
      </c>
      <c r="D214">
        <v>342</v>
      </c>
      <c r="E214">
        <v>5674.44</v>
      </c>
    </row>
    <row r="215" spans="1:5" x14ac:dyDescent="0.25">
      <c r="A215" s="1">
        <v>45140</v>
      </c>
      <c r="B215">
        <v>1</v>
      </c>
      <c r="C215" t="s">
        <v>5</v>
      </c>
      <c r="D215">
        <v>339</v>
      </c>
      <c r="E215">
        <v>5947.74</v>
      </c>
    </row>
    <row r="216" spans="1:5" x14ac:dyDescent="0.25">
      <c r="A216" s="1">
        <v>45141</v>
      </c>
      <c r="B216">
        <v>1</v>
      </c>
      <c r="C216" t="s">
        <v>5</v>
      </c>
      <c r="D216">
        <v>284</v>
      </c>
      <c r="E216">
        <v>5407.68</v>
      </c>
    </row>
    <row r="217" spans="1:5" x14ac:dyDescent="0.25">
      <c r="A217" s="1">
        <v>45142</v>
      </c>
      <c r="B217">
        <v>1</v>
      </c>
      <c r="C217" t="s">
        <v>5</v>
      </c>
      <c r="D217">
        <v>328</v>
      </c>
      <c r="E217">
        <v>6321.29</v>
      </c>
    </row>
    <row r="218" spans="1:5" x14ac:dyDescent="0.25">
      <c r="A218" s="1">
        <v>45143</v>
      </c>
      <c r="B218">
        <v>1</v>
      </c>
      <c r="C218" t="s">
        <v>5</v>
      </c>
      <c r="D218">
        <v>388</v>
      </c>
      <c r="E218">
        <v>6752.63</v>
      </c>
    </row>
    <row r="219" spans="1:5" x14ac:dyDescent="0.25">
      <c r="A219" s="1">
        <v>45144</v>
      </c>
      <c r="B219">
        <v>1</v>
      </c>
      <c r="C219" t="s">
        <v>5</v>
      </c>
      <c r="D219">
        <v>355</v>
      </c>
      <c r="E219">
        <v>7382.67</v>
      </c>
    </row>
    <row r="220" spans="1:5" x14ac:dyDescent="0.25">
      <c r="A220" s="1">
        <v>45145</v>
      </c>
      <c r="B220">
        <v>1</v>
      </c>
      <c r="C220" t="s">
        <v>5</v>
      </c>
      <c r="D220">
        <v>326</v>
      </c>
      <c r="E220">
        <v>5594.46</v>
      </c>
    </row>
    <row r="221" spans="1:5" x14ac:dyDescent="0.25">
      <c r="A221" s="1">
        <v>45146</v>
      </c>
      <c r="B221">
        <v>1</v>
      </c>
      <c r="C221" t="s">
        <v>5</v>
      </c>
      <c r="D221">
        <v>336</v>
      </c>
      <c r="E221">
        <v>6359.4</v>
      </c>
    </row>
    <row r="222" spans="1:5" x14ac:dyDescent="0.25">
      <c r="A222" s="1">
        <v>45147</v>
      </c>
      <c r="B222">
        <v>1</v>
      </c>
      <c r="C222" t="s">
        <v>5</v>
      </c>
      <c r="D222">
        <v>327</v>
      </c>
      <c r="E222">
        <v>5869.8</v>
      </c>
    </row>
    <row r="223" spans="1:5" x14ac:dyDescent="0.25">
      <c r="A223" s="1">
        <v>45148</v>
      </c>
      <c r="B223">
        <v>1</v>
      </c>
      <c r="C223" t="s">
        <v>5</v>
      </c>
      <c r="D223">
        <v>327</v>
      </c>
      <c r="E223">
        <v>6464.81</v>
      </c>
    </row>
    <row r="224" spans="1:5" x14ac:dyDescent="0.25">
      <c r="A224" s="1">
        <v>45149</v>
      </c>
      <c r="B224">
        <v>1</v>
      </c>
      <c r="C224" t="s">
        <v>5</v>
      </c>
      <c r="D224">
        <v>313</v>
      </c>
      <c r="E224">
        <v>5529.5</v>
      </c>
    </row>
    <row r="225" spans="1:5" x14ac:dyDescent="0.25">
      <c r="A225" s="1">
        <v>45150</v>
      </c>
      <c r="B225">
        <v>1</v>
      </c>
      <c r="C225" t="s">
        <v>5</v>
      </c>
      <c r="D225">
        <v>246</v>
      </c>
      <c r="E225">
        <v>4474.53</v>
      </c>
    </row>
    <row r="226" spans="1:5" x14ac:dyDescent="0.25">
      <c r="A226" s="1">
        <v>45151</v>
      </c>
      <c r="B226">
        <v>1</v>
      </c>
      <c r="C226" t="s">
        <v>5</v>
      </c>
      <c r="D226">
        <v>398</v>
      </c>
      <c r="E226">
        <v>7632.99</v>
      </c>
    </row>
    <row r="227" spans="1:5" x14ac:dyDescent="0.25">
      <c r="A227" s="1">
        <v>45152</v>
      </c>
      <c r="B227">
        <v>1</v>
      </c>
      <c r="C227" t="s">
        <v>5</v>
      </c>
      <c r="D227">
        <v>324</v>
      </c>
      <c r="E227">
        <v>6296.08</v>
      </c>
    </row>
    <row r="228" spans="1:5" x14ac:dyDescent="0.25">
      <c r="A228" s="1">
        <v>45153</v>
      </c>
      <c r="B228">
        <v>1</v>
      </c>
      <c r="C228" t="s">
        <v>5</v>
      </c>
      <c r="D228">
        <v>337</v>
      </c>
      <c r="E228">
        <v>5400.68</v>
      </c>
    </row>
    <row r="229" spans="1:5" x14ac:dyDescent="0.25">
      <c r="A229" s="1">
        <v>45154</v>
      </c>
      <c r="B229">
        <v>1</v>
      </c>
      <c r="C229" t="s">
        <v>5</v>
      </c>
      <c r="D229">
        <v>315</v>
      </c>
      <c r="E229">
        <v>5974.25</v>
      </c>
    </row>
    <row r="230" spans="1:5" x14ac:dyDescent="0.25">
      <c r="A230" s="1">
        <v>45155</v>
      </c>
      <c r="B230">
        <v>1</v>
      </c>
      <c r="C230" t="s">
        <v>5</v>
      </c>
      <c r="D230">
        <v>356</v>
      </c>
      <c r="E230">
        <v>7450.87</v>
      </c>
    </row>
    <row r="231" spans="1:5" x14ac:dyDescent="0.25">
      <c r="A231" s="1">
        <v>45156</v>
      </c>
      <c r="B231">
        <v>1</v>
      </c>
      <c r="C231" t="s">
        <v>5</v>
      </c>
      <c r="D231">
        <v>320</v>
      </c>
      <c r="E231">
        <v>5495.47</v>
      </c>
    </row>
    <row r="232" spans="1:5" x14ac:dyDescent="0.25">
      <c r="A232" s="1">
        <v>45157</v>
      </c>
      <c r="B232">
        <v>1</v>
      </c>
      <c r="C232" t="s">
        <v>5</v>
      </c>
      <c r="D232">
        <v>350</v>
      </c>
      <c r="E232">
        <v>6476.08</v>
      </c>
    </row>
    <row r="233" spans="1:5" x14ac:dyDescent="0.25">
      <c r="A233" s="1">
        <v>45158</v>
      </c>
      <c r="B233">
        <v>1</v>
      </c>
      <c r="C233" t="s">
        <v>5</v>
      </c>
      <c r="D233">
        <v>386</v>
      </c>
      <c r="E233">
        <v>6396.97</v>
      </c>
    </row>
    <row r="234" spans="1:5" x14ac:dyDescent="0.25">
      <c r="A234" s="1">
        <v>45159</v>
      </c>
      <c r="B234">
        <v>1</v>
      </c>
      <c r="C234" t="s">
        <v>5</v>
      </c>
      <c r="D234">
        <v>351</v>
      </c>
      <c r="E234">
        <v>6470.84</v>
      </c>
    </row>
    <row r="235" spans="1:5" x14ac:dyDescent="0.25">
      <c r="A235" s="1">
        <v>45160</v>
      </c>
      <c r="B235">
        <v>1</v>
      </c>
      <c r="C235" t="s">
        <v>5</v>
      </c>
      <c r="D235">
        <v>329</v>
      </c>
      <c r="E235">
        <v>6342.54</v>
      </c>
    </row>
    <row r="236" spans="1:5" x14ac:dyDescent="0.25">
      <c r="A236" s="1">
        <v>45161</v>
      </c>
      <c r="B236">
        <v>1</v>
      </c>
      <c r="C236" t="s">
        <v>5</v>
      </c>
      <c r="D236">
        <v>318</v>
      </c>
      <c r="E236">
        <v>5770.97</v>
      </c>
    </row>
    <row r="237" spans="1:5" x14ac:dyDescent="0.25">
      <c r="A237" s="1">
        <v>45162</v>
      </c>
      <c r="B237">
        <v>1</v>
      </c>
      <c r="C237" t="s">
        <v>5</v>
      </c>
      <c r="D237">
        <v>325</v>
      </c>
      <c r="E237">
        <v>5951.61</v>
      </c>
    </row>
    <row r="238" spans="1:5" x14ac:dyDescent="0.25">
      <c r="A238" s="1">
        <v>45163</v>
      </c>
      <c r="B238">
        <v>1</v>
      </c>
      <c r="C238" t="s">
        <v>5</v>
      </c>
      <c r="D238">
        <v>338</v>
      </c>
      <c r="E238">
        <v>5954.07</v>
      </c>
    </row>
    <row r="239" spans="1:5" x14ac:dyDescent="0.25">
      <c r="A239" s="1">
        <v>45164</v>
      </c>
      <c r="B239">
        <v>1</v>
      </c>
      <c r="C239" t="s">
        <v>5</v>
      </c>
      <c r="D239">
        <v>374</v>
      </c>
      <c r="E239">
        <v>6572.07</v>
      </c>
    </row>
    <row r="240" spans="1:5" x14ac:dyDescent="0.25">
      <c r="A240" s="1">
        <v>45165</v>
      </c>
      <c r="B240">
        <v>1</v>
      </c>
      <c r="C240" t="s">
        <v>5</v>
      </c>
      <c r="D240">
        <v>381</v>
      </c>
      <c r="E240">
        <v>7132.94</v>
      </c>
    </row>
    <row r="241" spans="1:5" x14ac:dyDescent="0.25">
      <c r="A241" s="1">
        <v>45166</v>
      </c>
      <c r="B241">
        <v>1</v>
      </c>
      <c r="C241" t="s">
        <v>5</v>
      </c>
      <c r="D241">
        <v>330</v>
      </c>
      <c r="E241">
        <v>6295.42</v>
      </c>
    </row>
    <row r="242" spans="1:5" x14ac:dyDescent="0.25">
      <c r="A242" s="1">
        <v>45167</v>
      </c>
      <c r="B242">
        <v>1</v>
      </c>
      <c r="C242" t="s">
        <v>5</v>
      </c>
      <c r="D242">
        <v>335</v>
      </c>
      <c r="E242">
        <v>6352.4</v>
      </c>
    </row>
    <row r="243" spans="1:5" x14ac:dyDescent="0.25">
      <c r="A243" s="1">
        <v>45168</v>
      </c>
      <c r="B243">
        <v>1</v>
      </c>
      <c r="C243" t="s">
        <v>5</v>
      </c>
      <c r="D243">
        <v>368</v>
      </c>
      <c r="E243">
        <v>7039.05</v>
      </c>
    </row>
    <row r="244" spans="1:5" x14ac:dyDescent="0.25">
      <c r="A244" s="1">
        <v>45169</v>
      </c>
      <c r="B244">
        <v>1</v>
      </c>
      <c r="C244" t="s">
        <v>5</v>
      </c>
      <c r="D244">
        <v>323</v>
      </c>
      <c r="E244">
        <v>6122.88</v>
      </c>
    </row>
    <row r="245" spans="1:5" x14ac:dyDescent="0.25">
      <c r="A245" s="1">
        <v>45170</v>
      </c>
      <c r="B245">
        <v>1</v>
      </c>
      <c r="C245" t="s">
        <v>5</v>
      </c>
      <c r="D245">
        <v>345</v>
      </c>
      <c r="E245">
        <v>6004.14</v>
      </c>
    </row>
    <row r="246" spans="1:5" x14ac:dyDescent="0.25">
      <c r="A246" s="1">
        <v>45171</v>
      </c>
      <c r="B246">
        <v>1</v>
      </c>
      <c r="C246" t="s">
        <v>5</v>
      </c>
      <c r="D246">
        <v>369</v>
      </c>
      <c r="E246">
        <v>6862.7</v>
      </c>
    </row>
    <row r="247" spans="1:5" x14ac:dyDescent="0.25">
      <c r="A247" s="1">
        <v>45172</v>
      </c>
      <c r="B247">
        <v>1</v>
      </c>
      <c r="C247" t="s">
        <v>5</v>
      </c>
      <c r="D247">
        <v>340</v>
      </c>
      <c r="E247">
        <v>6826.9</v>
      </c>
    </row>
    <row r="248" spans="1:5" x14ac:dyDescent="0.25">
      <c r="A248" s="1">
        <v>45173</v>
      </c>
      <c r="B248">
        <v>1</v>
      </c>
      <c r="C248" t="s">
        <v>5</v>
      </c>
      <c r="D248">
        <v>268</v>
      </c>
      <c r="E248">
        <v>5086.4399999999996</v>
      </c>
    </row>
    <row r="249" spans="1:5" x14ac:dyDescent="0.25">
      <c r="A249" s="1">
        <v>45174</v>
      </c>
      <c r="B249">
        <v>1</v>
      </c>
      <c r="C249" t="s">
        <v>5</v>
      </c>
      <c r="D249">
        <v>304</v>
      </c>
      <c r="E249">
        <v>5650.43</v>
      </c>
    </row>
    <row r="250" spans="1:5" x14ac:dyDescent="0.25">
      <c r="A250" s="1">
        <v>45175</v>
      </c>
      <c r="B250">
        <v>1</v>
      </c>
      <c r="C250" t="s">
        <v>5</v>
      </c>
      <c r="D250">
        <v>359</v>
      </c>
      <c r="E250">
        <v>6732.68</v>
      </c>
    </row>
    <row r="251" spans="1:5" x14ac:dyDescent="0.25">
      <c r="A251" s="1">
        <v>45176</v>
      </c>
      <c r="B251">
        <v>1</v>
      </c>
      <c r="C251" t="s">
        <v>5</v>
      </c>
      <c r="D251">
        <v>289</v>
      </c>
      <c r="E251">
        <v>5910.3</v>
      </c>
    </row>
    <row r="252" spans="1:5" x14ac:dyDescent="0.25">
      <c r="A252" s="1">
        <v>45177</v>
      </c>
      <c r="B252">
        <v>1</v>
      </c>
      <c r="C252" t="s">
        <v>5</v>
      </c>
      <c r="D252">
        <v>289</v>
      </c>
      <c r="E252">
        <v>5419.16</v>
      </c>
    </row>
    <row r="253" spans="1:5" x14ac:dyDescent="0.25">
      <c r="A253" s="1">
        <v>45178</v>
      </c>
      <c r="B253">
        <v>1</v>
      </c>
      <c r="C253" t="s">
        <v>5</v>
      </c>
      <c r="D253">
        <v>361</v>
      </c>
      <c r="E253">
        <v>6806.8</v>
      </c>
    </row>
    <row r="254" spans="1:5" x14ac:dyDescent="0.25">
      <c r="A254" s="1">
        <v>45179</v>
      </c>
      <c r="B254">
        <v>1</v>
      </c>
      <c r="C254" t="s">
        <v>5</v>
      </c>
      <c r="D254">
        <v>370</v>
      </c>
      <c r="E254">
        <v>6913.9</v>
      </c>
    </row>
    <row r="255" spans="1:5" x14ac:dyDescent="0.25">
      <c r="A255" s="1">
        <v>45180</v>
      </c>
      <c r="B255">
        <v>1</v>
      </c>
      <c r="C255" t="s">
        <v>5</v>
      </c>
      <c r="D255">
        <v>300</v>
      </c>
      <c r="E255">
        <v>6196</v>
      </c>
    </row>
    <row r="256" spans="1:5" x14ac:dyDescent="0.25">
      <c r="A256" s="1">
        <v>45181</v>
      </c>
      <c r="B256">
        <v>1</v>
      </c>
      <c r="C256" t="s">
        <v>5</v>
      </c>
      <c r="D256">
        <v>358</v>
      </c>
      <c r="E256">
        <v>6413.75</v>
      </c>
    </row>
    <row r="257" spans="1:5" x14ac:dyDescent="0.25">
      <c r="A257" s="1">
        <v>45182</v>
      </c>
      <c r="B257">
        <v>1</v>
      </c>
      <c r="C257" t="s">
        <v>5</v>
      </c>
      <c r="D257">
        <v>255</v>
      </c>
      <c r="E257">
        <v>5137.2299999999996</v>
      </c>
    </row>
    <row r="258" spans="1:5" x14ac:dyDescent="0.25">
      <c r="A258" s="1">
        <v>45183</v>
      </c>
      <c r="B258">
        <v>1</v>
      </c>
      <c r="C258" t="s">
        <v>5</v>
      </c>
      <c r="D258">
        <v>305</v>
      </c>
      <c r="E258">
        <v>5836.38</v>
      </c>
    </row>
    <row r="259" spans="1:5" x14ac:dyDescent="0.25">
      <c r="A259" s="1">
        <v>45184</v>
      </c>
      <c r="B259">
        <v>1</v>
      </c>
      <c r="C259" t="s">
        <v>5</v>
      </c>
      <c r="D259">
        <v>291</v>
      </c>
      <c r="E259">
        <v>5697.33</v>
      </c>
    </row>
    <row r="260" spans="1:5" x14ac:dyDescent="0.25">
      <c r="A260" s="1">
        <v>45185</v>
      </c>
      <c r="B260">
        <v>1</v>
      </c>
      <c r="C260" t="s">
        <v>5</v>
      </c>
      <c r="D260">
        <v>313</v>
      </c>
      <c r="E260">
        <v>5842.99</v>
      </c>
    </row>
    <row r="261" spans="1:5" x14ac:dyDescent="0.25">
      <c r="A261" s="1">
        <v>45186</v>
      </c>
      <c r="B261">
        <v>1</v>
      </c>
      <c r="C261" t="s">
        <v>5</v>
      </c>
      <c r="D261">
        <v>333</v>
      </c>
      <c r="E261">
        <v>5863.08</v>
      </c>
    </row>
    <row r="262" spans="1:5" x14ac:dyDescent="0.25">
      <c r="A262" s="1">
        <v>45187</v>
      </c>
      <c r="B262">
        <v>1</v>
      </c>
      <c r="C262" t="s">
        <v>5</v>
      </c>
      <c r="D262">
        <v>315</v>
      </c>
      <c r="E262">
        <v>5545.72</v>
      </c>
    </row>
    <row r="263" spans="1:5" x14ac:dyDescent="0.25">
      <c r="A263" s="1">
        <v>45188</v>
      </c>
      <c r="B263">
        <v>1</v>
      </c>
      <c r="C263" t="s">
        <v>5</v>
      </c>
      <c r="D263">
        <v>313</v>
      </c>
      <c r="E263">
        <v>5543.44</v>
      </c>
    </row>
    <row r="264" spans="1:5" x14ac:dyDescent="0.25">
      <c r="A264" s="1">
        <v>45189</v>
      </c>
      <c r="B264">
        <v>1</v>
      </c>
      <c r="C264" t="s">
        <v>5</v>
      </c>
      <c r="D264">
        <v>294</v>
      </c>
      <c r="E264">
        <v>5561.39</v>
      </c>
    </row>
    <row r="265" spans="1:5" x14ac:dyDescent="0.25">
      <c r="A265" s="1">
        <v>45190</v>
      </c>
      <c r="B265">
        <v>1</v>
      </c>
      <c r="C265" t="s">
        <v>5</v>
      </c>
      <c r="D265">
        <v>258</v>
      </c>
      <c r="E265">
        <v>4518.79</v>
      </c>
    </row>
    <row r="266" spans="1:5" x14ac:dyDescent="0.25">
      <c r="A266" s="1">
        <v>45191</v>
      </c>
      <c r="B266">
        <v>1</v>
      </c>
      <c r="C266" t="s">
        <v>5</v>
      </c>
      <c r="D266">
        <v>314</v>
      </c>
      <c r="E266">
        <v>6045.22</v>
      </c>
    </row>
    <row r="267" spans="1:5" x14ac:dyDescent="0.25">
      <c r="A267" s="1">
        <v>45192</v>
      </c>
      <c r="B267">
        <v>1</v>
      </c>
      <c r="C267" t="s">
        <v>5</v>
      </c>
      <c r="D267">
        <v>337</v>
      </c>
      <c r="E267">
        <v>6825.96</v>
      </c>
    </row>
    <row r="268" spans="1:5" x14ac:dyDescent="0.25">
      <c r="A268" s="1">
        <v>45193</v>
      </c>
      <c r="B268">
        <v>1</v>
      </c>
      <c r="C268" t="s">
        <v>5</v>
      </c>
      <c r="D268">
        <v>342</v>
      </c>
      <c r="E268">
        <v>5933.24</v>
      </c>
    </row>
    <row r="269" spans="1:5" x14ac:dyDescent="0.25">
      <c r="A269" s="1">
        <v>45194</v>
      </c>
      <c r="B269">
        <v>1</v>
      </c>
      <c r="C269" t="s">
        <v>5</v>
      </c>
      <c r="D269">
        <v>300</v>
      </c>
      <c r="E269">
        <v>5877.49</v>
      </c>
    </row>
    <row r="270" spans="1:5" x14ac:dyDescent="0.25">
      <c r="A270" s="1">
        <v>45195</v>
      </c>
      <c r="B270">
        <v>1</v>
      </c>
      <c r="C270" t="s">
        <v>5</v>
      </c>
      <c r="D270">
        <v>338</v>
      </c>
      <c r="E270">
        <v>6407.74</v>
      </c>
    </row>
    <row r="271" spans="1:5" x14ac:dyDescent="0.25">
      <c r="A271" s="1">
        <v>45196</v>
      </c>
      <c r="B271">
        <v>1</v>
      </c>
      <c r="C271" t="s">
        <v>5</v>
      </c>
      <c r="D271">
        <v>259</v>
      </c>
      <c r="E271">
        <v>5077.7700000000004</v>
      </c>
    </row>
    <row r="272" spans="1:5" x14ac:dyDescent="0.25">
      <c r="A272" s="1">
        <v>45197</v>
      </c>
      <c r="B272">
        <v>1</v>
      </c>
      <c r="C272" t="s">
        <v>5</v>
      </c>
      <c r="D272">
        <v>313</v>
      </c>
      <c r="E272">
        <v>5249.2</v>
      </c>
    </row>
    <row r="273" spans="1:5" x14ac:dyDescent="0.25">
      <c r="A273" s="1">
        <v>45198</v>
      </c>
      <c r="B273">
        <v>1</v>
      </c>
      <c r="C273" t="s">
        <v>5</v>
      </c>
      <c r="D273">
        <v>311</v>
      </c>
      <c r="E273">
        <v>5238.29</v>
      </c>
    </row>
    <row r="274" spans="1:5" x14ac:dyDescent="0.25">
      <c r="A274" s="1">
        <v>45199</v>
      </c>
      <c r="B274">
        <v>1</v>
      </c>
      <c r="C274" t="s">
        <v>5</v>
      </c>
      <c r="D274">
        <v>362</v>
      </c>
      <c r="E274">
        <v>6285.73</v>
      </c>
    </row>
    <row r="275" spans="1:5" x14ac:dyDescent="0.25">
      <c r="A275" s="1">
        <v>45200</v>
      </c>
      <c r="B275">
        <v>1</v>
      </c>
      <c r="C275" t="s">
        <v>5</v>
      </c>
      <c r="D275">
        <v>366</v>
      </c>
      <c r="E275">
        <v>6439.72</v>
      </c>
    </row>
    <row r="276" spans="1:5" x14ac:dyDescent="0.25">
      <c r="A276" s="1">
        <v>45201</v>
      </c>
      <c r="B276">
        <v>1</v>
      </c>
      <c r="C276" t="s">
        <v>5</v>
      </c>
      <c r="D276">
        <v>339</v>
      </c>
      <c r="E276">
        <v>6058.6</v>
      </c>
    </row>
    <row r="277" spans="1:5" x14ac:dyDescent="0.25">
      <c r="A277" s="1">
        <v>45202</v>
      </c>
      <c r="B277">
        <v>1</v>
      </c>
      <c r="C277" t="s">
        <v>5</v>
      </c>
      <c r="D277">
        <v>299</v>
      </c>
      <c r="E277">
        <v>5224.5</v>
      </c>
    </row>
    <row r="278" spans="1:5" x14ac:dyDescent="0.25">
      <c r="A278" s="1">
        <v>45203</v>
      </c>
      <c r="B278">
        <v>1</v>
      </c>
      <c r="C278" t="s">
        <v>5</v>
      </c>
      <c r="D278">
        <v>326</v>
      </c>
      <c r="E278">
        <v>5311.5</v>
      </c>
    </row>
    <row r="279" spans="1:5" x14ac:dyDescent="0.25">
      <c r="A279" s="1">
        <v>45204</v>
      </c>
      <c r="B279">
        <v>1</v>
      </c>
      <c r="C279" t="s">
        <v>5</v>
      </c>
      <c r="D279">
        <v>298</v>
      </c>
      <c r="E279">
        <v>5114.07</v>
      </c>
    </row>
    <row r="280" spans="1:5" x14ac:dyDescent="0.25">
      <c r="A280" s="1">
        <v>45205</v>
      </c>
      <c r="B280">
        <v>1</v>
      </c>
      <c r="C280" t="s">
        <v>5</v>
      </c>
      <c r="D280">
        <v>319</v>
      </c>
      <c r="E280">
        <v>6038.88</v>
      </c>
    </row>
    <row r="281" spans="1:5" x14ac:dyDescent="0.25">
      <c r="A281" s="1">
        <v>45206</v>
      </c>
      <c r="B281">
        <v>1</v>
      </c>
      <c r="C281" t="s">
        <v>5</v>
      </c>
      <c r="D281">
        <v>320</v>
      </c>
      <c r="E281">
        <v>6036.71</v>
      </c>
    </row>
    <row r="282" spans="1:5" x14ac:dyDescent="0.25">
      <c r="A282" s="1">
        <v>45207</v>
      </c>
      <c r="B282">
        <v>1</v>
      </c>
      <c r="C282" t="s">
        <v>5</v>
      </c>
      <c r="D282">
        <v>354</v>
      </c>
      <c r="E282">
        <v>6254.88</v>
      </c>
    </row>
    <row r="283" spans="1:5" x14ac:dyDescent="0.25">
      <c r="A283" s="1">
        <v>45208</v>
      </c>
      <c r="B283">
        <v>1</v>
      </c>
      <c r="C283" t="s">
        <v>5</v>
      </c>
      <c r="D283">
        <v>353</v>
      </c>
      <c r="E283">
        <v>6868.01</v>
      </c>
    </row>
    <row r="284" spans="1:5" x14ac:dyDescent="0.25">
      <c r="A284" s="1">
        <v>45209</v>
      </c>
      <c r="B284">
        <v>1</v>
      </c>
      <c r="C284" t="s">
        <v>5</v>
      </c>
      <c r="D284">
        <v>323</v>
      </c>
      <c r="E284">
        <v>5341.74</v>
      </c>
    </row>
    <row r="285" spans="1:5" x14ac:dyDescent="0.25">
      <c r="A285" s="1">
        <v>45210</v>
      </c>
      <c r="B285">
        <v>1</v>
      </c>
      <c r="C285" t="s">
        <v>5</v>
      </c>
      <c r="D285">
        <v>341</v>
      </c>
      <c r="E285">
        <v>5829.52</v>
      </c>
    </row>
    <row r="286" spans="1:5" x14ac:dyDescent="0.25">
      <c r="A286" s="1">
        <v>45211</v>
      </c>
      <c r="B286">
        <v>1</v>
      </c>
      <c r="C286" t="s">
        <v>5</v>
      </c>
      <c r="D286">
        <v>314</v>
      </c>
      <c r="E286">
        <v>6208.48</v>
      </c>
    </row>
    <row r="287" spans="1:5" x14ac:dyDescent="0.25">
      <c r="A287" s="1">
        <v>45212</v>
      </c>
      <c r="B287">
        <v>1</v>
      </c>
      <c r="C287" t="s">
        <v>5</v>
      </c>
      <c r="D287">
        <v>317</v>
      </c>
      <c r="E287">
        <v>5848.33</v>
      </c>
    </row>
    <row r="288" spans="1:5" x14ac:dyDescent="0.25">
      <c r="A288" s="1">
        <v>45213</v>
      </c>
      <c r="B288">
        <v>1</v>
      </c>
      <c r="C288" t="s">
        <v>5</v>
      </c>
      <c r="D288">
        <v>346</v>
      </c>
      <c r="E288">
        <v>6482.75</v>
      </c>
    </row>
    <row r="289" spans="1:5" x14ac:dyDescent="0.25">
      <c r="A289" s="1">
        <v>45214</v>
      </c>
      <c r="B289">
        <v>1</v>
      </c>
      <c r="C289" t="s">
        <v>5</v>
      </c>
      <c r="D289">
        <v>376</v>
      </c>
      <c r="E289">
        <v>6396.6</v>
      </c>
    </row>
    <row r="290" spans="1:5" x14ac:dyDescent="0.25">
      <c r="A290" s="1">
        <v>45215</v>
      </c>
      <c r="B290">
        <v>1</v>
      </c>
      <c r="C290" t="s">
        <v>5</v>
      </c>
      <c r="D290">
        <v>362</v>
      </c>
      <c r="E290">
        <v>6704.7</v>
      </c>
    </row>
    <row r="291" spans="1:5" x14ac:dyDescent="0.25">
      <c r="A291" s="1">
        <v>45216</v>
      </c>
      <c r="B291">
        <v>1</v>
      </c>
      <c r="C291" t="s">
        <v>5</v>
      </c>
      <c r="D291">
        <v>293</v>
      </c>
      <c r="E291">
        <v>5384.05</v>
      </c>
    </row>
    <row r="292" spans="1:5" x14ac:dyDescent="0.25">
      <c r="A292" s="1">
        <v>45217</v>
      </c>
      <c r="B292">
        <v>1</v>
      </c>
      <c r="C292" t="s">
        <v>5</v>
      </c>
      <c r="D292">
        <v>349</v>
      </c>
      <c r="E292">
        <v>6434.54</v>
      </c>
    </row>
    <row r="293" spans="1:5" x14ac:dyDescent="0.25">
      <c r="A293" s="1">
        <v>45218</v>
      </c>
      <c r="B293">
        <v>1</v>
      </c>
      <c r="C293" t="s">
        <v>5</v>
      </c>
      <c r="D293">
        <v>323</v>
      </c>
      <c r="E293">
        <v>5925.48</v>
      </c>
    </row>
    <row r="294" spans="1:5" x14ac:dyDescent="0.25">
      <c r="A294" s="1">
        <v>45219</v>
      </c>
      <c r="B294">
        <v>1</v>
      </c>
      <c r="C294" t="s">
        <v>5</v>
      </c>
      <c r="D294">
        <v>314</v>
      </c>
      <c r="E294">
        <v>6046.69</v>
      </c>
    </row>
    <row r="295" spans="1:5" x14ac:dyDescent="0.25">
      <c r="A295" s="1">
        <v>45220</v>
      </c>
      <c r="B295">
        <v>1</v>
      </c>
      <c r="C295" t="s">
        <v>5</v>
      </c>
      <c r="D295">
        <v>370</v>
      </c>
      <c r="E295">
        <v>7094.63</v>
      </c>
    </row>
    <row r="296" spans="1:5" x14ac:dyDescent="0.25">
      <c r="A296" s="1">
        <v>45221</v>
      </c>
      <c r="B296">
        <v>1</v>
      </c>
      <c r="C296" t="s">
        <v>5</v>
      </c>
      <c r="D296">
        <v>356</v>
      </c>
      <c r="E296">
        <v>6977.22</v>
      </c>
    </row>
    <row r="297" spans="1:5" x14ac:dyDescent="0.25">
      <c r="A297" s="1">
        <v>45222</v>
      </c>
      <c r="B297">
        <v>1</v>
      </c>
      <c r="C297" t="s">
        <v>5</v>
      </c>
      <c r="D297">
        <v>293</v>
      </c>
      <c r="E297">
        <v>5265.31</v>
      </c>
    </row>
    <row r="298" spans="1:5" x14ac:dyDescent="0.25">
      <c r="A298" s="1">
        <v>45223</v>
      </c>
      <c r="B298">
        <v>1</v>
      </c>
      <c r="C298" t="s">
        <v>5</v>
      </c>
      <c r="D298">
        <v>299</v>
      </c>
      <c r="E298">
        <v>5690.52</v>
      </c>
    </row>
    <row r="299" spans="1:5" x14ac:dyDescent="0.25">
      <c r="A299" s="1">
        <v>45224</v>
      </c>
      <c r="B299">
        <v>1</v>
      </c>
      <c r="C299" t="s">
        <v>5</v>
      </c>
      <c r="D299">
        <v>290</v>
      </c>
      <c r="E299">
        <v>5299.51</v>
      </c>
    </row>
    <row r="300" spans="1:5" x14ac:dyDescent="0.25">
      <c r="A300" s="1">
        <v>45225</v>
      </c>
      <c r="B300">
        <v>1</v>
      </c>
      <c r="C300" t="s">
        <v>5</v>
      </c>
      <c r="D300">
        <v>295</v>
      </c>
      <c r="E300">
        <v>5713.45</v>
      </c>
    </row>
    <row r="301" spans="1:5" x14ac:dyDescent="0.25">
      <c r="A301" s="1">
        <v>45226</v>
      </c>
      <c r="B301">
        <v>1</v>
      </c>
      <c r="C301" t="s">
        <v>5</v>
      </c>
      <c r="D301">
        <v>290</v>
      </c>
      <c r="E301">
        <v>5310.16</v>
      </c>
    </row>
    <row r="302" spans="1:5" x14ac:dyDescent="0.25">
      <c r="A302" s="1">
        <v>45227</v>
      </c>
      <c r="B302">
        <v>1</v>
      </c>
      <c r="C302" t="s">
        <v>5</v>
      </c>
      <c r="D302">
        <v>327</v>
      </c>
      <c r="E302">
        <v>6512.78</v>
      </c>
    </row>
    <row r="303" spans="1:5" x14ac:dyDescent="0.25">
      <c r="A303" s="1">
        <v>45228</v>
      </c>
      <c r="B303">
        <v>1</v>
      </c>
      <c r="C303" t="s">
        <v>5</v>
      </c>
      <c r="D303">
        <v>324</v>
      </c>
      <c r="E303">
        <v>5755.88</v>
      </c>
    </row>
    <row r="304" spans="1:5" x14ac:dyDescent="0.25">
      <c r="A304" s="1">
        <v>45229</v>
      </c>
      <c r="B304">
        <v>1</v>
      </c>
      <c r="C304" t="s">
        <v>5</v>
      </c>
      <c r="D304">
        <v>302</v>
      </c>
      <c r="E304">
        <v>5330.69</v>
      </c>
    </row>
    <row r="305" spans="1:5" x14ac:dyDescent="0.25">
      <c r="A305" s="1">
        <v>45230</v>
      </c>
      <c r="B305">
        <v>1</v>
      </c>
      <c r="C305" t="s">
        <v>5</v>
      </c>
      <c r="D305">
        <v>324</v>
      </c>
      <c r="E305">
        <v>6226.2</v>
      </c>
    </row>
    <row r="306" spans="1:5" x14ac:dyDescent="0.25">
      <c r="A306" s="1">
        <v>45231</v>
      </c>
      <c r="B306">
        <v>1</v>
      </c>
      <c r="C306" t="s">
        <v>5</v>
      </c>
      <c r="D306">
        <v>302</v>
      </c>
      <c r="E306">
        <v>5679.73</v>
      </c>
    </row>
    <row r="307" spans="1:5" x14ac:dyDescent="0.25">
      <c r="A307" s="1">
        <v>45232</v>
      </c>
      <c r="B307">
        <v>1</v>
      </c>
      <c r="C307" t="s">
        <v>5</v>
      </c>
      <c r="D307">
        <v>251</v>
      </c>
      <c r="E307">
        <v>4904.2</v>
      </c>
    </row>
    <row r="308" spans="1:5" x14ac:dyDescent="0.25">
      <c r="A308" s="1">
        <v>45233</v>
      </c>
      <c r="B308">
        <v>1</v>
      </c>
      <c r="C308" t="s">
        <v>5</v>
      </c>
      <c r="D308">
        <v>311</v>
      </c>
      <c r="E308">
        <v>5609.5</v>
      </c>
    </row>
    <row r="309" spans="1:5" x14ac:dyDescent="0.25">
      <c r="A309" s="1">
        <v>45234</v>
      </c>
      <c r="B309">
        <v>1</v>
      </c>
      <c r="C309" t="s">
        <v>5</v>
      </c>
      <c r="D309">
        <v>294</v>
      </c>
      <c r="E309">
        <v>4854.43</v>
      </c>
    </row>
    <row r="310" spans="1:5" x14ac:dyDescent="0.25">
      <c r="A310" s="1">
        <v>45235</v>
      </c>
      <c r="B310">
        <v>1</v>
      </c>
      <c r="C310" t="s">
        <v>5</v>
      </c>
      <c r="D310">
        <v>335</v>
      </c>
      <c r="E310">
        <v>6870.02</v>
      </c>
    </row>
    <row r="311" spans="1:5" x14ac:dyDescent="0.25">
      <c r="A311" s="1">
        <v>45236</v>
      </c>
      <c r="B311">
        <v>1</v>
      </c>
      <c r="C311" t="s">
        <v>5</v>
      </c>
      <c r="D311">
        <v>245</v>
      </c>
      <c r="E311">
        <v>4707.37</v>
      </c>
    </row>
    <row r="312" spans="1:5" x14ac:dyDescent="0.25">
      <c r="A312" s="1">
        <v>45237</v>
      </c>
      <c r="B312">
        <v>1</v>
      </c>
      <c r="C312" t="s">
        <v>5</v>
      </c>
      <c r="D312">
        <v>274</v>
      </c>
      <c r="E312">
        <v>4905.8999999999996</v>
      </c>
    </row>
    <row r="313" spans="1:5" x14ac:dyDescent="0.25">
      <c r="A313" s="1">
        <v>45238</v>
      </c>
      <c r="B313">
        <v>1</v>
      </c>
      <c r="C313" t="s">
        <v>5</v>
      </c>
      <c r="D313">
        <v>247</v>
      </c>
      <c r="E313">
        <v>4441.92</v>
      </c>
    </row>
    <row r="314" spans="1:5" x14ac:dyDescent="0.25">
      <c r="A314" s="1">
        <v>45239</v>
      </c>
      <c r="B314">
        <v>1</v>
      </c>
      <c r="C314" t="s">
        <v>5</v>
      </c>
      <c r="D314">
        <v>313</v>
      </c>
      <c r="E314">
        <v>5437.14</v>
      </c>
    </row>
    <row r="315" spans="1:5" x14ac:dyDescent="0.25">
      <c r="A315" s="1">
        <v>45240</v>
      </c>
      <c r="B315">
        <v>1</v>
      </c>
      <c r="C315" t="s">
        <v>5</v>
      </c>
      <c r="D315">
        <v>250</v>
      </c>
      <c r="E315">
        <v>4539.3</v>
      </c>
    </row>
    <row r="316" spans="1:5" x14ac:dyDescent="0.25">
      <c r="A316" s="1">
        <v>45241</v>
      </c>
      <c r="B316">
        <v>1</v>
      </c>
      <c r="C316" t="s">
        <v>5</v>
      </c>
      <c r="D316">
        <v>339</v>
      </c>
      <c r="E316">
        <v>5932.61</v>
      </c>
    </row>
    <row r="317" spans="1:5" x14ac:dyDescent="0.25">
      <c r="A317" s="1">
        <v>45242</v>
      </c>
      <c r="B317">
        <v>1</v>
      </c>
      <c r="C317" t="s">
        <v>5</v>
      </c>
      <c r="D317">
        <v>336</v>
      </c>
      <c r="E317">
        <v>5974.94</v>
      </c>
    </row>
    <row r="318" spans="1:5" x14ac:dyDescent="0.25">
      <c r="A318" s="1">
        <v>45243</v>
      </c>
      <c r="B318">
        <v>1</v>
      </c>
      <c r="C318" t="s">
        <v>5</v>
      </c>
      <c r="D318">
        <v>291</v>
      </c>
      <c r="E318">
        <v>5124.29</v>
      </c>
    </row>
    <row r="319" spans="1:5" x14ac:dyDescent="0.25">
      <c r="A319" s="1">
        <v>45244</v>
      </c>
      <c r="B319">
        <v>1</v>
      </c>
      <c r="C319" t="s">
        <v>5</v>
      </c>
      <c r="D319">
        <v>285</v>
      </c>
      <c r="E319">
        <v>5577.02</v>
      </c>
    </row>
    <row r="320" spans="1:5" x14ac:dyDescent="0.25">
      <c r="A320" s="1">
        <v>45245</v>
      </c>
      <c r="B320">
        <v>1</v>
      </c>
      <c r="C320" t="s">
        <v>5</v>
      </c>
      <c r="D320">
        <v>265</v>
      </c>
      <c r="E320">
        <v>5021.5600000000004</v>
      </c>
    </row>
    <row r="321" spans="1:5" x14ac:dyDescent="0.25">
      <c r="A321" s="1">
        <v>45246</v>
      </c>
      <c r="B321">
        <v>1</v>
      </c>
      <c r="C321" t="s">
        <v>5</v>
      </c>
      <c r="D321">
        <v>274</v>
      </c>
      <c r="E321">
        <v>4945.84</v>
      </c>
    </row>
    <row r="322" spans="1:5" x14ac:dyDescent="0.25">
      <c r="A322" s="1">
        <v>45247</v>
      </c>
      <c r="B322">
        <v>1</v>
      </c>
      <c r="C322" t="s">
        <v>5</v>
      </c>
      <c r="D322">
        <v>256</v>
      </c>
      <c r="E322">
        <v>4311.91</v>
      </c>
    </row>
    <row r="323" spans="1:5" x14ac:dyDescent="0.25">
      <c r="A323" s="1">
        <v>45248</v>
      </c>
      <c r="B323">
        <v>1</v>
      </c>
      <c r="C323" t="s">
        <v>5</v>
      </c>
      <c r="D323">
        <v>349</v>
      </c>
      <c r="E323">
        <v>6443</v>
      </c>
    </row>
    <row r="324" spans="1:5" x14ac:dyDescent="0.25">
      <c r="A324" s="1">
        <v>45249</v>
      </c>
      <c r="B324">
        <v>1</v>
      </c>
      <c r="C324" t="s">
        <v>5</v>
      </c>
      <c r="D324">
        <v>296</v>
      </c>
      <c r="E324">
        <v>5744.18</v>
      </c>
    </row>
    <row r="325" spans="1:5" x14ac:dyDescent="0.25">
      <c r="A325" s="1">
        <v>45250</v>
      </c>
      <c r="B325">
        <v>1</v>
      </c>
      <c r="C325" t="s">
        <v>5</v>
      </c>
      <c r="D325">
        <v>271</v>
      </c>
      <c r="E325">
        <v>4806.8999999999996</v>
      </c>
    </row>
    <row r="326" spans="1:5" x14ac:dyDescent="0.25">
      <c r="A326" s="1">
        <v>45251</v>
      </c>
      <c r="B326">
        <v>1</v>
      </c>
      <c r="C326" t="s">
        <v>5</v>
      </c>
      <c r="D326">
        <v>273</v>
      </c>
      <c r="E326">
        <v>4967.47</v>
      </c>
    </row>
    <row r="327" spans="1:5" x14ac:dyDescent="0.25">
      <c r="A327" s="1">
        <v>45252</v>
      </c>
      <c r="B327">
        <v>1</v>
      </c>
      <c r="C327" t="s">
        <v>5</v>
      </c>
      <c r="D327">
        <v>324</v>
      </c>
      <c r="E327">
        <v>5700.22</v>
      </c>
    </row>
    <row r="328" spans="1:5" x14ac:dyDescent="0.25">
      <c r="A328" s="1">
        <v>45253</v>
      </c>
      <c r="B328">
        <v>1</v>
      </c>
      <c r="C328" t="s">
        <v>5</v>
      </c>
      <c r="D328">
        <v>257</v>
      </c>
      <c r="E328">
        <v>4757.3999999999996</v>
      </c>
    </row>
    <row r="329" spans="1:5" x14ac:dyDescent="0.25">
      <c r="A329" s="1">
        <v>45254</v>
      </c>
      <c r="B329">
        <v>1</v>
      </c>
      <c r="C329" t="s">
        <v>5</v>
      </c>
      <c r="D329">
        <v>290</v>
      </c>
      <c r="E329">
        <v>5374.31</v>
      </c>
    </row>
    <row r="330" spans="1:5" x14ac:dyDescent="0.25">
      <c r="A330" s="1">
        <v>45255</v>
      </c>
      <c r="B330">
        <v>1</v>
      </c>
      <c r="C330" t="s">
        <v>5</v>
      </c>
      <c r="D330">
        <v>325</v>
      </c>
      <c r="E330">
        <v>6141.56</v>
      </c>
    </row>
    <row r="331" spans="1:5" x14ac:dyDescent="0.25">
      <c r="A331" s="1">
        <v>45256</v>
      </c>
      <c r="B331">
        <v>1</v>
      </c>
      <c r="C331" t="s">
        <v>5</v>
      </c>
      <c r="D331">
        <v>373</v>
      </c>
      <c r="E331">
        <v>7415.89</v>
      </c>
    </row>
    <row r="332" spans="1:5" x14ac:dyDescent="0.25">
      <c r="A332" s="1">
        <v>45257</v>
      </c>
      <c r="B332">
        <v>1</v>
      </c>
      <c r="C332" t="s">
        <v>5</v>
      </c>
      <c r="D332">
        <v>291</v>
      </c>
      <c r="E332">
        <v>5177.8100000000004</v>
      </c>
    </row>
    <row r="333" spans="1:5" x14ac:dyDescent="0.25">
      <c r="A333" s="1">
        <v>45258</v>
      </c>
      <c r="B333">
        <v>1</v>
      </c>
      <c r="C333" t="s">
        <v>5</v>
      </c>
      <c r="D333">
        <v>263</v>
      </c>
      <c r="E333">
        <v>4748.05</v>
      </c>
    </row>
    <row r="334" spans="1:5" x14ac:dyDescent="0.25">
      <c r="A334" s="1">
        <v>45259</v>
      </c>
      <c r="B334">
        <v>1</v>
      </c>
      <c r="C334" t="s">
        <v>5</v>
      </c>
      <c r="D334">
        <v>266</v>
      </c>
      <c r="E334">
        <v>4556.84</v>
      </c>
    </row>
    <row r="335" spans="1:5" x14ac:dyDescent="0.25">
      <c r="A335" s="1">
        <v>45260</v>
      </c>
      <c r="B335">
        <v>1</v>
      </c>
      <c r="C335" t="s">
        <v>5</v>
      </c>
      <c r="D335">
        <v>259</v>
      </c>
      <c r="E335">
        <v>4970.8100000000004</v>
      </c>
    </row>
    <row r="336" spans="1:5" x14ac:dyDescent="0.25">
      <c r="A336" s="1">
        <v>45261</v>
      </c>
      <c r="B336">
        <v>1</v>
      </c>
      <c r="C336" t="s">
        <v>5</v>
      </c>
      <c r="D336">
        <v>297</v>
      </c>
      <c r="E336">
        <v>5043.88</v>
      </c>
    </row>
    <row r="337" spans="1:5" x14ac:dyDescent="0.25">
      <c r="A337" s="1">
        <v>45262</v>
      </c>
      <c r="B337">
        <v>1</v>
      </c>
      <c r="C337" t="s">
        <v>5</v>
      </c>
      <c r="D337">
        <v>269</v>
      </c>
      <c r="E337">
        <v>5129.33</v>
      </c>
    </row>
    <row r="338" spans="1:5" x14ac:dyDescent="0.25">
      <c r="A338" s="1">
        <v>45263</v>
      </c>
      <c r="B338">
        <v>1</v>
      </c>
      <c r="C338" t="s">
        <v>5</v>
      </c>
      <c r="D338">
        <v>298</v>
      </c>
      <c r="E338">
        <v>5105.3599999999997</v>
      </c>
    </row>
    <row r="339" spans="1:5" x14ac:dyDescent="0.25">
      <c r="A339" s="1">
        <v>45264</v>
      </c>
      <c r="B339">
        <v>1</v>
      </c>
      <c r="C339" t="s">
        <v>5</v>
      </c>
      <c r="D339">
        <v>251</v>
      </c>
      <c r="E339">
        <v>4419.7299999999996</v>
      </c>
    </row>
    <row r="340" spans="1:5" x14ac:dyDescent="0.25">
      <c r="A340" s="1">
        <v>45265</v>
      </c>
      <c r="B340">
        <v>1</v>
      </c>
      <c r="C340" t="s">
        <v>5</v>
      </c>
      <c r="D340">
        <v>240</v>
      </c>
      <c r="E340">
        <v>4578.75</v>
      </c>
    </row>
    <row r="341" spans="1:5" x14ac:dyDescent="0.25">
      <c r="A341" s="1">
        <v>45266</v>
      </c>
      <c r="B341">
        <v>1</v>
      </c>
      <c r="C341" t="s">
        <v>5</v>
      </c>
      <c r="D341">
        <v>308</v>
      </c>
      <c r="E341">
        <v>5949.16</v>
      </c>
    </row>
    <row r="342" spans="1:5" x14ac:dyDescent="0.25">
      <c r="A342" s="1">
        <v>45267</v>
      </c>
      <c r="B342">
        <v>1</v>
      </c>
      <c r="C342" t="s">
        <v>5</v>
      </c>
      <c r="D342">
        <v>229</v>
      </c>
      <c r="E342">
        <v>4540.71</v>
      </c>
    </row>
    <row r="343" spans="1:5" x14ac:dyDescent="0.25">
      <c r="A343" s="1">
        <v>45268</v>
      </c>
      <c r="B343">
        <v>1</v>
      </c>
      <c r="C343" t="s">
        <v>5</v>
      </c>
      <c r="D343">
        <v>261</v>
      </c>
      <c r="E343">
        <v>4544.2700000000004</v>
      </c>
    </row>
    <row r="344" spans="1:5" x14ac:dyDescent="0.25">
      <c r="A344" s="1">
        <v>45269</v>
      </c>
      <c r="B344">
        <v>1</v>
      </c>
      <c r="C344" t="s">
        <v>5</v>
      </c>
      <c r="D344">
        <v>317</v>
      </c>
      <c r="E344">
        <v>5435.43</v>
      </c>
    </row>
    <row r="345" spans="1:5" x14ac:dyDescent="0.25">
      <c r="A345" s="1">
        <v>45270</v>
      </c>
      <c r="B345">
        <v>1</v>
      </c>
      <c r="C345" t="s">
        <v>5</v>
      </c>
      <c r="D345">
        <v>332</v>
      </c>
      <c r="E345">
        <v>6091.8</v>
      </c>
    </row>
    <row r="346" spans="1:5" x14ac:dyDescent="0.25">
      <c r="A346" s="1">
        <v>45271</v>
      </c>
      <c r="B346">
        <v>1</v>
      </c>
      <c r="C346" t="s">
        <v>5</v>
      </c>
      <c r="D346">
        <v>224</v>
      </c>
      <c r="E346">
        <v>4209.74</v>
      </c>
    </row>
    <row r="347" spans="1:5" x14ac:dyDescent="0.25">
      <c r="A347" s="1">
        <v>45272</v>
      </c>
      <c r="B347">
        <v>1</v>
      </c>
      <c r="C347" t="s">
        <v>5</v>
      </c>
      <c r="D347">
        <v>302</v>
      </c>
      <c r="E347">
        <v>5661.86</v>
      </c>
    </row>
    <row r="348" spans="1:5" x14ac:dyDescent="0.25">
      <c r="A348" s="1">
        <v>45273</v>
      </c>
      <c r="B348">
        <v>1</v>
      </c>
      <c r="C348" t="s">
        <v>5</v>
      </c>
      <c r="D348">
        <v>279</v>
      </c>
      <c r="E348">
        <v>5048.2</v>
      </c>
    </row>
    <row r="349" spans="1:5" x14ac:dyDescent="0.25">
      <c r="A349" s="1">
        <v>45274</v>
      </c>
      <c r="B349">
        <v>1</v>
      </c>
      <c r="C349" t="s">
        <v>5</v>
      </c>
      <c r="D349">
        <v>219</v>
      </c>
      <c r="E349">
        <v>4146.1099999999997</v>
      </c>
    </row>
    <row r="350" spans="1:5" x14ac:dyDescent="0.25">
      <c r="A350" s="1">
        <v>45275</v>
      </c>
      <c r="B350">
        <v>1</v>
      </c>
      <c r="C350" t="s">
        <v>5</v>
      </c>
      <c r="D350">
        <v>227</v>
      </c>
      <c r="E350">
        <v>4544.1099999999997</v>
      </c>
    </row>
    <row r="351" spans="1:5" x14ac:dyDescent="0.25">
      <c r="A351" s="1">
        <v>45276</v>
      </c>
      <c r="B351">
        <v>1</v>
      </c>
      <c r="C351" t="s">
        <v>5</v>
      </c>
      <c r="D351">
        <v>315</v>
      </c>
      <c r="E351">
        <v>5093.63</v>
      </c>
    </row>
    <row r="352" spans="1:5" x14ac:dyDescent="0.25">
      <c r="A352" s="1">
        <v>45277</v>
      </c>
      <c r="B352">
        <v>1</v>
      </c>
      <c r="C352" t="s">
        <v>5</v>
      </c>
      <c r="D352">
        <v>285</v>
      </c>
      <c r="E352">
        <v>5302.86</v>
      </c>
    </row>
    <row r="353" spans="1:5" x14ac:dyDescent="0.25">
      <c r="A353" s="1">
        <v>45278</v>
      </c>
      <c r="B353">
        <v>1</v>
      </c>
      <c r="C353" t="s">
        <v>5</v>
      </c>
      <c r="D353">
        <v>215</v>
      </c>
      <c r="E353">
        <v>4115.13</v>
      </c>
    </row>
    <row r="354" spans="1:5" x14ac:dyDescent="0.25">
      <c r="A354" s="1">
        <v>45279</v>
      </c>
      <c r="B354">
        <v>1</v>
      </c>
      <c r="C354" t="s">
        <v>5</v>
      </c>
      <c r="D354">
        <v>234</v>
      </c>
      <c r="E354">
        <v>4485.12</v>
      </c>
    </row>
    <row r="355" spans="1:5" x14ac:dyDescent="0.25">
      <c r="A355" s="1">
        <v>45280</v>
      </c>
      <c r="B355">
        <v>1</v>
      </c>
      <c r="C355" t="s">
        <v>5</v>
      </c>
      <c r="D355">
        <v>290</v>
      </c>
      <c r="E355">
        <v>5598.24</v>
      </c>
    </row>
    <row r="356" spans="1:5" x14ac:dyDescent="0.25">
      <c r="A356" s="1">
        <v>45281</v>
      </c>
      <c r="B356">
        <v>1</v>
      </c>
      <c r="C356" t="s">
        <v>5</v>
      </c>
      <c r="D356">
        <v>230</v>
      </c>
      <c r="E356">
        <v>4008.45</v>
      </c>
    </row>
    <row r="357" spans="1:5" x14ac:dyDescent="0.25">
      <c r="A357" s="1">
        <v>45282</v>
      </c>
      <c r="B357">
        <v>1</v>
      </c>
      <c r="C357" t="s">
        <v>5</v>
      </c>
      <c r="D357">
        <v>268</v>
      </c>
      <c r="E357">
        <v>4949.34</v>
      </c>
    </row>
    <row r="358" spans="1:5" x14ac:dyDescent="0.25">
      <c r="A358" s="1">
        <v>45283</v>
      </c>
      <c r="B358">
        <v>1</v>
      </c>
      <c r="C358" t="s">
        <v>5</v>
      </c>
      <c r="D358">
        <v>280</v>
      </c>
      <c r="E358">
        <v>4947.78</v>
      </c>
    </row>
    <row r="359" spans="1:5" x14ac:dyDescent="0.25">
      <c r="A359" s="1">
        <v>45284</v>
      </c>
      <c r="B359">
        <v>1</v>
      </c>
      <c r="C359" t="s">
        <v>5</v>
      </c>
      <c r="D359">
        <v>261</v>
      </c>
      <c r="E359">
        <v>4378.29</v>
      </c>
    </row>
    <row r="360" spans="1:5" x14ac:dyDescent="0.25">
      <c r="A360" s="1">
        <v>45285</v>
      </c>
      <c r="B360">
        <v>1</v>
      </c>
      <c r="C360" t="s">
        <v>5</v>
      </c>
      <c r="D360">
        <v>251</v>
      </c>
      <c r="E360">
        <v>4865.9399999999996</v>
      </c>
    </row>
    <row r="361" spans="1:5" x14ac:dyDescent="0.25">
      <c r="A361" s="1">
        <v>45286</v>
      </c>
      <c r="B361">
        <v>1</v>
      </c>
      <c r="C361" t="s">
        <v>5</v>
      </c>
      <c r="D361">
        <v>197</v>
      </c>
      <c r="E361">
        <v>3749.65</v>
      </c>
    </row>
    <row r="362" spans="1:5" x14ac:dyDescent="0.25">
      <c r="A362" s="1">
        <v>45287</v>
      </c>
      <c r="B362">
        <v>1</v>
      </c>
      <c r="C362" t="s">
        <v>5</v>
      </c>
      <c r="D362">
        <v>268</v>
      </c>
      <c r="E362">
        <v>5522.61</v>
      </c>
    </row>
    <row r="363" spans="1:5" x14ac:dyDescent="0.25">
      <c r="A363" s="1">
        <v>45288</v>
      </c>
      <c r="B363">
        <v>1</v>
      </c>
      <c r="C363" t="s">
        <v>5</v>
      </c>
      <c r="D363">
        <v>187</v>
      </c>
      <c r="E363">
        <v>3298.56</v>
      </c>
    </row>
    <row r="364" spans="1:5" x14ac:dyDescent="0.25">
      <c r="A364" s="1">
        <v>45289</v>
      </c>
      <c r="B364">
        <v>1</v>
      </c>
      <c r="C364" t="s">
        <v>5</v>
      </c>
      <c r="D364">
        <v>253</v>
      </c>
      <c r="E364">
        <v>5082.57</v>
      </c>
    </row>
    <row r="365" spans="1:5" x14ac:dyDescent="0.25">
      <c r="A365" s="1">
        <v>45290</v>
      </c>
      <c r="B365">
        <v>1</v>
      </c>
      <c r="C365" t="s">
        <v>5</v>
      </c>
      <c r="D365">
        <v>283</v>
      </c>
      <c r="E365">
        <v>5336.93</v>
      </c>
    </row>
    <row r="366" spans="1:5" x14ac:dyDescent="0.25">
      <c r="A366" s="1">
        <v>45291</v>
      </c>
      <c r="B366">
        <v>1</v>
      </c>
      <c r="C366" t="s">
        <v>5</v>
      </c>
      <c r="D366">
        <v>267</v>
      </c>
      <c r="E366">
        <v>4660.6899999999996</v>
      </c>
    </row>
    <row r="367" spans="1:5" x14ac:dyDescent="0.25">
      <c r="A367" s="1">
        <v>45292</v>
      </c>
      <c r="B367">
        <v>1</v>
      </c>
      <c r="C367" t="s">
        <v>5</v>
      </c>
      <c r="D367">
        <v>224</v>
      </c>
      <c r="E367">
        <v>3936.85</v>
      </c>
    </row>
    <row r="368" spans="1:5" x14ac:dyDescent="0.25">
      <c r="A368" s="1">
        <v>45293</v>
      </c>
      <c r="B368">
        <v>1</v>
      </c>
      <c r="C368" t="s">
        <v>5</v>
      </c>
      <c r="D368">
        <v>241</v>
      </c>
      <c r="E368">
        <v>4388.3900000000003</v>
      </c>
    </row>
    <row r="369" spans="1:5" x14ac:dyDescent="0.25">
      <c r="A369" s="1">
        <v>45294</v>
      </c>
      <c r="B369">
        <v>1</v>
      </c>
      <c r="C369" t="s">
        <v>5</v>
      </c>
      <c r="D369">
        <v>230</v>
      </c>
      <c r="E369">
        <v>4218.71</v>
      </c>
    </row>
    <row r="370" spans="1:5" x14ac:dyDescent="0.25">
      <c r="A370" s="1">
        <v>45295</v>
      </c>
      <c r="B370">
        <v>1</v>
      </c>
      <c r="C370" t="s">
        <v>5</v>
      </c>
      <c r="D370">
        <v>221</v>
      </c>
      <c r="E370">
        <v>4057.52</v>
      </c>
    </row>
    <row r="371" spans="1:5" x14ac:dyDescent="0.25">
      <c r="A371" s="1">
        <v>45296</v>
      </c>
      <c r="B371">
        <v>1</v>
      </c>
      <c r="C371" t="s">
        <v>5</v>
      </c>
      <c r="D371">
        <v>242</v>
      </c>
      <c r="E371">
        <v>4407.95</v>
      </c>
    </row>
    <row r="372" spans="1:5" x14ac:dyDescent="0.25">
      <c r="A372" s="1">
        <v>45297</v>
      </c>
      <c r="B372">
        <v>1</v>
      </c>
      <c r="C372" t="s">
        <v>5</v>
      </c>
      <c r="D372">
        <v>296</v>
      </c>
      <c r="E372">
        <v>5852.98</v>
      </c>
    </row>
    <row r="373" spans="1:5" x14ac:dyDescent="0.25">
      <c r="A373" s="1">
        <v>45298</v>
      </c>
      <c r="B373">
        <v>1</v>
      </c>
      <c r="C373" t="s">
        <v>5</v>
      </c>
      <c r="D373">
        <v>285</v>
      </c>
      <c r="E373">
        <v>5750.89</v>
      </c>
    </row>
    <row r="374" spans="1:5" x14ac:dyDescent="0.25">
      <c r="A374" s="1">
        <v>45299</v>
      </c>
      <c r="B374">
        <v>1</v>
      </c>
      <c r="C374" t="s">
        <v>5</v>
      </c>
      <c r="D374">
        <v>213</v>
      </c>
      <c r="E374">
        <v>3858.66</v>
      </c>
    </row>
    <row r="375" spans="1:5" x14ac:dyDescent="0.25">
      <c r="A375" s="1">
        <v>45300</v>
      </c>
      <c r="B375">
        <v>1</v>
      </c>
      <c r="C375" t="s">
        <v>5</v>
      </c>
      <c r="D375">
        <v>250</v>
      </c>
      <c r="E375">
        <v>4349.91</v>
      </c>
    </row>
    <row r="376" spans="1:5" x14ac:dyDescent="0.25">
      <c r="A376" s="1">
        <v>45301</v>
      </c>
      <c r="B376">
        <v>1</v>
      </c>
      <c r="C376" t="s">
        <v>5</v>
      </c>
      <c r="D376">
        <v>271</v>
      </c>
      <c r="E376">
        <v>5034.05</v>
      </c>
    </row>
    <row r="377" spans="1:5" x14ac:dyDescent="0.25">
      <c r="A377" s="1">
        <v>45302</v>
      </c>
      <c r="B377">
        <v>1</v>
      </c>
      <c r="C377" t="s">
        <v>5</v>
      </c>
      <c r="D377">
        <v>236</v>
      </c>
      <c r="E377">
        <v>4136.0200000000004</v>
      </c>
    </row>
    <row r="378" spans="1:5" x14ac:dyDescent="0.25">
      <c r="A378" s="1">
        <v>45303</v>
      </c>
      <c r="B378">
        <v>1</v>
      </c>
      <c r="C378" t="s">
        <v>5</v>
      </c>
      <c r="D378">
        <v>263</v>
      </c>
      <c r="E378">
        <v>4749.59</v>
      </c>
    </row>
    <row r="379" spans="1:5" x14ac:dyDescent="0.25">
      <c r="A379" s="1">
        <v>45304</v>
      </c>
      <c r="B379">
        <v>1</v>
      </c>
      <c r="C379" t="s">
        <v>5</v>
      </c>
      <c r="D379">
        <v>269</v>
      </c>
      <c r="E379">
        <v>4943.2</v>
      </c>
    </row>
    <row r="380" spans="1:5" x14ac:dyDescent="0.25">
      <c r="A380" s="1">
        <v>45305</v>
      </c>
      <c r="B380">
        <v>1</v>
      </c>
      <c r="C380" t="s">
        <v>5</v>
      </c>
      <c r="D380">
        <v>246</v>
      </c>
      <c r="E380">
        <v>4433.2299999999996</v>
      </c>
    </row>
    <row r="381" spans="1:5" x14ac:dyDescent="0.25">
      <c r="A381" s="1">
        <v>45306</v>
      </c>
      <c r="B381">
        <v>1</v>
      </c>
      <c r="C381" t="s">
        <v>5</v>
      </c>
      <c r="D381">
        <v>223</v>
      </c>
      <c r="E381">
        <v>4120.47</v>
      </c>
    </row>
    <row r="382" spans="1:5" x14ac:dyDescent="0.25">
      <c r="A382" s="1">
        <v>45307</v>
      </c>
      <c r="B382">
        <v>1</v>
      </c>
      <c r="C382" t="s">
        <v>5</v>
      </c>
      <c r="D382">
        <v>260</v>
      </c>
      <c r="E382">
        <v>4831.4799999999996</v>
      </c>
    </row>
    <row r="383" spans="1:5" x14ac:dyDescent="0.25">
      <c r="A383" s="1">
        <v>45308</v>
      </c>
      <c r="B383">
        <v>1</v>
      </c>
      <c r="C383" t="s">
        <v>5</v>
      </c>
      <c r="D383">
        <v>242</v>
      </c>
      <c r="E383">
        <v>4810.92</v>
      </c>
    </row>
    <row r="384" spans="1:5" x14ac:dyDescent="0.25">
      <c r="A384" s="1">
        <v>45309</v>
      </c>
      <c r="B384">
        <v>1</v>
      </c>
      <c r="C384" t="s">
        <v>5</v>
      </c>
      <c r="D384">
        <v>246</v>
      </c>
      <c r="E384">
        <v>4036.01</v>
      </c>
    </row>
    <row r="385" spans="1:5" x14ac:dyDescent="0.25">
      <c r="A385" s="1">
        <v>45310</v>
      </c>
      <c r="B385">
        <v>1</v>
      </c>
      <c r="C385" t="s">
        <v>5</v>
      </c>
      <c r="D385">
        <v>202</v>
      </c>
      <c r="E385">
        <v>3328.32</v>
      </c>
    </row>
    <row r="386" spans="1:5" x14ac:dyDescent="0.25">
      <c r="A386" s="1">
        <v>45311</v>
      </c>
      <c r="B386">
        <v>1</v>
      </c>
      <c r="C386" t="s">
        <v>5</v>
      </c>
      <c r="D386">
        <v>361</v>
      </c>
      <c r="E386">
        <v>6966.1</v>
      </c>
    </row>
    <row r="387" spans="1:5" x14ac:dyDescent="0.25">
      <c r="A387" s="1">
        <v>45312</v>
      </c>
      <c r="B387">
        <v>1</v>
      </c>
      <c r="C387" t="s">
        <v>5</v>
      </c>
      <c r="D387">
        <v>249</v>
      </c>
      <c r="E387">
        <v>5037.53</v>
      </c>
    </row>
    <row r="388" spans="1:5" x14ac:dyDescent="0.25">
      <c r="A388" s="1">
        <v>45313</v>
      </c>
      <c r="B388">
        <v>1</v>
      </c>
      <c r="C388" t="s">
        <v>5</v>
      </c>
      <c r="D388">
        <v>218</v>
      </c>
      <c r="E388">
        <v>4168.97</v>
      </c>
    </row>
    <row r="389" spans="1:5" x14ac:dyDescent="0.25">
      <c r="A389" s="1">
        <v>45314</v>
      </c>
      <c r="B389">
        <v>1</v>
      </c>
      <c r="C389" t="s">
        <v>5</v>
      </c>
      <c r="D389">
        <v>239</v>
      </c>
      <c r="E389">
        <v>4463.25</v>
      </c>
    </row>
    <row r="390" spans="1:5" x14ac:dyDescent="0.25">
      <c r="A390" s="1">
        <v>45315</v>
      </c>
      <c r="B390">
        <v>1</v>
      </c>
      <c r="C390" t="s">
        <v>5</v>
      </c>
      <c r="D390">
        <v>217</v>
      </c>
      <c r="E390">
        <v>4287.29</v>
      </c>
    </row>
    <row r="391" spans="1:5" x14ac:dyDescent="0.25">
      <c r="A391" s="1">
        <v>45316</v>
      </c>
      <c r="B391">
        <v>1</v>
      </c>
      <c r="C391" t="s">
        <v>5</v>
      </c>
      <c r="D391">
        <v>249</v>
      </c>
      <c r="E391">
        <v>4466.66</v>
      </c>
    </row>
    <row r="392" spans="1:5" x14ac:dyDescent="0.25">
      <c r="A392" s="1">
        <v>45317</v>
      </c>
      <c r="B392">
        <v>1</v>
      </c>
      <c r="C392" t="s">
        <v>5</v>
      </c>
      <c r="D392">
        <v>224</v>
      </c>
      <c r="E392">
        <v>3874.09</v>
      </c>
    </row>
    <row r="393" spans="1:5" x14ac:dyDescent="0.25">
      <c r="A393" s="1">
        <v>45318</v>
      </c>
      <c r="B393">
        <v>1</v>
      </c>
      <c r="C393" t="s">
        <v>5</v>
      </c>
      <c r="D393">
        <v>258</v>
      </c>
      <c r="E393">
        <v>4854.6000000000004</v>
      </c>
    </row>
    <row r="394" spans="1:5" x14ac:dyDescent="0.25">
      <c r="A394" s="1">
        <v>45319</v>
      </c>
      <c r="B394">
        <v>1</v>
      </c>
      <c r="C394" t="s">
        <v>5</v>
      </c>
      <c r="D394">
        <v>254</v>
      </c>
      <c r="E394">
        <v>4540.74</v>
      </c>
    </row>
    <row r="395" spans="1:5" x14ac:dyDescent="0.25">
      <c r="A395" s="1">
        <v>45320</v>
      </c>
      <c r="B395">
        <v>1</v>
      </c>
      <c r="C395" t="s">
        <v>5</v>
      </c>
      <c r="D395">
        <v>221</v>
      </c>
      <c r="E395">
        <v>4165.3500000000004</v>
      </c>
    </row>
    <row r="396" spans="1:5" x14ac:dyDescent="0.25">
      <c r="A396" s="1">
        <v>45321</v>
      </c>
      <c r="B396">
        <v>1</v>
      </c>
      <c r="C396" t="s">
        <v>5</v>
      </c>
      <c r="D396">
        <v>190</v>
      </c>
      <c r="E396">
        <v>3487.72</v>
      </c>
    </row>
    <row r="397" spans="1:5" x14ac:dyDescent="0.25">
      <c r="A397" s="1">
        <v>45322</v>
      </c>
      <c r="B397">
        <v>1</v>
      </c>
      <c r="C397" t="s">
        <v>5</v>
      </c>
      <c r="D397">
        <v>235</v>
      </c>
      <c r="E397">
        <v>4430.6499999999996</v>
      </c>
    </row>
    <row r="398" spans="1:5" x14ac:dyDescent="0.25">
      <c r="A398" s="1">
        <v>45323</v>
      </c>
      <c r="B398">
        <v>1</v>
      </c>
      <c r="C398" t="s">
        <v>5</v>
      </c>
      <c r="D398">
        <v>237</v>
      </c>
      <c r="E398">
        <v>4266.01</v>
      </c>
    </row>
    <row r="399" spans="1:5" x14ac:dyDescent="0.25">
      <c r="A399" s="1">
        <v>45324</v>
      </c>
      <c r="B399">
        <v>1</v>
      </c>
      <c r="C399" t="s">
        <v>5</v>
      </c>
      <c r="D399">
        <v>232</v>
      </c>
      <c r="E399">
        <v>4299.08</v>
      </c>
    </row>
    <row r="400" spans="1:5" x14ac:dyDescent="0.25">
      <c r="A400" s="1">
        <v>45325</v>
      </c>
      <c r="B400">
        <v>1</v>
      </c>
      <c r="C400" t="s">
        <v>5</v>
      </c>
      <c r="D400">
        <v>275</v>
      </c>
      <c r="E400">
        <v>5187.8599999999997</v>
      </c>
    </row>
    <row r="401" spans="1:5" x14ac:dyDescent="0.25">
      <c r="A401" s="1">
        <v>45326</v>
      </c>
      <c r="B401">
        <v>1</v>
      </c>
      <c r="C401" t="s">
        <v>5</v>
      </c>
      <c r="D401">
        <v>220</v>
      </c>
      <c r="E401">
        <v>3868.01</v>
      </c>
    </row>
    <row r="402" spans="1:5" x14ac:dyDescent="0.25">
      <c r="A402" s="1">
        <v>45327</v>
      </c>
      <c r="B402">
        <v>1</v>
      </c>
      <c r="C402" t="s">
        <v>5</v>
      </c>
      <c r="D402">
        <v>213</v>
      </c>
      <c r="E402">
        <v>4194.88</v>
      </c>
    </row>
    <row r="403" spans="1:5" x14ac:dyDescent="0.25">
      <c r="A403" s="1">
        <v>45328</v>
      </c>
      <c r="B403">
        <v>1</v>
      </c>
      <c r="C403" t="s">
        <v>5</v>
      </c>
      <c r="D403">
        <v>205</v>
      </c>
      <c r="E403">
        <v>3768.48</v>
      </c>
    </row>
    <row r="404" spans="1:5" x14ac:dyDescent="0.25">
      <c r="A404" s="1">
        <v>45329</v>
      </c>
      <c r="B404">
        <v>1</v>
      </c>
      <c r="C404" t="s">
        <v>5</v>
      </c>
      <c r="D404">
        <v>235</v>
      </c>
      <c r="E404">
        <v>4725.84</v>
      </c>
    </row>
    <row r="405" spans="1:5" x14ac:dyDescent="0.25">
      <c r="A405" s="1">
        <v>45330</v>
      </c>
      <c r="B405">
        <v>1</v>
      </c>
      <c r="C405" t="s">
        <v>5</v>
      </c>
      <c r="D405">
        <v>213</v>
      </c>
      <c r="E405">
        <v>4102.28</v>
      </c>
    </row>
    <row r="406" spans="1:5" x14ac:dyDescent="0.25">
      <c r="A406" s="1">
        <v>45331</v>
      </c>
      <c r="B406">
        <v>1</v>
      </c>
      <c r="C406" t="s">
        <v>5</v>
      </c>
      <c r="D406">
        <v>213</v>
      </c>
      <c r="E406">
        <v>4004.03</v>
      </c>
    </row>
    <row r="407" spans="1:5" x14ac:dyDescent="0.25">
      <c r="A407" s="1">
        <v>45332</v>
      </c>
      <c r="B407">
        <v>1</v>
      </c>
      <c r="C407" t="s">
        <v>5</v>
      </c>
      <c r="D407">
        <v>274</v>
      </c>
      <c r="E407">
        <v>5010.63</v>
      </c>
    </row>
    <row r="408" spans="1:5" x14ac:dyDescent="0.25">
      <c r="A408" s="1">
        <v>45333</v>
      </c>
      <c r="B408">
        <v>1</v>
      </c>
      <c r="C408" t="s">
        <v>5</v>
      </c>
      <c r="D408">
        <v>256</v>
      </c>
      <c r="E408">
        <v>4604.8100000000004</v>
      </c>
    </row>
    <row r="409" spans="1:5" x14ac:dyDescent="0.25">
      <c r="A409" s="1">
        <v>45334</v>
      </c>
      <c r="B409">
        <v>1</v>
      </c>
      <c r="C409" t="s">
        <v>5</v>
      </c>
      <c r="D409">
        <v>219</v>
      </c>
      <c r="E409">
        <v>4054.42</v>
      </c>
    </row>
    <row r="410" spans="1:5" x14ac:dyDescent="0.25">
      <c r="A410" s="1">
        <v>45335</v>
      </c>
      <c r="B410">
        <v>1</v>
      </c>
      <c r="C410" t="s">
        <v>5</v>
      </c>
      <c r="D410">
        <v>184</v>
      </c>
      <c r="E410">
        <v>3180.54</v>
      </c>
    </row>
    <row r="411" spans="1:5" x14ac:dyDescent="0.25">
      <c r="A411" s="1">
        <v>45336</v>
      </c>
      <c r="B411">
        <v>1</v>
      </c>
      <c r="C411" t="s">
        <v>5</v>
      </c>
      <c r="D411">
        <v>211</v>
      </c>
      <c r="E411">
        <v>3602.85</v>
      </c>
    </row>
    <row r="412" spans="1:5" x14ac:dyDescent="0.25">
      <c r="A412" s="1">
        <v>45337</v>
      </c>
      <c r="B412">
        <v>1</v>
      </c>
      <c r="C412" t="s">
        <v>5</v>
      </c>
      <c r="D412">
        <v>238</v>
      </c>
      <c r="E412">
        <v>4599.18</v>
      </c>
    </row>
    <row r="413" spans="1:5" x14ac:dyDescent="0.25">
      <c r="A413" s="1">
        <v>45338</v>
      </c>
      <c r="B413">
        <v>1</v>
      </c>
      <c r="C413" t="s">
        <v>5</v>
      </c>
      <c r="D413">
        <v>197</v>
      </c>
      <c r="E413">
        <v>3557.25</v>
      </c>
    </row>
    <row r="414" spans="1:5" x14ac:dyDescent="0.25">
      <c r="A414" s="1">
        <v>45339</v>
      </c>
      <c r="B414">
        <v>1</v>
      </c>
      <c r="C414" t="s">
        <v>5</v>
      </c>
      <c r="D414">
        <v>286</v>
      </c>
      <c r="E414">
        <v>5443.51</v>
      </c>
    </row>
    <row r="415" spans="1:5" x14ac:dyDescent="0.25">
      <c r="A415" s="1">
        <v>45340</v>
      </c>
      <c r="B415">
        <v>1</v>
      </c>
      <c r="C415" t="s">
        <v>5</v>
      </c>
      <c r="D415">
        <v>274</v>
      </c>
      <c r="E415">
        <v>4867.79</v>
      </c>
    </row>
    <row r="416" spans="1:5" x14ac:dyDescent="0.25">
      <c r="A416" s="1">
        <v>45341</v>
      </c>
      <c r="B416">
        <v>1</v>
      </c>
      <c r="C416" t="s">
        <v>5</v>
      </c>
      <c r="D416">
        <v>207</v>
      </c>
      <c r="E416">
        <v>3861.34</v>
      </c>
    </row>
    <row r="417" spans="1:5" x14ac:dyDescent="0.25">
      <c r="A417" s="1">
        <v>45342</v>
      </c>
      <c r="B417">
        <v>1</v>
      </c>
      <c r="C417" t="s">
        <v>5</v>
      </c>
      <c r="D417">
        <v>242</v>
      </c>
      <c r="E417">
        <v>4486.22</v>
      </c>
    </row>
    <row r="418" spans="1:5" x14ac:dyDescent="0.25">
      <c r="A418" s="1">
        <v>45343</v>
      </c>
      <c r="B418">
        <v>1</v>
      </c>
      <c r="C418" t="s">
        <v>5</v>
      </c>
      <c r="D418">
        <v>214</v>
      </c>
      <c r="E418">
        <v>4134.96</v>
      </c>
    </row>
    <row r="419" spans="1:5" x14ac:dyDescent="0.25">
      <c r="A419" s="1">
        <v>45344</v>
      </c>
      <c r="B419">
        <v>1</v>
      </c>
      <c r="C419" t="s">
        <v>5</v>
      </c>
      <c r="D419">
        <v>243</v>
      </c>
      <c r="E419">
        <v>4565.5200000000004</v>
      </c>
    </row>
    <row r="420" spans="1:5" x14ac:dyDescent="0.25">
      <c r="A420" s="1">
        <v>45345</v>
      </c>
      <c r="B420">
        <v>1</v>
      </c>
      <c r="C420" t="s">
        <v>5</v>
      </c>
      <c r="D420">
        <v>223</v>
      </c>
      <c r="E420">
        <v>4139.92</v>
      </c>
    </row>
    <row r="421" spans="1:5" x14ac:dyDescent="0.25">
      <c r="A421" s="1">
        <v>45346</v>
      </c>
      <c r="B421">
        <v>1</v>
      </c>
      <c r="C421" t="s">
        <v>5</v>
      </c>
      <c r="D421">
        <v>254</v>
      </c>
      <c r="E421">
        <v>4784.47</v>
      </c>
    </row>
    <row r="422" spans="1:5" x14ac:dyDescent="0.25">
      <c r="A422" s="1">
        <v>45347</v>
      </c>
      <c r="B422">
        <v>1</v>
      </c>
      <c r="C422" t="s">
        <v>5</v>
      </c>
      <c r="D422">
        <v>253</v>
      </c>
      <c r="E422">
        <v>4536.66</v>
      </c>
    </row>
    <row r="423" spans="1:5" x14ac:dyDescent="0.25">
      <c r="A423" s="1">
        <v>45348</v>
      </c>
      <c r="B423">
        <v>1</v>
      </c>
      <c r="C423" t="s">
        <v>5</v>
      </c>
      <c r="D423">
        <v>230</v>
      </c>
      <c r="E423">
        <v>4528.03</v>
      </c>
    </row>
    <row r="424" spans="1:5" x14ac:dyDescent="0.25">
      <c r="A424" s="1">
        <v>45349</v>
      </c>
      <c r="B424">
        <v>1</v>
      </c>
      <c r="C424" t="s">
        <v>5</v>
      </c>
      <c r="D424">
        <v>217</v>
      </c>
      <c r="E424">
        <v>4272.6099999999997</v>
      </c>
    </row>
    <row r="425" spans="1:5" x14ac:dyDescent="0.25">
      <c r="A425" s="1">
        <v>45350</v>
      </c>
      <c r="B425">
        <v>1</v>
      </c>
      <c r="C425" t="s">
        <v>5</v>
      </c>
      <c r="D425">
        <v>210</v>
      </c>
      <c r="E425">
        <v>3556.05</v>
      </c>
    </row>
    <row r="426" spans="1:5" x14ac:dyDescent="0.25">
      <c r="A426" s="1">
        <v>45351</v>
      </c>
      <c r="B426">
        <v>1</v>
      </c>
      <c r="C426" t="s">
        <v>5</v>
      </c>
      <c r="D426">
        <v>188</v>
      </c>
      <c r="E426">
        <v>3620.54</v>
      </c>
    </row>
    <row r="427" spans="1:5" x14ac:dyDescent="0.25">
      <c r="A427" s="1">
        <v>45352</v>
      </c>
      <c r="B427">
        <v>1</v>
      </c>
      <c r="C427" t="s">
        <v>5</v>
      </c>
      <c r="D427">
        <v>231</v>
      </c>
      <c r="E427">
        <v>4351.57</v>
      </c>
    </row>
    <row r="428" spans="1:5" x14ac:dyDescent="0.25">
      <c r="A428" s="1">
        <v>45353</v>
      </c>
      <c r="B428">
        <v>1</v>
      </c>
      <c r="C428" t="s">
        <v>5</v>
      </c>
      <c r="D428">
        <v>239</v>
      </c>
      <c r="E428">
        <v>4413.68</v>
      </c>
    </row>
    <row r="429" spans="1:5" x14ac:dyDescent="0.25">
      <c r="A429" s="1">
        <v>45354</v>
      </c>
      <c r="B429">
        <v>1</v>
      </c>
      <c r="C429" t="s">
        <v>5</v>
      </c>
      <c r="D429">
        <v>238</v>
      </c>
      <c r="E429">
        <v>4429.25</v>
      </c>
    </row>
    <row r="430" spans="1:5" x14ac:dyDescent="0.25">
      <c r="A430" s="1">
        <v>45355</v>
      </c>
      <c r="B430">
        <v>1</v>
      </c>
      <c r="C430" t="s">
        <v>5</v>
      </c>
      <c r="D430">
        <v>212</v>
      </c>
      <c r="E430">
        <v>4021.41</v>
      </c>
    </row>
    <row r="431" spans="1:5" x14ac:dyDescent="0.25">
      <c r="A431" s="1">
        <v>45356</v>
      </c>
      <c r="B431">
        <v>1</v>
      </c>
      <c r="C431" t="s">
        <v>5</v>
      </c>
      <c r="D431">
        <v>204</v>
      </c>
      <c r="E431">
        <v>3542.1</v>
      </c>
    </row>
    <row r="432" spans="1:5" x14ac:dyDescent="0.25">
      <c r="A432" s="1">
        <v>45357</v>
      </c>
      <c r="B432">
        <v>1</v>
      </c>
      <c r="C432" t="s">
        <v>5</v>
      </c>
      <c r="D432">
        <v>230</v>
      </c>
      <c r="E432">
        <v>4138.29</v>
      </c>
    </row>
    <row r="433" spans="1:5" x14ac:dyDescent="0.25">
      <c r="A433" s="1">
        <v>45358</v>
      </c>
      <c r="B433">
        <v>1</v>
      </c>
      <c r="C433" t="s">
        <v>5</v>
      </c>
      <c r="D433">
        <v>201</v>
      </c>
      <c r="E433">
        <v>3436.95</v>
      </c>
    </row>
    <row r="434" spans="1:5" x14ac:dyDescent="0.25">
      <c r="A434" s="1">
        <v>45359</v>
      </c>
      <c r="B434">
        <v>1</v>
      </c>
      <c r="C434" t="s">
        <v>5</v>
      </c>
      <c r="D434">
        <v>211</v>
      </c>
      <c r="E434">
        <v>4244.92</v>
      </c>
    </row>
    <row r="435" spans="1:5" x14ac:dyDescent="0.25">
      <c r="A435" s="1">
        <v>45360</v>
      </c>
      <c r="B435">
        <v>1</v>
      </c>
      <c r="C435" t="s">
        <v>5</v>
      </c>
      <c r="D435">
        <v>252</v>
      </c>
      <c r="E435">
        <v>4861.8500000000004</v>
      </c>
    </row>
    <row r="436" spans="1:5" x14ac:dyDescent="0.25">
      <c r="A436" s="1">
        <v>45361</v>
      </c>
      <c r="B436">
        <v>1</v>
      </c>
      <c r="C436" t="s">
        <v>5</v>
      </c>
      <c r="D436">
        <v>266</v>
      </c>
      <c r="E436">
        <v>5283.82</v>
      </c>
    </row>
    <row r="437" spans="1:5" x14ac:dyDescent="0.25">
      <c r="A437" s="1">
        <v>45362</v>
      </c>
      <c r="B437">
        <v>1</v>
      </c>
      <c r="C437" t="s">
        <v>5</v>
      </c>
      <c r="D437">
        <v>247</v>
      </c>
      <c r="E437">
        <v>4449.5600000000004</v>
      </c>
    </row>
    <row r="438" spans="1:5" x14ac:dyDescent="0.25">
      <c r="A438" s="1">
        <v>45363</v>
      </c>
      <c r="B438">
        <v>1</v>
      </c>
      <c r="C438" t="s">
        <v>5</v>
      </c>
      <c r="D438">
        <v>210</v>
      </c>
      <c r="E438">
        <v>3995.68</v>
      </c>
    </row>
    <row r="439" spans="1:5" x14ac:dyDescent="0.25">
      <c r="A439" s="1">
        <v>45364</v>
      </c>
      <c r="B439">
        <v>1</v>
      </c>
      <c r="C439" t="s">
        <v>5</v>
      </c>
      <c r="D439">
        <v>210</v>
      </c>
      <c r="E439">
        <v>3720.17</v>
      </c>
    </row>
    <row r="440" spans="1:5" x14ac:dyDescent="0.25">
      <c r="A440" s="1">
        <v>45365</v>
      </c>
      <c r="B440">
        <v>1</v>
      </c>
      <c r="C440" t="s">
        <v>5</v>
      </c>
      <c r="D440">
        <v>225</v>
      </c>
      <c r="E440">
        <v>4247.42</v>
      </c>
    </row>
    <row r="441" spans="1:5" x14ac:dyDescent="0.25">
      <c r="A441" s="1">
        <v>45366</v>
      </c>
      <c r="B441">
        <v>1</v>
      </c>
      <c r="C441" t="s">
        <v>5</v>
      </c>
      <c r="D441">
        <v>204</v>
      </c>
      <c r="E441">
        <v>3892.41</v>
      </c>
    </row>
    <row r="442" spans="1:5" x14ac:dyDescent="0.25">
      <c r="A442" s="1">
        <v>45367</v>
      </c>
      <c r="B442">
        <v>1</v>
      </c>
      <c r="C442" t="s">
        <v>5</v>
      </c>
      <c r="D442">
        <v>302</v>
      </c>
      <c r="E442">
        <v>5944.22</v>
      </c>
    </row>
    <row r="443" spans="1:5" x14ac:dyDescent="0.25">
      <c r="A443" s="1">
        <v>45368</v>
      </c>
      <c r="B443">
        <v>1</v>
      </c>
      <c r="C443" t="s">
        <v>5</v>
      </c>
      <c r="D443">
        <v>252</v>
      </c>
      <c r="E443">
        <v>4661.03</v>
      </c>
    </row>
    <row r="444" spans="1:5" x14ac:dyDescent="0.25">
      <c r="A444" s="1">
        <v>45369</v>
      </c>
      <c r="B444">
        <v>1</v>
      </c>
      <c r="C444" t="s">
        <v>5</v>
      </c>
      <c r="D444">
        <v>228</v>
      </c>
      <c r="E444">
        <v>4530.83</v>
      </c>
    </row>
    <row r="445" spans="1:5" x14ac:dyDescent="0.25">
      <c r="A445" s="1">
        <v>45370</v>
      </c>
      <c r="B445">
        <v>1</v>
      </c>
      <c r="C445" t="s">
        <v>5</v>
      </c>
      <c r="D445">
        <v>211</v>
      </c>
      <c r="E445">
        <v>3752.59</v>
      </c>
    </row>
    <row r="446" spans="1:5" x14ac:dyDescent="0.25">
      <c r="A446" s="1">
        <v>45371</v>
      </c>
      <c r="B446">
        <v>1</v>
      </c>
      <c r="C446" t="s">
        <v>5</v>
      </c>
      <c r="D446">
        <v>254</v>
      </c>
      <c r="E446">
        <v>4973.88</v>
      </c>
    </row>
    <row r="447" spans="1:5" x14ac:dyDescent="0.25">
      <c r="A447" s="1">
        <v>45372</v>
      </c>
      <c r="B447">
        <v>1</v>
      </c>
      <c r="C447" t="s">
        <v>5</v>
      </c>
      <c r="D447">
        <v>213</v>
      </c>
      <c r="E447">
        <v>3568.75</v>
      </c>
    </row>
    <row r="448" spans="1:5" x14ac:dyDescent="0.25">
      <c r="A448" s="1">
        <v>45373</v>
      </c>
      <c r="B448">
        <v>1</v>
      </c>
      <c r="C448" t="s">
        <v>5</v>
      </c>
      <c r="D448">
        <v>191</v>
      </c>
      <c r="E448">
        <v>3326.65</v>
      </c>
    </row>
    <row r="449" spans="1:5" x14ac:dyDescent="0.25">
      <c r="A449" s="1">
        <v>45374</v>
      </c>
      <c r="B449">
        <v>1</v>
      </c>
      <c r="C449" t="s">
        <v>5</v>
      </c>
      <c r="D449">
        <v>265</v>
      </c>
      <c r="E449">
        <v>5013.09</v>
      </c>
    </row>
    <row r="450" spans="1:5" x14ac:dyDescent="0.25">
      <c r="A450" s="1">
        <v>45375</v>
      </c>
      <c r="B450">
        <v>1</v>
      </c>
      <c r="C450" t="s">
        <v>5</v>
      </c>
      <c r="D450">
        <v>251</v>
      </c>
      <c r="E450">
        <v>4927.83</v>
      </c>
    </row>
    <row r="451" spans="1:5" x14ac:dyDescent="0.25">
      <c r="A451" s="1">
        <v>45376</v>
      </c>
      <c r="B451">
        <v>1</v>
      </c>
      <c r="C451" t="s">
        <v>5</v>
      </c>
      <c r="D451">
        <v>216</v>
      </c>
      <c r="E451">
        <v>3942.8</v>
      </c>
    </row>
    <row r="452" spans="1:5" x14ac:dyDescent="0.25">
      <c r="A452" s="1">
        <v>45377</v>
      </c>
      <c r="B452">
        <v>1</v>
      </c>
      <c r="C452" t="s">
        <v>5</v>
      </c>
      <c r="D452">
        <v>203</v>
      </c>
      <c r="E452">
        <v>3699.64</v>
      </c>
    </row>
    <row r="453" spans="1:5" x14ac:dyDescent="0.25">
      <c r="A453" s="1">
        <v>45378</v>
      </c>
      <c r="B453">
        <v>1</v>
      </c>
      <c r="C453" t="s">
        <v>5</v>
      </c>
      <c r="D453">
        <v>191</v>
      </c>
      <c r="E453">
        <v>3409.81</v>
      </c>
    </row>
    <row r="454" spans="1:5" x14ac:dyDescent="0.25">
      <c r="A454" s="1">
        <v>45379</v>
      </c>
      <c r="B454">
        <v>1</v>
      </c>
      <c r="C454" t="s">
        <v>5</v>
      </c>
      <c r="D454">
        <v>255</v>
      </c>
      <c r="E454">
        <v>4579.25</v>
      </c>
    </row>
    <row r="455" spans="1:5" x14ac:dyDescent="0.25">
      <c r="A455" s="1">
        <v>45380</v>
      </c>
      <c r="B455">
        <v>1</v>
      </c>
      <c r="C455" t="s">
        <v>5</v>
      </c>
      <c r="D455">
        <v>216</v>
      </c>
      <c r="E455">
        <v>3801.5</v>
      </c>
    </row>
    <row r="456" spans="1:5" x14ac:dyDescent="0.25">
      <c r="A456" s="1">
        <v>45381</v>
      </c>
      <c r="B456">
        <v>1</v>
      </c>
      <c r="C456" t="s">
        <v>5</v>
      </c>
      <c r="D456">
        <v>250</v>
      </c>
      <c r="E456">
        <v>4445.63</v>
      </c>
    </row>
    <row r="457" spans="1:5" x14ac:dyDescent="0.25">
      <c r="A457" s="1">
        <v>45382</v>
      </c>
      <c r="B457">
        <v>1</v>
      </c>
      <c r="C457" t="s">
        <v>5</v>
      </c>
      <c r="D457">
        <v>253</v>
      </c>
      <c r="E457">
        <v>4767.82</v>
      </c>
    </row>
    <row r="458" spans="1:5" x14ac:dyDescent="0.25">
      <c r="A458" s="1">
        <v>45383</v>
      </c>
      <c r="B458">
        <v>1</v>
      </c>
      <c r="C458" t="s">
        <v>5</v>
      </c>
      <c r="D458">
        <v>225</v>
      </c>
      <c r="E458">
        <v>4564.8999999999996</v>
      </c>
    </row>
    <row r="459" spans="1:5" x14ac:dyDescent="0.25">
      <c r="A459" s="1">
        <v>45384</v>
      </c>
      <c r="B459">
        <v>1</v>
      </c>
      <c r="C459" t="s">
        <v>5</v>
      </c>
      <c r="D459">
        <v>200</v>
      </c>
      <c r="E459">
        <v>3513.26</v>
      </c>
    </row>
    <row r="460" spans="1:5" x14ac:dyDescent="0.25">
      <c r="A460" s="1">
        <v>45385</v>
      </c>
      <c r="B460">
        <v>1</v>
      </c>
      <c r="C460" t="s">
        <v>5</v>
      </c>
      <c r="D460">
        <v>214</v>
      </c>
      <c r="E460">
        <v>3816.97</v>
      </c>
    </row>
    <row r="461" spans="1:5" x14ac:dyDescent="0.25">
      <c r="A461" s="1">
        <v>45386</v>
      </c>
      <c r="B461">
        <v>1</v>
      </c>
      <c r="C461" t="s">
        <v>5</v>
      </c>
      <c r="D461">
        <v>217</v>
      </c>
      <c r="E461">
        <v>4257.97</v>
      </c>
    </row>
    <row r="462" spans="1:5" x14ac:dyDescent="0.25">
      <c r="A462" s="1">
        <v>45387</v>
      </c>
      <c r="B462">
        <v>1</v>
      </c>
      <c r="C462" t="s">
        <v>5</v>
      </c>
      <c r="D462">
        <v>191</v>
      </c>
      <c r="E462">
        <v>3751.93</v>
      </c>
    </row>
    <row r="463" spans="1:5" x14ac:dyDescent="0.25">
      <c r="A463" s="1">
        <v>45388</v>
      </c>
      <c r="B463">
        <v>1</v>
      </c>
      <c r="C463" t="s">
        <v>5</v>
      </c>
      <c r="D463">
        <v>269</v>
      </c>
      <c r="E463">
        <v>5231.91</v>
      </c>
    </row>
    <row r="464" spans="1:5" x14ac:dyDescent="0.25">
      <c r="A464" s="1">
        <v>45389</v>
      </c>
      <c r="B464">
        <v>1</v>
      </c>
      <c r="C464" t="s">
        <v>5</v>
      </c>
      <c r="D464">
        <v>246</v>
      </c>
      <c r="E464">
        <v>4115.08</v>
      </c>
    </row>
    <row r="465" spans="1:5" x14ac:dyDescent="0.25">
      <c r="A465" s="1">
        <v>45390</v>
      </c>
      <c r="B465">
        <v>1</v>
      </c>
      <c r="C465" t="s">
        <v>5</v>
      </c>
      <c r="D465">
        <v>188</v>
      </c>
      <c r="E465">
        <v>3195.76</v>
      </c>
    </row>
    <row r="466" spans="1:5" x14ac:dyDescent="0.25">
      <c r="A466" s="1">
        <v>45391</v>
      </c>
      <c r="B466">
        <v>1</v>
      </c>
      <c r="C466" t="s">
        <v>5</v>
      </c>
      <c r="D466">
        <v>212</v>
      </c>
      <c r="E466">
        <v>3764.52</v>
      </c>
    </row>
    <row r="467" spans="1:5" x14ac:dyDescent="0.25">
      <c r="A467" s="1">
        <v>45392</v>
      </c>
      <c r="B467">
        <v>1</v>
      </c>
      <c r="C467" t="s">
        <v>5</v>
      </c>
      <c r="D467">
        <v>252</v>
      </c>
      <c r="E467">
        <v>4507.8500000000004</v>
      </c>
    </row>
    <row r="468" spans="1:5" x14ac:dyDescent="0.25">
      <c r="A468" s="1">
        <v>45393</v>
      </c>
      <c r="B468">
        <v>1</v>
      </c>
      <c r="C468" t="s">
        <v>5</v>
      </c>
      <c r="D468">
        <v>240</v>
      </c>
      <c r="E468">
        <v>4387.66</v>
      </c>
    </row>
    <row r="469" spans="1:5" x14ac:dyDescent="0.25">
      <c r="A469" s="1">
        <v>45394</v>
      </c>
      <c r="B469">
        <v>1</v>
      </c>
      <c r="C469" t="s">
        <v>5</v>
      </c>
      <c r="D469">
        <v>214</v>
      </c>
      <c r="E469">
        <v>3971.37</v>
      </c>
    </row>
    <row r="470" spans="1:5" x14ac:dyDescent="0.25">
      <c r="A470" s="1">
        <v>45395</v>
      </c>
      <c r="B470">
        <v>1</v>
      </c>
      <c r="C470" t="s">
        <v>5</v>
      </c>
      <c r="D470">
        <v>259</v>
      </c>
      <c r="E470">
        <v>4661.9799999999996</v>
      </c>
    </row>
    <row r="471" spans="1:5" x14ac:dyDescent="0.25">
      <c r="A471" s="1">
        <v>45396</v>
      </c>
      <c r="B471">
        <v>1</v>
      </c>
      <c r="C471" t="s">
        <v>5</v>
      </c>
      <c r="D471">
        <v>278</v>
      </c>
      <c r="E471">
        <v>5202.8599999999997</v>
      </c>
    </row>
    <row r="472" spans="1:5" x14ac:dyDescent="0.25">
      <c r="A472" s="1">
        <v>45397</v>
      </c>
      <c r="B472">
        <v>1</v>
      </c>
      <c r="C472" t="s">
        <v>5</v>
      </c>
      <c r="D472">
        <v>202</v>
      </c>
      <c r="E472">
        <v>3637.99</v>
      </c>
    </row>
    <row r="473" spans="1:5" x14ac:dyDescent="0.25">
      <c r="A473" s="1">
        <v>45398</v>
      </c>
      <c r="B473">
        <v>1</v>
      </c>
      <c r="C473" t="s">
        <v>5</v>
      </c>
      <c r="D473">
        <v>201</v>
      </c>
      <c r="E473">
        <v>3402.02</v>
      </c>
    </row>
    <row r="474" spans="1:5" x14ac:dyDescent="0.25">
      <c r="A474" s="1">
        <v>45399</v>
      </c>
      <c r="B474">
        <v>1</v>
      </c>
      <c r="C474" t="s">
        <v>5</v>
      </c>
      <c r="D474">
        <v>218</v>
      </c>
      <c r="E474">
        <v>4377.6499999999996</v>
      </c>
    </row>
    <row r="475" spans="1:5" x14ac:dyDescent="0.25">
      <c r="A475" s="1">
        <v>45400</v>
      </c>
      <c r="B475">
        <v>1</v>
      </c>
      <c r="C475" t="s">
        <v>5</v>
      </c>
      <c r="D475">
        <v>215</v>
      </c>
      <c r="E475">
        <v>3839.38</v>
      </c>
    </row>
    <row r="476" spans="1:5" x14ac:dyDescent="0.25">
      <c r="A476" s="1">
        <v>45401</v>
      </c>
      <c r="B476">
        <v>1</v>
      </c>
      <c r="C476" t="s">
        <v>5</v>
      </c>
      <c r="D476">
        <v>242</v>
      </c>
      <c r="E476">
        <v>4379.63</v>
      </c>
    </row>
    <row r="477" spans="1:5" x14ac:dyDescent="0.25">
      <c r="A477" s="1">
        <v>45402</v>
      </c>
      <c r="B477">
        <v>1</v>
      </c>
      <c r="C477" t="s">
        <v>5</v>
      </c>
      <c r="D477">
        <v>274</v>
      </c>
      <c r="E477">
        <v>4815.67</v>
      </c>
    </row>
    <row r="478" spans="1:5" x14ac:dyDescent="0.25">
      <c r="A478" s="1">
        <v>45403</v>
      </c>
      <c r="B478">
        <v>1</v>
      </c>
      <c r="C478" t="s">
        <v>5</v>
      </c>
      <c r="D478">
        <v>221</v>
      </c>
      <c r="E478">
        <v>4105.72</v>
      </c>
    </row>
    <row r="479" spans="1:5" x14ac:dyDescent="0.25">
      <c r="A479" s="1">
        <v>45404</v>
      </c>
      <c r="B479">
        <v>1</v>
      </c>
      <c r="C479" t="s">
        <v>5</v>
      </c>
      <c r="D479">
        <v>230</v>
      </c>
      <c r="E479">
        <v>4285.38</v>
      </c>
    </row>
    <row r="480" spans="1:5" x14ac:dyDescent="0.25">
      <c r="A480" s="1">
        <v>45405</v>
      </c>
      <c r="B480">
        <v>1</v>
      </c>
      <c r="C480" t="s">
        <v>5</v>
      </c>
      <c r="D480">
        <v>218</v>
      </c>
      <c r="E480">
        <v>3718.47</v>
      </c>
    </row>
    <row r="481" spans="1:5" x14ac:dyDescent="0.25">
      <c r="A481" s="1">
        <v>45406</v>
      </c>
      <c r="B481">
        <v>1</v>
      </c>
      <c r="C481" t="s">
        <v>5</v>
      </c>
      <c r="D481">
        <v>225</v>
      </c>
      <c r="E481">
        <v>4047.28</v>
      </c>
    </row>
    <row r="482" spans="1:5" x14ac:dyDescent="0.25">
      <c r="A482" s="1">
        <v>45407</v>
      </c>
      <c r="B482">
        <v>1</v>
      </c>
      <c r="C482" t="s">
        <v>5</v>
      </c>
      <c r="D482">
        <v>189</v>
      </c>
      <c r="E482">
        <v>3429.78</v>
      </c>
    </row>
    <row r="483" spans="1:5" x14ac:dyDescent="0.25">
      <c r="A483" s="1">
        <v>45408</v>
      </c>
      <c r="B483">
        <v>1</v>
      </c>
      <c r="C483" t="s">
        <v>5</v>
      </c>
      <c r="D483">
        <v>243</v>
      </c>
      <c r="E483">
        <v>4654.97</v>
      </c>
    </row>
    <row r="484" spans="1:5" x14ac:dyDescent="0.25">
      <c r="A484" s="1">
        <v>45409</v>
      </c>
      <c r="B484">
        <v>1</v>
      </c>
      <c r="C484" t="s">
        <v>5</v>
      </c>
      <c r="D484">
        <v>263</v>
      </c>
      <c r="E484">
        <v>4883.3500000000004</v>
      </c>
    </row>
    <row r="485" spans="1:5" x14ac:dyDescent="0.25">
      <c r="A485" s="1">
        <v>45410</v>
      </c>
      <c r="B485">
        <v>1</v>
      </c>
      <c r="C485" t="s">
        <v>5</v>
      </c>
      <c r="D485">
        <v>241</v>
      </c>
      <c r="E485">
        <v>4684.22</v>
      </c>
    </row>
    <row r="486" spans="1:5" x14ac:dyDescent="0.25">
      <c r="A486" s="1">
        <v>45411</v>
      </c>
      <c r="B486">
        <v>1</v>
      </c>
      <c r="C486" t="s">
        <v>5</v>
      </c>
      <c r="D486">
        <v>216</v>
      </c>
      <c r="E486">
        <v>3734.49</v>
      </c>
    </row>
    <row r="487" spans="1:5" x14ac:dyDescent="0.25">
      <c r="A487" s="1">
        <v>45412</v>
      </c>
      <c r="B487">
        <v>1</v>
      </c>
      <c r="C487" t="s">
        <v>5</v>
      </c>
      <c r="D487">
        <v>217</v>
      </c>
      <c r="E487">
        <v>4726.34</v>
      </c>
    </row>
    <row r="488" spans="1:5" x14ac:dyDescent="0.25">
      <c r="A488" s="1">
        <v>45413</v>
      </c>
      <c r="B488">
        <v>1</v>
      </c>
      <c r="C488" t="s">
        <v>5</v>
      </c>
      <c r="D488">
        <v>210</v>
      </c>
      <c r="E488">
        <v>3548.94</v>
      </c>
    </row>
    <row r="489" spans="1:5" x14ac:dyDescent="0.25">
      <c r="A489" s="1">
        <v>45414</v>
      </c>
      <c r="B489">
        <v>1</v>
      </c>
      <c r="C489" t="s">
        <v>5</v>
      </c>
      <c r="D489">
        <v>237</v>
      </c>
      <c r="E489">
        <v>4241.25</v>
      </c>
    </row>
    <row r="490" spans="1:5" x14ac:dyDescent="0.25">
      <c r="A490" s="1">
        <v>45415</v>
      </c>
      <c r="B490">
        <v>1</v>
      </c>
      <c r="C490" t="s">
        <v>5</v>
      </c>
      <c r="D490">
        <v>211</v>
      </c>
      <c r="E490">
        <v>3955.3</v>
      </c>
    </row>
    <row r="491" spans="1:5" x14ac:dyDescent="0.25">
      <c r="A491" s="1">
        <v>45416</v>
      </c>
      <c r="B491">
        <v>1</v>
      </c>
      <c r="C491" t="s">
        <v>5</v>
      </c>
      <c r="D491">
        <v>286</v>
      </c>
      <c r="E491">
        <v>5151.17</v>
      </c>
    </row>
    <row r="492" spans="1:5" x14ac:dyDescent="0.25">
      <c r="A492" s="1">
        <v>45417</v>
      </c>
      <c r="B492">
        <v>1</v>
      </c>
      <c r="C492" t="s">
        <v>5</v>
      </c>
      <c r="D492">
        <v>254</v>
      </c>
      <c r="E492">
        <v>4700.21</v>
      </c>
    </row>
    <row r="493" spans="1:5" x14ac:dyDescent="0.25">
      <c r="A493" s="1">
        <v>45418</v>
      </c>
      <c r="B493">
        <v>1</v>
      </c>
      <c r="C493" t="s">
        <v>5</v>
      </c>
      <c r="D493">
        <v>216</v>
      </c>
      <c r="E493">
        <v>3961.79</v>
      </c>
    </row>
    <row r="494" spans="1:5" x14ac:dyDescent="0.25">
      <c r="A494" s="1">
        <v>45419</v>
      </c>
      <c r="B494">
        <v>1</v>
      </c>
      <c r="C494" t="s">
        <v>5</v>
      </c>
      <c r="D494">
        <v>223</v>
      </c>
      <c r="E494">
        <v>4226.7700000000004</v>
      </c>
    </row>
    <row r="495" spans="1:5" x14ac:dyDescent="0.25">
      <c r="A495" s="1">
        <v>45420</v>
      </c>
      <c r="B495">
        <v>1</v>
      </c>
      <c r="C495" t="s">
        <v>5</v>
      </c>
      <c r="D495">
        <v>184</v>
      </c>
      <c r="E495">
        <v>3494.43</v>
      </c>
    </row>
    <row r="496" spans="1:5" x14ac:dyDescent="0.25">
      <c r="A496" s="1">
        <v>45421</v>
      </c>
      <c r="B496">
        <v>1</v>
      </c>
      <c r="C496" t="s">
        <v>5</v>
      </c>
      <c r="D496">
        <v>253</v>
      </c>
      <c r="E496">
        <v>4586.0200000000004</v>
      </c>
    </row>
    <row r="497" spans="1:5" x14ac:dyDescent="0.25">
      <c r="A497" s="1">
        <v>45422</v>
      </c>
      <c r="B497">
        <v>1</v>
      </c>
      <c r="C497" t="s">
        <v>5</v>
      </c>
      <c r="D497">
        <v>231</v>
      </c>
      <c r="E497">
        <v>4106.1899999999996</v>
      </c>
    </row>
    <row r="498" spans="1:5" x14ac:dyDescent="0.25">
      <c r="A498" s="1">
        <v>45423</v>
      </c>
      <c r="B498">
        <v>1</v>
      </c>
      <c r="C498" t="s">
        <v>5</v>
      </c>
      <c r="D498">
        <v>242</v>
      </c>
      <c r="E498">
        <v>4836.22</v>
      </c>
    </row>
    <row r="499" spans="1:5" x14ac:dyDescent="0.25">
      <c r="A499" s="1">
        <v>45424</v>
      </c>
      <c r="B499">
        <v>1</v>
      </c>
      <c r="C499" t="s">
        <v>5</v>
      </c>
      <c r="D499">
        <v>264</v>
      </c>
      <c r="E499">
        <v>5077.47</v>
      </c>
    </row>
    <row r="500" spans="1:5" x14ac:dyDescent="0.25">
      <c r="A500" s="1">
        <v>45425</v>
      </c>
      <c r="B500">
        <v>1</v>
      </c>
      <c r="C500" t="s">
        <v>5</v>
      </c>
      <c r="D500">
        <v>214</v>
      </c>
      <c r="E500">
        <v>3822.8</v>
      </c>
    </row>
    <row r="501" spans="1:5" x14ac:dyDescent="0.25">
      <c r="A501" s="1">
        <v>45426</v>
      </c>
      <c r="B501">
        <v>1</v>
      </c>
      <c r="C501" t="s">
        <v>5</v>
      </c>
      <c r="D501">
        <v>289</v>
      </c>
      <c r="E501">
        <v>5467.2</v>
      </c>
    </row>
    <row r="502" spans="1:5" x14ac:dyDescent="0.25">
      <c r="A502" s="1">
        <v>45427</v>
      </c>
      <c r="B502">
        <v>1</v>
      </c>
      <c r="C502" t="s">
        <v>5</v>
      </c>
      <c r="D502">
        <v>210</v>
      </c>
      <c r="E502">
        <v>3916.2</v>
      </c>
    </row>
    <row r="503" spans="1:5" x14ac:dyDescent="0.25">
      <c r="A503" s="1">
        <v>45428</v>
      </c>
      <c r="B503">
        <v>1</v>
      </c>
      <c r="C503" t="s">
        <v>5</v>
      </c>
      <c r="D503">
        <v>231</v>
      </c>
      <c r="E503">
        <v>4483.2700000000004</v>
      </c>
    </row>
    <row r="504" spans="1:5" x14ac:dyDescent="0.25">
      <c r="A504" s="1">
        <v>45429</v>
      </c>
      <c r="B504">
        <v>1</v>
      </c>
      <c r="C504" t="s">
        <v>5</v>
      </c>
      <c r="D504">
        <v>234</v>
      </c>
      <c r="E504">
        <v>4191.45</v>
      </c>
    </row>
    <row r="505" spans="1:5" x14ac:dyDescent="0.25">
      <c r="A505" s="1">
        <v>45430</v>
      </c>
      <c r="B505">
        <v>1</v>
      </c>
      <c r="C505" t="s">
        <v>5</v>
      </c>
      <c r="D505">
        <v>279</v>
      </c>
      <c r="E505">
        <v>4998.1099999999997</v>
      </c>
    </row>
    <row r="506" spans="1:5" x14ac:dyDescent="0.25">
      <c r="A506" s="1">
        <v>45431</v>
      </c>
      <c r="B506">
        <v>1</v>
      </c>
      <c r="C506" t="s">
        <v>5</v>
      </c>
      <c r="D506">
        <v>237</v>
      </c>
      <c r="E506">
        <v>4438.13</v>
      </c>
    </row>
    <row r="507" spans="1:5" x14ac:dyDescent="0.25">
      <c r="A507" s="1">
        <v>45432</v>
      </c>
      <c r="B507">
        <v>1</v>
      </c>
      <c r="C507" t="s">
        <v>5</v>
      </c>
      <c r="D507">
        <v>218</v>
      </c>
      <c r="E507">
        <v>4313.9399999999996</v>
      </c>
    </row>
    <row r="508" spans="1:5" x14ac:dyDescent="0.25">
      <c r="A508" s="1">
        <v>45433</v>
      </c>
      <c r="B508">
        <v>1</v>
      </c>
      <c r="C508" t="s">
        <v>5</v>
      </c>
      <c r="D508">
        <v>222</v>
      </c>
      <c r="E508">
        <v>4139.6400000000003</v>
      </c>
    </row>
    <row r="509" spans="1:5" x14ac:dyDescent="0.25">
      <c r="A509" s="1">
        <v>45434</v>
      </c>
      <c r="B509">
        <v>1</v>
      </c>
      <c r="C509" t="s">
        <v>5</v>
      </c>
      <c r="D509">
        <v>196</v>
      </c>
      <c r="E509">
        <v>3662.29</v>
      </c>
    </row>
    <row r="510" spans="1:5" x14ac:dyDescent="0.25">
      <c r="A510" s="1">
        <v>45435</v>
      </c>
      <c r="B510">
        <v>1</v>
      </c>
      <c r="C510" t="s">
        <v>5</v>
      </c>
      <c r="D510">
        <v>238</v>
      </c>
      <c r="E510">
        <v>4543.3900000000003</v>
      </c>
    </row>
    <row r="511" spans="1:5" x14ac:dyDescent="0.25">
      <c r="A511" s="1">
        <v>45436</v>
      </c>
      <c r="B511">
        <v>1</v>
      </c>
      <c r="C511" t="s">
        <v>5</v>
      </c>
      <c r="D511">
        <v>271</v>
      </c>
      <c r="E511">
        <v>5123.37</v>
      </c>
    </row>
    <row r="512" spans="1:5" x14ac:dyDescent="0.25">
      <c r="A512" s="1">
        <v>45437</v>
      </c>
      <c r="B512">
        <v>1</v>
      </c>
      <c r="C512" t="s">
        <v>5</v>
      </c>
      <c r="D512">
        <v>275</v>
      </c>
      <c r="E512">
        <v>5192.29</v>
      </c>
    </row>
    <row r="513" spans="1:5" x14ac:dyDescent="0.25">
      <c r="A513" s="1">
        <v>45438</v>
      </c>
      <c r="B513">
        <v>1</v>
      </c>
      <c r="C513" t="s">
        <v>5</v>
      </c>
      <c r="D513">
        <v>255</v>
      </c>
      <c r="E513">
        <v>4506.83</v>
      </c>
    </row>
    <row r="514" spans="1:5" x14ac:dyDescent="0.25">
      <c r="A514" s="1">
        <v>45439</v>
      </c>
      <c r="B514">
        <v>1</v>
      </c>
      <c r="C514" t="s">
        <v>5</v>
      </c>
      <c r="D514">
        <v>239</v>
      </c>
      <c r="E514">
        <v>4630.47</v>
      </c>
    </row>
    <row r="515" spans="1:5" x14ac:dyDescent="0.25">
      <c r="A515" s="1">
        <v>45440</v>
      </c>
      <c r="B515">
        <v>1</v>
      </c>
      <c r="C515" t="s">
        <v>5</v>
      </c>
      <c r="D515">
        <v>214</v>
      </c>
      <c r="E515">
        <v>4091.14</v>
      </c>
    </row>
    <row r="516" spans="1:5" x14ac:dyDescent="0.25">
      <c r="A516" s="1">
        <v>45441</v>
      </c>
      <c r="B516">
        <v>1</v>
      </c>
      <c r="C516" t="s">
        <v>5</v>
      </c>
      <c r="D516">
        <v>215</v>
      </c>
      <c r="E516">
        <v>4032</v>
      </c>
    </row>
    <row r="517" spans="1:5" x14ac:dyDescent="0.25">
      <c r="A517" s="1">
        <v>45442</v>
      </c>
      <c r="B517">
        <v>1</v>
      </c>
      <c r="C517" t="s">
        <v>5</v>
      </c>
      <c r="D517">
        <v>266</v>
      </c>
      <c r="E517">
        <v>5303.56</v>
      </c>
    </row>
    <row r="518" spans="1:5" x14ac:dyDescent="0.25">
      <c r="A518" s="1">
        <v>45443</v>
      </c>
      <c r="B518">
        <v>1</v>
      </c>
      <c r="C518" t="s">
        <v>5</v>
      </c>
      <c r="D518">
        <v>261</v>
      </c>
      <c r="E518">
        <v>4692.18</v>
      </c>
    </row>
    <row r="519" spans="1:5" x14ac:dyDescent="0.25">
      <c r="A519" s="1">
        <v>45444</v>
      </c>
      <c r="B519">
        <v>1</v>
      </c>
      <c r="C519" t="s">
        <v>5</v>
      </c>
      <c r="D519">
        <v>298</v>
      </c>
      <c r="E519">
        <v>5194.2700000000004</v>
      </c>
    </row>
    <row r="520" spans="1:5" x14ac:dyDescent="0.25">
      <c r="A520" s="1">
        <v>45445</v>
      </c>
      <c r="B520">
        <v>1</v>
      </c>
      <c r="C520" t="s">
        <v>5</v>
      </c>
      <c r="D520">
        <v>258</v>
      </c>
      <c r="E520">
        <v>4965.9399999999996</v>
      </c>
    </row>
    <row r="521" spans="1:5" x14ac:dyDescent="0.25">
      <c r="A521" s="1">
        <v>45446</v>
      </c>
      <c r="B521">
        <v>1</v>
      </c>
      <c r="C521" t="s">
        <v>5</v>
      </c>
      <c r="D521">
        <v>221</v>
      </c>
      <c r="E521">
        <v>3911.18</v>
      </c>
    </row>
    <row r="522" spans="1:5" x14ac:dyDescent="0.25">
      <c r="A522" s="1">
        <v>45447</v>
      </c>
      <c r="B522">
        <v>1</v>
      </c>
      <c r="C522" t="s">
        <v>5</v>
      </c>
      <c r="D522">
        <v>332</v>
      </c>
      <c r="E522">
        <v>6321.46</v>
      </c>
    </row>
    <row r="523" spans="1:5" x14ac:dyDescent="0.25">
      <c r="A523" s="1">
        <v>45448</v>
      </c>
      <c r="B523">
        <v>1</v>
      </c>
      <c r="C523" t="s">
        <v>5</v>
      </c>
      <c r="D523">
        <v>265</v>
      </c>
      <c r="E523">
        <v>5340.92</v>
      </c>
    </row>
    <row r="524" spans="1:5" x14ac:dyDescent="0.25">
      <c r="A524" s="1">
        <v>45449</v>
      </c>
      <c r="B524">
        <v>1</v>
      </c>
      <c r="C524" t="s">
        <v>5</v>
      </c>
      <c r="D524">
        <v>283</v>
      </c>
      <c r="E524">
        <v>5525.88</v>
      </c>
    </row>
    <row r="525" spans="1:5" x14ac:dyDescent="0.25">
      <c r="A525" s="1">
        <v>45450</v>
      </c>
      <c r="B525">
        <v>1</v>
      </c>
      <c r="C525" t="s">
        <v>5</v>
      </c>
      <c r="D525">
        <v>277</v>
      </c>
      <c r="E525">
        <v>4995.17</v>
      </c>
    </row>
    <row r="526" spans="1:5" x14ac:dyDescent="0.25">
      <c r="A526" s="1">
        <v>45451</v>
      </c>
      <c r="B526">
        <v>1</v>
      </c>
      <c r="C526" t="s">
        <v>5</v>
      </c>
      <c r="D526">
        <v>301</v>
      </c>
      <c r="E526">
        <v>5705.51</v>
      </c>
    </row>
    <row r="527" spans="1:5" x14ac:dyDescent="0.25">
      <c r="A527" s="1">
        <v>45452</v>
      </c>
      <c r="B527">
        <v>1</v>
      </c>
      <c r="C527" t="s">
        <v>5</v>
      </c>
      <c r="D527">
        <v>291</v>
      </c>
      <c r="E527">
        <v>5360.61</v>
      </c>
    </row>
    <row r="528" spans="1:5" x14ac:dyDescent="0.25">
      <c r="A528" s="1">
        <v>45453</v>
      </c>
      <c r="B528">
        <v>1</v>
      </c>
      <c r="C528" t="s">
        <v>5</v>
      </c>
      <c r="D528">
        <v>268</v>
      </c>
      <c r="E528">
        <v>5228.3599999999997</v>
      </c>
    </row>
    <row r="529" spans="1:5" x14ac:dyDescent="0.25">
      <c r="A529" s="1">
        <v>45454</v>
      </c>
      <c r="B529">
        <v>1</v>
      </c>
      <c r="C529" t="s">
        <v>5</v>
      </c>
      <c r="D529">
        <v>269</v>
      </c>
      <c r="E529">
        <v>5195.5600000000004</v>
      </c>
    </row>
    <row r="530" spans="1:5" x14ac:dyDescent="0.25">
      <c r="A530" s="1">
        <v>45455</v>
      </c>
      <c r="B530">
        <v>1</v>
      </c>
      <c r="C530" t="s">
        <v>5</v>
      </c>
      <c r="D530">
        <v>268</v>
      </c>
      <c r="E530">
        <v>5251.89</v>
      </c>
    </row>
    <row r="531" spans="1:5" x14ac:dyDescent="0.25">
      <c r="A531" s="1">
        <v>45456</v>
      </c>
      <c r="B531">
        <v>1</v>
      </c>
      <c r="C531" t="s">
        <v>5</v>
      </c>
      <c r="D531">
        <v>256</v>
      </c>
      <c r="E531">
        <v>4844.33</v>
      </c>
    </row>
    <row r="532" spans="1:5" x14ac:dyDescent="0.25">
      <c r="A532" s="1">
        <v>45457</v>
      </c>
      <c r="B532">
        <v>1</v>
      </c>
      <c r="C532" t="s">
        <v>5</v>
      </c>
      <c r="D532">
        <v>268</v>
      </c>
      <c r="E532">
        <v>4592.53</v>
      </c>
    </row>
    <row r="533" spans="1:5" x14ac:dyDescent="0.25">
      <c r="A533" s="1">
        <v>45458</v>
      </c>
      <c r="B533">
        <v>1</v>
      </c>
      <c r="C533" t="s">
        <v>5</v>
      </c>
      <c r="D533">
        <v>318</v>
      </c>
      <c r="E533">
        <v>6244.82</v>
      </c>
    </row>
    <row r="534" spans="1:5" x14ac:dyDescent="0.25">
      <c r="A534" s="1">
        <v>45459</v>
      </c>
      <c r="B534">
        <v>1</v>
      </c>
      <c r="C534" t="s">
        <v>5</v>
      </c>
      <c r="D534">
        <v>320</v>
      </c>
      <c r="E534">
        <v>5818.09</v>
      </c>
    </row>
    <row r="535" spans="1:5" x14ac:dyDescent="0.25">
      <c r="A535" s="1">
        <v>45460</v>
      </c>
      <c r="B535">
        <v>1</v>
      </c>
      <c r="C535" t="s">
        <v>5</v>
      </c>
      <c r="D535">
        <v>287</v>
      </c>
      <c r="E535">
        <v>5733.53</v>
      </c>
    </row>
    <row r="536" spans="1:5" x14ac:dyDescent="0.25">
      <c r="A536" s="1">
        <v>45461</v>
      </c>
      <c r="B536">
        <v>1</v>
      </c>
      <c r="C536" t="s">
        <v>5</v>
      </c>
      <c r="D536">
        <v>310</v>
      </c>
      <c r="E536">
        <v>5748.62</v>
      </c>
    </row>
    <row r="537" spans="1:5" x14ac:dyDescent="0.25">
      <c r="A537" s="1">
        <v>45462</v>
      </c>
      <c r="B537">
        <v>1</v>
      </c>
      <c r="C537" t="s">
        <v>5</v>
      </c>
      <c r="D537">
        <v>282</v>
      </c>
      <c r="E537">
        <v>5326.67</v>
      </c>
    </row>
    <row r="538" spans="1:5" x14ac:dyDescent="0.25">
      <c r="A538" s="1">
        <v>45463</v>
      </c>
      <c r="B538">
        <v>1</v>
      </c>
      <c r="C538" t="s">
        <v>5</v>
      </c>
      <c r="D538">
        <v>268</v>
      </c>
      <c r="E538">
        <v>5171.75</v>
      </c>
    </row>
    <row r="539" spans="1:5" x14ac:dyDescent="0.25">
      <c r="A539" s="1">
        <v>45464</v>
      </c>
      <c r="B539">
        <v>1</v>
      </c>
      <c r="C539" t="s">
        <v>5</v>
      </c>
      <c r="D539">
        <v>275</v>
      </c>
      <c r="E539">
        <v>4985.4799999999996</v>
      </c>
    </row>
    <row r="540" spans="1:5" x14ac:dyDescent="0.25">
      <c r="A540" s="1">
        <v>45465</v>
      </c>
      <c r="B540">
        <v>1</v>
      </c>
      <c r="C540" t="s">
        <v>5</v>
      </c>
      <c r="D540">
        <v>344</v>
      </c>
      <c r="E540">
        <v>6075.61</v>
      </c>
    </row>
    <row r="541" spans="1:5" x14ac:dyDescent="0.25">
      <c r="A541" s="1">
        <v>45466</v>
      </c>
      <c r="B541">
        <v>1</v>
      </c>
      <c r="C541" t="s">
        <v>5</v>
      </c>
      <c r="D541">
        <v>313</v>
      </c>
      <c r="E541">
        <v>5917.31</v>
      </c>
    </row>
    <row r="542" spans="1:5" x14ac:dyDescent="0.25">
      <c r="A542" s="1">
        <v>45467</v>
      </c>
      <c r="B542">
        <v>1</v>
      </c>
      <c r="C542" t="s">
        <v>5</v>
      </c>
      <c r="D542">
        <v>303</v>
      </c>
      <c r="E542">
        <v>5513.55</v>
      </c>
    </row>
    <row r="543" spans="1:5" x14ac:dyDescent="0.25">
      <c r="A543" s="1">
        <v>45468</v>
      </c>
      <c r="B543">
        <v>1</v>
      </c>
      <c r="C543" t="s">
        <v>5</v>
      </c>
      <c r="D543">
        <v>254</v>
      </c>
      <c r="E543">
        <v>5108.9799999999996</v>
      </c>
    </row>
    <row r="544" spans="1:5" x14ac:dyDescent="0.25">
      <c r="A544" s="1">
        <v>45469</v>
      </c>
      <c r="B544">
        <v>1</v>
      </c>
      <c r="C544" t="s">
        <v>5</v>
      </c>
      <c r="D544">
        <v>262</v>
      </c>
      <c r="E544">
        <v>4681.5200000000004</v>
      </c>
    </row>
    <row r="545" spans="1:5" x14ac:dyDescent="0.25">
      <c r="A545" s="1">
        <v>45470</v>
      </c>
      <c r="B545">
        <v>1</v>
      </c>
      <c r="C545" t="s">
        <v>5</v>
      </c>
      <c r="D545">
        <v>282</v>
      </c>
      <c r="E545">
        <v>5461.64</v>
      </c>
    </row>
    <row r="546" spans="1:5" x14ac:dyDescent="0.25">
      <c r="A546" s="1">
        <v>45471</v>
      </c>
      <c r="B546">
        <v>1</v>
      </c>
      <c r="C546" t="s">
        <v>5</v>
      </c>
      <c r="D546">
        <v>326</v>
      </c>
      <c r="E546">
        <v>6397.23</v>
      </c>
    </row>
    <row r="547" spans="1:5" x14ac:dyDescent="0.25">
      <c r="A547" s="1">
        <v>45472</v>
      </c>
      <c r="B547">
        <v>1</v>
      </c>
      <c r="C547" t="s">
        <v>5</v>
      </c>
      <c r="D547">
        <v>340</v>
      </c>
      <c r="E547">
        <v>6599.95</v>
      </c>
    </row>
    <row r="548" spans="1:5" x14ac:dyDescent="0.25">
      <c r="A548" s="1">
        <v>45473</v>
      </c>
      <c r="B548">
        <v>1</v>
      </c>
      <c r="C548" t="s">
        <v>5</v>
      </c>
      <c r="D548">
        <v>318</v>
      </c>
      <c r="E548">
        <v>6301.95</v>
      </c>
    </row>
    <row r="549" spans="1:5" x14ac:dyDescent="0.25">
      <c r="A549" s="1">
        <v>45474</v>
      </c>
      <c r="B549">
        <v>1</v>
      </c>
      <c r="C549" t="s">
        <v>5</v>
      </c>
      <c r="D549">
        <v>303</v>
      </c>
      <c r="E549">
        <v>6201.96</v>
      </c>
    </row>
    <row r="550" spans="1:5" x14ac:dyDescent="0.25">
      <c r="A550" s="1">
        <v>45475</v>
      </c>
      <c r="B550">
        <v>1</v>
      </c>
      <c r="C550" t="s">
        <v>5</v>
      </c>
      <c r="D550">
        <v>320</v>
      </c>
      <c r="E550">
        <v>6285.52</v>
      </c>
    </row>
    <row r="551" spans="1:5" x14ac:dyDescent="0.25">
      <c r="A551" s="1">
        <v>45476</v>
      </c>
      <c r="B551">
        <v>1</v>
      </c>
      <c r="C551" t="s">
        <v>5</v>
      </c>
      <c r="D551">
        <v>313</v>
      </c>
      <c r="E551">
        <v>6099.25</v>
      </c>
    </row>
    <row r="552" spans="1:5" x14ac:dyDescent="0.25">
      <c r="A552" s="1">
        <v>45477</v>
      </c>
      <c r="B552">
        <v>1</v>
      </c>
      <c r="C552" t="s">
        <v>5</v>
      </c>
      <c r="D552">
        <v>303</v>
      </c>
      <c r="E552">
        <v>5417.02</v>
      </c>
    </row>
    <row r="553" spans="1:5" x14ac:dyDescent="0.25">
      <c r="A553" s="1">
        <v>45478</v>
      </c>
      <c r="B553">
        <v>1</v>
      </c>
      <c r="C553" t="s">
        <v>5</v>
      </c>
      <c r="D553">
        <v>279</v>
      </c>
      <c r="E553">
        <v>5305.52</v>
      </c>
    </row>
    <row r="554" spans="1:5" x14ac:dyDescent="0.25">
      <c r="A554" s="1">
        <v>45479</v>
      </c>
      <c r="B554">
        <v>1</v>
      </c>
      <c r="C554" t="s">
        <v>5</v>
      </c>
      <c r="D554">
        <v>349</v>
      </c>
      <c r="E554">
        <v>6673.21</v>
      </c>
    </row>
    <row r="555" spans="1:5" x14ac:dyDescent="0.25">
      <c r="A555" s="1">
        <v>45480</v>
      </c>
      <c r="B555">
        <v>1</v>
      </c>
      <c r="C555" t="s">
        <v>5</v>
      </c>
      <c r="D555">
        <v>361</v>
      </c>
      <c r="E555">
        <v>6399.43</v>
      </c>
    </row>
    <row r="556" spans="1:5" x14ac:dyDescent="0.25">
      <c r="A556" s="1">
        <v>45481</v>
      </c>
      <c r="B556">
        <v>1</v>
      </c>
      <c r="C556" t="s">
        <v>5</v>
      </c>
      <c r="D556">
        <v>313</v>
      </c>
      <c r="E556">
        <v>5741.33</v>
      </c>
    </row>
    <row r="557" spans="1:5" x14ac:dyDescent="0.25">
      <c r="A557" s="1">
        <v>45482</v>
      </c>
      <c r="B557">
        <v>1</v>
      </c>
      <c r="C557" t="s">
        <v>5</v>
      </c>
      <c r="D557">
        <v>305</v>
      </c>
      <c r="E557">
        <v>5571.21</v>
      </c>
    </row>
    <row r="558" spans="1:5" x14ac:dyDescent="0.25">
      <c r="A558" s="1">
        <v>45483</v>
      </c>
      <c r="B558">
        <v>1</v>
      </c>
      <c r="C558" t="s">
        <v>5</v>
      </c>
      <c r="D558">
        <v>288</v>
      </c>
      <c r="E558">
        <v>5281.32</v>
      </c>
    </row>
    <row r="559" spans="1:5" x14ac:dyDescent="0.25">
      <c r="A559" s="1">
        <v>45484</v>
      </c>
      <c r="B559">
        <v>1</v>
      </c>
      <c r="C559" t="s">
        <v>5</v>
      </c>
      <c r="D559">
        <v>275</v>
      </c>
      <c r="E559">
        <v>5308.75</v>
      </c>
    </row>
    <row r="560" spans="1:5" x14ac:dyDescent="0.25">
      <c r="A560" s="1">
        <v>45485</v>
      </c>
      <c r="B560">
        <v>1</v>
      </c>
      <c r="C560" t="s">
        <v>5</v>
      </c>
      <c r="D560">
        <v>271</v>
      </c>
      <c r="E560">
        <v>5454.6</v>
      </c>
    </row>
    <row r="561" spans="1:5" x14ac:dyDescent="0.25">
      <c r="A561" s="1">
        <v>45486</v>
      </c>
      <c r="B561">
        <v>1</v>
      </c>
      <c r="C561" t="s">
        <v>5</v>
      </c>
      <c r="D561">
        <v>352</v>
      </c>
      <c r="E561">
        <v>6991.66</v>
      </c>
    </row>
    <row r="562" spans="1:5" x14ac:dyDescent="0.25">
      <c r="A562" s="1">
        <v>45487</v>
      </c>
      <c r="B562">
        <v>1</v>
      </c>
      <c r="C562" t="s">
        <v>5</v>
      </c>
      <c r="D562">
        <v>343</v>
      </c>
      <c r="E562">
        <v>6507.52</v>
      </c>
    </row>
    <row r="563" spans="1:5" x14ac:dyDescent="0.25">
      <c r="A563" s="1">
        <v>45488</v>
      </c>
      <c r="B563">
        <v>1</v>
      </c>
      <c r="C563" t="s">
        <v>5</v>
      </c>
      <c r="D563">
        <v>311</v>
      </c>
      <c r="E563">
        <v>5827.85</v>
      </c>
    </row>
    <row r="564" spans="1:5" x14ac:dyDescent="0.25">
      <c r="A564" s="1">
        <v>45489</v>
      </c>
      <c r="B564">
        <v>1</v>
      </c>
      <c r="C564" t="s">
        <v>5</v>
      </c>
      <c r="D564">
        <v>348</v>
      </c>
      <c r="E564">
        <v>6290.64</v>
      </c>
    </row>
    <row r="565" spans="1:5" x14ac:dyDescent="0.25">
      <c r="A565" s="1">
        <v>45490</v>
      </c>
      <c r="B565">
        <v>1</v>
      </c>
      <c r="C565" t="s">
        <v>5</v>
      </c>
      <c r="D565">
        <v>310</v>
      </c>
      <c r="E565">
        <v>5660.66</v>
      </c>
    </row>
    <row r="566" spans="1:5" x14ac:dyDescent="0.25">
      <c r="A566" s="1">
        <v>45491</v>
      </c>
      <c r="B566">
        <v>1</v>
      </c>
      <c r="C566" t="s">
        <v>5</v>
      </c>
      <c r="D566">
        <v>307</v>
      </c>
      <c r="E566">
        <v>5587.65</v>
      </c>
    </row>
    <row r="567" spans="1:5" x14ac:dyDescent="0.25">
      <c r="A567" s="1">
        <v>45492</v>
      </c>
      <c r="B567">
        <v>1</v>
      </c>
      <c r="C567" t="s">
        <v>5</v>
      </c>
      <c r="D567">
        <v>306</v>
      </c>
      <c r="E567">
        <v>5426.66</v>
      </c>
    </row>
    <row r="568" spans="1:5" x14ac:dyDescent="0.25">
      <c r="A568" s="1">
        <v>45493</v>
      </c>
      <c r="B568">
        <v>1</v>
      </c>
      <c r="C568" t="s">
        <v>5</v>
      </c>
      <c r="D568">
        <v>372</v>
      </c>
      <c r="E568">
        <v>7397.45</v>
      </c>
    </row>
    <row r="569" spans="1:5" x14ac:dyDescent="0.25">
      <c r="A569" s="1">
        <v>45494</v>
      </c>
      <c r="B569">
        <v>1</v>
      </c>
      <c r="C569" t="s">
        <v>5</v>
      </c>
      <c r="D569">
        <v>369</v>
      </c>
      <c r="E569">
        <v>7295.81</v>
      </c>
    </row>
    <row r="570" spans="1:5" x14ac:dyDescent="0.25">
      <c r="A570" s="1">
        <v>45495</v>
      </c>
      <c r="B570">
        <v>1</v>
      </c>
      <c r="C570" t="s">
        <v>5</v>
      </c>
      <c r="D570">
        <v>357</v>
      </c>
      <c r="E570">
        <v>7358</v>
      </c>
    </row>
    <row r="571" spans="1:5" x14ac:dyDescent="0.25">
      <c r="A571" s="1">
        <v>45496</v>
      </c>
      <c r="B571">
        <v>1</v>
      </c>
      <c r="C571" t="s">
        <v>5</v>
      </c>
      <c r="D571">
        <v>280</v>
      </c>
      <c r="E571">
        <v>5232.58</v>
      </c>
    </row>
    <row r="572" spans="1:5" x14ac:dyDescent="0.25">
      <c r="A572" s="1">
        <v>45497</v>
      </c>
      <c r="B572">
        <v>1</v>
      </c>
      <c r="C572" t="s">
        <v>5</v>
      </c>
      <c r="D572">
        <v>317</v>
      </c>
      <c r="E572">
        <v>6006.69</v>
      </c>
    </row>
    <row r="573" spans="1:5" x14ac:dyDescent="0.25">
      <c r="A573" s="1">
        <v>45498</v>
      </c>
      <c r="B573">
        <v>1</v>
      </c>
      <c r="C573" t="s">
        <v>5</v>
      </c>
      <c r="D573">
        <v>358</v>
      </c>
      <c r="E573">
        <v>6635.22</v>
      </c>
    </row>
    <row r="574" spans="1:5" x14ac:dyDescent="0.25">
      <c r="A574" s="1">
        <v>45499</v>
      </c>
      <c r="B574">
        <v>1</v>
      </c>
      <c r="C574" t="s">
        <v>5</v>
      </c>
      <c r="D574">
        <v>275</v>
      </c>
      <c r="E574">
        <v>5150.37</v>
      </c>
    </row>
    <row r="575" spans="1:5" x14ac:dyDescent="0.25">
      <c r="A575" s="1">
        <v>45500</v>
      </c>
      <c r="B575">
        <v>1</v>
      </c>
      <c r="C575" t="s">
        <v>5</v>
      </c>
      <c r="D575">
        <v>340</v>
      </c>
      <c r="E575">
        <v>6573.36</v>
      </c>
    </row>
    <row r="576" spans="1:5" x14ac:dyDescent="0.25">
      <c r="A576" s="1">
        <v>45501</v>
      </c>
      <c r="B576">
        <v>1</v>
      </c>
      <c r="C576" t="s">
        <v>5</v>
      </c>
      <c r="D576">
        <v>371</v>
      </c>
      <c r="E576">
        <v>6871.68</v>
      </c>
    </row>
    <row r="577" spans="1:5" x14ac:dyDescent="0.25">
      <c r="A577" s="1">
        <v>45502</v>
      </c>
      <c r="B577">
        <v>1</v>
      </c>
      <c r="C577" t="s">
        <v>5</v>
      </c>
      <c r="D577">
        <v>319</v>
      </c>
      <c r="E577">
        <v>5743.35</v>
      </c>
    </row>
    <row r="578" spans="1:5" x14ac:dyDescent="0.25">
      <c r="A578" s="1">
        <v>45503</v>
      </c>
      <c r="B578">
        <v>1</v>
      </c>
      <c r="C578" t="s">
        <v>5</v>
      </c>
      <c r="D578">
        <v>311</v>
      </c>
      <c r="E578">
        <v>5960.65</v>
      </c>
    </row>
    <row r="579" spans="1:5" x14ac:dyDescent="0.25">
      <c r="A579" s="1">
        <v>45504</v>
      </c>
      <c r="B579">
        <v>1</v>
      </c>
      <c r="C579" t="s">
        <v>5</v>
      </c>
      <c r="D579">
        <v>364</v>
      </c>
      <c r="E579">
        <v>6902.19</v>
      </c>
    </row>
    <row r="580" spans="1:5" x14ac:dyDescent="0.25">
      <c r="A580" s="1">
        <v>45505</v>
      </c>
      <c r="B580">
        <v>1</v>
      </c>
      <c r="C580" t="s">
        <v>5</v>
      </c>
      <c r="D580">
        <v>349</v>
      </c>
      <c r="E580">
        <v>5961.63</v>
      </c>
    </row>
    <row r="581" spans="1:5" x14ac:dyDescent="0.25">
      <c r="A581" s="1">
        <v>45506</v>
      </c>
      <c r="B581">
        <v>1</v>
      </c>
      <c r="C581" t="s">
        <v>5</v>
      </c>
      <c r="D581">
        <v>332</v>
      </c>
      <c r="E581">
        <v>6166.96</v>
      </c>
    </row>
    <row r="582" spans="1:5" x14ac:dyDescent="0.25">
      <c r="A582" s="1">
        <v>45507</v>
      </c>
      <c r="B582">
        <v>1</v>
      </c>
      <c r="C582" t="s">
        <v>5</v>
      </c>
      <c r="D582">
        <v>376</v>
      </c>
      <c r="E582">
        <v>7676.62</v>
      </c>
    </row>
    <row r="583" spans="1:5" x14ac:dyDescent="0.25">
      <c r="A583" s="1">
        <v>45508</v>
      </c>
      <c r="B583">
        <v>1</v>
      </c>
      <c r="C583" t="s">
        <v>5</v>
      </c>
      <c r="D583">
        <v>364</v>
      </c>
      <c r="E583">
        <v>6371.21</v>
      </c>
    </row>
    <row r="584" spans="1:5" x14ac:dyDescent="0.25">
      <c r="A584" s="1">
        <v>45509</v>
      </c>
      <c r="B584">
        <v>1</v>
      </c>
      <c r="C584" t="s">
        <v>5</v>
      </c>
      <c r="D584">
        <v>333</v>
      </c>
      <c r="E584">
        <v>6033.42</v>
      </c>
    </row>
    <row r="585" spans="1:5" x14ac:dyDescent="0.25">
      <c r="A585" s="1">
        <v>45510</v>
      </c>
      <c r="B585">
        <v>1</v>
      </c>
      <c r="C585" t="s">
        <v>5</v>
      </c>
      <c r="D585">
        <v>371</v>
      </c>
      <c r="E585">
        <v>6547</v>
      </c>
    </row>
    <row r="586" spans="1:5" x14ac:dyDescent="0.25">
      <c r="A586" s="1">
        <v>45511</v>
      </c>
      <c r="B586">
        <v>1</v>
      </c>
      <c r="C586" t="s">
        <v>5</v>
      </c>
      <c r="D586">
        <v>348</v>
      </c>
      <c r="E586">
        <v>6398.43</v>
      </c>
    </row>
    <row r="587" spans="1:5" x14ac:dyDescent="0.25">
      <c r="A587" s="1">
        <v>45512</v>
      </c>
      <c r="B587">
        <v>1</v>
      </c>
      <c r="C587" t="s">
        <v>5</v>
      </c>
      <c r="D587">
        <v>376</v>
      </c>
      <c r="E587">
        <v>7432.6</v>
      </c>
    </row>
    <row r="588" spans="1:5" x14ac:dyDescent="0.25">
      <c r="A588" s="1">
        <v>45513</v>
      </c>
      <c r="B588">
        <v>1</v>
      </c>
      <c r="C588" t="s">
        <v>5</v>
      </c>
      <c r="D588">
        <v>295</v>
      </c>
      <c r="E588">
        <v>5635.69</v>
      </c>
    </row>
    <row r="589" spans="1:5" x14ac:dyDescent="0.25">
      <c r="A589" s="1">
        <v>45514</v>
      </c>
      <c r="B589">
        <v>1</v>
      </c>
      <c r="C589" t="s">
        <v>5</v>
      </c>
      <c r="D589">
        <v>386</v>
      </c>
      <c r="E589">
        <v>6999.46</v>
      </c>
    </row>
    <row r="590" spans="1:5" x14ac:dyDescent="0.25">
      <c r="A590" s="1">
        <v>45515</v>
      </c>
      <c r="B590">
        <v>1</v>
      </c>
      <c r="C590" t="s">
        <v>5</v>
      </c>
      <c r="D590">
        <v>402</v>
      </c>
      <c r="E590">
        <v>7651.68</v>
      </c>
    </row>
    <row r="591" spans="1:5" x14ac:dyDescent="0.25">
      <c r="A591" s="1">
        <v>45516</v>
      </c>
      <c r="B591">
        <v>1</v>
      </c>
      <c r="C591" t="s">
        <v>5</v>
      </c>
      <c r="D591">
        <v>309</v>
      </c>
      <c r="E591">
        <v>5261.23</v>
      </c>
    </row>
    <row r="592" spans="1:5" x14ac:dyDescent="0.25">
      <c r="A592" s="1">
        <v>45517</v>
      </c>
      <c r="B592">
        <v>1</v>
      </c>
      <c r="C592" t="s">
        <v>5</v>
      </c>
      <c r="D592">
        <v>369</v>
      </c>
      <c r="E592">
        <v>6822.26</v>
      </c>
    </row>
    <row r="593" spans="1:5" x14ac:dyDescent="0.25">
      <c r="A593" s="1">
        <v>45518</v>
      </c>
      <c r="B593">
        <v>1</v>
      </c>
      <c r="C593" t="s">
        <v>5</v>
      </c>
      <c r="D593">
        <v>303</v>
      </c>
      <c r="E593">
        <v>5950.3</v>
      </c>
    </row>
    <row r="594" spans="1:5" x14ac:dyDescent="0.25">
      <c r="A594" s="1">
        <v>45519</v>
      </c>
      <c r="B594">
        <v>1</v>
      </c>
      <c r="C594" t="s">
        <v>5</v>
      </c>
      <c r="D594">
        <v>331</v>
      </c>
      <c r="E594">
        <v>6148.9</v>
      </c>
    </row>
    <row r="595" spans="1:5" x14ac:dyDescent="0.25">
      <c r="A595" s="1">
        <v>45520</v>
      </c>
      <c r="B595">
        <v>1</v>
      </c>
      <c r="C595" t="s">
        <v>5</v>
      </c>
      <c r="D595">
        <v>307</v>
      </c>
      <c r="E595">
        <v>5466.52</v>
      </c>
    </row>
    <row r="596" spans="1:5" x14ac:dyDescent="0.25">
      <c r="A596" s="1">
        <v>45521</v>
      </c>
      <c r="B596">
        <v>1</v>
      </c>
      <c r="C596" t="s">
        <v>5</v>
      </c>
      <c r="D596">
        <v>341</v>
      </c>
      <c r="E596">
        <v>6251.05</v>
      </c>
    </row>
    <row r="597" spans="1:5" x14ac:dyDescent="0.25">
      <c r="A597" s="1">
        <v>45522</v>
      </c>
      <c r="B597">
        <v>1</v>
      </c>
      <c r="C597" t="s">
        <v>5</v>
      </c>
      <c r="D597">
        <v>360</v>
      </c>
      <c r="E597">
        <v>6783.2</v>
      </c>
    </row>
    <row r="598" spans="1:5" x14ac:dyDescent="0.25">
      <c r="A598" s="1">
        <v>45523</v>
      </c>
      <c r="B598">
        <v>1</v>
      </c>
      <c r="C598" t="s">
        <v>5</v>
      </c>
      <c r="D598">
        <v>317</v>
      </c>
      <c r="E598">
        <v>5864.66</v>
      </c>
    </row>
    <row r="599" spans="1:5" x14ac:dyDescent="0.25">
      <c r="A599" s="1">
        <v>45524</v>
      </c>
      <c r="B599">
        <v>1</v>
      </c>
      <c r="C599" t="s">
        <v>5</v>
      </c>
      <c r="D599">
        <v>327</v>
      </c>
      <c r="E599">
        <v>6396.56</v>
      </c>
    </row>
    <row r="600" spans="1:5" x14ac:dyDescent="0.25">
      <c r="A600" s="1">
        <v>45525</v>
      </c>
      <c r="B600">
        <v>1</v>
      </c>
      <c r="C600" t="s">
        <v>5</v>
      </c>
      <c r="D600">
        <v>369</v>
      </c>
      <c r="E600">
        <v>6414.02</v>
      </c>
    </row>
    <row r="601" spans="1:5" x14ac:dyDescent="0.25">
      <c r="A601" s="1">
        <v>45526</v>
      </c>
      <c r="B601">
        <v>1</v>
      </c>
      <c r="C601" t="s">
        <v>5</v>
      </c>
      <c r="D601">
        <v>351</v>
      </c>
      <c r="E601">
        <v>6369.88</v>
      </c>
    </row>
    <row r="602" spans="1:5" x14ac:dyDescent="0.25">
      <c r="A602" s="1">
        <v>45527</v>
      </c>
      <c r="B602">
        <v>1</v>
      </c>
      <c r="C602" t="s">
        <v>5</v>
      </c>
      <c r="D602">
        <v>319</v>
      </c>
      <c r="E602">
        <v>5941.05</v>
      </c>
    </row>
    <row r="603" spans="1:5" x14ac:dyDescent="0.25">
      <c r="A603" s="1">
        <v>45528</v>
      </c>
      <c r="B603">
        <v>1</v>
      </c>
      <c r="C603" t="s">
        <v>5</v>
      </c>
      <c r="D603">
        <v>372</v>
      </c>
      <c r="E603">
        <v>6173.9</v>
      </c>
    </row>
    <row r="604" spans="1:5" x14ac:dyDescent="0.25">
      <c r="A604" s="1">
        <v>45529</v>
      </c>
      <c r="B604">
        <v>1</v>
      </c>
      <c r="C604" t="s">
        <v>5</v>
      </c>
      <c r="D604">
        <v>343</v>
      </c>
      <c r="E604">
        <v>6477.37</v>
      </c>
    </row>
    <row r="605" spans="1:5" x14ac:dyDescent="0.25">
      <c r="A605" s="1">
        <v>45530</v>
      </c>
      <c r="B605">
        <v>1</v>
      </c>
      <c r="C605" t="s">
        <v>5</v>
      </c>
      <c r="D605">
        <v>330</v>
      </c>
      <c r="E605">
        <v>5947.82</v>
      </c>
    </row>
    <row r="606" spans="1:5" x14ac:dyDescent="0.25">
      <c r="A606" s="1">
        <v>45531</v>
      </c>
      <c r="B606">
        <v>1</v>
      </c>
      <c r="C606" t="s">
        <v>5</v>
      </c>
      <c r="D606">
        <v>312</v>
      </c>
      <c r="E606">
        <v>5772.77</v>
      </c>
    </row>
    <row r="607" spans="1:5" x14ac:dyDescent="0.25">
      <c r="A607" s="1">
        <v>45532</v>
      </c>
      <c r="B607">
        <v>1</v>
      </c>
      <c r="C607" t="s">
        <v>5</v>
      </c>
      <c r="D607">
        <v>327</v>
      </c>
      <c r="E607">
        <v>5913.02</v>
      </c>
    </row>
    <row r="608" spans="1:5" x14ac:dyDescent="0.25">
      <c r="A608" s="1">
        <v>45533</v>
      </c>
      <c r="B608">
        <v>1</v>
      </c>
      <c r="C608" t="s">
        <v>5</v>
      </c>
      <c r="D608">
        <v>287</v>
      </c>
      <c r="E608">
        <v>5253.9</v>
      </c>
    </row>
    <row r="609" spans="1:5" x14ac:dyDescent="0.25">
      <c r="A609" s="1">
        <v>45534</v>
      </c>
      <c r="B609">
        <v>1</v>
      </c>
      <c r="C609" t="s">
        <v>5</v>
      </c>
      <c r="D609">
        <v>338</v>
      </c>
      <c r="E609">
        <v>6415.58</v>
      </c>
    </row>
    <row r="610" spans="1:5" x14ac:dyDescent="0.25">
      <c r="A610" s="1">
        <v>45535</v>
      </c>
      <c r="B610">
        <v>1</v>
      </c>
      <c r="C610" t="s">
        <v>5</v>
      </c>
      <c r="D610">
        <v>350</v>
      </c>
      <c r="E610">
        <v>6746.09</v>
      </c>
    </row>
    <row r="611" spans="1:5" x14ac:dyDescent="0.25">
      <c r="A611" s="1">
        <v>45536</v>
      </c>
      <c r="B611">
        <v>1</v>
      </c>
      <c r="C611" t="s">
        <v>5</v>
      </c>
      <c r="D611">
        <v>368</v>
      </c>
      <c r="E611">
        <v>6819.28</v>
      </c>
    </row>
    <row r="612" spans="1:5" x14ac:dyDescent="0.25">
      <c r="A612" s="1">
        <v>45537</v>
      </c>
      <c r="B612">
        <v>1</v>
      </c>
      <c r="C612" t="s">
        <v>5</v>
      </c>
      <c r="D612">
        <v>335</v>
      </c>
      <c r="E612">
        <v>6180.78</v>
      </c>
    </row>
    <row r="613" spans="1:5" x14ac:dyDescent="0.25">
      <c r="A613" s="1">
        <v>45538</v>
      </c>
      <c r="B613">
        <v>1</v>
      </c>
      <c r="C613" t="s">
        <v>5</v>
      </c>
      <c r="D613">
        <v>309</v>
      </c>
      <c r="E613">
        <v>5941.64</v>
      </c>
    </row>
    <row r="614" spans="1:5" x14ac:dyDescent="0.25">
      <c r="A614" s="1">
        <v>45539</v>
      </c>
      <c r="B614">
        <v>1</v>
      </c>
      <c r="C614" t="s">
        <v>5</v>
      </c>
      <c r="D614">
        <v>265</v>
      </c>
      <c r="E614">
        <v>4981.25</v>
      </c>
    </row>
    <row r="615" spans="1:5" x14ac:dyDescent="0.25">
      <c r="A615" s="1">
        <v>45540</v>
      </c>
      <c r="B615">
        <v>1</v>
      </c>
      <c r="C615" t="s">
        <v>5</v>
      </c>
      <c r="D615">
        <v>224</v>
      </c>
      <c r="E615">
        <v>4667.37</v>
      </c>
    </row>
    <row r="616" spans="1:5" x14ac:dyDescent="0.25">
      <c r="A616" s="1">
        <v>45541</v>
      </c>
      <c r="B616">
        <v>1</v>
      </c>
      <c r="C616" t="s">
        <v>5</v>
      </c>
      <c r="D616">
        <v>298</v>
      </c>
      <c r="E616">
        <v>5925</v>
      </c>
    </row>
    <row r="617" spans="1:5" x14ac:dyDescent="0.25">
      <c r="A617" s="1">
        <v>45542</v>
      </c>
      <c r="B617">
        <v>1</v>
      </c>
      <c r="C617" t="s">
        <v>5</v>
      </c>
      <c r="D617">
        <v>339</v>
      </c>
      <c r="E617">
        <v>5791.9</v>
      </c>
    </row>
    <row r="618" spans="1:5" x14ac:dyDescent="0.25">
      <c r="A618" s="1">
        <v>45543</v>
      </c>
      <c r="B618">
        <v>1</v>
      </c>
      <c r="C618" t="s">
        <v>5</v>
      </c>
      <c r="D618">
        <v>282</v>
      </c>
      <c r="E618">
        <v>5429.91</v>
      </c>
    </row>
    <row r="619" spans="1:5" x14ac:dyDescent="0.25">
      <c r="A619" s="1">
        <v>45544</v>
      </c>
      <c r="B619">
        <v>1</v>
      </c>
      <c r="C619" t="s">
        <v>5</v>
      </c>
      <c r="D619">
        <v>308</v>
      </c>
      <c r="E619">
        <v>5399.45</v>
      </c>
    </row>
    <row r="620" spans="1:5" x14ac:dyDescent="0.25">
      <c r="A620" s="1">
        <v>45545</v>
      </c>
      <c r="B620">
        <v>1</v>
      </c>
      <c r="C620" t="s">
        <v>5</v>
      </c>
      <c r="D620">
        <v>345</v>
      </c>
      <c r="E620">
        <v>6214.78</v>
      </c>
    </row>
    <row r="621" spans="1:5" x14ac:dyDescent="0.25">
      <c r="A621" s="1">
        <v>45546</v>
      </c>
      <c r="B621">
        <v>1</v>
      </c>
      <c r="C621" t="s">
        <v>5</v>
      </c>
      <c r="D621">
        <v>314</v>
      </c>
      <c r="E621">
        <v>6015.78</v>
      </c>
    </row>
    <row r="622" spans="1:5" x14ac:dyDescent="0.25">
      <c r="A622" s="1">
        <v>45547</v>
      </c>
      <c r="B622">
        <v>1</v>
      </c>
      <c r="C622" t="s">
        <v>5</v>
      </c>
      <c r="D622">
        <v>307</v>
      </c>
      <c r="E622">
        <v>5600.28</v>
      </c>
    </row>
    <row r="623" spans="1:5" x14ac:dyDescent="0.25">
      <c r="A623" s="1">
        <v>45548</v>
      </c>
      <c r="B623">
        <v>1</v>
      </c>
      <c r="C623" t="s">
        <v>5</v>
      </c>
      <c r="D623">
        <v>328</v>
      </c>
      <c r="E623">
        <v>5648</v>
      </c>
    </row>
    <row r="624" spans="1:5" x14ac:dyDescent="0.25">
      <c r="A624" s="1">
        <v>45549</v>
      </c>
      <c r="B624">
        <v>1</v>
      </c>
      <c r="C624" t="s">
        <v>5</v>
      </c>
      <c r="D624">
        <v>345</v>
      </c>
      <c r="E624">
        <v>6619.58</v>
      </c>
    </row>
    <row r="625" spans="1:5" x14ac:dyDescent="0.25">
      <c r="A625" s="1">
        <v>45550</v>
      </c>
      <c r="B625">
        <v>1</v>
      </c>
      <c r="C625" t="s">
        <v>5</v>
      </c>
      <c r="D625">
        <v>366</v>
      </c>
      <c r="E625">
        <v>6511.08</v>
      </c>
    </row>
    <row r="626" spans="1:5" x14ac:dyDescent="0.25">
      <c r="A626" s="1">
        <v>45551</v>
      </c>
      <c r="B626">
        <v>1</v>
      </c>
      <c r="C626" t="s">
        <v>5</v>
      </c>
      <c r="D626">
        <v>282</v>
      </c>
      <c r="E626">
        <v>5472.11</v>
      </c>
    </row>
    <row r="627" spans="1:5" x14ac:dyDescent="0.25">
      <c r="A627" s="1">
        <v>45552</v>
      </c>
      <c r="B627">
        <v>1</v>
      </c>
      <c r="C627" t="s">
        <v>5</v>
      </c>
      <c r="D627">
        <v>277</v>
      </c>
      <c r="E627">
        <v>5179.6000000000004</v>
      </c>
    </row>
    <row r="628" spans="1:5" x14ac:dyDescent="0.25">
      <c r="A628" s="1">
        <v>45553</v>
      </c>
      <c r="B628">
        <v>1</v>
      </c>
      <c r="C628" t="s">
        <v>5</v>
      </c>
      <c r="D628">
        <v>286</v>
      </c>
      <c r="E628">
        <v>4806.95</v>
      </c>
    </row>
    <row r="629" spans="1:5" x14ac:dyDescent="0.25">
      <c r="A629" s="1">
        <v>45554</v>
      </c>
      <c r="B629">
        <v>1</v>
      </c>
      <c r="C629" t="s">
        <v>5</v>
      </c>
      <c r="D629">
        <v>305</v>
      </c>
      <c r="E629">
        <v>5668.51</v>
      </c>
    </row>
    <row r="630" spans="1:5" x14ac:dyDescent="0.25">
      <c r="A630" s="1">
        <v>45555</v>
      </c>
      <c r="B630">
        <v>1</v>
      </c>
      <c r="C630" t="s">
        <v>5</v>
      </c>
      <c r="D630">
        <v>345</v>
      </c>
      <c r="E630">
        <v>5989.95</v>
      </c>
    </row>
    <row r="631" spans="1:5" x14ac:dyDescent="0.25">
      <c r="A631" s="1">
        <v>45556</v>
      </c>
      <c r="B631">
        <v>1</v>
      </c>
      <c r="C631" t="s">
        <v>5</v>
      </c>
      <c r="D631">
        <v>361</v>
      </c>
      <c r="E631">
        <v>6944.08</v>
      </c>
    </row>
    <row r="632" spans="1:5" x14ac:dyDescent="0.25">
      <c r="A632" s="1">
        <v>45557</v>
      </c>
      <c r="B632">
        <v>1</v>
      </c>
      <c r="C632" t="s">
        <v>5</v>
      </c>
      <c r="D632">
        <v>359</v>
      </c>
      <c r="E632">
        <v>6854.59</v>
      </c>
    </row>
    <row r="633" spans="1:5" x14ac:dyDescent="0.25">
      <c r="A633" s="1">
        <v>45558</v>
      </c>
      <c r="B633">
        <v>1</v>
      </c>
      <c r="C633" t="s">
        <v>5</v>
      </c>
      <c r="D633">
        <v>373</v>
      </c>
      <c r="E633">
        <v>7406.94</v>
      </c>
    </row>
    <row r="634" spans="1:5" x14ac:dyDescent="0.25">
      <c r="A634" s="1">
        <v>45559</v>
      </c>
      <c r="B634">
        <v>1</v>
      </c>
      <c r="C634" t="s">
        <v>5</v>
      </c>
      <c r="D634">
        <v>300</v>
      </c>
      <c r="E634">
        <v>5961.77</v>
      </c>
    </row>
    <row r="635" spans="1:5" x14ac:dyDescent="0.25">
      <c r="A635" s="1">
        <v>45560</v>
      </c>
      <c r="B635">
        <v>1</v>
      </c>
      <c r="C635" t="s">
        <v>5</v>
      </c>
      <c r="D635">
        <v>305</v>
      </c>
      <c r="E635">
        <v>5688.55</v>
      </c>
    </row>
    <row r="636" spans="1:5" x14ac:dyDescent="0.25">
      <c r="A636" s="1">
        <v>45561</v>
      </c>
      <c r="B636">
        <v>1</v>
      </c>
      <c r="C636" t="s">
        <v>5</v>
      </c>
      <c r="D636">
        <v>329</v>
      </c>
      <c r="E636">
        <v>6012.94</v>
      </c>
    </row>
    <row r="637" spans="1:5" x14ac:dyDescent="0.25">
      <c r="A637" s="1">
        <v>45562</v>
      </c>
      <c r="B637">
        <v>1</v>
      </c>
      <c r="C637" t="s">
        <v>5</v>
      </c>
      <c r="D637">
        <v>323</v>
      </c>
      <c r="E637">
        <v>6222.19</v>
      </c>
    </row>
    <row r="638" spans="1:5" x14ac:dyDescent="0.25">
      <c r="A638" s="1">
        <v>45563</v>
      </c>
      <c r="B638">
        <v>1</v>
      </c>
      <c r="C638" t="s">
        <v>5</v>
      </c>
      <c r="D638">
        <v>351</v>
      </c>
      <c r="E638">
        <v>6843.38</v>
      </c>
    </row>
    <row r="639" spans="1:5" x14ac:dyDescent="0.25">
      <c r="A639" s="1">
        <v>45564</v>
      </c>
      <c r="B639">
        <v>1</v>
      </c>
      <c r="C639" t="s">
        <v>5</v>
      </c>
      <c r="D639">
        <v>355</v>
      </c>
      <c r="E639">
        <v>6636.66</v>
      </c>
    </row>
    <row r="640" spans="1:5" x14ac:dyDescent="0.25">
      <c r="A640" s="1">
        <v>45565</v>
      </c>
      <c r="B640">
        <v>1</v>
      </c>
      <c r="C640" t="s">
        <v>5</v>
      </c>
      <c r="D640">
        <v>291</v>
      </c>
      <c r="E640">
        <v>5398.29</v>
      </c>
    </row>
    <row r="641" spans="1:5" x14ac:dyDescent="0.25">
      <c r="A641" s="1">
        <v>45566</v>
      </c>
      <c r="B641">
        <v>1</v>
      </c>
      <c r="C641" t="s">
        <v>5</v>
      </c>
      <c r="D641">
        <v>289</v>
      </c>
      <c r="E641">
        <v>5654.33</v>
      </c>
    </row>
    <row r="642" spans="1:5" x14ac:dyDescent="0.25">
      <c r="A642" s="1">
        <v>45567</v>
      </c>
      <c r="B642">
        <v>1</v>
      </c>
      <c r="C642" t="s">
        <v>5</v>
      </c>
      <c r="D642">
        <v>319</v>
      </c>
      <c r="E642">
        <v>6049.48</v>
      </c>
    </row>
    <row r="643" spans="1:5" x14ac:dyDescent="0.25">
      <c r="A643" s="1">
        <v>45568</v>
      </c>
      <c r="B643">
        <v>1</v>
      </c>
      <c r="C643" t="s">
        <v>5</v>
      </c>
      <c r="D643">
        <v>367</v>
      </c>
      <c r="E643">
        <v>6566.35</v>
      </c>
    </row>
    <row r="644" spans="1:5" x14ac:dyDescent="0.25">
      <c r="A644" s="1">
        <v>45569</v>
      </c>
      <c r="B644">
        <v>1</v>
      </c>
      <c r="C644" t="s">
        <v>5</v>
      </c>
      <c r="D644">
        <v>308</v>
      </c>
      <c r="E644">
        <v>5781.71</v>
      </c>
    </row>
    <row r="645" spans="1:5" x14ac:dyDescent="0.25">
      <c r="A645" s="1">
        <v>45570</v>
      </c>
      <c r="B645">
        <v>1</v>
      </c>
      <c r="C645" t="s">
        <v>5</v>
      </c>
      <c r="D645">
        <v>387</v>
      </c>
      <c r="E645">
        <v>7182.93</v>
      </c>
    </row>
    <row r="646" spans="1:5" x14ac:dyDescent="0.25">
      <c r="A646" s="1">
        <v>45571</v>
      </c>
      <c r="B646">
        <v>1</v>
      </c>
      <c r="C646" t="s">
        <v>5</v>
      </c>
      <c r="D646">
        <v>362</v>
      </c>
      <c r="E646">
        <v>6494.65</v>
      </c>
    </row>
    <row r="647" spans="1:5" x14ac:dyDescent="0.25">
      <c r="A647" s="1">
        <v>45572</v>
      </c>
      <c r="B647">
        <v>1</v>
      </c>
      <c r="C647" t="s">
        <v>5</v>
      </c>
      <c r="D647">
        <v>317</v>
      </c>
      <c r="E647">
        <v>5953.32</v>
      </c>
    </row>
    <row r="648" spans="1:5" x14ac:dyDescent="0.25">
      <c r="A648" s="1">
        <v>45573</v>
      </c>
      <c r="B648">
        <v>1</v>
      </c>
      <c r="C648" t="s">
        <v>5</v>
      </c>
      <c r="D648">
        <v>318</v>
      </c>
      <c r="E648">
        <v>6164.25</v>
      </c>
    </row>
    <row r="649" spans="1:5" x14ac:dyDescent="0.25">
      <c r="A649" s="1">
        <v>45574</v>
      </c>
      <c r="B649">
        <v>1</v>
      </c>
      <c r="C649" t="s">
        <v>5</v>
      </c>
      <c r="D649">
        <v>331</v>
      </c>
      <c r="E649">
        <v>6019.84</v>
      </c>
    </row>
    <row r="650" spans="1:5" x14ac:dyDescent="0.25">
      <c r="A650" s="1">
        <v>45575</v>
      </c>
      <c r="B650">
        <v>1</v>
      </c>
      <c r="C650" t="s">
        <v>5</v>
      </c>
      <c r="D650">
        <v>327</v>
      </c>
      <c r="E650">
        <v>6085.93</v>
      </c>
    </row>
    <row r="651" spans="1:5" x14ac:dyDescent="0.25">
      <c r="A651" s="1">
        <v>45576</v>
      </c>
      <c r="B651">
        <v>1</v>
      </c>
      <c r="C651" t="s">
        <v>5</v>
      </c>
      <c r="D651">
        <v>279</v>
      </c>
      <c r="E651">
        <v>5163.05</v>
      </c>
    </row>
    <row r="652" spans="1:5" x14ac:dyDescent="0.25">
      <c r="A652" s="1">
        <v>45577</v>
      </c>
      <c r="B652">
        <v>1</v>
      </c>
      <c r="C652" t="s">
        <v>5</v>
      </c>
      <c r="D652">
        <v>364</v>
      </c>
      <c r="E652">
        <v>6686.99</v>
      </c>
    </row>
    <row r="653" spans="1:5" x14ac:dyDescent="0.25">
      <c r="A653" s="1">
        <v>45578</v>
      </c>
      <c r="B653">
        <v>1</v>
      </c>
      <c r="C653" t="s">
        <v>5</v>
      </c>
      <c r="D653">
        <v>356</v>
      </c>
      <c r="E653">
        <v>6008.56</v>
      </c>
    </row>
    <row r="654" spans="1:5" x14ac:dyDescent="0.25">
      <c r="A654" s="1">
        <v>45579</v>
      </c>
      <c r="B654">
        <v>1</v>
      </c>
      <c r="C654" t="s">
        <v>5</v>
      </c>
      <c r="D654">
        <v>284</v>
      </c>
      <c r="E654">
        <v>4922.3</v>
      </c>
    </row>
    <row r="655" spans="1:5" x14ac:dyDescent="0.25">
      <c r="A655" s="1">
        <v>45580</v>
      </c>
      <c r="B655">
        <v>1</v>
      </c>
      <c r="C655" t="s">
        <v>5</v>
      </c>
      <c r="D655">
        <v>315</v>
      </c>
      <c r="E655">
        <v>5944.26</v>
      </c>
    </row>
    <row r="656" spans="1:5" x14ac:dyDescent="0.25">
      <c r="A656" s="1">
        <v>45581</v>
      </c>
      <c r="B656">
        <v>1</v>
      </c>
      <c r="C656" t="s">
        <v>5</v>
      </c>
      <c r="D656">
        <v>366</v>
      </c>
      <c r="E656">
        <v>6279.03</v>
      </c>
    </row>
    <row r="657" spans="1:5" x14ac:dyDescent="0.25">
      <c r="A657" s="1">
        <v>45582</v>
      </c>
      <c r="B657">
        <v>1</v>
      </c>
      <c r="C657" t="s">
        <v>5</v>
      </c>
      <c r="D657">
        <v>308</v>
      </c>
      <c r="E657">
        <v>5809.35</v>
      </c>
    </row>
    <row r="658" spans="1:5" x14ac:dyDescent="0.25">
      <c r="A658" s="1">
        <v>45583</v>
      </c>
      <c r="B658">
        <v>1</v>
      </c>
      <c r="C658" t="s">
        <v>5</v>
      </c>
      <c r="D658">
        <v>327</v>
      </c>
      <c r="E658">
        <v>6257.16</v>
      </c>
    </row>
    <row r="659" spans="1:5" x14ac:dyDescent="0.25">
      <c r="A659" s="1">
        <v>45584</v>
      </c>
      <c r="B659">
        <v>1</v>
      </c>
      <c r="C659" t="s">
        <v>5</v>
      </c>
      <c r="D659">
        <v>350</v>
      </c>
      <c r="E659">
        <v>6283.84</v>
      </c>
    </row>
    <row r="660" spans="1:5" x14ac:dyDescent="0.25">
      <c r="A660" s="1">
        <v>45585</v>
      </c>
      <c r="B660">
        <v>1</v>
      </c>
      <c r="C660" t="s">
        <v>5</v>
      </c>
      <c r="D660">
        <v>353</v>
      </c>
      <c r="E660">
        <v>6887.8</v>
      </c>
    </row>
    <row r="661" spans="1:5" x14ac:dyDescent="0.25">
      <c r="A661" s="1">
        <v>45586</v>
      </c>
      <c r="B661">
        <v>1</v>
      </c>
      <c r="C661" t="s">
        <v>5</v>
      </c>
      <c r="D661">
        <v>332</v>
      </c>
      <c r="E661">
        <v>6459.94</v>
      </c>
    </row>
    <row r="662" spans="1:5" x14ac:dyDescent="0.25">
      <c r="A662" s="1">
        <v>45587</v>
      </c>
      <c r="B662">
        <v>1</v>
      </c>
      <c r="C662" t="s">
        <v>5</v>
      </c>
      <c r="D662">
        <v>301</v>
      </c>
      <c r="E662">
        <v>6076.39</v>
      </c>
    </row>
    <row r="663" spans="1:5" x14ac:dyDescent="0.25">
      <c r="A663" s="1">
        <v>45588</v>
      </c>
      <c r="B663">
        <v>1</v>
      </c>
      <c r="C663" t="s">
        <v>5</v>
      </c>
      <c r="D663">
        <v>328</v>
      </c>
      <c r="E663">
        <v>5823.5</v>
      </c>
    </row>
    <row r="664" spans="1:5" x14ac:dyDescent="0.25">
      <c r="A664" s="1">
        <v>45589</v>
      </c>
      <c r="B664">
        <v>1</v>
      </c>
      <c r="C664" t="s">
        <v>5</v>
      </c>
      <c r="D664">
        <v>290</v>
      </c>
      <c r="E664">
        <v>5206.3900000000003</v>
      </c>
    </row>
    <row r="665" spans="1:5" x14ac:dyDescent="0.25">
      <c r="A665" s="1">
        <v>45590</v>
      </c>
      <c r="B665">
        <v>1</v>
      </c>
      <c r="C665" t="s">
        <v>5</v>
      </c>
      <c r="D665">
        <v>347</v>
      </c>
      <c r="E665">
        <v>6848.19</v>
      </c>
    </row>
    <row r="666" spans="1:5" x14ac:dyDescent="0.25">
      <c r="A666" s="1">
        <v>45591</v>
      </c>
      <c r="B666">
        <v>1</v>
      </c>
      <c r="C666" t="s">
        <v>5</v>
      </c>
      <c r="D666">
        <v>325</v>
      </c>
      <c r="E666">
        <v>6186.46</v>
      </c>
    </row>
    <row r="667" spans="1:5" x14ac:dyDescent="0.25">
      <c r="A667" s="1">
        <v>45592</v>
      </c>
      <c r="B667">
        <v>1</v>
      </c>
      <c r="C667" t="s">
        <v>5</v>
      </c>
      <c r="D667">
        <v>368</v>
      </c>
      <c r="E667">
        <v>6915.67</v>
      </c>
    </row>
    <row r="668" spans="1:5" x14ac:dyDescent="0.25">
      <c r="A668" s="1">
        <v>45593</v>
      </c>
      <c r="B668">
        <v>1</v>
      </c>
      <c r="C668" t="s">
        <v>5</v>
      </c>
      <c r="D668">
        <v>305</v>
      </c>
      <c r="E668">
        <v>5172.2299999999996</v>
      </c>
    </row>
    <row r="669" spans="1:5" x14ac:dyDescent="0.25">
      <c r="A669" s="1">
        <v>45594</v>
      </c>
      <c r="B669">
        <v>1</v>
      </c>
      <c r="C669" t="s">
        <v>5</v>
      </c>
      <c r="D669">
        <v>320</v>
      </c>
      <c r="E669">
        <v>5286.88</v>
      </c>
    </row>
    <row r="670" spans="1:5" x14ac:dyDescent="0.25">
      <c r="A670" s="1">
        <v>45595</v>
      </c>
      <c r="B670">
        <v>1</v>
      </c>
      <c r="C670" t="s">
        <v>5</v>
      </c>
      <c r="D670">
        <v>285</v>
      </c>
      <c r="E670">
        <v>5184.08</v>
      </c>
    </row>
    <row r="671" spans="1:5" x14ac:dyDescent="0.25">
      <c r="A671" s="1">
        <v>45596</v>
      </c>
      <c r="B671">
        <v>1</v>
      </c>
      <c r="C671" t="s">
        <v>5</v>
      </c>
      <c r="D671">
        <v>322</v>
      </c>
      <c r="E671">
        <v>5821.66</v>
      </c>
    </row>
    <row r="672" spans="1:5" x14ac:dyDescent="0.25">
      <c r="A672" s="1">
        <v>45597</v>
      </c>
      <c r="B672">
        <v>1</v>
      </c>
      <c r="C672" t="s">
        <v>5</v>
      </c>
      <c r="D672">
        <v>297</v>
      </c>
      <c r="E672">
        <v>5489.92</v>
      </c>
    </row>
    <row r="673" spans="1:5" x14ac:dyDescent="0.25">
      <c r="A673" s="1">
        <v>45598</v>
      </c>
      <c r="B673">
        <v>1</v>
      </c>
      <c r="C673" t="s">
        <v>5</v>
      </c>
      <c r="D673">
        <v>358</v>
      </c>
      <c r="E673">
        <v>6841.69</v>
      </c>
    </row>
    <row r="674" spans="1:5" x14ac:dyDescent="0.25">
      <c r="A674" s="1">
        <v>45599</v>
      </c>
      <c r="B674">
        <v>1</v>
      </c>
      <c r="C674" t="s">
        <v>5</v>
      </c>
      <c r="D674">
        <v>367</v>
      </c>
      <c r="E674">
        <v>7085.98</v>
      </c>
    </row>
    <row r="675" spans="1:5" x14ac:dyDescent="0.25">
      <c r="A675" s="1">
        <v>45600</v>
      </c>
      <c r="B675">
        <v>1</v>
      </c>
      <c r="C675" t="s">
        <v>5</v>
      </c>
      <c r="D675">
        <v>287</v>
      </c>
      <c r="E675">
        <v>5066.49</v>
      </c>
    </row>
    <row r="676" spans="1:5" x14ac:dyDescent="0.25">
      <c r="A676" s="1">
        <v>45601</v>
      </c>
      <c r="B676">
        <v>1</v>
      </c>
      <c r="C676" t="s">
        <v>5</v>
      </c>
      <c r="D676">
        <v>269</v>
      </c>
      <c r="E676">
        <v>4688.99</v>
      </c>
    </row>
    <row r="677" spans="1:5" x14ac:dyDescent="0.25">
      <c r="A677" s="1">
        <v>45602</v>
      </c>
      <c r="B677">
        <v>1</v>
      </c>
      <c r="C677" t="s">
        <v>5</v>
      </c>
      <c r="D677">
        <v>292</v>
      </c>
      <c r="E677">
        <v>5683.83</v>
      </c>
    </row>
    <row r="678" spans="1:5" x14ac:dyDescent="0.25">
      <c r="A678" s="1">
        <v>45603</v>
      </c>
      <c r="B678">
        <v>1</v>
      </c>
      <c r="C678" t="s">
        <v>5</v>
      </c>
      <c r="D678">
        <v>243</v>
      </c>
      <c r="E678">
        <v>4410.57</v>
      </c>
    </row>
    <row r="679" spans="1:5" x14ac:dyDescent="0.25">
      <c r="A679" s="1">
        <v>45604</v>
      </c>
      <c r="B679">
        <v>1</v>
      </c>
      <c r="C679" t="s">
        <v>5</v>
      </c>
      <c r="D679">
        <v>285</v>
      </c>
      <c r="E679">
        <v>5279.02</v>
      </c>
    </row>
    <row r="680" spans="1:5" x14ac:dyDescent="0.25">
      <c r="A680" s="1">
        <v>45605</v>
      </c>
      <c r="B680">
        <v>1</v>
      </c>
      <c r="C680" t="s">
        <v>5</v>
      </c>
      <c r="D680">
        <v>326</v>
      </c>
      <c r="E680">
        <v>6482.83</v>
      </c>
    </row>
    <row r="681" spans="1:5" x14ac:dyDescent="0.25">
      <c r="A681" s="1">
        <v>45606</v>
      </c>
      <c r="B681">
        <v>1</v>
      </c>
      <c r="C681" t="s">
        <v>5</v>
      </c>
      <c r="D681">
        <v>371</v>
      </c>
      <c r="E681">
        <v>6763.48</v>
      </c>
    </row>
    <row r="682" spans="1:5" x14ac:dyDescent="0.25">
      <c r="A682" s="1">
        <v>45607</v>
      </c>
      <c r="B682">
        <v>1</v>
      </c>
      <c r="C682" t="s">
        <v>5</v>
      </c>
      <c r="D682">
        <v>335</v>
      </c>
      <c r="E682">
        <v>5657.44</v>
      </c>
    </row>
    <row r="683" spans="1:5" x14ac:dyDescent="0.25">
      <c r="A683" s="1">
        <v>45608</v>
      </c>
      <c r="B683">
        <v>1</v>
      </c>
      <c r="C683" t="s">
        <v>5</v>
      </c>
      <c r="D683">
        <v>280</v>
      </c>
      <c r="E683">
        <v>5334.11</v>
      </c>
    </row>
    <row r="684" spans="1:5" x14ac:dyDescent="0.25">
      <c r="A684" s="1">
        <v>45609</v>
      </c>
      <c r="B684">
        <v>1</v>
      </c>
      <c r="C684" t="s">
        <v>5</v>
      </c>
      <c r="D684">
        <v>315</v>
      </c>
      <c r="E684">
        <v>5927.78</v>
      </c>
    </row>
    <row r="685" spans="1:5" x14ac:dyDescent="0.25">
      <c r="A685" s="1">
        <v>45610</v>
      </c>
      <c r="B685">
        <v>1</v>
      </c>
      <c r="C685" t="s">
        <v>5</v>
      </c>
      <c r="D685">
        <v>259</v>
      </c>
      <c r="E685">
        <v>4964.04</v>
      </c>
    </row>
    <row r="686" spans="1:5" x14ac:dyDescent="0.25">
      <c r="A686" s="1">
        <v>45611</v>
      </c>
      <c r="B686">
        <v>1</v>
      </c>
      <c r="C686" t="s">
        <v>5</v>
      </c>
      <c r="D686">
        <v>265</v>
      </c>
      <c r="E686">
        <v>4929.91</v>
      </c>
    </row>
    <row r="687" spans="1:5" x14ac:dyDescent="0.25">
      <c r="A687" s="1">
        <v>45612</v>
      </c>
      <c r="B687">
        <v>1</v>
      </c>
      <c r="C687" t="s">
        <v>5</v>
      </c>
      <c r="D687">
        <v>349</v>
      </c>
      <c r="E687">
        <v>6475.56</v>
      </c>
    </row>
    <row r="688" spans="1:5" x14ac:dyDescent="0.25">
      <c r="A688" s="1">
        <v>45613</v>
      </c>
      <c r="B688">
        <v>1</v>
      </c>
      <c r="C688" t="s">
        <v>5</v>
      </c>
      <c r="D688">
        <v>313</v>
      </c>
      <c r="E688">
        <v>6034.34</v>
      </c>
    </row>
    <row r="689" spans="1:5" x14ac:dyDescent="0.25">
      <c r="A689" s="1">
        <v>45614</v>
      </c>
      <c r="B689">
        <v>1</v>
      </c>
      <c r="C689" t="s">
        <v>5</v>
      </c>
      <c r="D689">
        <v>281</v>
      </c>
      <c r="E689">
        <v>5312.43</v>
      </c>
    </row>
    <row r="690" spans="1:5" x14ac:dyDescent="0.25">
      <c r="A690" s="1">
        <v>45615</v>
      </c>
      <c r="B690">
        <v>1</v>
      </c>
      <c r="C690" t="s">
        <v>5</v>
      </c>
      <c r="D690">
        <v>249</v>
      </c>
      <c r="E690">
        <v>4507.71</v>
      </c>
    </row>
    <row r="691" spans="1:5" x14ac:dyDescent="0.25">
      <c r="A691" s="1">
        <v>45616</v>
      </c>
      <c r="B691">
        <v>1</v>
      </c>
      <c r="C691" t="s">
        <v>5</v>
      </c>
      <c r="D691">
        <v>307</v>
      </c>
      <c r="E691">
        <v>6541.73</v>
      </c>
    </row>
    <row r="692" spans="1:5" x14ac:dyDescent="0.25">
      <c r="A692" s="1">
        <v>45617</v>
      </c>
      <c r="B692">
        <v>1</v>
      </c>
      <c r="C692" t="s">
        <v>5</v>
      </c>
      <c r="D692">
        <v>251</v>
      </c>
      <c r="E692">
        <v>4042.17</v>
      </c>
    </row>
    <row r="693" spans="1:5" x14ac:dyDescent="0.25">
      <c r="A693" s="1">
        <v>45618</v>
      </c>
      <c r="B693">
        <v>1</v>
      </c>
      <c r="C693" t="s">
        <v>5</v>
      </c>
      <c r="D693">
        <v>263</v>
      </c>
      <c r="E693">
        <v>5192.75</v>
      </c>
    </row>
    <row r="694" spans="1:5" x14ac:dyDescent="0.25">
      <c r="A694" s="1">
        <v>45619</v>
      </c>
      <c r="B694">
        <v>1</v>
      </c>
      <c r="C694" t="s">
        <v>5</v>
      </c>
      <c r="D694">
        <v>312</v>
      </c>
      <c r="E694">
        <v>5787.21</v>
      </c>
    </row>
    <row r="695" spans="1:5" x14ac:dyDescent="0.25">
      <c r="A695" s="1">
        <v>45620</v>
      </c>
      <c r="B695">
        <v>1</v>
      </c>
      <c r="C695" t="s">
        <v>5</v>
      </c>
      <c r="D695">
        <v>358</v>
      </c>
      <c r="E695">
        <v>6683.13</v>
      </c>
    </row>
    <row r="696" spans="1:5" x14ac:dyDescent="0.25">
      <c r="A696" s="1">
        <v>45621</v>
      </c>
      <c r="B696">
        <v>1</v>
      </c>
      <c r="C696" t="s">
        <v>5</v>
      </c>
      <c r="D696">
        <v>317</v>
      </c>
      <c r="E696">
        <v>5572.05</v>
      </c>
    </row>
    <row r="697" spans="1:5" x14ac:dyDescent="0.25">
      <c r="A697" s="1">
        <v>45622</v>
      </c>
      <c r="B697">
        <v>1</v>
      </c>
      <c r="C697" t="s">
        <v>5</v>
      </c>
      <c r="D697">
        <v>289</v>
      </c>
      <c r="E697">
        <v>5430.77</v>
      </c>
    </row>
    <row r="698" spans="1:5" x14ac:dyDescent="0.25">
      <c r="A698" s="1">
        <v>45623</v>
      </c>
      <c r="B698">
        <v>1</v>
      </c>
      <c r="C698" t="s">
        <v>5</v>
      </c>
      <c r="D698">
        <v>354</v>
      </c>
      <c r="E698">
        <v>6500.75</v>
      </c>
    </row>
    <row r="699" spans="1:5" x14ac:dyDescent="0.25">
      <c r="A699" s="1">
        <v>45624</v>
      </c>
      <c r="B699">
        <v>1</v>
      </c>
      <c r="C699" t="s">
        <v>5</v>
      </c>
      <c r="D699">
        <v>234</v>
      </c>
      <c r="E699">
        <v>4346.63</v>
      </c>
    </row>
    <row r="700" spans="1:5" x14ac:dyDescent="0.25">
      <c r="A700" s="1">
        <v>45625</v>
      </c>
      <c r="B700">
        <v>1</v>
      </c>
      <c r="C700" t="s">
        <v>5</v>
      </c>
      <c r="D700">
        <v>311</v>
      </c>
      <c r="E700">
        <v>5216.41</v>
      </c>
    </row>
    <row r="701" spans="1:5" x14ac:dyDescent="0.25">
      <c r="A701" s="1">
        <v>45626</v>
      </c>
      <c r="B701">
        <v>1</v>
      </c>
      <c r="C701" t="s">
        <v>5</v>
      </c>
      <c r="D701">
        <v>309</v>
      </c>
      <c r="E701">
        <v>5701.18</v>
      </c>
    </row>
    <row r="702" spans="1:5" x14ac:dyDescent="0.25">
      <c r="A702" s="1">
        <v>45627</v>
      </c>
      <c r="B702">
        <v>1</v>
      </c>
      <c r="C702" t="s">
        <v>5</v>
      </c>
      <c r="D702">
        <v>322</v>
      </c>
      <c r="E702">
        <v>5722.67</v>
      </c>
    </row>
    <row r="703" spans="1:5" x14ac:dyDescent="0.25">
      <c r="A703" s="1">
        <v>45628</v>
      </c>
      <c r="B703">
        <v>1</v>
      </c>
      <c r="C703" t="s">
        <v>5</v>
      </c>
      <c r="D703">
        <v>292</v>
      </c>
      <c r="E703">
        <v>5518.59</v>
      </c>
    </row>
    <row r="704" spans="1:5" x14ac:dyDescent="0.25">
      <c r="A704" s="1">
        <v>45629</v>
      </c>
      <c r="B704">
        <v>1</v>
      </c>
      <c r="C704" t="s">
        <v>5</v>
      </c>
      <c r="D704">
        <v>281</v>
      </c>
      <c r="E704">
        <v>5196.7700000000004</v>
      </c>
    </row>
    <row r="705" spans="1:5" x14ac:dyDescent="0.25">
      <c r="A705" s="1">
        <v>45630</v>
      </c>
      <c r="B705">
        <v>1</v>
      </c>
      <c r="C705" t="s">
        <v>5</v>
      </c>
      <c r="D705">
        <v>263</v>
      </c>
      <c r="E705">
        <v>5080.1400000000003</v>
      </c>
    </row>
    <row r="706" spans="1:5" x14ac:dyDescent="0.25">
      <c r="A706" s="1">
        <v>45631</v>
      </c>
      <c r="B706">
        <v>1</v>
      </c>
      <c r="C706" t="s">
        <v>5</v>
      </c>
      <c r="D706">
        <v>257</v>
      </c>
      <c r="E706">
        <v>5164.4399999999996</v>
      </c>
    </row>
    <row r="707" spans="1:5" x14ac:dyDescent="0.25">
      <c r="A707" s="1">
        <v>45632</v>
      </c>
      <c r="B707">
        <v>1</v>
      </c>
      <c r="C707" t="s">
        <v>5</v>
      </c>
      <c r="D707">
        <v>268</v>
      </c>
      <c r="E707">
        <v>5294.07</v>
      </c>
    </row>
    <row r="708" spans="1:5" x14ac:dyDescent="0.25">
      <c r="A708" s="1">
        <v>45633</v>
      </c>
      <c r="B708">
        <v>1</v>
      </c>
      <c r="C708" t="s">
        <v>5</v>
      </c>
      <c r="D708">
        <v>271</v>
      </c>
      <c r="E708">
        <v>4707.1000000000004</v>
      </c>
    </row>
    <row r="709" spans="1:5" x14ac:dyDescent="0.25">
      <c r="A709" s="1">
        <v>45634</v>
      </c>
      <c r="B709">
        <v>1</v>
      </c>
      <c r="C709" t="s">
        <v>5</v>
      </c>
      <c r="D709">
        <v>259</v>
      </c>
      <c r="E709">
        <v>4860.08</v>
      </c>
    </row>
    <row r="710" spans="1:5" x14ac:dyDescent="0.25">
      <c r="A710" s="1">
        <v>45635</v>
      </c>
      <c r="B710">
        <v>1</v>
      </c>
      <c r="C710" t="s">
        <v>5</v>
      </c>
      <c r="D710">
        <v>300</v>
      </c>
      <c r="E710">
        <v>5657.21</v>
      </c>
    </row>
    <row r="711" spans="1:5" x14ac:dyDescent="0.25">
      <c r="A711" s="1">
        <v>45636</v>
      </c>
      <c r="B711">
        <v>1</v>
      </c>
      <c r="C711" t="s">
        <v>5</v>
      </c>
      <c r="D711">
        <v>263</v>
      </c>
      <c r="E711">
        <v>4785.08</v>
      </c>
    </row>
    <row r="712" spans="1:5" x14ac:dyDescent="0.25">
      <c r="A712" s="1">
        <v>45637</v>
      </c>
      <c r="B712">
        <v>1</v>
      </c>
      <c r="C712" t="s">
        <v>5</v>
      </c>
      <c r="D712">
        <v>277</v>
      </c>
      <c r="E712">
        <v>5032.93</v>
      </c>
    </row>
    <row r="713" spans="1:5" x14ac:dyDescent="0.25">
      <c r="A713" s="1">
        <v>45638</v>
      </c>
      <c r="B713">
        <v>1</v>
      </c>
      <c r="C713" t="s">
        <v>5</v>
      </c>
      <c r="D713">
        <v>256</v>
      </c>
      <c r="E713">
        <v>5247.37</v>
      </c>
    </row>
    <row r="714" spans="1:5" x14ac:dyDescent="0.25">
      <c r="A714" s="1">
        <v>45639</v>
      </c>
      <c r="B714">
        <v>1</v>
      </c>
      <c r="C714" t="s">
        <v>5</v>
      </c>
      <c r="D714">
        <v>231</v>
      </c>
      <c r="E714">
        <v>4405.2299999999996</v>
      </c>
    </row>
    <row r="715" spans="1:5" x14ac:dyDescent="0.25">
      <c r="A715" s="1">
        <v>45640</v>
      </c>
      <c r="B715">
        <v>1</v>
      </c>
      <c r="C715" t="s">
        <v>5</v>
      </c>
      <c r="D715">
        <v>328</v>
      </c>
      <c r="E715">
        <v>5737.4</v>
      </c>
    </row>
    <row r="716" spans="1:5" x14ac:dyDescent="0.25">
      <c r="A716" s="1">
        <v>45641</v>
      </c>
      <c r="B716">
        <v>1</v>
      </c>
      <c r="C716" t="s">
        <v>5</v>
      </c>
      <c r="D716">
        <v>290</v>
      </c>
      <c r="E716">
        <v>5204.51</v>
      </c>
    </row>
    <row r="717" spans="1:5" x14ac:dyDescent="0.25">
      <c r="A717" s="1">
        <v>45642</v>
      </c>
      <c r="B717">
        <v>1</v>
      </c>
      <c r="C717" t="s">
        <v>5</v>
      </c>
      <c r="D717">
        <v>260</v>
      </c>
      <c r="E717">
        <v>4833.22</v>
      </c>
    </row>
    <row r="718" spans="1:5" x14ac:dyDescent="0.25">
      <c r="A718" s="1">
        <v>45643</v>
      </c>
      <c r="B718">
        <v>1</v>
      </c>
      <c r="C718" t="s">
        <v>5</v>
      </c>
      <c r="D718">
        <v>228</v>
      </c>
      <c r="E718">
        <v>3895.68</v>
      </c>
    </row>
    <row r="719" spans="1:5" x14ac:dyDescent="0.25">
      <c r="A719" s="1">
        <v>45644</v>
      </c>
      <c r="B719">
        <v>1</v>
      </c>
      <c r="C719" t="s">
        <v>5</v>
      </c>
      <c r="D719">
        <v>190</v>
      </c>
      <c r="E719">
        <v>3869.65</v>
      </c>
    </row>
    <row r="720" spans="1:5" x14ac:dyDescent="0.25">
      <c r="A720" s="1">
        <v>45645</v>
      </c>
      <c r="B720">
        <v>1</v>
      </c>
      <c r="C720" t="s">
        <v>5</v>
      </c>
      <c r="D720">
        <v>239</v>
      </c>
      <c r="E720">
        <v>4216.8100000000004</v>
      </c>
    </row>
    <row r="721" spans="1:5" x14ac:dyDescent="0.25">
      <c r="A721" s="1">
        <v>45646</v>
      </c>
      <c r="B721">
        <v>1</v>
      </c>
      <c r="C721" t="s">
        <v>5</v>
      </c>
      <c r="D721">
        <v>240</v>
      </c>
      <c r="E721">
        <v>4314.6099999999997</v>
      </c>
    </row>
    <row r="722" spans="1:5" x14ac:dyDescent="0.25">
      <c r="A722" s="1">
        <v>45647</v>
      </c>
      <c r="B722">
        <v>1</v>
      </c>
      <c r="C722" t="s">
        <v>5</v>
      </c>
      <c r="D722">
        <v>300</v>
      </c>
      <c r="E722">
        <v>5562.31</v>
      </c>
    </row>
    <row r="723" spans="1:5" x14ac:dyDescent="0.25">
      <c r="A723" s="1">
        <v>45648</v>
      </c>
      <c r="B723">
        <v>1</v>
      </c>
      <c r="C723" t="s">
        <v>5</v>
      </c>
      <c r="D723">
        <v>297</v>
      </c>
      <c r="E723">
        <v>5022.8500000000004</v>
      </c>
    </row>
    <row r="724" spans="1:5" x14ac:dyDescent="0.25">
      <c r="A724" s="1">
        <v>45649</v>
      </c>
      <c r="B724">
        <v>1</v>
      </c>
      <c r="C724" t="s">
        <v>5</v>
      </c>
      <c r="D724">
        <v>237</v>
      </c>
      <c r="E724">
        <v>4404.17</v>
      </c>
    </row>
    <row r="725" spans="1:5" x14ac:dyDescent="0.25">
      <c r="A725" s="1">
        <v>45650</v>
      </c>
      <c r="B725">
        <v>1</v>
      </c>
      <c r="C725" t="s">
        <v>5</v>
      </c>
      <c r="D725">
        <v>273</v>
      </c>
      <c r="E725">
        <v>5037.0200000000004</v>
      </c>
    </row>
    <row r="726" spans="1:5" x14ac:dyDescent="0.25">
      <c r="A726" s="1">
        <v>45651</v>
      </c>
      <c r="B726">
        <v>1</v>
      </c>
      <c r="C726" t="s">
        <v>5</v>
      </c>
      <c r="D726">
        <v>231</v>
      </c>
      <c r="E726">
        <v>4271.63</v>
      </c>
    </row>
    <row r="727" spans="1:5" x14ac:dyDescent="0.25">
      <c r="A727" s="1">
        <v>45652</v>
      </c>
      <c r="B727">
        <v>1</v>
      </c>
      <c r="C727" t="s">
        <v>5</v>
      </c>
      <c r="D727">
        <v>281</v>
      </c>
      <c r="E727">
        <v>5444.6</v>
      </c>
    </row>
    <row r="728" spans="1:5" x14ac:dyDescent="0.25">
      <c r="A728" s="1">
        <v>45653</v>
      </c>
      <c r="B728">
        <v>1</v>
      </c>
      <c r="C728" t="s">
        <v>5</v>
      </c>
      <c r="D728">
        <v>304</v>
      </c>
      <c r="E728">
        <v>5486.46</v>
      </c>
    </row>
    <row r="729" spans="1:5" x14ac:dyDescent="0.25">
      <c r="A729" s="1">
        <v>45654</v>
      </c>
      <c r="B729">
        <v>1</v>
      </c>
      <c r="C729" t="s">
        <v>5</v>
      </c>
      <c r="D729">
        <v>273</v>
      </c>
      <c r="E729">
        <v>4713.83</v>
      </c>
    </row>
    <row r="730" spans="1:5" x14ac:dyDescent="0.25">
      <c r="A730" s="1">
        <v>45655</v>
      </c>
      <c r="B730">
        <v>1</v>
      </c>
      <c r="C730" t="s">
        <v>5</v>
      </c>
      <c r="D730">
        <v>248</v>
      </c>
      <c r="E730">
        <v>4588.3900000000003</v>
      </c>
    </row>
    <row r="731" spans="1:5" x14ac:dyDescent="0.25">
      <c r="A731" s="1">
        <v>45656</v>
      </c>
      <c r="B731">
        <v>1</v>
      </c>
      <c r="C731" t="s">
        <v>5</v>
      </c>
      <c r="D731">
        <v>235</v>
      </c>
      <c r="E731">
        <v>4554.18</v>
      </c>
    </row>
    <row r="732" spans="1:5" x14ac:dyDescent="0.25">
      <c r="A732" s="1">
        <v>45657</v>
      </c>
      <c r="B732">
        <v>1</v>
      </c>
      <c r="C732" t="s">
        <v>5</v>
      </c>
      <c r="D732">
        <v>196</v>
      </c>
      <c r="E732">
        <v>3755.53</v>
      </c>
    </row>
    <row r="733" spans="1:5" x14ac:dyDescent="0.25">
      <c r="A733" s="1">
        <v>44927</v>
      </c>
      <c r="B733">
        <v>2</v>
      </c>
      <c r="C733" t="s">
        <v>6</v>
      </c>
      <c r="D733">
        <v>289</v>
      </c>
      <c r="E733">
        <v>4887.88</v>
      </c>
    </row>
    <row r="734" spans="1:5" x14ac:dyDescent="0.25">
      <c r="A734" s="1">
        <v>44928</v>
      </c>
      <c r="B734">
        <v>2</v>
      </c>
      <c r="C734" t="s">
        <v>6</v>
      </c>
      <c r="D734">
        <v>219</v>
      </c>
      <c r="E734">
        <v>3968.51</v>
      </c>
    </row>
    <row r="735" spans="1:5" x14ac:dyDescent="0.25">
      <c r="A735" s="1">
        <v>44929</v>
      </c>
      <c r="B735">
        <v>2</v>
      </c>
      <c r="C735" t="s">
        <v>6</v>
      </c>
      <c r="D735">
        <v>230</v>
      </c>
      <c r="E735">
        <v>4042.33</v>
      </c>
    </row>
    <row r="736" spans="1:5" x14ac:dyDescent="0.25">
      <c r="A736" s="1">
        <v>44930</v>
      </c>
      <c r="B736">
        <v>2</v>
      </c>
      <c r="C736" t="s">
        <v>6</v>
      </c>
      <c r="D736">
        <v>192</v>
      </c>
      <c r="E736">
        <v>3425.17</v>
      </c>
    </row>
    <row r="737" spans="1:5" x14ac:dyDescent="0.25">
      <c r="A737" s="1">
        <v>44931</v>
      </c>
      <c r="B737">
        <v>2</v>
      </c>
      <c r="C737" t="s">
        <v>6</v>
      </c>
      <c r="D737">
        <v>188</v>
      </c>
      <c r="E737">
        <v>3260.61</v>
      </c>
    </row>
    <row r="738" spans="1:5" x14ac:dyDescent="0.25">
      <c r="A738" s="1">
        <v>44932</v>
      </c>
      <c r="B738">
        <v>2</v>
      </c>
      <c r="C738" t="s">
        <v>6</v>
      </c>
      <c r="D738">
        <v>222</v>
      </c>
      <c r="E738">
        <v>3962.5</v>
      </c>
    </row>
    <row r="739" spans="1:5" x14ac:dyDescent="0.25">
      <c r="A739" s="1">
        <v>44933</v>
      </c>
      <c r="B739">
        <v>2</v>
      </c>
      <c r="C739" t="s">
        <v>6</v>
      </c>
      <c r="D739">
        <v>243</v>
      </c>
      <c r="E739">
        <v>4022.73</v>
      </c>
    </row>
    <row r="740" spans="1:5" x14ac:dyDescent="0.25">
      <c r="A740" s="1">
        <v>44934</v>
      </c>
      <c r="B740">
        <v>2</v>
      </c>
      <c r="C740" t="s">
        <v>6</v>
      </c>
      <c r="D740">
        <v>231</v>
      </c>
      <c r="E740">
        <v>4061.02</v>
      </c>
    </row>
    <row r="741" spans="1:5" x14ac:dyDescent="0.25">
      <c r="A741" s="1">
        <v>44935</v>
      </c>
      <c r="B741">
        <v>2</v>
      </c>
      <c r="C741" t="s">
        <v>6</v>
      </c>
      <c r="D741">
        <v>257</v>
      </c>
      <c r="E741">
        <v>4292.67</v>
      </c>
    </row>
    <row r="742" spans="1:5" x14ac:dyDescent="0.25">
      <c r="A742" s="1">
        <v>44936</v>
      </c>
      <c r="B742">
        <v>2</v>
      </c>
      <c r="C742" t="s">
        <v>6</v>
      </c>
      <c r="D742">
        <v>194</v>
      </c>
      <c r="E742">
        <v>3404.83</v>
      </c>
    </row>
    <row r="743" spans="1:5" x14ac:dyDescent="0.25">
      <c r="A743" s="1">
        <v>44937</v>
      </c>
      <c r="B743">
        <v>2</v>
      </c>
      <c r="C743" t="s">
        <v>6</v>
      </c>
      <c r="D743">
        <v>208</v>
      </c>
      <c r="E743">
        <v>3360.16</v>
      </c>
    </row>
    <row r="744" spans="1:5" x14ac:dyDescent="0.25">
      <c r="A744" s="1">
        <v>44938</v>
      </c>
      <c r="B744">
        <v>2</v>
      </c>
      <c r="C744" t="s">
        <v>6</v>
      </c>
      <c r="D744">
        <v>172</v>
      </c>
      <c r="E744">
        <v>2747.66</v>
      </c>
    </row>
    <row r="745" spans="1:5" x14ac:dyDescent="0.25">
      <c r="A745" s="1">
        <v>44939</v>
      </c>
      <c r="B745">
        <v>2</v>
      </c>
      <c r="C745" t="s">
        <v>6</v>
      </c>
      <c r="D745">
        <v>241</v>
      </c>
      <c r="E745">
        <v>3643.22</v>
      </c>
    </row>
    <row r="746" spans="1:5" x14ac:dyDescent="0.25">
      <c r="A746" s="1">
        <v>44940</v>
      </c>
      <c r="B746">
        <v>2</v>
      </c>
      <c r="C746" t="s">
        <v>6</v>
      </c>
      <c r="D746">
        <v>247</v>
      </c>
      <c r="E746">
        <v>4490.21</v>
      </c>
    </row>
    <row r="747" spans="1:5" x14ac:dyDescent="0.25">
      <c r="A747" s="1">
        <v>44941</v>
      </c>
      <c r="B747">
        <v>2</v>
      </c>
      <c r="C747" t="s">
        <v>6</v>
      </c>
      <c r="D747">
        <v>197</v>
      </c>
      <c r="E747">
        <v>3665.89</v>
      </c>
    </row>
    <row r="748" spans="1:5" x14ac:dyDescent="0.25">
      <c r="A748" s="1">
        <v>44942</v>
      </c>
      <c r="B748">
        <v>2</v>
      </c>
      <c r="C748" t="s">
        <v>6</v>
      </c>
      <c r="D748">
        <v>185</v>
      </c>
      <c r="E748">
        <v>3014.91</v>
      </c>
    </row>
    <row r="749" spans="1:5" x14ac:dyDescent="0.25">
      <c r="A749" s="1">
        <v>44943</v>
      </c>
      <c r="B749">
        <v>2</v>
      </c>
      <c r="C749" t="s">
        <v>6</v>
      </c>
      <c r="D749">
        <v>239</v>
      </c>
      <c r="E749">
        <v>4145.18</v>
      </c>
    </row>
    <row r="750" spans="1:5" x14ac:dyDescent="0.25">
      <c r="A750" s="1">
        <v>44944</v>
      </c>
      <c r="B750">
        <v>2</v>
      </c>
      <c r="C750" t="s">
        <v>6</v>
      </c>
      <c r="D750">
        <v>169</v>
      </c>
      <c r="E750">
        <v>2820.04</v>
      </c>
    </row>
    <row r="751" spans="1:5" x14ac:dyDescent="0.25">
      <c r="A751" s="1">
        <v>44945</v>
      </c>
      <c r="B751">
        <v>2</v>
      </c>
      <c r="C751" t="s">
        <v>6</v>
      </c>
      <c r="D751">
        <v>238</v>
      </c>
      <c r="E751">
        <v>4165.97</v>
      </c>
    </row>
    <row r="752" spans="1:5" x14ac:dyDescent="0.25">
      <c r="A752" s="1">
        <v>44946</v>
      </c>
      <c r="B752">
        <v>2</v>
      </c>
      <c r="C752" t="s">
        <v>6</v>
      </c>
      <c r="D752">
        <v>203</v>
      </c>
      <c r="E752">
        <v>3335.91</v>
      </c>
    </row>
    <row r="753" spans="1:5" x14ac:dyDescent="0.25">
      <c r="A753" s="1">
        <v>44947</v>
      </c>
      <c r="B753">
        <v>2</v>
      </c>
      <c r="C753" t="s">
        <v>6</v>
      </c>
      <c r="D753">
        <v>212</v>
      </c>
      <c r="E753">
        <v>3911.01</v>
      </c>
    </row>
    <row r="754" spans="1:5" x14ac:dyDescent="0.25">
      <c r="A754" s="1">
        <v>44948</v>
      </c>
      <c r="B754">
        <v>2</v>
      </c>
      <c r="C754" t="s">
        <v>6</v>
      </c>
      <c r="D754">
        <v>233</v>
      </c>
      <c r="E754">
        <v>4106.6400000000003</v>
      </c>
    </row>
    <row r="755" spans="1:5" x14ac:dyDescent="0.25">
      <c r="A755" s="1">
        <v>44949</v>
      </c>
      <c r="B755">
        <v>2</v>
      </c>
      <c r="C755" t="s">
        <v>6</v>
      </c>
      <c r="D755">
        <v>202</v>
      </c>
      <c r="E755">
        <v>3326.99</v>
      </c>
    </row>
    <row r="756" spans="1:5" x14ac:dyDescent="0.25">
      <c r="A756" s="1">
        <v>44950</v>
      </c>
      <c r="B756">
        <v>2</v>
      </c>
      <c r="C756" t="s">
        <v>6</v>
      </c>
      <c r="D756">
        <v>226</v>
      </c>
      <c r="E756">
        <v>3763.66</v>
      </c>
    </row>
    <row r="757" spans="1:5" x14ac:dyDescent="0.25">
      <c r="A757" s="1">
        <v>44951</v>
      </c>
      <c r="B757">
        <v>2</v>
      </c>
      <c r="C757" t="s">
        <v>6</v>
      </c>
      <c r="D757">
        <v>151</v>
      </c>
      <c r="E757">
        <v>2498.2600000000002</v>
      </c>
    </row>
    <row r="758" spans="1:5" x14ac:dyDescent="0.25">
      <c r="A758" s="1">
        <v>44952</v>
      </c>
      <c r="B758">
        <v>2</v>
      </c>
      <c r="C758" t="s">
        <v>6</v>
      </c>
      <c r="D758">
        <v>195</v>
      </c>
      <c r="E758">
        <v>3115.02</v>
      </c>
    </row>
    <row r="759" spans="1:5" x14ac:dyDescent="0.25">
      <c r="A759" s="1">
        <v>44953</v>
      </c>
      <c r="B759">
        <v>2</v>
      </c>
      <c r="C759" t="s">
        <v>6</v>
      </c>
      <c r="D759">
        <v>183</v>
      </c>
      <c r="E759">
        <v>3391.73</v>
      </c>
    </row>
    <row r="760" spans="1:5" x14ac:dyDescent="0.25">
      <c r="A760" s="1">
        <v>44954</v>
      </c>
      <c r="B760">
        <v>2</v>
      </c>
      <c r="C760" t="s">
        <v>6</v>
      </c>
      <c r="D760">
        <v>208</v>
      </c>
      <c r="E760">
        <v>3591.58</v>
      </c>
    </row>
    <row r="761" spans="1:5" x14ac:dyDescent="0.25">
      <c r="A761" s="1">
        <v>44955</v>
      </c>
      <c r="B761">
        <v>2</v>
      </c>
      <c r="C761" t="s">
        <v>6</v>
      </c>
      <c r="D761">
        <v>246</v>
      </c>
      <c r="E761">
        <v>4433.99</v>
      </c>
    </row>
    <row r="762" spans="1:5" x14ac:dyDescent="0.25">
      <c r="A762" s="1">
        <v>44956</v>
      </c>
      <c r="B762">
        <v>2</v>
      </c>
      <c r="C762" t="s">
        <v>6</v>
      </c>
      <c r="D762">
        <v>198</v>
      </c>
      <c r="E762">
        <v>3392.05</v>
      </c>
    </row>
    <row r="763" spans="1:5" x14ac:dyDescent="0.25">
      <c r="A763" s="1">
        <v>44957</v>
      </c>
      <c r="B763">
        <v>2</v>
      </c>
      <c r="C763" t="s">
        <v>6</v>
      </c>
      <c r="D763">
        <v>173</v>
      </c>
      <c r="E763">
        <v>2881.82</v>
      </c>
    </row>
    <row r="764" spans="1:5" x14ac:dyDescent="0.25">
      <c r="A764" s="1">
        <v>44958</v>
      </c>
      <c r="B764">
        <v>2</v>
      </c>
      <c r="C764" t="s">
        <v>6</v>
      </c>
      <c r="D764">
        <v>202</v>
      </c>
      <c r="E764">
        <v>3383.55</v>
      </c>
    </row>
    <row r="765" spans="1:5" x14ac:dyDescent="0.25">
      <c r="A765" s="1">
        <v>44959</v>
      </c>
      <c r="B765">
        <v>2</v>
      </c>
      <c r="C765" t="s">
        <v>6</v>
      </c>
      <c r="D765">
        <v>239</v>
      </c>
      <c r="E765">
        <v>4106.88</v>
      </c>
    </row>
    <row r="766" spans="1:5" x14ac:dyDescent="0.25">
      <c r="A766" s="1">
        <v>44960</v>
      </c>
      <c r="B766">
        <v>2</v>
      </c>
      <c r="C766" t="s">
        <v>6</v>
      </c>
      <c r="D766">
        <v>257</v>
      </c>
      <c r="E766">
        <v>4326.75</v>
      </c>
    </row>
    <row r="767" spans="1:5" x14ac:dyDescent="0.25">
      <c r="A767" s="1">
        <v>44961</v>
      </c>
      <c r="B767">
        <v>2</v>
      </c>
      <c r="C767" t="s">
        <v>6</v>
      </c>
      <c r="D767">
        <v>238</v>
      </c>
      <c r="E767">
        <v>4190.5600000000004</v>
      </c>
    </row>
    <row r="768" spans="1:5" x14ac:dyDescent="0.25">
      <c r="A768" s="1">
        <v>44962</v>
      </c>
      <c r="B768">
        <v>2</v>
      </c>
      <c r="C768" t="s">
        <v>6</v>
      </c>
      <c r="D768">
        <v>210</v>
      </c>
      <c r="E768">
        <v>3582.17</v>
      </c>
    </row>
    <row r="769" spans="1:5" x14ac:dyDescent="0.25">
      <c r="A769" s="1">
        <v>44963</v>
      </c>
      <c r="B769">
        <v>2</v>
      </c>
      <c r="C769" t="s">
        <v>6</v>
      </c>
      <c r="D769">
        <v>205</v>
      </c>
      <c r="E769">
        <v>3389.81</v>
      </c>
    </row>
    <row r="770" spans="1:5" x14ac:dyDescent="0.25">
      <c r="A770" s="1">
        <v>44964</v>
      </c>
      <c r="B770">
        <v>2</v>
      </c>
      <c r="C770" t="s">
        <v>6</v>
      </c>
      <c r="D770">
        <v>191</v>
      </c>
      <c r="E770">
        <v>3164.78</v>
      </c>
    </row>
    <row r="771" spans="1:5" x14ac:dyDescent="0.25">
      <c r="A771" s="1">
        <v>44965</v>
      </c>
      <c r="B771">
        <v>2</v>
      </c>
      <c r="C771" t="s">
        <v>6</v>
      </c>
      <c r="D771">
        <v>156</v>
      </c>
      <c r="E771">
        <v>2609.38</v>
      </c>
    </row>
    <row r="772" spans="1:5" x14ac:dyDescent="0.25">
      <c r="A772" s="1">
        <v>44966</v>
      </c>
      <c r="B772">
        <v>2</v>
      </c>
      <c r="C772" t="s">
        <v>6</v>
      </c>
      <c r="D772">
        <v>197</v>
      </c>
      <c r="E772">
        <v>3130.41</v>
      </c>
    </row>
    <row r="773" spans="1:5" x14ac:dyDescent="0.25">
      <c r="A773" s="1">
        <v>44967</v>
      </c>
      <c r="B773">
        <v>2</v>
      </c>
      <c r="C773" t="s">
        <v>6</v>
      </c>
      <c r="D773">
        <v>229</v>
      </c>
      <c r="E773">
        <v>3706.65</v>
      </c>
    </row>
    <row r="774" spans="1:5" x14ac:dyDescent="0.25">
      <c r="A774" s="1">
        <v>44968</v>
      </c>
      <c r="B774">
        <v>2</v>
      </c>
      <c r="C774" t="s">
        <v>6</v>
      </c>
      <c r="D774">
        <v>200</v>
      </c>
      <c r="E774">
        <v>3454.86</v>
      </c>
    </row>
    <row r="775" spans="1:5" x14ac:dyDescent="0.25">
      <c r="A775" s="1">
        <v>44969</v>
      </c>
      <c r="B775">
        <v>2</v>
      </c>
      <c r="C775" t="s">
        <v>6</v>
      </c>
      <c r="D775">
        <v>233</v>
      </c>
      <c r="E775">
        <v>3998.21</v>
      </c>
    </row>
    <row r="776" spans="1:5" x14ac:dyDescent="0.25">
      <c r="A776" s="1">
        <v>44970</v>
      </c>
      <c r="B776">
        <v>2</v>
      </c>
      <c r="C776" t="s">
        <v>6</v>
      </c>
      <c r="D776">
        <v>193</v>
      </c>
      <c r="E776">
        <v>3706.63</v>
      </c>
    </row>
    <row r="777" spans="1:5" x14ac:dyDescent="0.25">
      <c r="A777" s="1">
        <v>44971</v>
      </c>
      <c r="B777">
        <v>2</v>
      </c>
      <c r="C777" t="s">
        <v>6</v>
      </c>
      <c r="D777">
        <v>214</v>
      </c>
      <c r="E777">
        <v>3550.75</v>
      </c>
    </row>
    <row r="778" spans="1:5" x14ac:dyDescent="0.25">
      <c r="A778" s="1">
        <v>44972</v>
      </c>
      <c r="B778">
        <v>2</v>
      </c>
      <c r="C778" t="s">
        <v>6</v>
      </c>
      <c r="D778">
        <v>219</v>
      </c>
      <c r="E778">
        <v>3662.56</v>
      </c>
    </row>
    <row r="779" spans="1:5" x14ac:dyDescent="0.25">
      <c r="A779" s="1">
        <v>44973</v>
      </c>
      <c r="B779">
        <v>2</v>
      </c>
      <c r="C779" t="s">
        <v>6</v>
      </c>
      <c r="D779">
        <v>191</v>
      </c>
      <c r="E779">
        <v>3287.9</v>
      </c>
    </row>
    <row r="780" spans="1:5" x14ac:dyDescent="0.25">
      <c r="A780" s="1">
        <v>44974</v>
      </c>
      <c r="B780">
        <v>2</v>
      </c>
      <c r="C780" t="s">
        <v>6</v>
      </c>
      <c r="D780">
        <v>182</v>
      </c>
      <c r="E780">
        <v>3174.36</v>
      </c>
    </row>
    <row r="781" spans="1:5" x14ac:dyDescent="0.25">
      <c r="A781" s="1">
        <v>44975</v>
      </c>
      <c r="B781">
        <v>2</v>
      </c>
      <c r="C781" t="s">
        <v>6</v>
      </c>
      <c r="D781">
        <v>222</v>
      </c>
      <c r="E781">
        <v>3986.83</v>
      </c>
    </row>
    <row r="782" spans="1:5" x14ac:dyDescent="0.25">
      <c r="A782" s="1">
        <v>44976</v>
      </c>
      <c r="B782">
        <v>2</v>
      </c>
      <c r="C782" t="s">
        <v>6</v>
      </c>
      <c r="D782">
        <v>249</v>
      </c>
      <c r="E782">
        <v>4204.91</v>
      </c>
    </row>
    <row r="783" spans="1:5" x14ac:dyDescent="0.25">
      <c r="A783" s="1">
        <v>44977</v>
      </c>
      <c r="B783">
        <v>2</v>
      </c>
      <c r="C783" t="s">
        <v>6</v>
      </c>
      <c r="D783">
        <v>206</v>
      </c>
      <c r="E783">
        <v>3587.59</v>
      </c>
    </row>
    <row r="784" spans="1:5" x14ac:dyDescent="0.25">
      <c r="A784" s="1">
        <v>44978</v>
      </c>
      <c r="B784">
        <v>2</v>
      </c>
      <c r="C784" t="s">
        <v>6</v>
      </c>
      <c r="D784">
        <v>193</v>
      </c>
      <c r="E784">
        <v>3398.96</v>
      </c>
    </row>
    <row r="785" spans="1:5" x14ac:dyDescent="0.25">
      <c r="A785" s="1">
        <v>44979</v>
      </c>
      <c r="B785">
        <v>2</v>
      </c>
      <c r="C785" t="s">
        <v>6</v>
      </c>
      <c r="D785">
        <v>192</v>
      </c>
      <c r="E785">
        <v>3237.33</v>
      </c>
    </row>
    <row r="786" spans="1:5" x14ac:dyDescent="0.25">
      <c r="A786" s="1">
        <v>44980</v>
      </c>
      <c r="B786">
        <v>2</v>
      </c>
      <c r="C786" t="s">
        <v>6</v>
      </c>
      <c r="D786">
        <v>212</v>
      </c>
      <c r="E786">
        <v>3550.4</v>
      </c>
    </row>
    <row r="787" spans="1:5" x14ac:dyDescent="0.25">
      <c r="A787" s="1">
        <v>44981</v>
      </c>
      <c r="B787">
        <v>2</v>
      </c>
      <c r="C787" t="s">
        <v>6</v>
      </c>
      <c r="D787">
        <v>183</v>
      </c>
      <c r="E787">
        <v>3093.58</v>
      </c>
    </row>
    <row r="788" spans="1:5" x14ac:dyDescent="0.25">
      <c r="A788" s="1">
        <v>44982</v>
      </c>
      <c r="B788">
        <v>2</v>
      </c>
      <c r="C788" t="s">
        <v>6</v>
      </c>
      <c r="D788">
        <v>239</v>
      </c>
      <c r="E788">
        <v>3833.5</v>
      </c>
    </row>
    <row r="789" spans="1:5" x14ac:dyDescent="0.25">
      <c r="A789" s="1">
        <v>44983</v>
      </c>
      <c r="B789">
        <v>2</v>
      </c>
      <c r="C789" t="s">
        <v>6</v>
      </c>
      <c r="D789">
        <v>272</v>
      </c>
      <c r="E789">
        <v>4808</v>
      </c>
    </row>
    <row r="790" spans="1:5" x14ac:dyDescent="0.25">
      <c r="A790" s="1">
        <v>44984</v>
      </c>
      <c r="B790">
        <v>2</v>
      </c>
      <c r="C790" t="s">
        <v>6</v>
      </c>
      <c r="D790">
        <v>187</v>
      </c>
      <c r="E790">
        <v>3181.69</v>
      </c>
    </row>
    <row r="791" spans="1:5" x14ac:dyDescent="0.25">
      <c r="A791" s="1">
        <v>44985</v>
      </c>
      <c r="B791">
        <v>2</v>
      </c>
      <c r="C791" t="s">
        <v>6</v>
      </c>
      <c r="D791">
        <v>193</v>
      </c>
      <c r="E791">
        <v>3204.21</v>
      </c>
    </row>
    <row r="792" spans="1:5" x14ac:dyDescent="0.25">
      <c r="A792" s="1">
        <v>44986</v>
      </c>
      <c r="B792">
        <v>2</v>
      </c>
      <c r="C792" t="s">
        <v>6</v>
      </c>
      <c r="D792">
        <v>199</v>
      </c>
      <c r="E792">
        <v>3290.99</v>
      </c>
    </row>
    <row r="793" spans="1:5" x14ac:dyDescent="0.25">
      <c r="A793" s="1">
        <v>44987</v>
      </c>
      <c r="B793">
        <v>2</v>
      </c>
      <c r="C793" t="s">
        <v>6</v>
      </c>
      <c r="D793">
        <v>183</v>
      </c>
      <c r="E793">
        <v>2975.69</v>
      </c>
    </row>
    <row r="794" spans="1:5" x14ac:dyDescent="0.25">
      <c r="A794" s="1">
        <v>44988</v>
      </c>
      <c r="B794">
        <v>2</v>
      </c>
      <c r="C794" t="s">
        <v>6</v>
      </c>
      <c r="D794">
        <v>215</v>
      </c>
      <c r="E794">
        <v>3815.32</v>
      </c>
    </row>
    <row r="795" spans="1:5" x14ac:dyDescent="0.25">
      <c r="A795" s="1">
        <v>44989</v>
      </c>
      <c r="B795">
        <v>2</v>
      </c>
      <c r="C795" t="s">
        <v>6</v>
      </c>
      <c r="D795">
        <v>244</v>
      </c>
      <c r="E795">
        <v>4078.52</v>
      </c>
    </row>
    <row r="796" spans="1:5" x14ac:dyDescent="0.25">
      <c r="A796" s="1">
        <v>44990</v>
      </c>
      <c r="B796">
        <v>2</v>
      </c>
      <c r="C796" t="s">
        <v>6</v>
      </c>
      <c r="D796">
        <v>248</v>
      </c>
      <c r="E796">
        <v>4161.84</v>
      </c>
    </row>
    <row r="797" spans="1:5" x14ac:dyDescent="0.25">
      <c r="A797" s="1">
        <v>44991</v>
      </c>
      <c r="B797">
        <v>2</v>
      </c>
      <c r="C797" t="s">
        <v>6</v>
      </c>
      <c r="D797">
        <v>194</v>
      </c>
      <c r="E797">
        <v>3442.21</v>
      </c>
    </row>
    <row r="798" spans="1:5" x14ac:dyDescent="0.25">
      <c r="A798" s="1">
        <v>44992</v>
      </c>
      <c r="B798">
        <v>2</v>
      </c>
      <c r="C798" t="s">
        <v>6</v>
      </c>
      <c r="D798">
        <v>214</v>
      </c>
      <c r="E798">
        <v>3831.16</v>
      </c>
    </row>
    <row r="799" spans="1:5" x14ac:dyDescent="0.25">
      <c r="A799" s="1">
        <v>44993</v>
      </c>
      <c r="B799">
        <v>2</v>
      </c>
      <c r="C799" t="s">
        <v>6</v>
      </c>
      <c r="D799">
        <v>177</v>
      </c>
      <c r="E799">
        <v>3031.03</v>
      </c>
    </row>
    <row r="800" spans="1:5" x14ac:dyDescent="0.25">
      <c r="A800" s="1">
        <v>44994</v>
      </c>
      <c r="B800">
        <v>2</v>
      </c>
      <c r="C800" t="s">
        <v>6</v>
      </c>
      <c r="D800">
        <v>204</v>
      </c>
      <c r="E800">
        <v>3492.73</v>
      </c>
    </row>
    <row r="801" spans="1:5" x14ac:dyDescent="0.25">
      <c r="A801" s="1">
        <v>44995</v>
      </c>
      <c r="B801">
        <v>2</v>
      </c>
      <c r="C801" t="s">
        <v>6</v>
      </c>
      <c r="D801">
        <v>197</v>
      </c>
      <c r="E801">
        <v>3274.53</v>
      </c>
    </row>
    <row r="802" spans="1:5" x14ac:dyDescent="0.25">
      <c r="A802" s="1">
        <v>44996</v>
      </c>
      <c r="B802">
        <v>2</v>
      </c>
      <c r="C802" t="s">
        <v>6</v>
      </c>
      <c r="D802">
        <v>198</v>
      </c>
      <c r="E802">
        <v>3289.09</v>
      </c>
    </row>
    <row r="803" spans="1:5" x14ac:dyDescent="0.25">
      <c r="A803" s="1">
        <v>44997</v>
      </c>
      <c r="B803">
        <v>2</v>
      </c>
      <c r="C803" t="s">
        <v>6</v>
      </c>
      <c r="D803">
        <v>191</v>
      </c>
      <c r="E803">
        <v>3082.82</v>
      </c>
    </row>
    <row r="804" spans="1:5" x14ac:dyDescent="0.25">
      <c r="A804" s="1">
        <v>44998</v>
      </c>
      <c r="B804">
        <v>2</v>
      </c>
      <c r="C804" t="s">
        <v>6</v>
      </c>
      <c r="D804">
        <v>198</v>
      </c>
      <c r="E804">
        <v>3488.19</v>
      </c>
    </row>
    <row r="805" spans="1:5" x14ac:dyDescent="0.25">
      <c r="A805" s="1">
        <v>44999</v>
      </c>
      <c r="B805">
        <v>2</v>
      </c>
      <c r="C805" t="s">
        <v>6</v>
      </c>
      <c r="D805">
        <v>181</v>
      </c>
      <c r="E805">
        <v>2936.61</v>
      </c>
    </row>
    <row r="806" spans="1:5" x14ac:dyDescent="0.25">
      <c r="A806" s="1">
        <v>45000</v>
      </c>
      <c r="B806">
        <v>2</v>
      </c>
      <c r="C806" t="s">
        <v>6</v>
      </c>
      <c r="D806">
        <v>178</v>
      </c>
      <c r="E806">
        <v>3017.37</v>
      </c>
    </row>
    <row r="807" spans="1:5" x14ac:dyDescent="0.25">
      <c r="A807" s="1">
        <v>45001</v>
      </c>
      <c r="B807">
        <v>2</v>
      </c>
      <c r="C807" t="s">
        <v>6</v>
      </c>
      <c r="D807">
        <v>195</v>
      </c>
      <c r="E807">
        <v>3197.06</v>
      </c>
    </row>
    <row r="808" spans="1:5" x14ac:dyDescent="0.25">
      <c r="A808" s="1">
        <v>45002</v>
      </c>
      <c r="B808">
        <v>2</v>
      </c>
      <c r="C808" t="s">
        <v>6</v>
      </c>
      <c r="D808">
        <v>211</v>
      </c>
      <c r="E808">
        <v>3907.56</v>
      </c>
    </row>
    <row r="809" spans="1:5" x14ac:dyDescent="0.25">
      <c r="A809" s="1">
        <v>45003</v>
      </c>
      <c r="B809">
        <v>2</v>
      </c>
      <c r="C809" t="s">
        <v>6</v>
      </c>
      <c r="D809">
        <v>182</v>
      </c>
      <c r="E809">
        <v>3111.84</v>
      </c>
    </row>
    <row r="810" spans="1:5" x14ac:dyDescent="0.25">
      <c r="A810" s="1">
        <v>45004</v>
      </c>
      <c r="B810">
        <v>2</v>
      </c>
      <c r="C810" t="s">
        <v>6</v>
      </c>
      <c r="D810">
        <v>205</v>
      </c>
      <c r="E810">
        <v>3549</v>
      </c>
    </row>
    <row r="811" spans="1:5" x14ac:dyDescent="0.25">
      <c r="A811" s="1">
        <v>45005</v>
      </c>
      <c r="B811">
        <v>2</v>
      </c>
      <c r="C811" t="s">
        <v>6</v>
      </c>
      <c r="D811">
        <v>183</v>
      </c>
      <c r="E811">
        <v>3213.68</v>
      </c>
    </row>
    <row r="812" spans="1:5" x14ac:dyDescent="0.25">
      <c r="A812" s="1">
        <v>45006</v>
      </c>
      <c r="B812">
        <v>2</v>
      </c>
      <c r="C812" t="s">
        <v>6</v>
      </c>
      <c r="D812">
        <v>172</v>
      </c>
      <c r="E812">
        <v>2895.38</v>
      </c>
    </row>
    <row r="813" spans="1:5" x14ac:dyDescent="0.25">
      <c r="A813" s="1">
        <v>45007</v>
      </c>
      <c r="B813">
        <v>2</v>
      </c>
      <c r="C813" t="s">
        <v>6</v>
      </c>
      <c r="D813">
        <v>215</v>
      </c>
      <c r="E813">
        <v>3832.82</v>
      </c>
    </row>
    <row r="814" spans="1:5" x14ac:dyDescent="0.25">
      <c r="A814" s="1">
        <v>45008</v>
      </c>
      <c r="B814">
        <v>2</v>
      </c>
      <c r="C814" t="s">
        <v>6</v>
      </c>
      <c r="D814">
        <v>217</v>
      </c>
      <c r="E814">
        <v>3678.53</v>
      </c>
    </row>
    <row r="815" spans="1:5" x14ac:dyDescent="0.25">
      <c r="A815" s="1">
        <v>45009</v>
      </c>
      <c r="B815">
        <v>2</v>
      </c>
      <c r="C815" t="s">
        <v>6</v>
      </c>
      <c r="D815">
        <v>211</v>
      </c>
      <c r="E815">
        <v>3539.08</v>
      </c>
    </row>
    <row r="816" spans="1:5" x14ac:dyDescent="0.25">
      <c r="A816" s="1">
        <v>45010</v>
      </c>
      <c r="B816">
        <v>2</v>
      </c>
      <c r="C816" t="s">
        <v>6</v>
      </c>
      <c r="D816">
        <v>234</v>
      </c>
      <c r="E816">
        <v>3514.03</v>
      </c>
    </row>
    <row r="817" spans="1:5" x14ac:dyDescent="0.25">
      <c r="A817" s="1">
        <v>45011</v>
      </c>
      <c r="B817">
        <v>2</v>
      </c>
      <c r="C817" t="s">
        <v>6</v>
      </c>
      <c r="D817">
        <v>219</v>
      </c>
      <c r="E817">
        <v>3555.29</v>
      </c>
    </row>
    <row r="818" spans="1:5" x14ac:dyDescent="0.25">
      <c r="A818" s="1">
        <v>45012</v>
      </c>
      <c r="B818">
        <v>2</v>
      </c>
      <c r="C818" t="s">
        <v>6</v>
      </c>
      <c r="D818">
        <v>196</v>
      </c>
      <c r="E818">
        <v>3399.26</v>
      </c>
    </row>
    <row r="819" spans="1:5" x14ac:dyDescent="0.25">
      <c r="A819" s="1">
        <v>45013</v>
      </c>
      <c r="B819">
        <v>2</v>
      </c>
      <c r="C819" t="s">
        <v>6</v>
      </c>
      <c r="D819">
        <v>198</v>
      </c>
      <c r="E819">
        <v>3445.28</v>
      </c>
    </row>
    <row r="820" spans="1:5" x14ac:dyDescent="0.25">
      <c r="A820" s="1">
        <v>45014</v>
      </c>
      <c r="B820">
        <v>2</v>
      </c>
      <c r="C820" t="s">
        <v>6</v>
      </c>
      <c r="D820">
        <v>177</v>
      </c>
      <c r="E820">
        <v>3183.23</v>
      </c>
    </row>
    <row r="821" spans="1:5" x14ac:dyDescent="0.25">
      <c r="A821" s="1">
        <v>45015</v>
      </c>
      <c r="B821">
        <v>2</v>
      </c>
      <c r="C821" t="s">
        <v>6</v>
      </c>
      <c r="D821">
        <v>223</v>
      </c>
      <c r="E821">
        <v>4019.88</v>
      </c>
    </row>
    <row r="822" spans="1:5" x14ac:dyDescent="0.25">
      <c r="A822" s="1">
        <v>45016</v>
      </c>
      <c r="B822">
        <v>2</v>
      </c>
      <c r="C822" t="s">
        <v>6</v>
      </c>
      <c r="D822">
        <v>199</v>
      </c>
      <c r="E822">
        <v>3266.66</v>
      </c>
    </row>
    <row r="823" spans="1:5" x14ac:dyDescent="0.25">
      <c r="A823" s="1">
        <v>45017</v>
      </c>
      <c r="B823">
        <v>2</v>
      </c>
      <c r="C823" t="s">
        <v>6</v>
      </c>
      <c r="D823">
        <v>267</v>
      </c>
      <c r="E823">
        <v>4540.43</v>
      </c>
    </row>
    <row r="824" spans="1:5" x14ac:dyDescent="0.25">
      <c r="A824" s="1">
        <v>45018</v>
      </c>
      <c r="B824">
        <v>2</v>
      </c>
      <c r="C824" t="s">
        <v>6</v>
      </c>
      <c r="D824">
        <v>274</v>
      </c>
      <c r="E824">
        <v>4751.9399999999996</v>
      </c>
    </row>
    <row r="825" spans="1:5" x14ac:dyDescent="0.25">
      <c r="A825" s="1">
        <v>45019</v>
      </c>
      <c r="B825">
        <v>2</v>
      </c>
      <c r="C825" t="s">
        <v>6</v>
      </c>
      <c r="D825">
        <v>198</v>
      </c>
      <c r="E825">
        <v>3463.05</v>
      </c>
    </row>
    <row r="826" spans="1:5" x14ac:dyDescent="0.25">
      <c r="A826" s="1">
        <v>45020</v>
      </c>
      <c r="B826">
        <v>2</v>
      </c>
      <c r="C826" t="s">
        <v>6</v>
      </c>
      <c r="D826">
        <v>208</v>
      </c>
      <c r="E826">
        <v>3805.38</v>
      </c>
    </row>
    <row r="827" spans="1:5" x14ac:dyDescent="0.25">
      <c r="A827" s="1">
        <v>45021</v>
      </c>
      <c r="B827">
        <v>2</v>
      </c>
      <c r="C827" t="s">
        <v>6</v>
      </c>
      <c r="D827">
        <v>221</v>
      </c>
      <c r="E827">
        <v>3572.72</v>
      </c>
    </row>
    <row r="828" spans="1:5" x14ac:dyDescent="0.25">
      <c r="A828" s="1">
        <v>45022</v>
      </c>
      <c r="B828">
        <v>2</v>
      </c>
      <c r="C828" t="s">
        <v>6</v>
      </c>
      <c r="D828">
        <v>191</v>
      </c>
      <c r="E828">
        <v>3367.21</v>
      </c>
    </row>
    <row r="829" spans="1:5" x14ac:dyDescent="0.25">
      <c r="A829" s="1">
        <v>45023</v>
      </c>
      <c r="B829">
        <v>2</v>
      </c>
      <c r="C829" t="s">
        <v>6</v>
      </c>
      <c r="D829">
        <v>217</v>
      </c>
      <c r="E829">
        <v>3476.89</v>
      </c>
    </row>
    <row r="830" spans="1:5" x14ac:dyDescent="0.25">
      <c r="A830" s="1">
        <v>45024</v>
      </c>
      <c r="B830">
        <v>2</v>
      </c>
      <c r="C830" t="s">
        <v>6</v>
      </c>
      <c r="D830">
        <v>242</v>
      </c>
      <c r="E830">
        <v>4044.95</v>
      </c>
    </row>
    <row r="831" spans="1:5" x14ac:dyDescent="0.25">
      <c r="A831" s="1">
        <v>45025</v>
      </c>
      <c r="B831">
        <v>2</v>
      </c>
      <c r="C831" t="s">
        <v>6</v>
      </c>
      <c r="D831">
        <v>224</v>
      </c>
      <c r="E831">
        <v>3948.92</v>
      </c>
    </row>
    <row r="832" spans="1:5" x14ac:dyDescent="0.25">
      <c r="A832" s="1">
        <v>45026</v>
      </c>
      <c r="B832">
        <v>2</v>
      </c>
      <c r="C832" t="s">
        <v>6</v>
      </c>
      <c r="D832">
        <v>199</v>
      </c>
      <c r="E832">
        <v>3352.44</v>
      </c>
    </row>
    <row r="833" spans="1:5" x14ac:dyDescent="0.25">
      <c r="A833" s="1">
        <v>45027</v>
      </c>
      <c r="B833">
        <v>2</v>
      </c>
      <c r="C833" t="s">
        <v>6</v>
      </c>
      <c r="D833">
        <v>187</v>
      </c>
      <c r="E833">
        <v>3204.84</v>
      </c>
    </row>
    <row r="834" spans="1:5" x14ac:dyDescent="0.25">
      <c r="A834" s="1">
        <v>45028</v>
      </c>
      <c r="B834">
        <v>2</v>
      </c>
      <c r="C834" t="s">
        <v>6</v>
      </c>
      <c r="D834">
        <v>197</v>
      </c>
      <c r="E834">
        <v>3417.13</v>
      </c>
    </row>
    <row r="835" spans="1:5" x14ac:dyDescent="0.25">
      <c r="A835" s="1">
        <v>45029</v>
      </c>
      <c r="B835">
        <v>2</v>
      </c>
      <c r="C835" t="s">
        <v>6</v>
      </c>
      <c r="D835">
        <v>188</v>
      </c>
      <c r="E835">
        <v>3221.73</v>
      </c>
    </row>
    <row r="836" spans="1:5" x14ac:dyDescent="0.25">
      <c r="A836" s="1">
        <v>45030</v>
      </c>
      <c r="B836">
        <v>2</v>
      </c>
      <c r="C836" t="s">
        <v>6</v>
      </c>
      <c r="D836">
        <v>131</v>
      </c>
      <c r="E836">
        <v>2205.1999999999998</v>
      </c>
    </row>
    <row r="837" spans="1:5" x14ac:dyDescent="0.25">
      <c r="A837" s="1">
        <v>45031</v>
      </c>
      <c r="B837">
        <v>2</v>
      </c>
      <c r="C837" t="s">
        <v>6</v>
      </c>
      <c r="D837">
        <v>214</v>
      </c>
      <c r="E837">
        <v>3657.83</v>
      </c>
    </row>
    <row r="838" spans="1:5" x14ac:dyDescent="0.25">
      <c r="A838" s="1">
        <v>45032</v>
      </c>
      <c r="B838">
        <v>2</v>
      </c>
      <c r="C838" t="s">
        <v>6</v>
      </c>
      <c r="D838">
        <v>232</v>
      </c>
      <c r="E838">
        <v>4099.46</v>
      </c>
    </row>
    <row r="839" spans="1:5" x14ac:dyDescent="0.25">
      <c r="A839" s="1">
        <v>45033</v>
      </c>
      <c r="B839">
        <v>2</v>
      </c>
      <c r="C839" t="s">
        <v>6</v>
      </c>
      <c r="D839">
        <v>207</v>
      </c>
      <c r="E839">
        <v>3676.18</v>
      </c>
    </row>
    <row r="840" spans="1:5" x14ac:dyDescent="0.25">
      <c r="A840" s="1">
        <v>45034</v>
      </c>
      <c r="B840">
        <v>2</v>
      </c>
      <c r="C840" t="s">
        <v>6</v>
      </c>
      <c r="D840">
        <v>195</v>
      </c>
      <c r="E840">
        <v>3233.41</v>
      </c>
    </row>
    <row r="841" spans="1:5" x14ac:dyDescent="0.25">
      <c r="A841" s="1">
        <v>45035</v>
      </c>
      <c r="B841">
        <v>2</v>
      </c>
      <c r="C841" t="s">
        <v>6</v>
      </c>
      <c r="D841">
        <v>195</v>
      </c>
      <c r="E841">
        <v>3189.98</v>
      </c>
    </row>
    <row r="842" spans="1:5" x14ac:dyDescent="0.25">
      <c r="A842" s="1">
        <v>45036</v>
      </c>
      <c r="B842">
        <v>2</v>
      </c>
      <c r="C842" t="s">
        <v>6</v>
      </c>
      <c r="D842">
        <v>195</v>
      </c>
      <c r="E842">
        <v>3239.74</v>
      </c>
    </row>
    <row r="843" spans="1:5" x14ac:dyDescent="0.25">
      <c r="A843" s="1">
        <v>45037</v>
      </c>
      <c r="B843">
        <v>2</v>
      </c>
      <c r="C843" t="s">
        <v>6</v>
      </c>
      <c r="D843">
        <v>220</v>
      </c>
      <c r="E843">
        <v>3816.58</v>
      </c>
    </row>
    <row r="844" spans="1:5" x14ac:dyDescent="0.25">
      <c r="A844" s="1">
        <v>45038</v>
      </c>
      <c r="B844">
        <v>2</v>
      </c>
      <c r="C844" t="s">
        <v>6</v>
      </c>
      <c r="D844">
        <v>257</v>
      </c>
      <c r="E844">
        <v>4708.8500000000004</v>
      </c>
    </row>
    <row r="845" spans="1:5" x14ac:dyDescent="0.25">
      <c r="A845" s="1">
        <v>45039</v>
      </c>
      <c r="B845">
        <v>2</v>
      </c>
      <c r="C845" t="s">
        <v>6</v>
      </c>
      <c r="D845">
        <v>231</v>
      </c>
      <c r="E845">
        <v>3522.98</v>
      </c>
    </row>
    <row r="846" spans="1:5" x14ac:dyDescent="0.25">
      <c r="A846" s="1">
        <v>45040</v>
      </c>
      <c r="B846">
        <v>2</v>
      </c>
      <c r="C846" t="s">
        <v>6</v>
      </c>
      <c r="D846">
        <v>192</v>
      </c>
      <c r="E846">
        <v>3220.86</v>
      </c>
    </row>
    <row r="847" spans="1:5" x14ac:dyDescent="0.25">
      <c r="A847" s="1">
        <v>45041</v>
      </c>
      <c r="B847">
        <v>2</v>
      </c>
      <c r="C847" t="s">
        <v>6</v>
      </c>
      <c r="D847">
        <v>163</v>
      </c>
      <c r="E847">
        <v>2917.36</v>
      </c>
    </row>
    <row r="848" spans="1:5" x14ac:dyDescent="0.25">
      <c r="A848" s="1">
        <v>45042</v>
      </c>
      <c r="B848">
        <v>2</v>
      </c>
      <c r="C848" t="s">
        <v>6</v>
      </c>
      <c r="D848">
        <v>192</v>
      </c>
      <c r="E848">
        <v>3647.06</v>
      </c>
    </row>
    <row r="849" spans="1:5" x14ac:dyDescent="0.25">
      <c r="A849" s="1">
        <v>45043</v>
      </c>
      <c r="B849">
        <v>2</v>
      </c>
      <c r="C849" t="s">
        <v>6</v>
      </c>
      <c r="D849">
        <v>237</v>
      </c>
      <c r="E849">
        <v>3953.75</v>
      </c>
    </row>
    <row r="850" spans="1:5" x14ac:dyDescent="0.25">
      <c r="A850" s="1">
        <v>45044</v>
      </c>
      <c r="B850">
        <v>2</v>
      </c>
      <c r="C850" t="s">
        <v>6</v>
      </c>
      <c r="D850">
        <v>195</v>
      </c>
      <c r="E850">
        <v>3398.63</v>
      </c>
    </row>
    <row r="851" spans="1:5" x14ac:dyDescent="0.25">
      <c r="A851" s="1">
        <v>45045</v>
      </c>
      <c r="B851">
        <v>2</v>
      </c>
      <c r="C851" t="s">
        <v>6</v>
      </c>
      <c r="D851">
        <v>237</v>
      </c>
      <c r="E851">
        <v>4021.68</v>
      </c>
    </row>
    <row r="852" spans="1:5" x14ac:dyDescent="0.25">
      <c r="A852" s="1">
        <v>45046</v>
      </c>
      <c r="B852">
        <v>2</v>
      </c>
      <c r="C852" t="s">
        <v>6</v>
      </c>
      <c r="D852">
        <v>229</v>
      </c>
      <c r="E852">
        <v>3626.56</v>
      </c>
    </row>
    <row r="853" spans="1:5" x14ac:dyDescent="0.25">
      <c r="A853" s="1">
        <v>45047</v>
      </c>
      <c r="B853">
        <v>2</v>
      </c>
      <c r="C853" t="s">
        <v>6</v>
      </c>
      <c r="D853">
        <v>178</v>
      </c>
      <c r="E853">
        <v>2861.3</v>
      </c>
    </row>
    <row r="854" spans="1:5" x14ac:dyDescent="0.25">
      <c r="A854" s="1">
        <v>45048</v>
      </c>
      <c r="B854">
        <v>2</v>
      </c>
      <c r="C854" t="s">
        <v>6</v>
      </c>
      <c r="D854">
        <v>221</v>
      </c>
      <c r="E854">
        <v>3409.68</v>
      </c>
    </row>
    <row r="855" spans="1:5" x14ac:dyDescent="0.25">
      <c r="A855" s="1">
        <v>45049</v>
      </c>
      <c r="B855">
        <v>2</v>
      </c>
      <c r="C855" t="s">
        <v>6</v>
      </c>
      <c r="D855">
        <v>166</v>
      </c>
      <c r="E855">
        <v>3000.68</v>
      </c>
    </row>
    <row r="856" spans="1:5" x14ac:dyDescent="0.25">
      <c r="A856" s="1">
        <v>45050</v>
      </c>
      <c r="B856">
        <v>2</v>
      </c>
      <c r="C856" t="s">
        <v>6</v>
      </c>
      <c r="D856">
        <v>215</v>
      </c>
      <c r="E856">
        <v>3471.6</v>
      </c>
    </row>
    <row r="857" spans="1:5" x14ac:dyDescent="0.25">
      <c r="A857" s="1">
        <v>45051</v>
      </c>
      <c r="B857">
        <v>2</v>
      </c>
      <c r="C857" t="s">
        <v>6</v>
      </c>
      <c r="D857">
        <v>202</v>
      </c>
      <c r="E857">
        <v>3376.89</v>
      </c>
    </row>
    <row r="858" spans="1:5" x14ac:dyDescent="0.25">
      <c r="A858" s="1">
        <v>45052</v>
      </c>
      <c r="B858">
        <v>2</v>
      </c>
      <c r="C858" t="s">
        <v>6</v>
      </c>
      <c r="D858">
        <v>245</v>
      </c>
      <c r="E858">
        <v>3496.46</v>
      </c>
    </row>
    <row r="859" spans="1:5" x14ac:dyDescent="0.25">
      <c r="A859" s="1">
        <v>45053</v>
      </c>
      <c r="B859">
        <v>2</v>
      </c>
      <c r="C859" t="s">
        <v>6</v>
      </c>
      <c r="D859">
        <v>256</v>
      </c>
      <c r="E859">
        <v>4360.62</v>
      </c>
    </row>
    <row r="860" spans="1:5" x14ac:dyDescent="0.25">
      <c r="A860" s="1">
        <v>45054</v>
      </c>
      <c r="B860">
        <v>2</v>
      </c>
      <c r="C860" t="s">
        <v>6</v>
      </c>
      <c r="D860">
        <v>216</v>
      </c>
      <c r="E860">
        <v>3429.57</v>
      </c>
    </row>
    <row r="861" spans="1:5" x14ac:dyDescent="0.25">
      <c r="A861" s="1">
        <v>45055</v>
      </c>
      <c r="B861">
        <v>2</v>
      </c>
      <c r="C861" t="s">
        <v>6</v>
      </c>
      <c r="D861">
        <v>200</v>
      </c>
      <c r="E861">
        <v>3541.42</v>
      </c>
    </row>
    <row r="862" spans="1:5" x14ac:dyDescent="0.25">
      <c r="A862" s="1">
        <v>45056</v>
      </c>
      <c r="B862">
        <v>2</v>
      </c>
      <c r="C862" t="s">
        <v>6</v>
      </c>
      <c r="D862">
        <v>215</v>
      </c>
      <c r="E862">
        <v>3503.98</v>
      </c>
    </row>
    <row r="863" spans="1:5" x14ac:dyDescent="0.25">
      <c r="A863" s="1">
        <v>45057</v>
      </c>
      <c r="B863">
        <v>2</v>
      </c>
      <c r="C863" t="s">
        <v>6</v>
      </c>
      <c r="D863">
        <v>228</v>
      </c>
      <c r="E863">
        <v>4112.21</v>
      </c>
    </row>
    <row r="864" spans="1:5" x14ac:dyDescent="0.25">
      <c r="A864" s="1">
        <v>45058</v>
      </c>
      <c r="B864">
        <v>2</v>
      </c>
      <c r="C864" t="s">
        <v>6</v>
      </c>
      <c r="D864">
        <v>208</v>
      </c>
      <c r="E864">
        <v>3436.57</v>
      </c>
    </row>
    <row r="865" spans="1:5" x14ac:dyDescent="0.25">
      <c r="A865" s="1">
        <v>45059</v>
      </c>
      <c r="B865">
        <v>2</v>
      </c>
      <c r="C865" t="s">
        <v>6</v>
      </c>
      <c r="D865">
        <v>218</v>
      </c>
      <c r="E865">
        <v>3727.04</v>
      </c>
    </row>
    <row r="866" spans="1:5" x14ac:dyDescent="0.25">
      <c r="A866" s="1">
        <v>45060</v>
      </c>
      <c r="B866">
        <v>2</v>
      </c>
      <c r="C866" t="s">
        <v>6</v>
      </c>
      <c r="D866">
        <v>201</v>
      </c>
      <c r="E866">
        <v>3365.47</v>
      </c>
    </row>
    <row r="867" spans="1:5" x14ac:dyDescent="0.25">
      <c r="A867" s="1">
        <v>45061</v>
      </c>
      <c r="B867">
        <v>2</v>
      </c>
      <c r="C867" t="s">
        <v>6</v>
      </c>
      <c r="D867">
        <v>223</v>
      </c>
      <c r="E867">
        <v>3563.15</v>
      </c>
    </row>
    <row r="868" spans="1:5" x14ac:dyDescent="0.25">
      <c r="A868" s="1">
        <v>45062</v>
      </c>
      <c r="B868">
        <v>2</v>
      </c>
      <c r="C868" t="s">
        <v>6</v>
      </c>
      <c r="D868">
        <v>229</v>
      </c>
      <c r="E868">
        <v>3886.24</v>
      </c>
    </row>
    <row r="869" spans="1:5" x14ac:dyDescent="0.25">
      <c r="A869" s="1">
        <v>45063</v>
      </c>
      <c r="B869">
        <v>2</v>
      </c>
      <c r="C869" t="s">
        <v>6</v>
      </c>
      <c r="D869">
        <v>169</v>
      </c>
      <c r="E869">
        <v>2768.99</v>
      </c>
    </row>
    <row r="870" spans="1:5" x14ac:dyDescent="0.25">
      <c r="A870" s="1">
        <v>45064</v>
      </c>
      <c r="B870">
        <v>2</v>
      </c>
      <c r="C870" t="s">
        <v>6</v>
      </c>
      <c r="D870">
        <v>206</v>
      </c>
      <c r="E870">
        <v>3349.23</v>
      </c>
    </row>
    <row r="871" spans="1:5" x14ac:dyDescent="0.25">
      <c r="A871" s="1">
        <v>45065</v>
      </c>
      <c r="B871">
        <v>2</v>
      </c>
      <c r="C871" t="s">
        <v>6</v>
      </c>
      <c r="D871">
        <v>205</v>
      </c>
      <c r="E871">
        <v>3451.49</v>
      </c>
    </row>
    <row r="872" spans="1:5" x14ac:dyDescent="0.25">
      <c r="A872" s="1">
        <v>45066</v>
      </c>
      <c r="B872">
        <v>2</v>
      </c>
      <c r="C872" t="s">
        <v>6</v>
      </c>
      <c r="D872">
        <v>237</v>
      </c>
      <c r="E872">
        <v>4156.47</v>
      </c>
    </row>
    <row r="873" spans="1:5" x14ac:dyDescent="0.25">
      <c r="A873" s="1">
        <v>45067</v>
      </c>
      <c r="B873">
        <v>2</v>
      </c>
      <c r="C873" t="s">
        <v>6</v>
      </c>
      <c r="D873">
        <v>225</v>
      </c>
      <c r="E873">
        <v>3768.31</v>
      </c>
    </row>
    <row r="874" spans="1:5" x14ac:dyDescent="0.25">
      <c r="A874" s="1">
        <v>45068</v>
      </c>
      <c r="B874">
        <v>2</v>
      </c>
      <c r="C874" t="s">
        <v>6</v>
      </c>
      <c r="D874">
        <v>187</v>
      </c>
      <c r="E874">
        <v>2990.44</v>
      </c>
    </row>
    <row r="875" spans="1:5" x14ac:dyDescent="0.25">
      <c r="A875" s="1">
        <v>45069</v>
      </c>
      <c r="B875">
        <v>2</v>
      </c>
      <c r="C875" t="s">
        <v>6</v>
      </c>
      <c r="D875">
        <v>233</v>
      </c>
      <c r="E875">
        <v>3887.21</v>
      </c>
    </row>
    <row r="876" spans="1:5" x14ac:dyDescent="0.25">
      <c r="A876" s="1">
        <v>45070</v>
      </c>
      <c r="B876">
        <v>2</v>
      </c>
      <c r="C876" t="s">
        <v>6</v>
      </c>
      <c r="D876">
        <v>256</v>
      </c>
      <c r="E876">
        <v>3964.24</v>
      </c>
    </row>
    <row r="877" spans="1:5" x14ac:dyDescent="0.25">
      <c r="A877" s="1">
        <v>45071</v>
      </c>
      <c r="B877">
        <v>2</v>
      </c>
      <c r="C877" t="s">
        <v>6</v>
      </c>
      <c r="D877">
        <v>223</v>
      </c>
      <c r="E877">
        <v>3663.75</v>
      </c>
    </row>
    <row r="878" spans="1:5" x14ac:dyDescent="0.25">
      <c r="A878" s="1">
        <v>45072</v>
      </c>
      <c r="B878">
        <v>2</v>
      </c>
      <c r="C878" t="s">
        <v>6</v>
      </c>
      <c r="D878">
        <v>206</v>
      </c>
      <c r="E878">
        <v>3689.33</v>
      </c>
    </row>
    <row r="879" spans="1:5" x14ac:dyDescent="0.25">
      <c r="A879" s="1">
        <v>45073</v>
      </c>
      <c r="B879">
        <v>2</v>
      </c>
      <c r="C879" t="s">
        <v>6</v>
      </c>
      <c r="D879">
        <v>236</v>
      </c>
      <c r="E879">
        <v>4338.62</v>
      </c>
    </row>
    <row r="880" spans="1:5" x14ac:dyDescent="0.25">
      <c r="A880" s="1">
        <v>45074</v>
      </c>
      <c r="B880">
        <v>2</v>
      </c>
      <c r="C880" t="s">
        <v>6</v>
      </c>
      <c r="D880">
        <v>219</v>
      </c>
      <c r="E880">
        <v>3689.44</v>
      </c>
    </row>
    <row r="881" spans="1:5" x14ac:dyDescent="0.25">
      <c r="A881" s="1">
        <v>45075</v>
      </c>
      <c r="B881">
        <v>2</v>
      </c>
      <c r="C881" t="s">
        <v>6</v>
      </c>
      <c r="D881">
        <v>194</v>
      </c>
      <c r="E881">
        <v>3661.34</v>
      </c>
    </row>
    <row r="882" spans="1:5" x14ac:dyDescent="0.25">
      <c r="A882" s="1">
        <v>45076</v>
      </c>
      <c r="B882">
        <v>2</v>
      </c>
      <c r="C882" t="s">
        <v>6</v>
      </c>
      <c r="D882">
        <v>248</v>
      </c>
      <c r="E882">
        <v>4391.79</v>
      </c>
    </row>
    <row r="883" spans="1:5" x14ac:dyDescent="0.25">
      <c r="A883" s="1">
        <v>45077</v>
      </c>
      <c r="B883">
        <v>2</v>
      </c>
      <c r="C883" t="s">
        <v>6</v>
      </c>
      <c r="D883">
        <v>227</v>
      </c>
      <c r="E883">
        <v>3957.86</v>
      </c>
    </row>
    <row r="884" spans="1:5" x14ac:dyDescent="0.25">
      <c r="A884" s="1">
        <v>45078</v>
      </c>
      <c r="B884">
        <v>2</v>
      </c>
      <c r="C884" t="s">
        <v>6</v>
      </c>
      <c r="D884">
        <v>227</v>
      </c>
      <c r="E884">
        <v>4079.34</v>
      </c>
    </row>
    <row r="885" spans="1:5" x14ac:dyDescent="0.25">
      <c r="A885" s="1">
        <v>45079</v>
      </c>
      <c r="B885">
        <v>2</v>
      </c>
      <c r="C885" t="s">
        <v>6</v>
      </c>
      <c r="D885">
        <v>187</v>
      </c>
      <c r="E885">
        <v>3511.3</v>
      </c>
    </row>
    <row r="886" spans="1:5" x14ac:dyDescent="0.25">
      <c r="A886" s="1">
        <v>45080</v>
      </c>
      <c r="B886">
        <v>2</v>
      </c>
      <c r="C886" t="s">
        <v>6</v>
      </c>
      <c r="D886">
        <v>247</v>
      </c>
      <c r="E886">
        <v>4458.26</v>
      </c>
    </row>
    <row r="887" spans="1:5" x14ac:dyDescent="0.25">
      <c r="A887" s="1">
        <v>45081</v>
      </c>
      <c r="B887">
        <v>2</v>
      </c>
      <c r="C887" t="s">
        <v>6</v>
      </c>
      <c r="D887">
        <v>278</v>
      </c>
      <c r="E887">
        <v>4949.16</v>
      </c>
    </row>
    <row r="888" spans="1:5" x14ac:dyDescent="0.25">
      <c r="A888" s="1">
        <v>45082</v>
      </c>
      <c r="B888">
        <v>2</v>
      </c>
      <c r="C888" t="s">
        <v>6</v>
      </c>
      <c r="D888">
        <v>263</v>
      </c>
      <c r="E888">
        <v>4537.96</v>
      </c>
    </row>
    <row r="889" spans="1:5" x14ac:dyDescent="0.25">
      <c r="A889" s="1">
        <v>45083</v>
      </c>
      <c r="B889">
        <v>2</v>
      </c>
      <c r="C889" t="s">
        <v>6</v>
      </c>
      <c r="D889">
        <v>243</v>
      </c>
      <c r="E889">
        <v>4068.1</v>
      </c>
    </row>
    <row r="890" spans="1:5" x14ac:dyDescent="0.25">
      <c r="A890" s="1">
        <v>45084</v>
      </c>
      <c r="B890">
        <v>2</v>
      </c>
      <c r="C890" t="s">
        <v>6</v>
      </c>
      <c r="D890">
        <v>217</v>
      </c>
      <c r="E890">
        <v>3692.44</v>
      </c>
    </row>
    <row r="891" spans="1:5" x14ac:dyDescent="0.25">
      <c r="A891" s="1">
        <v>45085</v>
      </c>
      <c r="B891">
        <v>2</v>
      </c>
      <c r="C891" t="s">
        <v>6</v>
      </c>
      <c r="D891">
        <v>244</v>
      </c>
      <c r="E891">
        <v>4326.43</v>
      </c>
    </row>
    <row r="892" spans="1:5" x14ac:dyDescent="0.25">
      <c r="A892" s="1">
        <v>45086</v>
      </c>
      <c r="B892">
        <v>2</v>
      </c>
      <c r="C892" t="s">
        <v>6</v>
      </c>
      <c r="D892">
        <v>235</v>
      </c>
      <c r="E892">
        <v>3987.83</v>
      </c>
    </row>
    <row r="893" spans="1:5" x14ac:dyDescent="0.25">
      <c r="A893" s="1">
        <v>45087</v>
      </c>
      <c r="B893">
        <v>2</v>
      </c>
      <c r="C893" t="s">
        <v>6</v>
      </c>
      <c r="D893">
        <v>256</v>
      </c>
      <c r="E893">
        <v>4390.92</v>
      </c>
    </row>
    <row r="894" spans="1:5" x14ac:dyDescent="0.25">
      <c r="A894" s="1">
        <v>45088</v>
      </c>
      <c r="B894">
        <v>2</v>
      </c>
      <c r="C894" t="s">
        <v>6</v>
      </c>
      <c r="D894">
        <v>276</v>
      </c>
      <c r="E894">
        <v>4705.92</v>
      </c>
    </row>
    <row r="895" spans="1:5" x14ac:dyDescent="0.25">
      <c r="A895" s="1">
        <v>45089</v>
      </c>
      <c r="B895">
        <v>2</v>
      </c>
      <c r="C895" t="s">
        <v>6</v>
      </c>
      <c r="D895">
        <v>245</v>
      </c>
      <c r="E895">
        <v>4403.21</v>
      </c>
    </row>
    <row r="896" spans="1:5" x14ac:dyDescent="0.25">
      <c r="A896" s="1">
        <v>45090</v>
      </c>
      <c r="B896">
        <v>2</v>
      </c>
      <c r="C896" t="s">
        <v>6</v>
      </c>
      <c r="D896">
        <v>267</v>
      </c>
      <c r="E896">
        <v>4214.41</v>
      </c>
    </row>
    <row r="897" spans="1:5" x14ac:dyDescent="0.25">
      <c r="A897" s="1">
        <v>45091</v>
      </c>
      <c r="B897">
        <v>2</v>
      </c>
      <c r="C897" t="s">
        <v>6</v>
      </c>
      <c r="D897">
        <v>254</v>
      </c>
      <c r="E897">
        <v>4405.3</v>
      </c>
    </row>
    <row r="898" spans="1:5" x14ac:dyDescent="0.25">
      <c r="A898" s="1">
        <v>45092</v>
      </c>
      <c r="B898">
        <v>2</v>
      </c>
      <c r="C898" t="s">
        <v>6</v>
      </c>
      <c r="D898">
        <v>239</v>
      </c>
      <c r="E898">
        <v>3868.56</v>
      </c>
    </row>
    <row r="899" spans="1:5" x14ac:dyDescent="0.25">
      <c r="A899" s="1">
        <v>45093</v>
      </c>
      <c r="B899">
        <v>2</v>
      </c>
      <c r="C899" t="s">
        <v>6</v>
      </c>
      <c r="D899">
        <v>263</v>
      </c>
      <c r="E899">
        <v>4527.07</v>
      </c>
    </row>
    <row r="900" spans="1:5" x14ac:dyDescent="0.25">
      <c r="A900" s="1">
        <v>45094</v>
      </c>
      <c r="B900">
        <v>2</v>
      </c>
      <c r="C900" t="s">
        <v>6</v>
      </c>
      <c r="D900">
        <v>314</v>
      </c>
      <c r="E900">
        <v>5565.79</v>
      </c>
    </row>
    <row r="901" spans="1:5" x14ac:dyDescent="0.25">
      <c r="A901" s="1">
        <v>45095</v>
      </c>
      <c r="B901">
        <v>2</v>
      </c>
      <c r="C901" t="s">
        <v>6</v>
      </c>
      <c r="D901">
        <v>250</v>
      </c>
      <c r="E901">
        <v>4247.3100000000004</v>
      </c>
    </row>
    <row r="902" spans="1:5" x14ac:dyDescent="0.25">
      <c r="A902" s="1">
        <v>45096</v>
      </c>
      <c r="B902">
        <v>2</v>
      </c>
      <c r="C902" t="s">
        <v>6</v>
      </c>
      <c r="D902">
        <v>227</v>
      </c>
      <c r="E902">
        <v>3548.07</v>
      </c>
    </row>
    <row r="903" spans="1:5" x14ac:dyDescent="0.25">
      <c r="A903" s="1">
        <v>45097</v>
      </c>
      <c r="B903">
        <v>2</v>
      </c>
      <c r="C903" t="s">
        <v>6</v>
      </c>
      <c r="D903">
        <v>258</v>
      </c>
      <c r="E903">
        <v>4345.3</v>
      </c>
    </row>
    <row r="904" spans="1:5" x14ac:dyDescent="0.25">
      <c r="A904" s="1">
        <v>45098</v>
      </c>
      <c r="B904">
        <v>2</v>
      </c>
      <c r="C904" t="s">
        <v>6</v>
      </c>
      <c r="D904">
        <v>226</v>
      </c>
      <c r="E904">
        <v>4416.57</v>
      </c>
    </row>
    <row r="905" spans="1:5" x14ac:dyDescent="0.25">
      <c r="A905" s="1">
        <v>45099</v>
      </c>
      <c r="B905">
        <v>2</v>
      </c>
      <c r="C905" t="s">
        <v>6</v>
      </c>
      <c r="D905">
        <v>234</v>
      </c>
      <c r="E905">
        <v>3978.13</v>
      </c>
    </row>
    <row r="906" spans="1:5" x14ac:dyDescent="0.25">
      <c r="A906" s="1">
        <v>45100</v>
      </c>
      <c r="B906">
        <v>2</v>
      </c>
      <c r="C906" t="s">
        <v>6</v>
      </c>
      <c r="D906">
        <v>248</v>
      </c>
      <c r="E906">
        <v>4159.3599999999997</v>
      </c>
    </row>
    <row r="907" spans="1:5" x14ac:dyDescent="0.25">
      <c r="A907" s="1">
        <v>45101</v>
      </c>
      <c r="B907">
        <v>2</v>
      </c>
      <c r="C907" t="s">
        <v>6</v>
      </c>
      <c r="D907">
        <v>314</v>
      </c>
      <c r="E907">
        <v>5447.7</v>
      </c>
    </row>
    <row r="908" spans="1:5" x14ac:dyDescent="0.25">
      <c r="A908" s="1">
        <v>45102</v>
      </c>
      <c r="B908">
        <v>2</v>
      </c>
      <c r="C908" t="s">
        <v>6</v>
      </c>
      <c r="D908">
        <v>254</v>
      </c>
      <c r="E908">
        <v>4594.53</v>
      </c>
    </row>
    <row r="909" spans="1:5" x14ac:dyDescent="0.25">
      <c r="A909" s="1">
        <v>45103</v>
      </c>
      <c r="B909">
        <v>2</v>
      </c>
      <c r="C909" t="s">
        <v>6</v>
      </c>
      <c r="D909">
        <v>243</v>
      </c>
      <c r="E909">
        <v>4477.21</v>
      </c>
    </row>
    <row r="910" spans="1:5" x14ac:dyDescent="0.25">
      <c r="A910" s="1">
        <v>45104</v>
      </c>
      <c r="B910">
        <v>2</v>
      </c>
      <c r="C910" t="s">
        <v>6</v>
      </c>
      <c r="D910">
        <v>207</v>
      </c>
      <c r="E910">
        <v>3498.21</v>
      </c>
    </row>
    <row r="911" spans="1:5" x14ac:dyDescent="0.25">
      <c r="A911" s="1">
        <v>45105</v>
      </c>
      <c r="B911">
        <v>2</v>
      </c>
      <c r="C911" t="s">
        <v>6</v>
      </c>
      <c r="D911">
        <v>211</v>
      </c>
      <c r="E911">
        <v>3399.86</v>
      </c>
    </row>
    <row r="912" spans="1:5" x14ac:dyDescent="0.25">
      <c r="A912" s="1">
        <v>45106</v>
      </c>
      <c r="B912">
        <v>2</v>
      </c>
      <c r="C912" t="s">
        <v>6</v>
      </c>
      <c r="D912">
        <v>266</v>
      </c>
      <c r="E912">
        <v>4193.0600000000004</v>
      </c>
    </row>
    <row r="913" spans="1:5" x14ac:dyDescent="0.25">
      <c r="A913" s="1">
        <v>45107</v>
      </c>
      <c r="B913">
        <v>2</v>
      </c>
      <c r="C913" t="s">
        <v>6</v>
      </c>
      <c r="D913">
        <v>231</v>
      </c>
      <c r="E913">
        <v>4420.7700000000004</v>
      </c>
    </row>
    <row r="914" spans="1:5" x14ac:dyDescent="0.25">
      <c r="A914" s="1">
        <v>45108</v>
      </c>
      <c r="B914">
        <v>2</v>
      </c>
      <c r="C914" t="s">
        <v>6</v>
      </c>
      <c r="D914">
        <v>287</v>
      </c>
      <c r="E914">
        <v>4756.55</v>
      </c>
    </row>
    <row r="915" spans="1:5" x14ac:dyDescent="0.25">
      <c r="A915" s="1">
        <v>45109</v>
      </c>
      <c r="B915">
        <v>2</v>
      </c>
      <c r="C915" t="s">
        <v>6</v>
      </c>
      <c r="D915">
        <v>229</v>
      </c>
      <c r="E915">
        <v>3851.43</v>
      </c>
    </row>
    <row r="916" spans="1:5" x14ac:dyDescent="0.25">
      <c r="A916" s="1">
        <v>45110</v>
      </c>
      <c r="B916">
        <v>2</v>
      </c>
      <c r="C916" t="s">
        <v>6</v>
      </c>
      <c r="D916">
        <v>252</v>
      </c>
      <c r="E916">
        <v>4328.8900000000003</v>
      </c>
    </row>
    <row r="917" spans="1:5" x14ac:dyDescent="0.25">
      <c r="A917" s="1">
        <v>45111</v>
      </c>
      <c r="B917">
        <v>2</v>
      </c>
      <c r="C917" t="s">
        <v>6</v>
      </c>
      <c r="D917">
        <v>285</v>
      </c>
      <c r="E917">
        <v>4463.41</v>
      </c>
    </row>
    <row r="918" spans="1:5" x14ac:dyDescent="0.25">
      <c r="A918" s="1">
        <v>45112</v>
      </c>
      <c r="B918">
        <v>2</v>
      </c>
      <c r="C918" t="s">
        <v>6</v>
      </c>
      <c r="D918">
        <v>265</v>
      </c>
      <c r="E918">
        <v>4515.2700000000004</v>
      </c>
    </row>
    <row r="919" spans="1:5" x14ac:dyDescent="0.25">
      <c r="A919" s="1">
        <v>45113</v>
      </c>
      <c r="B919">
        <v>2</v>
      </c>
      <c r="C919" t="s">
        <v>6</v>
      </c>
      <c r="D919">
        <v>254</v>
      </c>
      <c r="E919">
        <v>4572.84</v>
      </c>
    </row>
    <row r="920" spans="1:5" x14ac:dyDescent="0.25">
      <c r="A920" s="1">
        <v>45114</v>
      </c>
      <c r="B920">
        <v>2</v>
      </c>
      <c r="C920" t="s">
        <v>6</v>
      </c>
      <c r="D920">
        <v>241</v>
      </c>
      <c r="E920">
        <v>3912.66</v>
      </c>
    </row>
    <row r="921" spans="1:5" x14ac:dyDescent="0.25">
      <c r="A921" s="1">
        <v>45115</v>
      </c>
      <c r="B921">
        <v>2</v>
      </c>
      <c r="C921" t="s">
        <v>6</v>
      </c>
      <c r="D921">
        <v>287</v>
      </c>
      <c r="E921">
        <v>4849.16</v>
      </c>
    </row>
    <row r="922" spans="1:5" x14ac:dyDescent="0.25">
      <c r="A922" s="1">
        <v>45116</v>
      </c>
      <c r="B922">
        <v>2</v>
      </c>
      <c r="C922" t="s">
        <v>6</v>
      </c>
      <c r="D922">
        <v>292</v>
      </c>
      <c r="E922">
        <v>4833.54</v>
      </c>
    </row>
    <row r="923" spans="1:5" x14ac:dyDescent="0.25">
      <c r="A923" s="1">
        <v>45117</v>
      </c>
      <c r="B923">
        <v>2</v>
      </c>
      <c r="C923" t="s">
        <v>6</v>
      </c>
      <c r="D923">
        <v>271</v>
      </c>
      <c r="E923">
        <v>4529.6899999999996</v>
      </c>
    </row>
    <row r="924" spans="1:5" x14ac:dyDescent="0.25">
      <c r="A924" s="1">
        <v>45118</v>
      </c>
      <c r="B924">
        <v>2</v>
      </c>
      <c r="C924" t="s">
        <v>6</v>
      </c>
      <c r="D924">
        <v>261</v>
      </c>
      <c r="E924">
        <v>4528.92</v>
      </c>
    </row>
    <row r="925" spans="1:5" x14ac:dyDescent="0.25">
      <c r="A925" s="1">
        <v>45119</v>
      </c>
      <c r="B925">
        <v>2</v>
      </c>
      <c r="C925" t="s">
        <v>6</v>
      </c>
      <c r="D925">
        <v>259</v>
      </c>
      <c r="E925">
        <v>4774.54</v>
      </c>
    </row>
    <row r="926" spans="1:5" x14ac:dyDescent="0.25">
      <c r="A926" s="1">
        <v>45120</v>
      </c>
      <c r="B926">
        <v>2</v>
      </c>
      <c r="C926" t="s">
        <v>6</v>
      </c>
      <c r="D926">
        <v>263</v>
      </c>
      <c r="E926">
        <v>4929.32</v>
      </c>
    </row>
    <row r="927" spans="1:5" x14ac:dyDescent="0.25">
      <c r="A927" s="1">
        <v>45121</v>
      </c>
      <c r="B927">
        <v>2</v>
      </c>
      <c r="C927" t="s">
        <v>6</v>
      </c>
      <c r="D927">
        <v>266</v>
      </c>
      <c r="E927">
        <v>4868.26</v>
      </c>
    </row>
    <row r="928" spans="1:5" x14ac:dyDescent="0.25">
      <c r="A928" s="1">
        <v>45122</v>
      </c>
      <c r="B928">
        <v>2</v>
      </c>
      <c r="C928" t="s">
        <v>6</v>
      </c>
      <c r="D928">
        <v>309</v>
      </c>
      <c r="E928">
        <v>5014.71</v>
      </c>
    </row>
    <row r="929" spans="1:5" x14ac:dyDescent="0.25">
      <c r="A929" s="1">
        <v>45123</v>
      </c>
      <c r="B929">
        <v>2</v>
      </c>
      <c r="C929" t="s">
        <v>6</v>
      </c>
      <c r="D929">
        <v>277</v>
      </c>
      <c r="E929">
        <v>5117.28</v>
      </c>
    </row>
    <row r="930" spans="1:5" x14ac:dyDescent="0.25">
      <c r="A930" s="1">
        <v>45124</v>
      </c>
      <c r="B930">
        <v>2</v>
      </c>
      <c r="C930" t="s">
        <v>6</v>
      </c>
      <c r="D930">
        <v>287</v>
      </c>
      <c r="E930">
        <v>5044.2</v>
      </c>
    </row>
    <row r="931" spans="1:5" x14ac:dyDescent="0.25">
      <c r="A931" s="1">
        <v>45125</v>
      </c>
      <c r="B931">
        <v>2</v>
      </c>
      <c r="C931" t="s">
        <v>6</v>
      </c>
      <c r="D931">
        <v>277</v>
      </c>
      <c r="E931">
        <v>5133.03</v>
      </c>
    </row>
    <row r="932" spans="1:5" x14ac:dyDescent="0.25">
      <c r="A932" s="1">
        <v>45126</v>
      </c>
      <c r="B932">
        <v>2</v>
      </c>
      <c r="C932" t="s">
        <v>6</v>
      </c>
      <c r="D932">
        <v>286</v>
      </c>
      <c r="E932">
        <v>5330.06</v>
      </c>
    </row>
    <row r="933" spans="1:5" x14ac:dyDescent="0.25">
      <c r="A933" s="1">
        <v>45127</v>
      </c>
      <c r="B933">
        <v>2</v>
      </c>
      <c r="C933" t="s">
        <v>6</v>
      </c>
      <c r="D933">
        <v>311</v>
      </c>
      <c r="E933">
        <v>5473.83</v>
      </c>
    </row>
    <row r="934" spans="1:5" x14ac:dyDescent="0.25">
      <c r="A934" s="1">
        <v>45128</v>
      </c>
      <c r="B934">
        <v>2</v>
      </c>
      <c r="C934" t="s">
        <v>6</v>
      </c>
      <c r="D934">
        <v>274</v>
      </c>
      <c r="E934">
        <v>4585.18</v>
      </c>
    </row>
    <row r="935" spans="1:5" x14ac:dyDescent="0.25">
      <c r="A935" s="1">
        <v>45129</v>
      </c>
      <c r="B935">
        <v>2</v>
      </c>
      <c r="C935" t="s">
        <v>6</v>
      </c>
      <c r="D935">
        <v>297</v>
      </c>
      <c r="E935">
        <v>5394.44</v>
      </c>
    </row>
    <row r="936" spans="1:5" x14ac:dyDescent="0.25">
      <c r="A936" s="1">
        <v>45130</v>
      </c>
      <c r="B936">
        <v>2</v>
      </c>
      <c r="C936" t="s">
        <v>6</v>
      </c>
      <c r="D936">
        <v>309</v>
      </c>
      <c r="E936">
        <v>5404.08</v>
      </c>
    </row>
    <row r="937" spans="1:5" x14ac:dyDescent="0.25">
      <c r="A937" s="1">
        <v>45131</v>
      </c>
      <c r="B937">
        <v>2</v>
      </c>
      <c r="C937" t="s">
        <v>6</v>
      </c>
      <c r="D937">
        <v>298</v>
      </c>
      <c r="E937">
        <v>4990.46</v>
      </c>
    </row>
    <row r="938" spans="1:5" x14ac:dyDescent="0.25">
      <c r="A938" s="1">
        <v>45132</v>
      </c>
      <c r="B938">
        <v>2</v>
      </c>
      <c r="C938" t="s">
        <v>6</v>
      </c>
      <c r="D938">
        <v>258</v>
      </c>
      <c r="E938">
        <v>4546.78</v>
      </c>
    </row>
    <row r="939" spans="1:5" x14ac:dyDescent="0.25">
      <c r="A939" s="1">
        <v>45133</v>
      </c>
      <c r="B939">
        <v>2</v>
      </c>
      <c r="C939" t="s">
        <v>6</v>
      </c>
      <c r="D939">
        <v>256</v>
      </c>
      <c r="E939">
        <v>4298.2700000000004</v>
      </c>
    </row>
    <row r="940" spans="1:5" x14ac:dyDescent="0.25">
      <c r="A940" s="1">
        <v>45134</v>
      </c>
      <c r="B940">
        <v>2</v>
      </c>
      <c r="C940" t="s">
        <v>6</v>
      </c>
      <c r="D940">
        <v>277</v>
      </c>
      <c r="E940">
        <v>4535.18</v>
      </c>
    </row>
    <row r="941" spans="1:5" x14ac:dyDescent="0.25">
      <c r="A941" s="1">
        <v>45135</v>
      </c>
      <c r="B941">
        <v>2</v>
      </c>
      <c r="C941" t="s">
        <v>6</v>
      </c>
      <c r="D941">
        <v>284</v>
      </c>
      <c r="E941">
        <v>4849.1000000000004</v>
      </c>
    </row>
    <row r="942" spans="1:5" x14ac:dyDescent="0.25">
      <c r="A942" s="1">
        <v>45136</v>
      </c>
      <c r="B942">
        <v>2</v>
      </c>
      <c r="C942" t="s">
        <v>6</v>
      </c>
      <c r="D942">
        <v>343</v>
      </c>
      <c r="E942">
        <v>5712.54</v>
      </c>
    </row>
    <row r="943" spans="1:5" x14ac:dyDescent="0.25">
      <c r="A943" s="1">
        <v>45137</v>
      </c>
      <c r="B943">
        <v>2</v>
      </c>
      <c r="C943" t="s">
        <v>6</v>
      </c>
      <c r="D943">
        <v>328</v>
      </c>
      <c r="E943">
        <v>6183.35</v>
      </c>
    </row>
    <row r="944" spans="1:5" x14ac:dyDescent="0.25">
      <c r="A944" s="1">
        <v>45138</v>
      </c>
      <c r="B944">
        <v>2</v>
      </c>
      <c r="C944" t="s">
        <v>6</v>
      </c>
      <c r="D944">
        <v>261</v>
      </c>
      <c r="E944">
        <v>4389.49</v>
      </c>
    </row>
    <row r="945" spans="1:5" x14ac:dyDescent="0.25">
      <c r="A945" s="1">
        <v>45139</v>
      </c>
      <c r="B945">
        <v>2</v>
      </c>
      <c r="C945" t="s">
        <v>6</v>
      </c>
      <c r="D945">
        <v>285</v>
      </c>
      <c r="E945">
        <v>4712.9799999999996</v>
      </c>
    </row>
    <row r="946" spans="1:5" x14ac:dyDescent="0.25">
      <c r="A946" s="1">
        <v>45140</v>
      </c>
      <c r="B946">
        <v>2</v>
      </c>
      <c r="C946" t="s">
        <v>6</v>
      </c>
      <c r="D946">
        <v>281</v>
      </c>
      <c r="E946">
        <v>4782.96</v>
      </c>
    </row>
    <row r="947" spans="1:5" x14ac:dyDescent="0.25">
      <c r="A947" s="1">
        <v>45141</v>
      </c>
      <c r="B947">
        <v>2</v>
      </c>
      <c r="C947" t="s">
        <v>6</v>
      </c>
      <c r="D947">
        <v>271</v>
      </c>
      <c r="E947">
        <v>4353.05</v>
      </c>
    </row>
    <row r="948" spans="1:5" x14ac:dyDescent="0.25">
      <c r="A948" s="1">
        <v>45142</v>
      </c>
      <c r="B948">
        <v>2</v>
      </c>
      <c r="C948" t="s">
        <v>6</v>
      </c>
      <c r="D948">
        <v>297</v>
      </c>
      <c r="E948">
        <v>5014.12</v>
      </c>
    </row>
    <row r="949" spans="1:5" x14ac:dyDescent="0.25">
      <c r="A949" s="1">
        <v>45143</v>
      </c>
      <c r="B949">
        <v>2</v>
      </c>
      <c r="C949" t="s">
        <v>6</v>
      </c>
      <c r="D949">
        <v>321</v>
      </c>
      <c r="E949">
        <v>5684.39</v>
      </c>
    </row>
    <row r="950" spans="1:5" x14ac:dyDescent="0.25">
      <c r="A950" s="1">
        <v>45144</v>
      </c>
      <c r="B950">
        <v>2</v>
      </c>
      <c r="C950" t="s">
        <v>6</v>
      </c>
      <c r="D950">
        <v>314</v>
      </c>
      <c r="E950">
        <v>5207.4399999999996</v>
      </c>
    </row>
    <row r="951" spans="1:5" x14ac:dyDescent="0.25">
      <c r="A951" s="1">
        <v>45145</v>
      </c>
      <c r="B951">
        <v>2</v>
      </c>
      <c r="C951" t="s">
        <v>6</v>
      </c>
      <c r="D951">
        <v>273</v>
      </c>
      <c r="E951">
        <v>5116.6099999999997</v>
      </c>
    </row>
    <row r="952" spans="1:5" x14ac:dyDescent="0.25">
      <c r="A952" s="1">
        <v>45146</v>
      </c>
      <c r="B952">
        <v>2</v>
      </c>
      <c r="C952" t="s">
        <v>6</v>
      </c>
      <c r="D952">
        <v>268</v>
      </c>
      <c r="E952">
        <v>4421.08</v>
      </c>
    </row>
    <row r="953" spans="1:5" x14ac:dyDescent="0.25">
      <c r="A953" s="1">
        <v>45147</v>
      </c>
      <c r="B953">
        <v>2</v>
      </c>
      <c r="C953" t="s">
        <v>6</v>
      </c>
      <c r="D953">
        <v>291</v>
      </c>
      <c r="E953">
        <v>4918.29</v>
      </c>
    </row>
    <row r="954" spans="1:5" x14ac:dyDescent="0.25">
      <c r="A954" s="1">
        <v>45148</v>
      </c>
      <c r="B954">
        <v>2</v>
      </c>
      <c r="C954" t="s">
        <v>6</v>
      </c>
      <c r="D954">
        <v>251</v>
      </c>
      <c r="E954">
        <v>4470.55</v>
      </c>
    </row>
    <row r="955" spans="1:5" x14ac:dyDescent="0.25">
      <c r="A955" s="1">
        <v>45149</v>
      </c>
      <c r="B955">
        <v>2</v>
      </c>
      <c r="C955" t="s">
        <v>6</v>
      </c>
      <c r="D955">
        <v>296</v>
      </c>
      <c r="E955">
        <v>4537.96</v>
      </c>
    </row>
    <row r="956" spans="1:5" x14ac:dyDescent="0.25">
      <c r="A956" s="1">
        <v>45150</v>
      </c>
      <c r="B956">
        <v>2</v>
      </c>
      <c r="C956" t="s">
        <v>6</v>
      </c>
      <c r="D956">
        <v>252</v>
      </c>
      <c r="E956">
        <v>4400.71</v>
      </c>
    </row>
    <row r="957" spans="1:5" x14ac:dyDescent="0.25">
      <c r="A957" s="1">
        <v>45151</v>
      </c>
      <c r="B957">
        <v>2</v>
      </c>
      <c r="C957" t="s">
        <v>6</v>
      </c>
      <c r="D957">
        <v>307</v>
      </c>
      <c r="E957">
        <v>5118.24</v>
      </c>
    </row>
    <row r="958" spans="1:5" x14ac:dyDescent="0.25">
      <c r="A958" s="1">
        <v>45152</v>
      </c>
      <c r="B958">
        <v>2</v>
      </c>
      <c r="C958" t="s">
        <v>6</v>
      </c>
      <c r="D958">
        <v>284</v>
      </c>
      <c r="E958">
        <v>4693.41</v>
      </c>
    </row>
    <row r="959" spans="1:5" x14ac:dyDescent="0.25">
      <c r="A959" s="1">
        <v>45153</v>
      </c>
      <c r="B959">
        <v>2</v>
      </c>
      <c r="C959" t="s">
        <v>6</v>
      </c>
      <c r="D959">
        <v>257</v>
      </c>
      <c r="E959">
        <v>4236.28</v>
      </c>
    </row>
    <row r="960" spans="1:5" x14ac:dyDescent="0.25">
      <c r="A960" s="1">
        <v>45154</v>
      </c>
      <c r="B960">
        <v>2</v>
      </c>
      <c r="C960" t="s">
        <v>6</v>
      </c>
      <c r="D960">
        <v>269</v>
      </c>
      <c r="E960">
        <v>4360.37</v>
      </c>
    </row>
    <row r="961" spans="1:5" x14ac:dyDescent="0.25">
      <c r="A961" s="1">
        <v>45155</v>
      </c>
      <c r="B961">
        <v>2</v>
      </c>
      <c r="C961" t="s">
        <v>6</v>
      </c>
      <c r="D961">
        <v>319</v>
      </c>
      <c r="E961">
        <v>5586.43</v>
      </c>
    </row>
    <row r="962" spans="1:5" x14ac:dyDescent="0.25">
      <c r="A962" s="1">
        <v>45156</v>
      </c>
      <c r="B962">
        <v>2</v>
      </c>
      <c r="C962" t="s">
        <v>6</v>
      </c>
      <c r="D962">
        <v>297</v>
      </c>
      <c r="E962">
        <v>5194.1499999999996</v>
      </c>
    </row>
    <row r="963" spans="1:5" x14ac:dyDescent="0.25">
      <c r="A963" s="1">
        <v>45157</v>
      </c>
      <c r="B963">
        <v>2</v>
      </c>
      <c r="C963" t="s">
        <v>6</v>
      </c>
      <c r="D963">
        <v>313</v>
      </c>
      <c r="E963">
        <v>5399.21</v>
      </c>
    </row>
    <row r="964" spans="1:5" x14ac:dyDescent="0.25">
      <c r="A964" s="1">
        <v>45158</v>
      </c>
      <c r="B964">
        <v>2</v>
      </c>
      <c r="C964" t="s">
        <v>6</v>
      </c>
      <c r="D964">
        <v>307</v>
      </c>
      <c r="E964">
        <v>4904.72</v>
      </c>
    </row>
    <row r="965" spans="1:5" x14ac:dyDescent="0.25">
      <c r="A965" s="1">
        <v>45159</v>
      </c>
      <c r="B965">
        <v>2</v>
      </c>
      <c r="C965" t="s">
        <v>6</v>
      </c>
      <c r="D965">
        <v>310</v>
      </c>
      <c r="E965">
        <v>5746.1</v>
      </c>
    </row>
    <row r="966" spans="1:5" x14ac:dyDescent="0.25">
      <c r="A966" s="1">
        <v>45160</v>
      </c>
      <c r="B966">
        <v>2</v>
      </c>
      <c r="C966" t="s">
        <v>6</v>
      </c>
      <c r="D966">
        <v>283</v>
      </c>
      <c r="E966">
        <v>4966.1099999999997</v>
      </c>
    </row>
    <row r="967" spans="1:5" x14ac:dyDescent="0.25">
      <c r="A967" s="1">
        <v>45161</v>
      </c>
      <c r="B967">
        <v>2</v>
      </c>
      <c r="C967" t="s">
        <v>6</v>
      </c>
      <c r="D967">
        <v>279</v>
      </c>
      <c r="E967">
        <v>4777.3</v>
      </c>
    </row>
    <row r="968" spans="1:5" x14ac:dyDescent="0.25">
      <c r="A968" s="1">
        <v>45162</v>
      </c>
      <c r="B968">
        <v>2</v>
      </c>
      <c r="C968" t="s">
        <v>6</v>
      </c>
      <c r="D968">
        <v>298</v>
      </c>
      <c r="E968">
        <v>5012.1499999999996</v>
      </c>
    </row>
    <row r="969" spans="1:5" x14ac:dyDescent="0.25">
      <c r="A969" s="1">
        <v>45163</v>
      </c>
      <c r="B969">
        <v>2</v>
      </c>
      <c r="C969" t="s">
        <v>6</v>
      </c>
      <c r="D969">
        <v>290</v>
      </c>
      <c r="E969">
        <v>4722.1899999999996</v>
      </c>
    </row>
    <row r="970" spans="1:5" x14ac:dyDescent="0.25">
      <c r="A970" s="1">
        <v>45164</v>
      </c>
      <c r="B970">
        <v>2</v>
      </c>
      <c r="C970" t="s">
        <v>6</v>
      </c>
      <c r="D970">
        <v>309</v>
      </c>
      <c r="E970">
        <v>5230.8900000000003</v>
      </c>
    </row>
    <row r="971" spans="1:5" x14ac:dyDescent="0.25">
      <c r="A971" s="1">
        <v>45165</v>
      </c>
      <c r="B971">
        <v>2</v>
      </c>
      <c r="C971" t="s">
        <v>6</v>
      </c>
      <c r="D971">
        <v>330</v>
      </c>
      <c r="E971">
        <v>5794</v>
      </c>
    </row>
    <row r="972" spans="1:5" x14ac:dyDescent="0.25">
      <c r="A972" s="1">
        <v>45166</v>
      </c>
      <c r="B972">
        <v>2</v>
      </c>
      <c r="C972" t="s">
        <v>6</v>
      </c>
      <c r="D972">
        <v>285</v>
      </c>
      <c r="E972">
        <v>4897.78</v>
      </c>
    </row>
    <row r="973" spans="1:5" x14ac:dyDescent="0.25">
      <c r="A973" s="1">
        <v>45167</v>
      </c>
      <c r="B973">
        <v>2</v>
      </c>
      <c r="C973" t="s">
        <v>6</v>
      </c>
      <c r="D973">
        <v>275</v>
      </c>
      <c r="E973">
        <v>4696.53</v>
      </c>
    </row>
    <row r="974" spans="1:5" x14ac:dyDescent="0.25">
      <c r="A974" s="1">
        <v>45168</v>
      </c>
      <c r="B974">
        <v>2</v>
      </c>
      <c r="C974" t="s">
        <v>6</v>
      </c>
      <c r="D974">
        <v>277</v>
      </c>
      <c r="E974">
        <v>4675.8599999999997</v>
      </c>
    </row>
    <row r="975" spans="1:5" x14ac:dyDescent="0.25">
      <c r="A975" s="1">
        <v>45169</v>
      </c>
      <c r="B975">
        <v>2</v>
      </c>
      <c r="C975" t="s">
        <v>6</v>
      </c>
      <c r="D975">
        <v>311</v>
      </c>
      <c r="E975">
        <v>5397.46</v>
      </c>
    </row>
    <row r="976" spans="1:5" x14ac:dyDescent="0.25">
      <c r="A976" s="1">
        <v>45170</v>
      </c>
      <c r="B976">
        <v>2</v>
      </c>
      <c r="C976" t="s">
        <v>6</v>
      </c>
      <c r="D976">
        <v>261</v>
      </c>
      <c r="E976">
        <v>4739.17</v>
      </c>
    </row>
    <row r="977" spans="1:5" x14ac:dyDescent="0.25">
      <c r="A977" s="1">
        <v>45171</v>
      </c>
      <c r="B977">
        <v>2</v>
      </c>
      <c r="C977" t="s">
        <v>6</v>
      </c>
      <c r="D977">
        <v>275</v>
      </c>
      <c r="E977">
        <v>4846.3599999999997</v>
      </c>
    </row>
    <row r="978" spans="1:5" x14ac:dyDescent="0.25">
      <c r="A978" s="1">
        <v>45172</v>
      </c>
      <c r="B978">
        <v>2</v>
      </c>
      <c r="C978" t="s">
        <v>6</v>
      </c>
      <c r="D978">
        <v>299</v>
      </c>
      <c r="E978">
        <v>4885.43</v>
      </c>
    </row>
    <row r="979" spans="1:5" x14ac:dyDescent="0.25">
      <c r="A979" s="1">
        <v>45173</v>
      </c>
      <c r="B979">
        <v>2</v>
      </c>
      <c r="C979" t="s">
        <v>6</v>
      </c>
      <c r="D979">
        <v>279</v>
      </c>
      <c r="E979">
        <v>4982.42</v>
      </c>
    </row>
    <row r="980" spans="1:5" x14ac:dyDescent="0.25">
      <c r="A980" s="1">
        <v>45174</v>
      </c>
      <c r="B980">
        <v>2</v>
      </c>
      <c r="C980" t="s">
        <v>6</v>
      </c>
      <c r="D980">
        <v>249</v>
      </c>
      <c r="E980">
        <v>4301.92</v>
      </c>
    </row>
    <row r="981" spans="1:5" x14ac:dyDescent="0.25">
      <c r="A981" s="1">
        <v>45175</v>
      </c>
      <c r="B981">
        <v>2</v>
      </c>
      <c r="C981" t="s">
        <v>6</v>
      </c>
      <c r="D981">
        <v>300</v>
      </c>
      <c r="E981">
        <v>5201.93</v>
      </c>
    </row>
    <row r="982" spans="1:5" x14ac:dyDescent="0.25">
      <c r="A982" s="1">
        <v>45176</v>
      </c>
      <c r="B982">
        <v>2</v>
      </c>
      <c r="C982" t="s">
        <v>6</v>
      </c>
      <c r="D982">
        <v>295</v>
      </c>
      <c r="E982">
        <v>4978.7299999999996</v>
      </c>
    </row>
    <row r="983" spans="1:5" x14ac:dyDescent="0.25">
      <c r="A983" s="1">
        <v>45177</v>
      </c>
      <c r="B983">
        <v>2</v>
      </c>
      <c r="C983" t="s">
        <v>6</v>
      </c>
      <c r="D983">
        <v>243</v>
      </c>
      <c r="E983">
        <v>4211.47</v>
      </c>
    </row>
    <row r="984" spans="1:5" x14ac:dyDescent="0.25">
      <c r="A984" s="1">
        <v>45178</v>
      </c>
      <c r="B984">
        <v>2</v>
      </c>
      <c r="C984" t="s">
        <v>6</v>
      </c>
      <c r="D984">
        <v>318</v>
      </c>
      <c r="E984">
        <v>5104.93</v>
      </c>
    </row>
    <row r="985" spans="1:5" x14ac:dyDescent="0.25">
      <c r="A985" s="1">
        <v>45179</v>
      </c>
      <c r="B985">
        <v>2</v>
      </c>
      <c r="C985" t="s">
        <v>6</v>
      </c>
      <c r="D985">
        <v>304</v>
      </c>
      <c r="E985">
        <v>5251.82</v>
      </c>
    </row>
    <row r="986" spans="1:5" x14ac:dyDescent="0.25">
      <c r="A986" s="1">
        <v>45180</v>
      </c>
      <c r="B986">
        <v>2</v>
      </c>
      <c r="C986" t="s">
        <v>6</v>
      </c>
      <c r="D986">
        <v>281</v>
      </c>
      <c r="E986">
        <v>5067.37</v>
      </c>
    </row>
    <row r="987" spans="1:5" x14ac:dyDescent="0.25">
      <c r="A987" s="1">
        <v>45181</v>
      </c>
      <c r="B987">
        <v>2</v>
      </c>
      <c r="C987" t="s">
        <v>6</v>
      </c>
      <c r="D987">
        <v>303</v>
      </c>
      <c r="E987">
        <v>5454.19</v>
      </c>
    </row>
    <row r="988" spans="1:5" x14ac:dyDescent="0.25">
      <c r="A988" s="1">
        <v>45182</v>
      </c>
      <c r="B988">
        <v>2</v>
      </c>
      <c r="C988" t="s">
        <v>6</v>
      </c>
      <c r="D988">
        <v>249</v>
      </c>
      <c r="E988">
        <v>4199.8599999999997</v>
      </c>
    </row>
    <row r="989" spans="1:5" x14ac:dyDescent="0.25">
      <c r="A989" s="1">
        <v>45183</v>
      </c>
      <c r="B989">
        <v>2</v>
      </c>
      <c r="C989" t="s">
        <v>6</v>
      </c>
      <c r="D989">
        <v>285</v>
      </c>
      <c r="E989">
        <v>4523.3</v>
      </c>
    </row>
    <row r="990" spans="1:5" x14ac:dyDescent="0.25">
      <c r="A990" s="1">
        <v>45184</v>
      </c>
      <c r="B990">
        <v>2</v>
      </c>
      <c r="C990" t="s">
        <v>6</v>
      </c>
      <c r="D990">
        <v>278</v>
      </c>
      <c r="E990">
        <v>4608.74</v>
      </c>
    </row>
    <row r="991" spans="1:5" x14ac:dyDescent="0.25">
      <c r="A991" s="1">
        <v>45185</v>
      </c>
      <c r="B991">
        <v>2</v>
      </c>
      <c r="C991" t="s">
        <v>6</v>
      </c>
      <c r="D991">
        <v>332</v>
      </c>
      <c r="E991">
        <v>5288.64</v>
      </c>
    </row>
    <row r="992" spans="1:5" x14ac:dyDescent="0.25">
      <c r="A992" s="1">
        <v>45186</v>
      </c>
      <c r="B992">
        <v>2</v>
      </c>
      <c r="C992" t="s">
        <v>6</v>
      </c>
      <c r="D992">
        <v>303</v>
      </c>
      <c r="E992">
        <v>5095.42</v>
      </c>
    </row>
    <row r="993" spans="1:5" x14ac:dyDescent="0.25">
      <c r="A993" s="1">
        <v>45187</v>
      </c>
      <c r="B993">
        <v>2</v>
      </c>
      <c r="C993" t="s">
        <v>6</v>
      </c>
      <c r="D993">
        <v>283</v>
      </c>
      <c r="E993">
        <v>4954.18</v>
      </c>
    </row>
    <row r="994" spans="1:5" x14ac:dyDescent="0.25">
      <c r="A994" s="1">
        <v>45188</v>
      </c>
      <c r="B994">
        <v>2</v>
      </c>
      <c r="C994" t="s">
        <v>6</v>
      </c>
      <c r="D994">
        <v>300</v>
      </c>
      <c r="E994">
        <v>4908.17</v>
      </c>
    </row>
    <row r="995" spans="1:5" x14ac:dyDescent="0.25">
      <c r="A995" s="1">
        <v>45189</v>
      </c>
      <c r="B995">
        <v>2</v>
      </c>
      <c r="C995" t="s">
        <v>6</v>
      </c>
      <c r="D995">
        <v>244</v>
      </c>
      <c r="E995">
        <v>4288.09</v>
      </c>
    </row>
    <row r="996" spans="1:5" x14ac:dyDescent="0.25">
      <c r="A996" s="1">
        <v>45190</v>
      </c>
      <c r="B996">
        <v>2</v>
      </c>
      <c r="C996" t="s">
        <v>6</v>
      </c>
      <c r="D996">
        <v>264</v>
      </c>
      <c r="E996">
        <v>4555.2299999999996</v>
      </c>
    </row>
    <row r="997" spans="1:5" x14ac:dyDescent="0.25">
      <c r="A997" s="1">
        <v>45191</v>
      </c>
      <c r="B997">
        <v>2</v>
      </c>
      <c r="C997" t="s">
        <v>6</v>
      </c>
      <c r="D997">
        <v>285</v>
      </c>
      <c r="E997">
        <v>4956.2</v>
      </c>
    </row>
    <row r="998" spans="1:5" x14ac:dyDescent="0.25">
      <c r="A998" s="1">
        <v>45192</v>
      </c>
      <c r="B998">
        <v>2</v>
      </c>
      <c r="C998" t="s">
        <v>6</v>
      </c>
      <c r="D998">
        <v>272</v>
      </c>
      <c r="E998">
        <v>4728.29</v>
      </c>
    </row>
    <row r="999" spans="1:5" x14ac:dyDescent="0.25">
      <c r="A999" s="1">
        <v>45193</v>
      </c>
      <c r="B999">
        <v>2</v>
      </c>
      <c r="C999" t="s">
        <v>6</v>
      </c>
      <c r="D999">
        <v>282</v>
      </c>
      <c r="E999">
        <v>4615.51</v>
      </c>
    </row>
    <row r="1000" spans="1:5" x14ac:dyDescent="0.25">
      <c r="A1000" s="1">
        <v>45194</v>
      </c>
      <c r="B1000">
        <v>2</v>
      </c>
      <c r="C1000" t="s">
        <v>6</v>
      </c>
      <c r="D1000">
        <v>290</v>
      </c>
      <c r="E1000">
        <v>4549.74</v>
      </c>
    </row>
    <row r="1001" spans="1:5" x14ac:dyDescent="0.25">
      <c r="A1001" s="1">
        <v>45195</v>
      </c>
      <c r="B1001">
        <v>2</v>
      </c>
      <c r="C1001" t="s">
        <v>6</v>
      </c>
      <c r="D1001">
        <v>296</v>
      </c>
      <c r="E1001">
        <v>4651.42</v>
      </c>
    </row>
    <row r="1002" spans="1:5" x14ac:dyDescent="0.25">
      <c r="A1002" s="1">
        <v>45196</v>
      </c>
      <c r="B1002">
        <v>2</v>
      </c>
      <c r="C1002" t="s">
        <v>6</v>
      </c>
      <c r="D1002">
        <v>261</v>
      </c>
      <c r="E1002">
        <v>4506.26</v>
      </c>
    </row>
    <row r="1003" spans="1:5" x14ac:dyDescent="0.25">
      <c r="A1003" s="1">
        <v>45197</v>
      </c>
      <c r="B1003">
        <v>2</v>
      </c>
      <c r="C1003" t="s">
        <v>6</v>
      </c>
      <c r="D1003">
        <v>241</v>
      </c>
      <c r="E1003">
        <v>3921.12</v>
      </c>
    </row>
    <row r="1004" spans="1:5" x14ac:dyDescent="0.25">
      <c r="A1004" s="1">
        <v>45198</v>
      </c>
      <c r="B1004">
        <v>2</v>
      </c>
      <c r="C1004" t="s">
        <v>6</v>
      </c>
      <c r="D1004">
        <v>259</v>
      </c>
      <c r="E1004">
        <v>4388.34</v>
      </c>
    </row>
    <row r="1005" spans="1:5" x14ac:dyDescent="0.25">
      <c r="A1005" s="1">
        <v>45199</v>
      </c>
      <c r="B1005">
        <v>2</v>
      </c>
      <c r="C1005" t="s">
        <v>6</v>
      </c>
      <c r="D1005">
        <v>310</v>
      </c>
      <c r="E1005">
        <v>5011.3599999999997</v>
      </c>
    </row>
    <row r="1006" spans="1:5" x14ac:dyDescent="0.25">
      <c r="A1006" s="1">
        <v>45200</v>
      </c>
      <c r="B1006">
        <v>2</v>
      </c>
      <c r="C1006" t="s">
        <v>6</v>
      </c>
      <c r="D1006">
        <v>309</v>
      </c>
      <c r="E1006">
        <v>5467.29</v>
      </c>
    </row>
    <row r="1007" spans="1:5" x14ac:dyDescent="0.25">
      <c r="A1007" s="1">
        <v>45201</v>
      </c>
      <c r="B1007">
        <v>2</v>
      </c>
      <c r="C1007" t="s">
        <v>6</v>
      </c>
      <c r="D1007">
        <v>283</v>
      </c>
      <c r="E1007">
        <v>4789.55</v>
      </c>
    </row>
    <row r="1008" spans="1:5" x14ac:dyDescent="0.25">
      <c r="A1008" s="1">
        <v>45202</v>
      </c>
      <c r="B1008">
        <v>2</v>
      </c>
      <c r="C1008" t="s">
        <v>6</v>
      </c>
      <c r="D1008">
        <v>305</v>
      </c>
      <c r="E1008">
        <v>5315.98</v>
      </c>
    </row>
    <row r="1009" spans="1:5" x14ac:dyDescent="0.25">
      <c r="A1009" s="1">
        <v>45203</v>
      </c>
      <c r="B1009">
        <v>2</v>
      </c>
      <c r="C1009" t="s">
        <v>6</v>
      </c>
      <c r="D1009">
        <v>286</v>
      </c>
      <c r="E1009">
        <v>4852.1400000000003</v>
      </c>
    </row>
    <row r="1010" spans="1:5" x14ac:dyDescent="0.25">
      <c r="A1010" s="1">
        <v>45204</v>
      </c>
      <c r="B1010">
        <v>2</v>
      </c>
      <c r="C1010" t="s">
        <v>6</v>
      </c>
      <c r="D1010">
        <v>278</v>
      </c>
      <c r="E1010">
        <v>4698.6400000000003</v>
      </c>
    </row>
    <row r="1011" spans="1:5" x14ac:dyDescent="0.25">
      <c r="A1011" s="1">
        <v>45205</v>
      </c>
      <c r="B1011">
        <v>2</v>
      </c>
      <c r="C1011" t="s">
        <v>6</v>
      </c>
      <c r="D1011">
        <v>284</v>
      </c>
      <c r="E1011">
        <v>4612.33</v>
      </c>
    </row>
    <row r="1012" spans="1:5" x14ac:dyDescent="0.25">
      <c r="A1012" s="1">
        <v>45206</v>
      </c>
      <c r="B1012">
        <v>2</v>
      </c>
      <c r="C1012" t="s">
        <v>6</v>
      </c>
      <c r="D1012">
        <v>284</v>
      </c>
      <c r="E1012">
        <v>4766.25</v>
      </c>
    </row>
    <row r="1013" spans="1:5" x14ac:dyDescent="0.25">
      <c r="A1013" s="1">
        <v>45207</v>
      </c>
      <c r="B1013">
        <v>2</v>
      </c>
      <c r="C1013" t="s">
        <v>6</v>
      </c>
      <c r="D1013">
        <v>303</v>
      </c>
      <c r="E1013">
        <v>5176.49</v>
      </c>
    </row>
    <row r="1014" spans="1:5" x14ac:dyDescent="0.25">
      <c r="A1014" s="1">
        <v>45208</v>
      </c>
      <c r="B1014">
        <v>2</v>
      </c>
      <c r="C1014" t="s">
        <v>6</v>
      </c>
      <c r="D1014">
        <v>271</v>
      </c>
      <c r="E1014">
        <v>4654.5600000000004</v>
      </c>
    </row>
    <row r="1015" spans="1:5" x14ac:dyDescent="0.25">
      <c r="A1015" s="1">
        <v>45209</v>
      </c>
      <c r="B1015">
        <v>2</v>
      </c>
      <c r="C1015" t="s">
        <v>6</v>
      </c>
      <c r="D1015">
        <v>286</v>
      </c>
      <c r="E1015">
        <v>4820.53</v>
      </c>
    </row>
    <row r="1016" spans="1:5" x14ac:dyDescent="0.25">
      <c r="A1016" s="1">
        <v>45210</v>
      </c>
      <c r="B1016">
        <v>2</v>
      </c>
      <c r="C1016" t="s">
        <v>6</v>
      </c>
      <c r="D1016">
        <v>256</v>
      </c>
      <c r="E1016">
        <v>4113.71</v>
      </c>
    </row>
    <row r="1017" spans="1:5" x14ac:dyDescent="0.25">
      <c r="A1017" s="1">
        <v>45211</v>
      </c>
      <c r="B1017">
        <v>2</v>
      </c>
      <c r="C1017" t="s">
        <v>6</v>
      </c>
      <c r="D1017">
        <v>277</v>
      </c>
      <c r="E1017">
        <v>4819.3599999999997</v>
      </c>
    </row>
    <row r="1018" spans="1:5" x14ac:dyDescent="0.25">
      <c r="A1018" s="1">
        <v>45212</v>
      </c>
      <c r="B1018">
        <v>2</v>
      </c>
      <c r="C1018" t="s">
        <v>6</v>
      </c>
      <c r="D1018">
        <v>280</v>
      </c>
      <c r="E1018">
        <v>5173.04</v>
      </c>
    </row>
    <row r="1019" spans="1:5" x14ac:dyDescent="0.25">
      <c r="A1019" s="1">
        <v>45213</v>
      </c>
      <c r="B1019">
        <v>2</v>
      </c>
      <c r="C1019" t="s">
        <v>6</v>
      </c>
      <c r="D1019">
        <v>314</v>
      </c>
      <c r="E1019">
        <v>5415.24</v>
      </c>
    </row>
    <row r="1020" spans="1:5" x14ac:dyDescent="0.25">
      <c r="A1020" s="1">
        <v>45214</v>
      </c>
      <c r="B1020">
        <v>2</v>
      </c>
      <c r="C1020" t="s">
        <v>6</v>
      </c>
      <c r="D1020">
        <v>317</v>
      </c>
      <c r="E1020">
        <v>4645.62</v>
      </c>
    </row>
    <row r="1021" spans="1:5" x14ac:dyDescent="0.25">
      <c r="A1021" s="1">
        <v>45215</v>
      </c>
      <c r="B1021">
        <v>2</v>
      </c>
      <c r="C1021" t="s">
        <v>6</v>
      </c>
      <c r="D1021">
        <v>258</v>
      </c>
      <c r="E1021">
        <v>4158.03</v>
      </c>
    </row>
    <row r="1022" spans="1:5" x14ac:dyDescent="0.25">
      <c r="A1022" s="1">
        <v>45216</v>
      </c>
      <c r="B1022">
        <v>2</v>
      </c>
      <c r="C1022" t="s">
        <v>6</v>
      </c>
      <c r="D1022">
        <v>273</v>
      </c>
      <c r="E1022">
        <v>4649.46</v>
      </c>
    </row>
    <row r="1023" spans="1:5" x14ac:dyDescent="0.25">
      <c r="A1023" s="1">
        <v>45217</v>
      </c>
      <c r="B1023">
        <v>2</v>
      </c>
      <c r="C1023" t="s">
        <v>6</v>
      </c>
      <c r="D1023">
        <v>290</v>
      </c>
      <c r="E1023">
        <v>4919.95</v>
      </c>
    </row>
    <row r="1024" spans="1:5" x14ac:dyDescent="0.25">
      <c r="A1024" s="1">
        <v>45218</v>
      </c>
      <c r="B1024">
        <v>2</v>
      </c>
      <c r="C1024" t="s">
        <v>6</v>
      </c>
      <c r="D1024">
        <v>274</v>
      </c>
      <c r="E1024">
        <v>4838.72</v>
      </c>
    </row>
    <row r="1025" spans="1:5" x14ac:dyDescent="0.25">
      <c r="A1025" s="1">
        <v>45219</v>
      </c>
      <c r="B1025">
        <v>2</v>
      </c>
      <c r="C1025" t="s">
        <v>6</v>
      </c>
      <c r="D1025">
        <v>293</v>
      </c>
      <c r="E1025">
        <v>4679.67</v>
      </c>
    </row>
    <row r="1026" spans="1:5" x14ac:dyDescent="0.25">
      <c r="A1026" s="1">
        <v>45220</v>
      </c>
      <c r="B1026">
        <v>2</v>
      </c>
      <c r="C1026" t="s">
        <v>6</v>
      </c>
      <c r="D1026">
        <v>257</v>
      </c>
      <c r="E1026">
        <v>4444.84</v>
      </c>
    </row>
    <row r="1027" spans="1:5" x14ac:dyDescent="0.25">
      <c r="A1027" s="1">
        <v>45221</v>
      </c>
      <c r="B1027">
        <v>2</v>
      </c>
      <c r="C1027" t="s">
        <v>6</v>
      </c>
      <c r="D1027">
        <v>298</v>
      </c>
      <c r="E1027">
        <v>5086.08</v>
      </c>
    </row>
    <row r="1028" spans="1:5" x14ac:dyDescent="0.25">
      <c r="A1028" s="1">
        <v>45222</v>
      </c>
      <c r="B1028">
        <v>2</v>
      </c>
      <c r="C1028" t="s">
        <v>6</v>
      </c>
      <c r="D1028">
        <v>260</v>
      </c>
      <c r="E1028">
        <v>4920.71</v>
      </c>
    </row>
    <row r="1029" spans="1:5" x14ac:dyDescent="0.25">
      <c r="A1029" s="1">
        <v>45223</v>
      </c>
      <c r="B1029">
        <v>2</v>
      </c>
      <c r="C1029" t="s">
        <v>6</v>
      </c>
      <c r="D1029">
        <v>252</v>
      </c>
      <c r="E1029">
        <v>4422.8</v>
      </c>
    </row>
    <row r="1030" spans="1:5" x14ac:dyDescent="0.25">
      <c r="A1030" s="1">
        <v>45224</v>
      </c>
      <c r="B1030">
        <v>2</v>
      </c>
      <c r="C1030" t="s">
        <v>6</v>
      </c>
      <c r="D1030">
        <v>276</v>
      </c>
      <c r="E1030">
        <v>4701.6899999999996</v>
      </c>
    </row>
    <row r="1031" spans="1:5" x14ac:dyDescent="0.25">
      <c r="A1031" s="1">
        <v>45225</v>
      </c>
      <c r="B1031">
        <v>2</v>
      </c>
      <c r="C1031" t="s">
        <v>6</v>
      </c>
      <c r="D1031">
        <v>257</v>
      </c>
      <c r="E1031">
        <v>4132.47</v>
      </c>
    </row>
    <row r="1032" spans="1:5" x14ac:dyDescent="0.25">
      <c r="A1032" s="1">
        <v>45226</v>
      </c>
      <c r="B1032">
        <v>2</v>
      </c>
      <c r="C1032" t="s">
        <v>6</v>
      </c>
      <c r="D1032">
        <v>273</v>
      </c>
      <c r="E1032">
        <v>4917.51</v>
      </c>
    </row>
    <row r="1033" spans="1:5" x14ac:dyDescent="0.25">
      <c r="A1033" s="1">
        <v>45227</v>
      </c>
      <c r="B1033">
        <v>2</v>
      </c>
      <c r="C1033" t="s">
        <v>6</v>
      </c>
      <c r="D1033">
        <v>293</v>
      </c>
      <c r="E1033">
        <v>5047.8100000000004</v>
      </c>
    </row>
    <row r="1034" spans="1:5" x14ac:dyDescent="0.25">
      <c r="A1034" s="1">
        <v>45228</v>
      </c>
      <c r="B1034">
        <v>2</v>
      </c>
      <c r="C1034" t="s">
        <v>6</v>
      </c>
      <c r="D1034">
        <v>237</v>
      </c>
      <c r="E1034">
        <v>3587.06</v>
      </c>
    </row>
    <row r="1035" spans="1:5" x14ac:dyDescent="0.25">
      <c r="A1035" s="1">
        <v>45229</v>
      </c>
      <c r="B1035">
        <v>2</v>
      </c>
      <c r="C1035" t="s">
        <v>6</v>
      </c>
      <c r="D1035">
        <v>280</v>
      </c>
      <c r="E1035">
        <v>4899.96</v>
      </c>
    </row>
    <row r="1036" spans="1:5" x14ac:dyDescent="0.25">
      <c r="A1036" s="1">
        <v>45230</v>
      </c>
      <c r="B1036">
        <v>2</v>
      </c>
      <c r="C1036" t="s">
        <v>6</v>
      </c>
      <c r="D1036">
        <v>284</v>
      </c>
      <c r="E1036">
        <v>4719.91</v>
      </c>
    </row>
    <row r="1037" spans="1:5" x14ac:dyDescent="0.25">
      <c r="A1037" s="1">
        <v>45231</v>
      </c>
      <c r="B1037">
        <v>2</v>
      </c>
      <c r="C1037" t="s">
        <v>6</v>
      </c>
      <c r="D1037">
        <v>280</v>
      </c>
      <c r="E1037">
        <v>4757.58</v>
      </c>
    </row>
    <row r="1038" spans="1:5" x14ac:dyDescent="0.25">
      <c r="A1038" s="1">
        <v>45232</v>
      </c>
      <c r="B1038">
        <v>2</v>
      </c>
      <c r="C1038" t="s">
        <v>6</v>
      </c>
      <c r="D1038">
        <v>216</v>
      </c>
      <c r="E1038">
        <v>3320.65</v>
      </c>
    </row>
    <row r="1039" spans="1:5" x14ac:dyDescent="0.25">
      <c r="A1039" s="1">
        <v>45233</v>
      </c>
      <c r="B1039">
        <v>2</v>
      </c>
      <c r="C1039" t="s">
        <v>6</v>
      </c>
      <c r="D1039">
        <v>262</v>
      </c>
      <c r="E1039">
        <v>4269.7299999999996</v>
      </c>
    </row>
    <row r="1040" spans="1:5" x14ac:dyDescent="0.25">
      <c r="A1040" s="1">
        <v>45234</v>
      </c>
      <c r="B1040">
        <v>2</v>
      </c>
      <c r="C1040" t="s">
        <v>6</v>
      </c>
      <c r="D1040">
        <v>286</v>
      </c>
      <c r="E1040">
        <v>4958.49</v>
      </c>
    </row>
    <row r="1041" spans="1:5" x14ac:dyDescent="0.25">
      <c r="A1041" s="1">
        <v>45235</v>
      </c>
      <c r="B1041">
        <v>2</v>
      </c>
      <c r="C1041" t="s">
        <v>6</v>
      </c>
      <c r="D1041">
        <v>277</v>
      </c>
      <c r="E1041">
        <v>4751.9399999999996</v>
      </c>
    </row>
    <row r="1042" spans="1:5" x14ac:dyDescent="0.25">
      <c r="A1042" s="1">
        <v>45236</v>
      </c>
      <c r="B1042">
        <v>2</v>
      </c>
      <c r="C1042" t="s">
        <v>6</v>
      </c>
      <c r="D1042">
        <v>215</v>
      </c>
      <c r="E1042">
        <v>3514.61</v>
      </c>
    </row>
    <row r="1043" spans="1:5" x14ac:dyDescent="0.25">
      <c r="A1043" s="1">
        <v>45237</v>
      </c>
      <c r="B1043">
        <v>2</v>
      </c>
      <c r="C1043" t="s">
        <v>6</v>
      </c>
      <c r="D1043">
        <v>249</v>
      </c>
      <c r="E1043">
        <v>3679.95</v>
      </c>
    </row>
    <row r="1044" spans="1:5" x14ac:dyDescent="0.25">
      <c r="A1044" s="1">
        <v>45238</v>
      </c>
      <c r="B1044">
        <v>2</v>
      </c>
      <c r="C1044" t="s">
        <v>6</v>
      </c>
      <c r="D1044">
        <v>237</v>
      </c>
      <c r="E1044">
        <v>3915.05</v>
      </c>
    </row>
    <row r="1045" spans="1:5" x14ac:dyDescent="0.25">
      <c r="A1045" s="1">
        <v>45239</v>
      </c>
      <c r="B1045">
        <v>2</v>
      </c>
      <c r="C1045" t="s">
        <v>6</v>
      </c>
      <c r="D1045">
        <v>257</v>
      </c>
      <c r="E1045">
        <v>4511.1000000000004</v>
      </c>
    </row>
    <row r="1046" spans="1:5" x14ac:dyDescent="0.25">
      <c r="A1046" s="1">
        <v>45240</v>
      </c>
      <c r="B1046">
        <v>2</v>
      </c>
      <c r="C1046" t="s">
        <v>6</v>
      </c>
      <c r="D1046">
        <v>254</v>
      </c>
      <c r="E1046">
        <v>4302.66</v>
      </c>
    </row>
    <row r="1047" spans="1:5" x14ac:dyDescent="0.25">
      <c r="A1047" s="1">
        <v>45241</v>
      </c>
      <c r="B1047">
        <v>2</v>
      </c>
      <c r="C1047" t="s">
        <v>6</v>
      </c>
      <c r="D1047">
        <v>296</v>
      </c>
      <c r="E1047">
        <v>5058.84</v>
      </c>
    </row>
    <row r="1048" spans="1:5" x14ac:dyDescent="0.25">
      <c r="A1048" s="1">
        <v>45242</v>
      </c>
      <c r="B1048">
        <v>2</v>
      </c>
      <c r="C1048" t="s">
        <v>6</v>
      </c>
      <c r="D1048">
        <v>266</v>
      </c>
      <c r="E1048">
        <v>4449.6499999999996</v>
      </c>
    </row>
    <row r="1049" spans="1:5" x14ac:dyDescent="0.25">
      <c r="A1049" s="1">
        <v>45243</v>
      </c>
      <c r="B1049">
        <v>2</v>
      </c>
      <c r="C1049" t="s">
        <v>6</v>
      </c>
      <c r="D1049">
        <v>223</v>
      </c>
      <c r="E1049">
        <v>3386.03</v>
      </c>
    </row>
    <row r="1050" spans="1:5" x14ac:dyDescent="0.25">
      <c r="A1050" s="1">
        <v>45244</v>
      </c>
      <c r="B1050">
        <v>2</v>
      </c>
      <c r="C1050" t="s">
        <v>6</v>
      </c>
      <c r="D1050">
        <v>248</v>
      </c>
      <c r="E1050">
        <v>4252.45</v>
      </c>
    </row>
    <row r="1051" spans="1:5" x14ac:dyDescent="0.25">
      <c r="A1051" s="1">
        <v>45245</v>
      </c>
      <c r="B1051">
        <v>2</v>
      </c>
      <c r="C1051" t="s">
        <v>6</v>
      </c>
      <c r="D1051">
        <v>209</v>
      </c>
      <c r="E1051">
        <v>3456.44</v>
      </c>
    </row>
    <row r="1052" spans="1:5" x14ac:dyDescent="0.25">
      <c r="A1052" s="1">
        <v>45246</v>
      </c>
      <c r="B1052">
        <v>2</v>
      </c>
      <c r="C1052" t="s">
        <v>6</v>
      </c>
      <c r="D1052">
        <v>245</v>
      </c>
      <c r="E1052">
        <v>4219.3599999999997</v>
      </c>
    </row>
    <row r="1053" spans="1:5" x14ac:dyDescent="0.25">
      <c r="A1053" s="1">
        <v>45247</v>
      </c>
      <c r="B1053">
        <v>2</v>
      </c>
      <c r="C1053" t="s">
        <v>6</v>
      </c>
      <c r="D1053">
        <v>215</v>
      </c>
      <c r="E1053">
        <v>3819.74</v>
      </c>
    </row>
    <row r="1054" spans="1:5" x14ac:dyDescent="0.25">
      <c r="A1054" s="1">
        <v>45248</v>
      </c>
      <c r="B1054">
        <v>2</v>
      </c>
      <c r="C1054" t="s">
        <v>6</v>
      </c>
      <c r="D1054">
        <v>282</v>
      </c>
      <c r="E1054">
        <v>4841.2</v>
      </c>
    </row>
    <row r="1055" spans="1:5" x14ac:dyDescent="0.25">
      <c r="A1055" s="1">
        <v>45249</v>
      </c>
      <c r="B1055">
        <v>2</v>
      </c>
      <c r="C1055" t="s">
        <v>6</v>
      </c>
      <c r="D1055">
        <v>269</v>
      </c>
      <c r="E1055">
        <v>4722.29</v>
      </c>
    </row>
    <row r="1056" spans="1:5" x14ac:dyDescent="0.25">
      <c r="A1056" s="1">
        <v>45250</v>
      </c>
      <c r="B1056">
        <v>2</v>
      </c>
      <c r="C1056" t="s">
        <v>6</v>
      </c>
      <c r="D1056">
        <v>242</v>
      </c>
      <c r="E1056">
        <v>3967.89</v>
      </c>
    </row>
    <row r="1057" spans="1:5" x14ac:dyDescent="0.25">
      <c r="A1057" s="1">
        <v>45251</v>
      </c>
      <c r="B1057">
        <v>2</v>
      </c>
      <c r="C1057" t="s">
        <v>6</v>
      </c>
      <c r="D1057">
        <v>244</v>
      </c>
      <c r="E1057">
        <v>3814.58</v>
      </c>
    </row>
    <row r="1058" spans="1:5" x14ac:dyDescent="0.25">
      <c r="A1058" s="1">
        <v>45252</v>
      </c>
      <c r="B1058">
        <v>2</v>
      </c>
      <c r="C1058" t="s">
        <v>6</v>
      </c>
      <c r="D1058">
        <v>280</v>
      </c>
      <c r="E1058">
        <v>4851.1400000000003</v>
      </c>
    </row>
    <row r="1059" spans="1:5" x14ac:dyDescent="0.25">
      <c r="A1059" s="1">
        <v>45253</v>
      </c>
      <c r="B1059">
        <v>2</v>
      </c>
      <c r="C1059" t="s">
        <v>6</v>
      </c>
      <c r="D1059">
        <v>268</v>
      </c>
      <c r="E1059">
        <v>4614.91</v>
      </c>
    </row>
    <row r="1060" spans="1:5" x14ac:dyDescent="0.25">
      <c r="A1060" s="1">
        <v>45254</v>
      </c>
      <c r="B1060">
        <v>2</v>
      </c>
      <c r="C1060" t="s">
        <v>6</v>
      </c>
      <c r="D1060">
        <v>272</v>
      </c>
      <c r="E1060">
        <v>4688.04</v>
      </c>
    </row>
    <row r="1061" spans="1:5" x14ac:dyDescent="0.25">
      <c r="A1061" s="1">
        <v>45255</v>
      </c>
      <c r="B1061">
        <v>2</v>
      </c>
      <c r="C1061" t="s">
        <v>6</v>
      </c>
      <c r="D1061">
        <v>278</v>
      </c>
      <c r="E1061">
        <v>4489.79</v>
      </c>
    </row>
    <row r="1062" spans="1:5" x14ac:dyDescent="0.25">
      <c r="A1062" s="1">
        <v>45256</v>
      </c>
      <c r="B1062">
        <v>2</v>
      </c>
      <c r="C1062" t="s">
        <v>6</v>
      </c>
      <c r="D1062">
        <v>287</v>
      </c>
      <c r="E1062">
        <v>4499.0600000000004</v>
      </c>
    </row>
    <row r="1063" spans="1:5" x14ac:dyDescent="0.25">
      <c r="A1063" s="1">
        <v>45257</v>
      </c>
      <c r="B1063">
        <v>2</v>
      </c>
      <c r="C1063" t="s">
        <v>6</v>
      </c>
      <c r="D1063">
        <v>261</v>
      </c>
      <c r="E1063">
        <v>4276.24</v>
      </c>
    </row>
    <row r="1064" spans="1:5" x14ac:dyDescent="0.25">
      <c r="A1064" s="1">
        <v>45258</v>
      </c>
      <c r="B1064">
        <v>2</v>
      </c>
      <c r="C1064" t="s">
        <v>6</v>
      </c>
      <c r="D1064">
        <v>265</v>
      </c>
      <c r="E1064">
        <v>4686.9399999999996</v>
      </c>
    </row>
    <row r="1065" spans="1:5" x14ac:dyDescent="0.25">
      <c r="A1065" s="1">
        <v>45259</v>
      </c>
      <c r="B1065">
        <v>2</v>
      </c>
      <c r="C1065" t="s">
        <v>6</v>
      </c>
      <c r="D1065">
        <v>227</v>
      </c>
      <c r="E1065">
        <v>3988.11</v>
      </c>
    </row>
    <row r="1066" spans="1:5" x14ac:dyDescent="0.25">
      <c r="A1066" s="1">
        <v>45260</v>
      </c>
      <c r="B1066">
        <v>2</v>
      </c>
      <c r="C1066" t="s">
        <v>6</v>
      </c>
      <c r="D1066">
        <v>255</v>
      </c>
      <c r="E1066">
        <v>4289.05</v>
      </c>
    </row>
    <row r="1067" spans="1:5" x14ac:dyDescent="0.25">
      <c r="A1067" s="1">
        <v>45261</v>
      </c>
      <c r="B1067">
        <v>2</v>
      </c>
      <c r="C1067" t="s">
        <v>6</v>
      </c>
      <c r="D1067">
        <v>248</v>
      </c>
      <c r="E1067">
        <v>3813.27</v>
      </c>
    </row>
    <row r="1068" spans="1:5" x14ac:dyDescent="0.25">
      <c r="A1068" s="1">
        <v>45262</v>
      </c>
      <c r="B1068">
        <v>2</v>
      </c>
      <c r="C1068" t="s">
        <v>6</v>
      </c>
      <c r="D1068">
        <v>239</v>
      </c>
      <c r="E1068">
        <v>4200.99</v>
      </c>
    </row>
    <row r="1069" spans="1:5" x14ac:dyDescent="0.25">
      <c r="A1069" s="1">
        <v>45263</v>
      </c>
      <c r="B1069">
        <v>2</v>
      </c>
      <c r="C1069" t="s">
        <v>6</v>
      </c>
      <c r="D1069">
        <v>264</v>
      </c>
      <c r="E1069">
        <v>4828.3599999999997</v>
      </c>
    </row>
    <row r="1070" spans="1:5" x14ac:dyDescent="0.25">
      <c r="A1070" s="1">
        <v>45264</v>
      </c>
      <c r="B1070">
        <v>2</v>
      </c>
      <c r="C1070" t="s">
        <v>6</v>
      </c>
      <c r="D1070">
        <v>220</v>
      </c>
      <c r="E1070">
        <v>3699.36</v>
      </c>
    </row>
    <row r="1071" spans="1:5" x14ac:dyDescent="0.25">
      <c r="A1071" s="1">
        <v>45265</v>
      </c>
      <c r="B1071">
        <v>2</v>
      </c>
      <c r="C1071" t="s">
        <v>6</v>
      </c>
      <c r="D1071">
        <v>233</v>
      </c>
      <c r="E1071">
        <v>3844.15</v>
      </c>
    </row>
    <row r="1072" spans="1:5" x14ac:dyDescent="0.25">
      <c r="A1072" s="1">
        <v>45266</v>
      </c>
      <c r="B1072">
        <v>2</v>
      </c>
      <c r="C1072" t="s">
        <v>6</v>
      </c>
      <c r="D1072">
        <v>237</v>
      </c>
      <c r="E1072">
        <v>4114.1899999999996</v>
      </c>
    </row>
    <row r="1073" spans="1:5" x14ac:dyDescent="0.25">
      <c r="A1073" s="1">
        <v>45267</v>
      </c>
      <c r="B1073">
        <v>2</v>
      </c>
      <c r="C1073" t="s">
        <v>6</v>
      </c>
      <c r="D1073">
        <v>235</v>
      </c>
      <c r="E1073">
        <v>3950.1</v>
      </c>
    </row>
    <row r="1074" spans="1:5" x14ac:dyDescent="0.25">
      <c r="A1074" s="1">
        <v>45268</v>
      </c>
      <c r="B1074">
        <v>2</v>
      </c>
      <c r="C1074" t="s">
        <v>6</v>
      </c>
      <c r="D1074">
        <v>259</v>
      </c>
      <c r="E1074">
        <v>4417.04</v>
      </c>
    </row>
    <row r="1075" spans="1:5" x14ac:dyDescent="0.25">
      <c r="A1075" s="1">
        <v>45269</v>
      </c>
      <c r="B1075">
        <v>2</v>
      </c>
      <c r="C1075" t="s">
        <v>6</v>
      </c>
      <c r="D1075">
        <v>253</v>
      </c>
      <c r="E1075">
        <v>4290.05</v>
      </c>
    </row>
    <row r="1076" spans="1:5" x14ac:dyDescent="0.25">
      <c r="A1076" s="1">
        <v>45270</v>
      </c>
      <c r="B1076">
        <v>2</v>
      </c>
      <c r="C1076" t="s">
        <v>6</v>
      </c>
      <c r="D1076">
        <v>308</v>
      </c>
      <c r="E1076">
        <v>4824.08</v>
      </c>
    </row>
    <row r="1077" spans="1:5" x14ac:dyDescent="0.25">
      <c r="A1077" s="1">
        <v>45271</v>
      </c>
      <c r="B1077">
        <v>2</v>
      </c>
      <c r="C1077" t="s">
        <v>6</v>
      </c>
      <c r="D1077">
        <v>227</v>
      </c>
      <c r="E1077">
        <v>3415.1</v>
      </c>
    </row>
    <row r="1078" spans="1:5" x14ac:dyDescent="0.25">
      <c r="A1078" s="1">
        <v>45272</v>
      </c>
      <c r="B1078">
        <v>2</v>
      </c>
      <c r="C1078" t="s">
        <v>6</v>
      </c>
      <c r="D1078">
        <v>271</v>
      </c>
      <c r="E1078">
        <v>4609.1000000000004</v>
      </c>
    </row>
    <row r="1079" spans="1:5" x14ac:dyDescent="0.25">
      <c r="A1079" s="1">
        <v>45273</v>
      </c>
      <c r="B1079">
        <v>2</v>
      </c>
      <c r="C1079" t="s">
        <v>6</v>
      </c>
      <c r="D1079">
        <v>209</v>
      </c>
      <c r="E1079">
        <v>3413.24</v>
      </c>
    </row>
    <row r="1080" spans="1:5" x14ac:dyDescent="0.25">
      <c r="A1080" s="1">
        <v>45274</v>
      </c>
      <c r="B1080">
        <v>2</v>
      </c>
      <c r="C1080" t="s">
        <v>6</v>
      </c>
      <c r="D1080">
        <v>223</v>
      </c>
      <c r="E1080">
        <v>3501.21</v>
      </c>
    </row>
    <row r="1081" spans="1:5" x14ac:dyDescent="0.25">
      <c r="A1081" s="1">
        <v>45275</v>
      </c>
      <c r="B1081">
        <v>2</v>
      </c>
      <c r="C1081" t="s">
        <v>6</v>
      </c>
      <c r="D1081">
        <v>231</v>
      </c>
      <c r="E1081">
        <v>3919.86</v>
      </c>
    </row>
    <row r="1082" spans="1:5" x14ac:dyDescent="0.25">
      <c r="A1082" s="1">
        <v>45276</v>
      </c>
      <c r="B1082">
        <v>2</v>
      </c>
      <c r="C1082" t="s">
        <v>6</v>
      </c>
      <c r="D1082">
        <v>243</v>
      </c>
      <c r="E1082">
        <v>4164.9399999999996</v>
      </c>
    </row>
    <row r="1083" spans="1:5" x14ac:dyDescent="0.25">
      <c r="A1083" s="1">
        <v>45277</v>
      </c>
      <c r="B1083">
        <v>2</v>
      </c>
      <c r="C1083" t="s">
        <v>6</v>
      </c>
      <c r="D1083">
        <v>249</v>
      </c>
      <c r="E1083">
        <v>4564.0600000000004</v>
      </c>
    </row>
    <row r="1084" spans="1:5" x14ac:dyDescent="0.25">
      <c r="A1084" s="1">
        <v>45278</v>
      </c>
      <c r="B1084">
        <v>2</v>
      </c>
      <c r="C1084" t="s">
        <v>6</v>
      </c>
      <c r="D1084">
        <v>211</v>
      </c>
      <c r="E1084">
        <v>3734.07</v>
      </c>
    </row>
    <row r="1085" spans="1:5" x14ac:dyDescent="0.25">
      <c r="A1085" s="1">
        <v>45279</v>
      </c>
      <c r="B1085">
        <v>2</v>
      </c>
      <c r="C1085" t="s">
        <v>6</v>
      </c>
      <c r="D1085">
        <v>224</v>
      </c>
      <c r="E1085">
        <v>3611.01</v>
      </c>
    </row>
    <row r="1086" spans="1:5" x14ac:dyDescent="0.25">
      <c r="A1086" s="1">
        <v>45280</v>
      </c>
      <c r="B1086">
        <v>2</v>
      </c>
      <c r="C1086" t="s">
        <v>6</v>
      </c>
      <c r="D1086">
        <v>225</v>
      </c>
      <c r="E1086">
        <v>3478.55</v>
      </c>
    </row>
    <row r="1087" spans="1:5" x14ac:dyDescent="0.25">
      <c r="A1087" s="1">
        <v>45281</v>
      </c>
      <c r="B1087">
        <v>2</v>
      </c>
      <c r="C1087" t="s">
        <v>6</v>
      </c>
      <c r="D1087">
        <v>212</v>
      </c>
      <c r="E1087">
        <v>3530.09</v>
      </c>
    </row>
    <row r="1088" spans="1:5" x14ac:dyDescent="0.25">
      <c r="A1088" s="1">
        <v>45282</v>
      </c>
      <c r="B1088">
        <v>2</v>
      </c>
      <c r="C1088" t="s">
        <v>6</v>
      </c>
      <c r="D1088">
        <v>212</v>
      </c>
      <c r="E1088">
        <v>3319.13</v>
      </c>
    </row>
    <row r="1089" spans="1:5" x14ac:dyDescent="0.25">
      <c r="A1089" s="1">
        <v>45283</v>
      </c>
      <c r="B1089">
        <v>2</v>
      </c>
      <c r="C1089" t="s">
        <v>6</v>
      </c>
      <c r="D1089">
        <v>283</v>
      </c>
      <c r="E1089">
        <v>5012.7700000000004</v>
      </c>
    </row>
    <row r="1090" spans="1:5" x14ac:dyDescent="0.25">
      <c r="A1090" s="1">
        <v>45284</v>
      </c>
      <c r="B1090">
        <v>2</v>
      </c>
      <c r="C1090" t="s">
        <v>6</v>
      </c>
      <c r="D1090">
        <v>244</v>
      </c>
      <c r="E1090">
        <v>4170.33</v>
      </c>
    </row>
    <row r="1091" spans="1:5" x14ac:dyDescent="0.25">
      <c r="A1091" s="1">
        <v>45285</v>
      </c>
      <c r="B1091">
        <v>2</v>
      </c>
      <c r="C1091" t="s">
        <v>6</v>
      </c>
      <c r="D1091">
        <v>182</v>
      </c>
      <c r="E1091">
        <v>2918.89</v>
      </c>
    </row>
    <row r="1092" spans="1:5" x14ac:dyDescent="0.25">
      <c r="A1092" s="1">
        <v>45286</v>
      </c>
      <c r="B1092">
        <v>2</v>
      </c>
      <c r="C1092" t="s">
        <v>6</v>
      </c>
      <c r="D1092">
        <v>207</v>
      </c>
      <c r="E1092">
        <v>3260.04</v>
      </c>
    </row>
    <row r="1093" spans="1:5" x14ac:dyDescent="0.25">
      <c r="A1093" s="1">
        <v>45287</v>
      </c>
      <c r="B1093">
        <v>2</v>
      </c>
      <c r="C1093" t="s">
        <v>6</v>
      </c>
      <c r="D1093">
        <v>231</v>
      </c>
      <c r="E1093">
        <v>4187.6400000000003</v>
      </c>
    </row>
    <row r="1094" spans="1:5" x14ac:dyDescent="0.25">
      <c r="A1094" s="1">
        <v>45288</v>
      </c>
      <c r="B1094">
        <v>2</v>
      </c>
      <c r="C1094" t="s">
        <v>6</v>
      </c>
      <c r="D1094">
        <v>180</v>
      </c>
      <c r="E1094">
        <v>3044.02</v>
      </c>
    </row>
    <row r="1095" spans="1:5" x14ac:dyDescent="0.25">
      <c r="A1095" s="1">
        <v>45289</v>
      </c>
      <c r="B1095">
        <v>2</v>
      </c>
      <c r="C1095" t="s">
        <v>6</v>
      </c>
      <c r="D1095">
        <v>235</v>
      </c>
      <c r="E1095">
        <v>3853.49</v>
      </c>
    </row>
    <row r="1096" spans="1:5" x14ac:dyDescent="0.25">
      <c r="A1096" s="1">
        <v>45290</v>
      </c>
      <c r="B1096">
        <v>2</v>
      </c>
      <c r="C1096" t="s">
        <v>6</v>
      </c>
      <c r="D1096">
        <v>238</v>
      </c>
      <c r="E1096">
        <v>4128.96</v>
      </c>
    </row>
    <row r="1097" spans="1:5" x14ac:dyDescent="0.25">
      <c r="A1097" s="1">
        <v>45291</v>
      </c>
      <c r="B1097">
        <v>2</v>
      </c>
      <c r="C1097" t="s">
        <v>6</v>
      </c>
      <c r="D1097">
        <v>252</v>
      </c>
      <c r="E1097">
        <v>4171.46</v>
      </c>
    </row>
    <row r="1098" spans="1:5" x14ac:dyDescent="0.25">
      <c r="A1098" s="1">
        <v>45292</v>
      </c>
      <c r="B1098">
        <v>2</v>
      </c>
      <c r="C1098" t="s">
        <v>6</v>
      </c>
      <c r="D1098">
        <v>221</v>
      </c>
      <c r="E1098">
        <v>3921.87</v>
      </c>
    </row>
    <row r="1099" spans="1:5" x14ac:dyDescent="0.25">
      <c r="A1099" s="1">
        <v>45293</v>
      </c>
      <c r="B1099">
        <v>2</v>
      </c>
      <c r="C1099" t="s">
        <v>6</v>
      </c>
      <c r="D1099">
        <v>208</v>
      </c>
      <c r="E1099">
        <v>3358.18</v>
      </c>
    </row>
    <row r="1100" spans="1:5" x14ac:dyDescent="0.25">
      <c r="A1100" s="1">
        <v>45294</v>
      </c>
      <c r="B1100">
        <v>2</v>
      </c>
      <c r="C1100" t="s">
        <v>6</v>
      </c>
      <c r="D1100">
        <v>195</v>
      </c>
      <c r="E1100">
        <v>3567.62</v>
      </c>
    </row>
    <row r="1101" spans="1:5" x14ac:dyDescent="0.25">
      <c r="A1101" s="1">
        <v>45295</v>
      </c>
      <c r="B1101">
        <v>2</v>
      </c>
      <c r="C1101" t="s">
        <v>6</v>
      </c>
      <c r="D1101">
        <v>212</v>
      </c>
      <c r="E1101">
        <v>3497.65</v>
      </c>
    </row>
    <row r="1102" spans="1:5" x14ac:dyDescent="0.25">
      <c r="A1102" s="1">
        <v>45296</v>
      </c>
      <c r="B1102">
        <v>2</v>
      </c>
      <c r="C1102" t="s">
        <v>6</v>
      </c>
      <c r="D1102">
        <v>178</v>
      </c>
      <c r="E1102">
        <v>2835.14</v>
      </c>
    </row>
    <row r="1103" spans="1:5" x14ac:dyDescent="0.25">
      <c r="A1103" s="1">
        <v>45297</v>
      </c>
      <c r="B1103">
        <v>2</v>
      </c>
      <c r="C1103" t="s">
        <v>6</v>
      </c>
      <c r="D1103">
        <v>257</v>
      </c>
      <c r="E1103">
        <v>4129.08</v>
      </c>
    </row>
    <row r="1104" spans="1:5" x14ac:dyDescent="0.25">
      <c r="A1104" s="1">
        <v>45298</v>
      </c>
      <c r="B1104">
        <v>2</v>
      </c>
      <c r="C1104" t="s">
        <v>6</v>
      </c>
      <c r="D1104">
        <v>253</v>
      </c>
      <c r="E1104">
        <v>3981.89</v>
      </c>
    </row>
    <row r="1105" spans="1:5" x14ac:dyDescent="0.25">
      <c r="A1105" s="1">
        <v>45299</v>
      </c>
      <c r="B1105">
        <v>2</v>
      </c>
      <c r="C1105" t="s">
        <v>6</v>
      </c>
      <c r="D1105">
        <v>221</v>
      </c>
      <c r="E1105">
        <v>3803.28</v>
      </c>
    </row>
    <row r="1106" spans="1:5" x14ac:dyDescent="0.25">
      <c r="A1106" s="1">
        <v>45300</v>
      </c>
      <c r="B1106">
        <v>2</v>
      </c>
      <c r="C1106" t="s">
        <v>6</v>
      </c>
      <c r="D1106">
        <v>254</v>
      </c>
      <c r="E1106">
        <v>4224.5600000000004</v>
      </c>
    </row>
    <row r="1107" spans="1:5" x14ac:dyDescent="0.25">
      <c r="A1107" s="1">
        <v>45301</v>
      </c>
      <c r="B1107">
        <v>2</v>
      </c>
      <c r="C1107" t="s">
        <v>6</v>
      </c>
      <c r="D1107">
        <v>219</v>
      </c>
      <c r="E1107">
        <v>4056.27</v>
      </c>
    </row>
    <row r="1108" spans="1:5" x14ac:dyDescent="0.25">
      <c r="A1108" s="1">
        <v>45302</v>
      </c>
      <c r="B1108">
        <v>2</v>
      </c>
      <c r="C1108" t="s">
        <v>6</v>
      </c>
      <c r="D1108">
        <v>204</v>
      </c>
      <c r="E1108">
        <v>3432.14</v>
      </c>
    </row>
    <row r="1109" spans="1:5" x14ac:dyDescent="0.25">
      <c r="A1109" s="1">
        <v>45303</v>
      </c>
      <c r="B1109">
        <v>2</v>
      </c>
      <c r="C1109" t="s">
        <v>6</v>
      </c>
      <c r="D1109">
        <v>260</v>
      </c>
      <c r="E1109">
        <v>4631.87</v>
      </c>
    </row>
    <row r="1110" spans="1:5" x14ac:dyDescent="0.25">
      <c r="A1110" s="1">
        <v>45304</v>
      </c>
      <c r="B1110">
        <v>2</v>
      </c>
      <c r="C1110" t="s">
        <v>6</v>
      </c>
      <c r="D1110">
        <v>234</v>
      </c>
      <c r="E1110">
        <v>3791.61</v>
      </c>
    </row>
    <row r="1111" spans="1:5" x14ac:dyDescent="0.25">
      <c r="A1111" s="1">
        <v>45305</v>
      </c>
      <c r="B1111">
        <v>2</v>
      </c>
      <c r="C1111" t="s">
        <v>6</v>
      </c>
      <c r="D1111">
        <v>245</v>
      </c>
      <c r="E1111">
        <v>4507.37</v>
      </c>
    </row>
    <row r="1112" spans="1:5" x14ac:dyDescent="0.25">
      <c r="A1112" s="1">
        <v>45306</v>
      </c>
      <c r="B1112">
        <v>2</v>
      </c>
      <c r="C1112" t="s">
        <v>6</v>
      </c>
      <c r="D1112">
        <v>185</v>
      </c>
      <c r="E1112">
        <v>3128.09</v>
      </c>
    </row>
    <row r="1113" spans="1:5" x14ac:dyDescent="0.25">
      <c r="A1113" s="1">
        <v>45307</v>
      </c>
      <c r="B1113">
        <v>2</v>
      </c>
      <c r="C1113" t="s">
        <v>6</v>
      </c>
      <c r="D1113">
        <v>242</v>
      </c>
      <c r="E1113">
        <v>3889.21</v>
      </c>
    </row>
    <row r="1114" spans="1:5" x14ac:dyDescent="0.25">
      <c r="A1114" s="1">
        <v>45308</v>
      </c>
      <c r="B1114">
        <v>2</v>
      </c>
      <c r="C1114" t="s">
        <v>6</v>
      </c>
      <c r="D1114">
        <v>191</v>
      </c>
      <c r="E1114">
        <v>3264.61</v>
      </c>
    </row>
    <row r="1115" spans="1:5" x14ac:dyDescent="0.25">
      <c r="A1115" s="1">
        <v>45309</v>
      </c>
      <c r="B1115">
        <v>2</v>
      </c>
      <c r="C1115" t="s">
        <v>6</v>
      </c>
      <c r="D1115">
        <v>198</v>
      </c>
      <c r="E1115">
        <v>3219.14</v>
      </c>
    </row>
    <row r="1116" spans="1:5" x14ac:dyDescent="0.25">
      <c r="A1116" s="1">
        <v>45310</v>
      </c>
      <c r="B1116">
        <v>2</v>
      </c>
      <c r="C1116" t="s">
        <v>6</v>
      </c>
      <c r="D1116">
        <v>204</v>
      </c>
      <c r="E1116">
        <v>3627.84</v>
      </c>
    </row>
    <row r="1117" spans="1:5" x14ac:dyDescent="0.25">
      <c r="A1117" s="1">
        <v>45311</v>
      </c>
      <c r="B1117">
        <v>2</v>
      </c>
      <c r="C1117" t="s">
        <v>6</v>
      </c>
      <c r="D1117">
        <v>297</v>
      </c>
      <c r="E1117">
        <v>4879.7</v>
      </c>
    </row>
    <row r="1118" spans="1:5" x14ac:dyDescent="0.25">
      <c r="A1118" s="1">
        <v>45312</v>
      </c>
      <c r="B1118">
        <v>2</v>
      </c>
      <c r="C1118" t="s">
        <v>6</v>
      </c>
      <c r="D1118">
        <v>250</v>
      </c>
      <c r="E1118">
        <v>4538.3</v>
      </c>
    </row>
    <row r="1119" spans="1:5" x14ac:dyDescent="0.25">
      <c r="A1119" s="1">
        <v>45313</v>
      </c>
      <c r="B1119">
        <v>2</v>
      </c>
      <c r="C1119" t="s">
        <v>6</v>
      </c>
      <c r="D1119">
        <v>194</v>
      </c>
      <c r="E1119">
        <v>3382.13</v>
      </c>
    </row>
    <row r="1120" spans="1:5" x14ac:dyDescent="0.25">
      <c r="A1120" s="1">
        <v>45314</v>
      </c>
      <c r="B1120">
        <v>2</v>
      </c>
      <c r="C1120" t="s">
        <v>6</v>
      </c>
      <c r="D1120">
        <v>184</v>
      </c>
      <c r="E1120">
        <v>3023.76</v>
      </c>
    </row>
    <row r="1121" spans="1:5" x14ac:dyDescent="0.25">
      <c r="A1121" s="1">
        <v>45315</v>
      </c>
      <c r="B1121">
        <v>2</v>
      </c>
      <c r="C1121" t="s">
        <v>6</v>
      </c>
      <c r="D1121">
        <v>212</v>
      </c>
      <c r="E1121">
        <v>3517.66</v>
      </c>
    </row>
    <row r="1122" spans="1:5" x14ac:dyDescent="0.25">
      <c r="A1122" s="1">
        <v>45316</v>
      </c>
      <c r="B1122">
        <v>2</v>
      </c>
      <c r="C1122" t="s">
        <v>6</v>
      </c>
      <c r="D1122">
        <v>225</v>
      </c>
      <c r="E1122">
        <v>3974.59</v>
      </c>
    </row>
    <row r="1123" spans="1:5" x14ac:dyDescent="0.25">
      <c r="A1123" s="1">
        <v>45317</v>
      </c>
      <c r="B1123">
        <v>2</v>
      </c>
      <c r="C1123" t="s">
        <v>6</v>
      </c>
      <c r="D1123">
        <v>214</v>
      </c>
      <c r="E1123">
        <v>3603.58</v>
      </c>
    </row>
    <row r="1124" spans="1:5" x14ac:dyDescent="0.25">
      <c r="A1124" s="1">
        <v>45318</v>
      </c>
      <c r="B1124">
        <v>2</v>
      </c>
      <c r="C1124" t="s">
        <v>6</v>
      </c>
      <c r="D1124">
        <v>234</v>
      </c>
      <c r="E1124">
        <v>4256.21</v>
      </c>
    </row>
    <row r="1125" spans="1:5" x14ac:dyDescent="0.25">
      <c r="A1125" s="1">
        <v>45319</v>
      </c>
      <c r="B1125">
        <v>2</v>
      </c>
      <c r="C1125" t="s">
        <v>6</v>
      </c>
      <c r="D1125">
        <v>238</v>
      </c>
      <c r="E1125">
        <v>4282.01</v>
      </c>
    </row>
    <row r="1126" spans="1:5" x14ac:dyDescent="0.25">
      <c r="A1126" s="1">
        <v>45320</v>
      </c>
      <c r="B1126">
        <v>2</v>
      </c>
      <c r="C1126" t="s">
        <v>6</v>
      </c>
      <c r="D1126">
        <v>208</v>
      </c>
      <c r="E1126">
        <v>3211.22</v>
      </c>
    </row>
    <row r="1127" spans="1:5" x14ac:dyDescent="0.25">
      <c r="A1127" s="1">
        <v>45321</v>
      </c>
      <c r="B1127">
        <v>2</v>
      </c>
      <c r="C1127" t="s">
        <v>6</v>
      </c>
      <c r="D1127">
        <v>182</v>
      </c>
      <c r="E1127">
        <v>3122.1</v>
      </c>
    </row>
    <row r="1128" spans="1:5" x14ac:dyDescent="0.25">
      <c r="A1128" s="1">
        <v>45322</v>
      </c>
      <c r="B1128">
        <v>2</v>
      </c>
      <c r="C1128" t="s">
        <v>6</v>
      </c>
      <c r="D1128">
        <v>195</v>
      </c>
      <c r="E1128">
        <v>3026.52</v>
      </c>
    </row>
    <row r="1129" spans="1:5" x14ac:dyDescent="0.25">
      <c r="A1129" s="1">
        <v>45323</v>
      </c>
      <c r="B1129">
        <v>2</v>
      </c>
      <c r="C1129" t="s">
        <v>6</v>
      </c>
      <c r="D1129">
        <v>206</v>
      </c>
      <c r="E1129">
        <v>3723.37</v>
      </c>
    </row>
    <row r="1130" spans="1:5" x14ac:dyDescent="0.25">
      <c r="A1130" s="1">
        <v>45324</v>
      </c>
      <c r="B1130">
        <v>2</v>
      </c>
      <c r="C1130" t="s">
        <v>6</v>
      </c>
      <c r="D1130">
        <v>194</v>
      </c>
      <c r="E1130">
        <v>3241.66</v>
      </c>
    </row>
    <row r="1131" spans="1:5" x14ac:dyDescent="0.25">
      <c r="A1131" s="1">
        <v>45325</v>
      </c>
      <c r="B1131">
        <v>2</v>
      </c>
      <c r="C1131" t="s">
        <v>6</v>
      </c>
      <c r="D1131">
        <v>241</v>
      </c>
      <c r="E1131">
        <v>4130.21</v>
      </c>
    </row>
    <row r="1132" spans="1:5" x14ac:dyDescent="0.25">
      <c r="A1132" s="1">
        <v>45326</v>
      </c>
      <c r="B1132">
        <v>2</v>
      </c>
      <c r="C1132" t="s">
        <v>6</v>
      </c>
      <c r="D1132">
        <v>202</v>
      </c>
      <c r="E1132">
        <v>3683.33</v>
      </c>
    </row>
    <row r="1133" spans="1:5" x14ac:dyDescent="0.25">
      <c r="A1133" s="1">
        <v>45327</v>
      </c>
      <c r="B1133">
        <v>2</v>
      </c>
      <c r="C1133" t="s">
        <v>6</v>
      </c>
      <c r="D1133">
        <v>184</v>
      </c>
      <c r="E1133">
        <v>3211.8</v>
      </c>
    </row>
    <row r="1134" spans="1:5" x14ac:dyDescent="0.25">
      <c r="A1134" s="1">
        <v>45328</v>
      </c>
      <c r="B1134">
        <v>2</v>
      </c>
      <c r="C1134" t="s">
        <v>6</v>
      </c>
      <c r="D1134">
        <v>210</v>
      </c>
      <c r="E1134">
        <v>3714.25</v>
      </c>
    </row>
    <row r="1135" spans="1:5" x14ac:dyDescent="0.25">
      <c r="A1135" s="1">
        <v>45329</v>
      </c>
      <c r="B1135">
        <v>2</v>
      </c>
      <c r="C1135" t="s">
        <v>6</v>
      </c>
      <c r="D1135">
        <v>221</v>
      </c>
      <c r="E1135">
        <v>3918.21</v>
      </c>
    </row>
    <row r="1136" spans="1:5" x14ac:dyDescent="0.25">
      <c r="A1136" s="1">
        <v>45330</v>
      </c>
      <c r="B1136">
        <v>2</v>
      </c>
      <c r="C1136" t="s">
        <v>6</v>
      </c>
      <c r="D1136">
        <v>228</v>
      </c>
      <c r="E1136">
        <v>3807.93</v>
      </c>
    </row>
    <row r="1137" spans="1:5" x14ac:dyDescent="0.25">
      <c r="A1137" s="1">
        <v>45331</v>
      </c>
      <c r="B1137">
        <v>2</v>
      </c>
      <c r="C1137" t="s">
        <v>6</v>
      </c>
      <c r="D1137">
        <v>204</v>
      </c>
      <c r="E1137">
        <v>3502.06</v>
      </c>
    </row>
    <row r="1138" spans="1:5" x14ac:dyDescent="0.25">
      <c r="A1138" s="1">
        <v>45332</v>
      </c>
      <c r="B1138">
        <v>2</v>
      </c>
      <c r="C1138" t="s">
        <v>6</v>
      </c>
      <c r="D1138">
        <v>227</v>
      </c>
      <c r="E1138">
        <v>3678.08</v>
      </c>
    </row>
    <row r="1139" spans="1:5" x14ac:dyDescent="0.25">
      <c r="A1139" s="1">
        <v>45333</v>
      </c>
      <c r="B1139">
        <v>2</v>
      </c>
      <c r="C1139" t="s">
        <v>6</v>
      </c>
      <c r="D1139">
        <v>226</v>
      </c>
      <c r="E1139">
        <v>3540.74</v>
      </c>
    </row>
    <row r="1140" spans="1:5" x14ac:dyDescent="0.25">
      <c r="A1140" s="1">
        <v>45334</v>
      </c>
      <c r="B1140">
        <v>2</v>
      </c>
      <c r="C1140" t="s">
        <v>6</v>
      </c>
      <c r="D1140">
        <v>206</v>
      </c>
      <c r="E1140">
        <v>3492.41</v>
      </c>
    </row>
    <row r="1141" spans="1:5" x14ac:dyDescent="0.25">
      <c r="A1141" s="1">
        <v>45335</v>
      </c>
      <c r="B1141">
        <v>2</v>
      </c>
      <c r="C1141" t="s">
        <v>6</v>
      </c>
      <c r="D1141">
        <v>222</v>
      </c>
      <c r="E1141">
        <v>3969.99</v>
      </c>
    </row>
    <row r="1142" spans="1:5" x14ac:dyDescent="0.25">
      <c r="A1142" s="1">
        <v>45336</v>
      </c>
      <c r="B1142">
        <v>2</v>
      </c>
      <c r="C1142" t="s">
        <v>6</v>
      </c>
      <c r="D1142">
        <v>197</v>
      </c>
      <c r="E1142">
        <v>3147.01</v>
      </c>
    </row>
    <row r="1143" spans="1:5" x14ac:dyDescent="0.25">
      <c r="A1143" s="1">
        <v>45337</v>
      </c>
      <c r="B1143">
        <v>2</v>
      </c>
      <c r="C1143" t="s">
        <v>6</v>
      </c>
      <c r="D1143">
        <v>206</v>
      </c>
      <c r="E1143">
        <v>3612.83</v>
      </c>
    </row>
    <row r="1144" spans="1:5" x14ac:dyDescent="0.25">
      <c r="A1144" s="1">
        <v>45338</v>
      </c>
      <c r="B1144">
        <v>2</v>
      </c>
      <c r="C1144" t="s">
        <v>6</v>
      </c>
      <c r="D1144">
        <v>215</v>
      </c>
      <c r="E1144">
        <v>3559.9</v>
      </c>
    </row>
    <row r="1145" spans="1:5" x14ac:dyDescent="0.25">
      <c r="A1145" s="1">
        <v>45339</v>
      </c>
      <c r="B1145">
        <v>2</v>
      </c>
      <c r="C1145" t="s">
        <v>6</v>
      </c>
      <c r="D1145">
        <v>203</v>
      </c>
      <c r="E1145">
        <v>3169.33</v>
      </c>
    </row>
    <row r="1146" spans="1:5" x14ac:dyDescent="0.25">
      <c r="A1146" s="1">
        <v>45340</v>
      </c>
      <c r="B1146">
        <v>2</v>
      </c>
      <c r="C1146" t="s">
        <v>6</v>
      </c>
      <c r="D1146">
        <v>202</v>
      </c>
      <c r="E1146">
        <v>3149.61</v>
      </c>
    </row>
    <row r="1147" spans="1:5" x14ac:dyDescent="0.25">
      <c r="A1147" s="1">
        <v>45341</v>
      </c>
      <c r="B1147">
        <v>2</v>
      </c>
      <c r="C1147" t="s">
        <v>6</v>
      </c>
      <c r="D1147">
        <v>228</v>
      </c>
      <c r="E1147">
        <v>3672.51</v>
      </c>
    </row>
    <row r="1148" spans="1:5" x14ac:dyDescent="0.25">
      <c r="A1148" s="1">
        <v>45342</v>
      </c>
      <c r="B1148">
        <v>2</v>
      </c>
      <c r="C1148" t="s">
        <v>6</v>
      </c>
      <c r="D1148">
        <v>186</v>
      </c>
      <c r="E1148">
        <v>3584.93</v>
      </c>
    </row>
    <row r="1149" spans="1:5" x14ac:dyDescent="0.25">
      <c r="A1149" s="1">
        <v>45343</v>
      </c>
      <c r="B1149">
        <v>2</v>
      </c>
      <c r="C1149" t="s">
        <v>6</v>
      </c>
      <c r="D1149">
        <v>185</v>
      </c>
      <c r="E1149">
        <v>3131.23</v>
      </c>
    </row>
    <row r="1150" spans="1:5" x14ac:dyDescent="0.25">
      <c r="A1150" s="1">
        <v>45344</v>
      </c>
      <c r="B1150">
        <v>2</v>
      </c>
      <c r="C1150" t="s">
        <v>6</v>
      </c>
      <c r="D1150">
        <v>189</v>
      </c>
      <c r="E1150">
        <v>3278.23</v>
      </c>
    </row>
    <row r="1151" spans="1:5" x14ac:dyDescent="0.25">
      <c r="A1151" s="1">
        <v>45345</v>
      </c>
      <c r="B1151">
        <v>2</v>
      </c>
      <c r="C1151" t="s">
        <v>6</v>
      </c>
      <c r="D1151">
        <v>175</v>
      </c>
      <c r="E1151">
        <v>2986.46</v>
      </c>
    </row>
    <row r="1152" spans="1:5" x14ac:dyDescent="0.25">
      <c r="A1152" s="1">
        <v>45346</v>
      </c>
      <c r="B1152">
        <v>2</v>
      </c>
      <c r="C1152" t="s">
        <v>6</v>
      </c>
      <c r="D1152">
        <v>213</v>
      </c>
      <c r="E1152">
        <v>3583.9</v>
      </c>
    </row>
    <row r="1153" spans="1:5" x14ac:dyDescent="0.25">
      <c r="A1153" s="1">
        <v>45347</v>
      </c>
      <c r="B1153">
        <v>2</v>
      </c>
      <c r="C1153" t="s">
        <v>6</v>
      </c>
      <c r="D1153">
        <v>238</v>
      </c>
      <c r="E1153">
        <v>4112.9799999999996</v>
      </c>
    </row>
    <row r="1154" spans="1:5" x14ac:dyDescent="0.25">
      <c r="A1154" s="1">
        <v>45348</v>
      </c>
      <c r="B1154">
        <v>2</v>
      </c>
      <c r="C1154" t="s">
        <v>6</v>
      </c>
      <c r="D1154">
        <v>217</v>
      </c>
      <c r="E1154">
        <v>3814.85</v>
      </c>
    </row>
    <row r="1155" spans="1:5" x14ac:dyDescent="0.25">
      <c r="A1155" s="1">
        <v>45349</v>
      </c>
      <c r="B1155">
        <v>2</v>
      </c>
      <c r="C1155" t="s">
        <v>6</v>
      </c>
      <c r="D1155">
        <v>196</v>
      </c>
      <c r="E1155">
        <v>3659.95</v>
      </c>
    </row>
    <row r="1156" spans="1:5" x14ac:dyDescent="0.25">
      <c r="A1156" s="1">
        <v>45350</v>
      </c>
      <c r="B1156">
        <v>2</v>
      </c>
      <c r="C1156" t="s">
        <v>6</v>
      </c>
      <c r="D1156">
        <v>204</v>
      </c>
      <c r="E1156">
        <v>3690.8</v>
      </c>
    </row>
    <row r="1157" spans="1:5" x14ac:dyDescent="0.25">
      <c r="A1157" s="1">
        <v>45351</v>
      </c>
      <c r="B1157">
        <v>2</v>
      </c>
      <c r="C1157" t="s">
        <v>6</v>
      </c>
      <c r="D1157">
        <v>167</v>
      </c>
      <c r="E1157">
        <v>2847.84</v>
      </c>
    </row>
    <row r="1158" spans="1:5" x14ac:dyDescent="0.25">
      <c r="A1158" s="1">
        <v>45352</v>
      </c>
      <c r="B1158">
        <v>2</v>
      </c>
      <c r="C1158" t="s">
        <v>6</v>
      </c>
      <c r="D1158">
        <v>198</v>
      </c>
      <c r="E1158">
        <v>3513.15</v>
      </c>
    </row>
    <row r="1159" spans="1:5" x14ac:dyDescent="0.25">
      <c r="A1159" s="1">
        <v>45353</v>
      </c>
      <c r="B1159">
        <v>2</v>
      </c>
      <c r="C1159" t="s">
        <v>6</v>
      </c>
      <c r="D1159">
        <v>212</v>
      </c>
      <c r="E1159">
        <v>3539.09</v>
      </c>
    </row>
    <row r="1160" spans="1:5" x14ac:dyDescent="0.25">
      <c r="A1160" s="1">
        <v>45354</v>
      </c>
      <c r="B1160">
        <v>2</v>
      </c>
      <c r="C1160" t="s">
        <v>6</v>
      </c>
      <c r="D1160">
        <v>219</v>
      </c>
      <c r="E1160">
        <v>3796.29</v>
      </c>
    </row>
    <row r="1161" spans="1:5" x14ac:dyDescent="0.25">
      <c r="A1161" s="1">
        <v>45355</v>
      </c>
      <c r="B1161">
        <v>2</v>
      </c>
      <c r="C1161" t="s">
        <v>6</v>
      </c>
      <c r="D1161">
        <v>222</v>
      </c>
      <c r="E1161">
        <v>3622.86</v>
      </c>
    </row>
    <row r="1162" spans="1:5" x14ac:dyDescent="0.25">
      <c r="A1162" s="1">
        <v>45356</v>
      </c>
      <c r="B1162">
        <v>2</v>
      </c>
      <c r="C1162" t="s">
        <v>6</v>
      </c>
      <c r="D1162">
        <v>208</v>
      </c>
      <c r="E1162">
        <v>3736.12</v>
      </c>
    </row>
    <row r="1163" spans="1:5" x14ac:dyDescent="0.25">
      <c r="A1163" s="1">
        <v>45357</v>
      </c>
      <c r="B1163">
        <v>2</v>
      </c>
      <c r="C1163" t="s">
        <v>6</v>
      </c>
      <c r="D1163">
        <v>188</v>
      </c>
      <c r="E1163">
        <v>3050.9</v>
      </c>
    </row>
    <row r="1164" spans="1:5" x14ac:dyDescent="0.25">
      <c r="A1164" s="1">
        <v>45358</v>
      </c>
      <c r="B1164">
        <v>2</v>
      </c>
      <c r="C1164" t="s">
        <v>6</v>
      </c>
      <c r="D1164">
        <v>168</v>
      </c>
      <c r="E1164">
        <v>2531.09</v>
      </c>
    </row>
    <row r="1165" spans="1:5" x14ac:dyDescent="0.25">
      <c r="A1165" s="1">
        <v>45359</v>
      </c>
      <c r="B1165">
        <v>2</v>
      </c>
      <c r="C1165" t="s">
        <v>6</v>
      </c>
      <c r="D1165">
        <v>206</v>
      </c>
      <c r="E1165">
        <v>3252.2</v>
      </c>
    </row>
    <row r="1166" spans="1:5" x14ac:dyDescent="0.25">
      <c r="A1166" s="1">
        <v>45360</v>
      </c>
      <c r="B1166">
        <v>2</v>
      </c>
      <c r="C1166" t="s">
        <v>6</v>
      </c>
      <c r="D1166">
        <v>217</v>
      </c>
      <c r="E1166">
        <v>3859.53</v>
      </c>
    </row>
    <row r="1167" spans="1:5" x14ac:dyDescent="0.25">
      <c r="A1167" s="1">
        <v>45361</v>
      </c>
      <c r="B1167">
        <v>2</v>
      </c>
      <c r="C1167" t="s">
        <v>6</v>
      </c>
      <c r="D1167">
        <v>243</v>
      </c>
      <c r="E1167">
        <v>3970.1</v>
      </c>
    </row>
    <row r="1168" spans="1:5" x14ac:dyDescent="0.25">
      <c r="A1168" s="1">
        <v>45362</v>
      </c>
      <c r="B1168">
        <v>2</v>
      </c>
      <c r="C1168" t="s">
        <v>6</v>
      </c>
      <c r="D1168">
        <v>208</v>
      </c>
      <c r="E1168">
        <v>3859.25</v>
      </c>
    </row>
    <row r="1169" spans="1:5" x14ac:dyDescent="0.25">
      <c r="A1169" s="1">
        <v>45363</v>
      </c>
      <c r="B1169">
        <v>2</v>
      </c>
      <c r="C1169" t="s">
        <v>6</v>
      </c>
      <c r="D1169">
        <v>183</v>
      </c>
      <c r="E1169">
        <v>3209.19</v>
      </c>
    </row>
    <row r="1170" spans="1:5" x14ac:dyDescent="0.25">
      <c r="A1170" s="1">
        <v>45364</v>
      </c>
      <c r="B1170">
        <v>2</v>
      </c>
      <c r="C1170" t="s">
        <v>6</v>
      </c>
      <c r="D1170">
        <v>211</v>
      </c>
      <c r="E1170">
        <v>3644.43</v>
      </c>
    </row>
    <row r="1171" spans="1:5" x14ac:dyDescent="0.25">
      <c r="A1171" s="1">
        <v>45365</v>
      </c>
      <c r="B1171">
        <v>2</v>
      </c>
      <c r="C1171" t="s">
        <v>6</v>
      </c>
      <c r="D1171">
        <v>233</v>
      </c>
      <c r="E1171">
        <v>4155.66</v>
      </c>
    </row>
    <row r="1172" spans="1:5" x14ac:dyDescent="0.25">
      <c r="A1172" s="1">
        <v>45366</v>
      </c>
      <c r="B1172">
        <v>2</v>
      </c>
      <c r="C1172" t="s">
        <v>6</v>
      </c>
      <c r="D1172">
        <v>244</v>
      </c>
      <c r="E1172">
        <v>4002.6</v>
      </c>
    </row>
    <row r="1173" spans="1:5" x14ac:dyDescent="0.25">
      <c r="A1173" s="1">
        <v>45367</v>
      </c>
      <c r="B1173">
        <v>2</v>
      </c>
      <c r="C1173" t="s">
        <v>6</v>
      </c>
      <c r="D1173">
        <v>221</v>
      </c>
      <c r="E1173">
        <v>3606.17</v>
      </c>
    </row>
    <row r="1174" spans="1:5" x14ac:dyDescent="0.25">
      <c r="A1174" s="1">
        <v>45368</v>
      </c>
      <c r="B1174">
        <v>2</v>
      </c>
      <c r="C1174" t="s">
        <v>6</v>
      </c>
      <c r="D1174">
        <v>246</v>
      </c>
      <c r="E1174">
        <v>4556.05</v>
      </c>
    </row>
    <row r="1175" spans="1:5" x14ac:dyDescent="0.25">
      <c r="A1175" s="1">
        <v>45369</v>
      </c>
      <c r="B1175">
        <v>2</v>
      </c>
      <c r="C1175" t="s">
        <v>6</v>
      </c>
      <c r="D1175">
        <v>188</v>
      </c>
      <c r="E1175">
        <v>3007.94</v>
      </c>
    </row>
    <row r="1176" spans="1:5" x14ac:dyDescent="0.25">
      <c r="A1176" s="1">
        <v>45370</v>
      </c>
      <c r="B1176">
        <v>2</v>
      </c>
      <c r="C1176" t="s">
        <v>6</v>
      </c>
      <c r="D1176">
        <v>202</v>
      </c>
      <c r="E1176">
        <v>3467.67</v>
      </c>
    </row>
    <row r="1177" spans="1:5" x14ac:dyDescent="0.25">
      <c r="A1177" s="1">
        <v>45371</v>
      </c>
      <c r="B1177">
        <v>2</v>
      </c>
      <c r="C1177" t="s">
        <v>6</v>
      </c>
      <c r="D1177">
        <v>204</v>
      </c>
      <c r="E1177">
        <v>3750.25</v>
      </c>
    </row>
    <row r="1178" spans="1:5" x14ac:dyDescent="0.25">
      <c r="A1178" s="1">
        <v>45372</v>
      </c>
      <c r="B1178">
        <v>2</v>
      </c>
      <c r="C1178" t="s">
        <v>6</v>
      </c>
      <c r="D1178">
        <v>195</v>
      </c>
      <c r="E1178">
        <v>3410.96</v>
      </c>
    </row>
    <row r="1179" spans="1:5" x14ac:dyDescent="0.25">
      <c r="A1179" s="1">
        <v>45373</v>
      </c>
      <c r="B1179">
        <v>2</v>
      </c>
      <c r="C1179" t="s">
        <v>6</v>
      </c>
      <c r="D1179">
        <v>210</v>
      </c>
      <c r="E1179">
        <v>3260.12</v>
      </c>
    </row>
    <row r="1180" spans="1:5" x14ac:dyDescent="0.25">
      <c r="A1180" s="1">
        <v>45374</v>
      </c>
      <c r="B1180">
        <v>2</v>
      </c>
      <c r="C1180" t="s">
        <v>6</v>
      </c>
      <c r="D1180">
        <v>246</v>
      </c>
      <c r="E1180">
        <v>3934.77</v>
      </c>
    </row>
    <row r="1181" spans="1:5" x14ac:dyDescent="0.25">
      <c r="A1181" s="1">
        <v>45375</v>
      </c>
      <c r="B1181">
        <v>2</v>
      </c>
      <c r="C1181" t="s">
        <v>6</v>
      </c>
      <c r="D1181">
        <v>212</v>
      </c>
      <c r="E1181">
        <v>3489.24</v>
      </c>
    </row>
    <row r="1182" spans="1:5" x14ac:dyDescent="0.25">
      <c r="A1182" s="1">
        <v>45376</v>
      </c>
      <c r="B1182">
        <v>2</v>
      </c>
      <c r="C1182" t="s">
        <v>6</v>
      </c>
      <c r="D1182">
        <v>240</v>
      </c>
      <c r="E1182">
        <v>4054.5</v>
      </c>
    </row>
    <row r="1183" spans="1:5" x14ac:dyDescent="0.25">
      <c r="A1183" s="1">
        <v>45377</v>
      </c>
      <c r="B1183">
        <v>2</v>
      </c>
      <c r="C1183" t="s">
        <v>6</v>
      </c>
      <c r="D1183">
        <v>195</v>
      </c>
      <c r="E1183">
        <v>3233.03</v>
      </c>
    </row>
    <row r="1184" spans="1:5" x14ac:dyDescent="0.25">
      <c r="A1184" s="1">
        <v>45378</v>
      </c>
      <c r="B1184">
        <v>2</v>
      </c>
      <c r="C1184" t="s">
        <v>6</v>
      </c>
      <c r="D1184">
        <v>206</v>
      </c>
      <c r="E1184">
        <v>3606.75</v>
      </c>
    </row>
    <row r="1185" spans="1:5" x14ac:dyDescent="0.25">
      <c r="A1185" s="1">
        <v>45379</v>
      </c>
      <c r="B1185">
        <v>2</v>
      </c>
      <c r="C1185" t="s">
        <v>6</v>
      </c>
      <c r="D1185">
        <v>185</v>
      </c>
      <c r="E1185">
        <v>3056.45</v>
      </c>
    </row>
    <row r="1186" spans="1:5" x14ac:dyDescent="0.25">
      <c r="A1186" s="1">
        <v>45380</v>
      </c>
      <c r="B1186">
        <v>2</v>
      </c>
      <c r="C1186" t="s">
        <v>6</v>
      </c>
      <c r="D1186">
        <v>188</v>
      </c>
      <c r="E1186">
        <v>3170.04</v>
      </c>
    </row>
    <row r="1187" spans="1:5" x14ac:dyDescent="0.25">
      <c r="A1187" s="1">
        <v>45381</v>
      </c>
      <c r="B1187">
        <v>2</v>
      </c>
      <c r="C1187" t="s">
        <v>6</v>
      </c>
      <c r="D1187">
        <v>215</v>
      </c>
      <c r="E1187">
        <v>3730.53</v>
      </c>
    </row>
    <row r="1188" spans="1:5" x14ac:dyDescent="0.25">
      <c r="A1188" s="1">
        <v>45382</v>
      </c>
      <c r="B1188">
        <v>2</v>
      </c>
      <c r="C1188" t="s">
        <v>6</v>
      </c>
      <c r="D1188">
        <v>221</v>
      </c>
      <c r="E1188">
        <v>3781.7</v>
      </c>
    </row>
    <row r="1189" spans="1:5" x14ac:dyDescent="0.25">
      <c r="A1189" s="1">
        <v>45383</v>
      </c>
      <c r="B1189">
        <v>2</v>
      </c>
      <c r="C1189" t="s">
        <v>6</v>
      </c>
      <c r="D1189">
        <v>201</v>
      </c>
      <c r="E1189">
        <v>3181.92</v>
      </c>
    </row>
    <row r="1190" spans="1:5" x14ac:dyDescent="0.25">
      <c r="A1190" s="1">
        <v>45384</v>
      </c>
      <c r="B1190">
        <v>2</v>
      </c>
      <c r="C1190" t="s">
        <v>6</v>
      </c>
      <c r="D1190">
        <v>226</v>
      </c>
      <c r="E1190">
        <v>3918.39</v>
      </c>
    </row>
    <row r="1191" spans="1:5" x14ac:dyDescent="0.25">
      <c r="A1191" s="1">
        <v>45385</v>
      </c>
      <c r="B1191">
        <v>2</v>
      </c>
      <c r="C1191" t="s">
        <v>6</v>
      </c>
      <c r="D1191">
        <v>203</v>
      </c>
      <c r="E1191">
        <v>3527.7</v>
      </c>
    </row>
    <row r="1192" spans="1:5" x14ac:dyDescent="0.25">
      <c r="A1192" s="1">
        <v>45386</v>
      </c>
      <c r="B1192">
        <v>2</v>
      </c>
      <c r="C1192" t="s">
        <v>6</v>
      </c>
      <c r="D1192">
        <v>215</v>
      </c>
      <c r="E1192">
        <v>3710.49</v>
      </c>
    </row>
    <row r="1193" spans="1:5" x14ac:dyDescent="0.25">
      <c r="A1193" s="1">
        <v>45387</v>
      </c>
      <c r="B1193">
        <v>2</v>
      </c>
      <c r="C1193" t="s">
        <v>6</v>
      </c>
      <c r="D1193">
        <v>193</v>
      </c>
      <c r="E1193">
        <v>3195.9</v>
      </c>
    </row>
    <row r="1194" spans="1:5" x14ac:dyDescent="0.25">
      <c r="A1194" s="1">
        <v>45388</v>
      </c>
      <c r="B1194">
        <v>2</v>
      </c>
      <c r="C1194" t="s">
        <v>6</v>
      </c>
      <c r="D1194">
        <v>244</v>
      </c>
      <c r="E1194">
        <v>4224.8599999999997</v>
      </c>
    </row>
    <row r="1195" spans="1:5" x14ac:dyDescent="0.25">
      <c r="A1195" s="1">
        <v>45389</v>
      </c>
      <c r="B1195">
        <v>2</v>
      </c>
      <c r="C1195" t="s">
        <v>6</v>
      </c>
      <c r="D1195">
        <v>248</v>
      </c>
      <c r="E1195">
        <v>4553.21</v>
      </c>
    </row>
    <row r="1196" spans="1:5" x14ac:dyDescent="0.25">
      <c r="A1196" s="1">
        <v>45390</v>
      </c>
      <c r="B1196">
        <v>2</v>
      </c>
      <c r="C1196" t="s">
        <v>6</v>
      </c>
      <c r="D1196">
        <v>206</v>
      </c>
      <c r="E1196">
        <v>3328.9</v>
      </c>
    </row>
    <row r="1197" spans="1:5" x14ac:dyDescent="0.25">
      <c r="A1197" s="1">
        <v>45391</v>
      </c>
      <c r="B1197">
        <v>2</v>
      </c>
      <c r="C1197" t="s">
        <v>6</v>
      </c>
      <c r="D1197">
        <v>188</v>
      </c>
      <c r="E1197">
        <v>2876.12</v>
      </c>
    </row>
    <row r="1198" spans="1:5" x14ac:dyDescent="0.25">
      <c r="A1198" s="1">
        <v>45392</v>
      </c>
      <c r="B1198">
        <v>2</v>
      </c>
      <c r="C1198" t="s">
        <v>6</v>
      </c>
      <c r="D1198">
        <v>223</v>
      </c>
      <c r="E1198">
        <v>3731.38</v>
      </c>
    </row>
    <row r="1199" spans="1:5" x14ac:dyDescent="0.25">
      <c r="A1199" s="1">
        <v>45393</v>
      </c>
      <c r="B1199">
        <v>2</v>
      </c>
      <c r="C1199" t="s">
        <v>6</v>
      </c>
      <c r="D1199">
        <v>181</v>
      </c>
      <c r="E1199">
        <v>2948.37</v>
      </c>
    </row>
    <row r="1200" spans="1:5" x14ac:dyDescent="0.25">
      <c r="A1200" s="1">
        <v>45394</v>
      </c>
      <c r="B1200">
        <v>2</v>
      </c>
      <c r="C1200" t="s">
        <v>6</v>
      </c>
      <c r="D1200">
        <v>227</v>
      </c>
      <c r="E1200">
        <v>4187.79</v>
      </c>
    </row>
    <row r="1201" spans="1:5" x14ac:dyDescent="0.25">
      <c r="A1201" s="1">
        <v>45395</v>
      </c>
      <c r="B1201">
        <v>2</v>
      </c>
      <c r="C1201" t="s">
        <v>6</v>
      </c>
      <c r="D1201">
        <v>262</v>
      </c>
      <c r="E1201">
        <v>4286.47</v>
      </c>
    </row>
    <row r="1202" spans="1:5" x14ac:dyDescent="0.25">
      <c r="A1202" s="1">
        <v>45396</v>
      </c>
      <c r="B1202">
        <v>2</v>
      </c>
      <c r="C1202" t="s">
        <v>6</v>
      </c>
      <c r="D1202">
        <v>250</v>
      </c>
      <c r="E1202">
        <v>4084.19</v>
      </c>
    </row>
    <row r="1203" spans="1:5" x14ac:dyDescent="0.25">
      <c r="A1203" s="1">
        <v>45397</v>
      </c>
      <c r="B1203">
        <v>2</v>
      </c>
      <c r="C1203" t="s">
        <v>6</v>
      </c>
      <c r="D1203">
        <v>196</v>
      </c>
      <c r="E1203">
        <v>3282.49</v>
      </c>
    </row>
    <row r="1204" spans="1:5" x14ac:dyDescent="0.25">
      <c r="A1204" s="1">
        <v>45398</v>
      </c>
      <c r="B1204">
        <v>2</v>
      </c>
      <c r="C1204" t="s">
        <v>6</v>
      </c>
      <c r="D1204">
        <v>203</v>
      </c>
      <c r="E1204">
        <v>3389.97</v>
      </c>
    </row>
    <row r="1205" spans="1:5" x14ac:dyDescent="0.25">
      <c r="A1205" s="1">
        <v>45399</v>
      </c>
      <c r="B1205">
        <v>2</v>
      </c>
      <c r="C1205" t="s">
        <v>6</v>
      </c>
      <c r="D1205">
        <v>200</v>
      </c>
      <c r="E1205">
        <v>3593.99</v>
      </c>
    </row>
    <row r="1206" spans="1:5" x14ac:dyDescent="0.25">
      <c r="A1206" s="1">
        <v>45400</v>
      </c>
      <c r="B1206">
        <v>2</v>
      </c>
      <c r="C1206" t="s">
        <v>6</v>
      </c>
      <c r="D1206">
        <v>185</v>
      </c>
      <c r="E1206">
        <v>3108.96</v>
      </c>
    </row>
    <row r="1207" spans="1:5" x14ac:dyDescent="0.25">
      <c r="A1207" s="1">
        <v>45401</v>
      </c>
      <c r="B1207">
        <v>2</v>
      </c>
      <c r="C1207" t="s">
        <v>6</v>
      </c>
      <c r="D1207">
        <v>211</v>
      </c>
      <c r="E1207">
        <v>3573.7</v>
      </c>
    </row>
    <row r="1208" spans="1:5" x14ac:dyDescent="0.25">
      <c r="A1208" s="1">
        <v>45402</v>
      </c>
      <c r="B1208">
        <v>2</v>
      </c>
      <c r="C1208" t="s">
        <v>6</v>
      </c>
      <c r="D1208">
        <v>218</v>
      </c>
      <c r="E1208">
        <v>3828.72</v>
      </c>
    </row>
    <row r="1209" spans="1:5" x14ac:dyDescent="0.25">
      <c r="A1209" s="1">
        <v>45403</v>
      </c>
      <c r="B1209">
        <v>2</v>
      </c>
      <c r="C1209" t="s">
        <v>6</v>
      </c>
      <c r="D1209">
        <v>210</v>
      </c>
      <c r="E1209">
        <v>3534.8</v>
      </c>
    </row>
    <row r="1210" spans="1:5" x14ac:dyDescent="0.25">
      <c r="A1210" s="1">
        <v>45404</v>
      </c>
      <c r="B1210">
        <v>2</v>
      </c>
      <c r="C1210" t="s">
        <v>6</v>
      </c>
      <c r="D1210">
        <v>213</v>
      </c>
      <c r="E1210">
        <v>3575.26</v>
      </c>
    </row>
    <row r="1211" spans="1:5" x14ac:dyDescent="0.25">
      <c r="A1211" s="1">
        <v>45405</v>
      </c>
      <c r="B1211">
        <v>2</v>
      </c>
      <c r="C1211" t="s">
        <v>6</v>
      </c>
      <c r="D1211">
        <v>204</v>
      </c>
      <c r="E1211">
        <v>3494.81</v>
      </c>
    </row>
    <row r="1212" spans="1:5" x14ac:dyDescent="0.25">
      <c r="A1212" s="1">
        <v>45406</v>
      </c>
      <c r="B1212">
        <v>2</v>
      </c>
      <c r="C1212" t="s">
        <v>6</v>
      </c>
      <c r="D1212">
        <v>158</v>
      </c>
      <c r="E1212">
        <v>2789.48</v>
      </c>
    </row>
    <row r="1213" spans="1:5" x14ac:dyDescent="0.25">
      <c r="A1213" s="1">
        <v>45407</v>
      </c>
      <c r="B1213">
        <v>2</v>
      </c>
      <c r="C1213" t="s">
        <v>6</v>
      </c>
      <c r="D1213">
        <v>174</v>
      </c>
      <c r="E1213">
        <v>3210.1</v>
      </c>
    </row>
    <row r="1214" spans="1:5" x14ac:dyDescent="0.25">
      <c r="A1214" s="1">
        <v>45408</v>
      </c>
      <c r="B1214">
        <v>2</v>
      </c>
      <c r="C1214" t="s">
        <v>6</v>
      </c>
      <c r="D1214">
        <v>218</v>
      </c>
      <c r="E1214">
        <v>3480.4</v>
      </c>
    </row>
    <row r="1215" spans="1:5" x14ac:dyDescent="0.25">
      <c r="A1215" s="1">
        <v>45409</v>
      </c>
      <c r="B1215">
        <v>2</v>
      </c>
      <c r="C1215" t="s">
        <v>6</v>
      </c>
      <c r="D1215">
        <v>205</v>
      </c>
      <c r="E1215">
        <v>3344.5</v>
      </c>
    </row>
    <row r="1216" spans="1:5" x14ac:dyDescent="0.25">
      <c r="A1216" s="1">
        <v>45410</v>
      </c>
      <c r="B1216">
        <v>2</v>
      </c>
      <c r="C1216" t="s">
        <v>6</v>
      </c>
      <c r="D1216">
        <v>242</v>
      </c>
      <c r="E1216">
        <v>4073.39</v>
      </c>
    </row>
    <row r="1217" spans="1:5" x14ac:dyDescent="0.25">
      <c r="A1217" s="1">
        <v>45411</v>
      </c>
      <c r="B1217">
        <v>2</v>
      </c>
      <c r="C1217" t="s">
        <v>6</v>
      </c>
      <c r="D1217">
        <v>226</v>
      </c>
      <c r="E1217">
        <v>3822.28</v>
      </c>
    </row>
    <row r="1218" spans="1:5" x14ac:dyDescent="0.25">
      <c r="A1218" s="1">
        <v>45412</v>
      </c>
      <c r="B1218">
        <v>2</v>
      </c>
      <c r="C1218" t="s">
        <v>6</v>
      </c>
      <c r="D1218">
        <v>233</v>
      </c>
      <c r="E1218">
        <v>4035.85</v>
      </c>
    </row>
    <row r="1219" spans="1:5" x14ac:dyDescent="0.25">
      <c r="A1219" s="1">
        <v>45413</v>
      </c>
      <c r="B1219">
        <v>2</v>
      </c>
      <c r="C1219" t="s">
        <v>6</v>
      </c>
      <c r="D1219">
        <v>207</v>
      </c>
      <c r="E1219">
        <v>3599.67</v>
      </c>
    </row>
    <row r="1220" spans="1:5" x14ac:dyDescent="0.25">
      <c r="A1220" s="1">
        <v>45414</v>
      </c>
      <c r="B1220">
        <v>2</v>
      </c>
      <c r="C1220" t="s">
        <v>6</v>
      </c>
      <c r="D1220">
        <v>218</v>
      </c>
      <c r="E1220">
        <v>3980.08</v>
      </c>
    </row>
    <row r="1221" spans="1:5" x14ac:dyDescent="0.25">
      <c r="A1221" s="1">
        <v>45415</v>
      </c>
      <c r="B1221">
        <v>2</v>
      </c>
      <c r="C1221" t="s">
        <v>6</v>
      </c>
      <c r="D1221">
        <v>181</v>
      </c>
      <c r="E1221">
        <v>3118.53</v>
      </c>
    </row>
    <row r="1222" spans="1:5" x14ac:dyDescent="0.25">
      <c r="A1222" s="1">
        <v>45416</v>
      </c>
      <c r="B1222">
        <v>2</v>
      </c>
      <c r="C1222" t="s">
        <v>6</v>
      </c>
      <c r="D1222">
        <v>235</v>
      </c>
      <c r="E1222">
        <v>3779.76</v>
      </c>
    </row>
    <row r="1223" spans="1:5" x14ac:dyDescent="0.25">
      <c r="A1223" s="1">
        <v>45417</v>
      </c>
      <c r="B1223">
        <v>2</v>
      </c>
      <c r="C1223" t="s">
        <v>6</v>
      </c>
      <c r="D1223">
        <v>209</v>
      </c>
      <c r="E1223">
        <v>3579.61</v>
      </c>
    </row>
    <row r="1224" spans="1:5" x14ac:dyDescent="0.25">
      <c r="A1224" s="1">
        <v>45418</v>
      </c>
      <c r="B1224">
        <v>2</v>
      </c>
      <c r="C1224" t="s">
        <v>6</v>
      </c>
      <c r="D1224">
        <v>195</v>
      </c>
      <c r="E1224">
        <v>3205.66</v>
      </c>
    </row>
    <row r="1225" spans="1:5" x14ac:dyDescent="0.25">
      <c r="A1225" s="1">
        <v>45419</v>
      </c>
      <c r="B1225">
        <v>2</v>
      </c>
      <c r="C1225" t="s">
        <v>6</v>
      </c>
      <c r="D1225">
        <v>212</v>
      </c>
      <c r="E1225">
        <v>3680.26</v>
      </c>
    </row>
    <row r="1226" spans="1:5" x14ac:dyDescent="0.25">
      <c r="A1226" s="1">
        <v>45420</v>
      </c>
      <c r="B1226">
        <v>2</v>
      </c>
      <c r="C1226" t="s">
        <v>6</v>
      </c>
      <c r="D1226">
        <v>170</v>
      </c>
      <c r="E1226">
        <v>2865.26</v>
      </c>
    </row>
    <row r="1227" spans="1:5" x14ac:dyDescent="0.25">
      <c r="A1227" s="1">
        <v>45421</v>
      </c>
      <c r="B1227">
        <v>2</v>
      </c>
      <c r="C1227" t="s">
        <v>6</v>
      </c>
      <c r="D1227">
        <v>221</v>
      </c>
      <c r="E1227">
        <v>3820.86</v>
      </c>
    </row>
    <row r="1228" spans="1:5" x14ac:dyDescent="0.25">
      <c r="A1228" s="1">
        <v>45422</v>
      </c>
      <c r="B1228">
        <v>2</v>
      </c>
      <c r="C1228" t="s">
        <v>6</v>
      </c>
      <c r="D1228">
        <v>200</v>
      </c>
      <c r="E1228">
        <v>3533.74</v>
      </c>
    </row>
    <row r="1229" spans="1:5" x14ac:dyDescent="0.25">
      <c r="A1229" s="1">
        <v>45423</v>
      </c>
      <c r="B1229">
        <v>2</v>
      </c>
      <c r="C1229" t="s">
        <v>6</v>
      </c>
      <c r="D1229">
        <v>248</v>
      </c>
      <c r="E1229">
        <v>4175.2299999999996</v>
      </c>
    </row>
    <row r="1230" spans="1:5" x14ac:dyDescent="0.25">
      <c r="A1230" s="1">
        <v>45424</v>
      </c>
      <c r="B1230">
        <v>2</v>
      </c>
      <c r="C1230" t="s">
        <v>6</v>
      </c>
      <c r="D1230">
        <v>250</v>
      </c>
      <c r="E1230">
        <v>4086.26</v>
      </c>
    </row>
    <row r="1231" spans="1:5" x14ac:dyDescent="0.25">
      <c r="A1231" s="1">
        <v>45425</v>
      </c>
      <c r="B1231">
        <v>2</v>
      </c>
      <c r="C1231" t="s">
        <v>6</v>
      </c>
      <c r="D1231">
        <v>181</v>
      </c>
      <c r="E1231">
        <v>2885.53</v>
      </c>
    </row>
    <row r="1232" spans="1:5" x14ac:dyDescent="0.25">
      <c r="A1232" s="1">
        <v>45426</v>
      </c>
      <c r="B1232">
        <v>2</v>
      </c>
      <c r="C1232" t="s">
        <v>6</v>
      </c>
      <c r="D1232">
        <v>226</v>
      </c>
      <c r="E1232">
        <v>3762.66</v>
      </c>
    </row>
    <row r="1233" spans="1:5" x14ac:dyDescent="0.25">
      <c r="A1233" s="1">
        <v>45427</v>
      </c>
      <c r="B1233">
        <v>2</v>
      </c>
      <c r="C1233" t="s">
        <v>6</v>
      </c>
      <c r="D1233">
        <v>243</v>
      </c>
      <c r="E1233">
        <v>4156.68</v>
      </c>
    </row>
    <row r="1234" spans="1:5" x14ac:dyDescent="0.25">
      <c r="A1234" s="1">
        <v>45428</v>
      </c>
      <c r="B1234">
        <v>2</v>
      </c>
      <c r="C1234" t="s">
        <v>6</v>
      </c>
      <c r="D1234">
        <v>235</v>
      </c>
      <c r="E1234">
        <v>4254.9399999999996</v>
      </c>
    </row>
    <row r="1235" spans="1:5" x14ac:dyDescent="0.25">
      <c r="A1235" s="1">
        <v>45429</v>
      </c>
      <c r="B1235">
        <v>2</v>
      </c>
      <c r="C1235" t="s">
        <v>6</v>
      </c>
      <c r="D1235">
        <v>223</v>
      </c>
      <c r="E1235">
        <v>3790.1</v>
      </c>
    </row>
    <row r="1236" spans="1:5" x14ac:dyDescent="0.25">
      <c r="A1236" s="1">
        <v>45430</v>
      </c>
      <c r="B1236">
        <v>2</v>
      </c>
      <c r="C1236" t="s">
        <v>6</v>
      </c>
      <c r="D1236">
        <v>256</v>
      </c>
      <c r="E1236">
        <v>4585.9399999999996</v>
      </c>
    </row>
    <row r="1237" spans="1:5" x14ac:dyDescent="0.25">
      <c r="A1237" s="1">
        <v>45431</v>
      </c>
      <c r="B1237">
        <v>2</v>
      </c>
      <c r="C1237" t="s">
        <v>6</v>
      </c>
      <c r="D1237">
        <v>226</v>
      </c>
      <c r="E1237">
        <v>3959.68</v>
      </c>
    </row>
    <row r="1238" spans="1:5" x14ac:dyDescent="0.25">
      <c r="A1238" s="1">
        <v>45432</v>
      </c>
      <c r="B1238">
        <v>2</v>
      </c>
      <c r="C1238" t="s">
        <v>6</v>
      </c>
      <c r="D1238">
        <v>207</v>
      </c>
      <c r="E1238">
        <v>3257.31</v>
      </c>
    </row>
    <row r="1239" spans="1:5" x14ac:dyDescent="0.25">
      <c r="A1239" s="1">
        <v>45433</v>
      </c>
      <c r="B1239">
        <v>2</v>
      </c>
      <c r="C1239" t="s">
        <v>6</v>
      </c>
      <c r="D1239">
        <v>232</v>
      </c>
      <c r="E1239">
        <v>3935.26</v>
      </c>
    </row>
    <row r="1240" spans="1:5" x14ac:dyDescent="0.25">
      <c r="A1240" s="1">
        <v>45434</v>
      </c>
      <c r="B1240">
        <v>2</v>
      </c>
      <c r="C1240" t="s">
        <v>6</v>
      </c>
      <c r="D1240">
        <v>220</v>
      </c>
      <c r="E1240">
        <v>3765.19</v>
      </c>
    </row>
    <row r="1241" spans="1:5" x14ac:dyDescent="0.25">
      <c r="A1241" s="1">
        <v>45435</v>
      </c>
      <c r="B1241">
        <v>2</v>
      </c>
      <c r="C1241" t="s">
        <v>6</v>
      </c>
      <c r="D1241">
        <v>199</v>
      </c>
      <c r="E1241">
        <v>3032.57</v>
      </c>
    </row>
    <row r="1242" spans="1:5" x14ac:dyDescent="0.25">
      <c r="A1242" s="1">
        <v>45436</v>
      </c>
      <c r="B1242">
        <v>2</v>
      </c>
      <c r="C1242" t="s">
        <v>6</v>
      </c>
      <c r="D1242">
        <v>217</v>
      </c>
      <c r="E1242">
        <v>3368.17</v>
      </c>
    </row>
    <row r="1243" spans="1:5" x14ac:dyDescent="0.25">
      <c r="A1243" s="1">
        <v>45437</v>
      </c>
      <c r="B1243">
        <v>2</v>
      </c>
      <c r="C1243" t="s">
        <v>6</v>
      </c>
      <c r="D1243">
        <v>242</v>
      </c>
      <c r="E1243">
        <v>4237.8900000000003</v>
      </c>
    </row>
    <row r="1244" spans="1:5" x14ac:dyDescent="0.25">
      <c r="A1244" s="1">
        <v>45438</v>
      </c>
      <c r="B1244">
        <v>2</v>
      </c>
      <c r="C1244" t="s">
        <v>6</v>
      </c>
      <c r="D1244">
        <v>238</v>
      </c>
      <c r="E1244">
        <v>4369.4399999999996</v>
      </c>
    </row>
    <row r="1245" spans="1:5" x14ac:dyDescent="0.25">
      <c r="A1245" s="1">
        <v>45439</v>
      </c>
      <c r="B1245">
        <v>2</v>
      </c>
      <c r="C1245" t="s">
        <v>6</v>
      </c>
      <c r="D1245">
        <v>190</v>
      </c>
      <c r="E1245">
        <v>3238.38</v>
      </c>
    </row>
    <row r="1246" spans="1:5" x14ac:dyDescent="0.25">
      <c r="A1246" s="1">
        <v>45440</v>
      </c>
      <c r="B1246">
        <v>2</v>
      </c>
      <c r="C1246" t="s">
        <v>6</v>
      </c>
      <c r="D1246">
        <v>230</v>
      </c>
      <c r="E1246">
        <v>3769.15</v>
      </c>
    </row>
    <row r="1247" spans="1:5" x14ac:dyDescent="0.25">
      <c r="A1247" s="1">
        <v>45441</v>
      </c>
      <c r="B1247">
        <v>2</v>
      </c>
      <c r="C1247" t="s">
        <v>6</v>
      </c>
      <c r="D1247">
        <v>195</v>
      </c>
      <c r="E1247">
        <v>3636.1</v>
      </c>
    </row>
    <row r="1248" spans="1:5" x14ac:dyDescent="0.25">
      <c r="A1248" s="1">
        <v>45442</v>
      </c>
      <c r="B1248">
        <v>2</v>
      </c>
      <c r="C1248" t="s">
        <v>6</v>
      </c>
      <c r="D1248">
        <v>240</v>
      </c>
      <c r="E1248">
        <v>4086.52</v>
      </c>
    </row>
    <row r="1249" spans="1:5" x14ac:dyDescent="0.25">
      <c r="A1249" s="1">
        <v>45443</v>
      </c>
      <c r="B1249">
        <v>2</v>
      </c>
      <c r="C1249" t="s">
        <v>6</v>
      </c>
      <c r="D1249">
        <v>220</v>
      </c>
      <c r="E1249">
        <v>3800.7</v>
      </c>
    </row>
    <row r="1250" spans="1:5" x14ac:dyDescent="0.25">
      <c r="A1250" s="1">
        <v>45444</v>
      </c>
      <c r="B1250">
        <v>2</v>
      </c>
      <c r="C1250" t="s">
        <v>6</v>
      </c>
      <c r="D1250">
        <v>238</v>
      </c>
      <c r="E1250">
        <v>4108.79</v>
      </c>
    </row>
    <row r="1251" spans="1:5" x14ac:dyDescent="0.25">
      <c r="A1251" s="1">
        <v>45445</v>
      </c>
      <c r="B1251">
        <v>2</v>
      </c>
      <c r="C1251" t="s">
        <v>6</v>
      </c>
      <c r="D1251">
        <v>259</v>
      </c>
      <c r="E1251">
        <v>4243.88</v>
      </c>
    </row>
    <row r="1252" spans="1:5" x14ac:dyDescent="0.25">
      <c r="A1252" s="1">
        <v>45446</v>
      </c>
      <c r="B1252">
        <v>2</v>
      </c>
      <c r="C1252" t="s">
        <v>6</v>
      </c>
      <c r="D1252">
        <v>246</v>
      </c>
      <c r="E1252">
        <v>3909.94</v>
      </c>
    </row>
    <row r="1253" spans="1:5" x14ac:dyDescent="0.25">
      <c r="A1253" s="1">
        <v>45447</v>
      </c>
      <c r="B1253">
        <v>2</v>
      </c>
      <c r="C1253" t="s">
        <v>6</v>
      </c>
      <c r="D1253">
        <v>224</v>
      </c>
      <c r="E1253">
        <v>3718.33</v>
      </c>
    </row>
    <row r="1254" spans="1:5" x14ac:dyDescent="0.25">
      <c r="A1254" s="1">
        <v>45448</v>
      </c>
      <c r="B1254">
        <v>2</v>
      </c>
      <c r="C1254" t="s">
        <v>6</v>
      </c>
      <c r="D1254">
        <v>234</v>
      </c>
      <c r="E1254">
        <v>4015.6</v>
      </c>
    </row>
    <row r="1255" spans="1:5" x14ac:dyDescent="0.25">
      <c r="A1255" s="1">
        <v>45449</v>
      </c>
      <c r="B1255">
        <v>2</v>
      </c>
      <c r="C1255" t="s">
        <v>6</v>
      </c>
      <c r="D1255">
        <v>256</v>
      </c>
      <c r="E1255">
        <v>4315.68</v>
      </c>
    </row>
    <row r="1256" spans="1:5" x14ac:dyDescent="0.25">
      <c r="A1256" s="1">
        <v>45450</v>
      </c>
      <c r="B1256">
        <v>2</v>
      </c>
      <c r="C1256" t="s">
        <v>6</v>
      </c>
      <c r="D1256">
        <v>223</v>
      </c>
      <c r="E1256">
        <v>3566.58</v>
      </c>
    </row>
    <row r="1257" spans="1:5" x14ac:dyDescent="0.25">
      <c r="A1257" s="1">
        <v>45451</v>
      </c>
      <c r="B1257">
        <v>2</v>
      </c>
      <c r="C1257" t="s">
        <v>6</v>
      </c>
      <c r="D1257">
        <v>251</v>
      </c>
      <c r="E1257">
        <v>4201.55</v>
      </c>
    </row>
    <row r="1258" spans="1:5" x14ac:dyDescent="0.25">
      <c r="A1258" s="1">
        <v>45452</v>
      </c>
      <c r="B1258">
        <v>2</v>
      </c>
      <c r="C1258" t="s">
        <v>6</v>
      </c>
      <c r="D1258">
        <v>267</v>
      </c>
      <c r="E1258">
        <v>4152.7299999999996</v>
      </c>
    </row>
    <row r="1259" spans="1:5" x14ac:dyDescent="0.25">
      <c r="A1259" s="1">
        <v>45453</v>
      </c>
      <c r="B1259">
        <v>2</v>
      </c>
      <c r="C1259" t="s">
        <v>6</v>
      </c>
      <c r="D1259">
        <v>229</v>
      </c>
      <c r="E1259">
        <v>3924.6</v>
      </c>
    </row>
    <row r="1260" spans="1:5" x14ac:dyDescent="0.25">
      <c r="A1260" s="1">
        <v>45454</v>
      </c>
      <c r="B1260">
        <v>2</v>
      </c>
      <c r="C1260" t="s">
        <v>6</v>
      </c>
      <c r="D1260">
        <v>197</v>
      </c>
      <c r="E1260">
        <v>3077.24</v>
      </c>
    </row>
    <row r="1261" spans="1:5" x14ac:dyDescent="0.25">
      <c r="A1261" s="1">
        <v>45455</v>
      </c>
      <c r="B1261">
        <v>2</v>
      </c>
      <c r="C1261" t="s">
        <v>6</v>
      </c>
      <c r="D1261">
        <v>239</v>
      </c>
      <c r="E1261">
        <v>4325.13</v>
      </c>
    </row>
    <row r="1262" spans="1:5" x14ac:dyDescent="0.25">
      <c r="A1262" s="1">
        <v>45456</v>
      </c>
      <c r="B1262">
        <v>2</v>
      </c>
      <c r="C1262" t="s">
        <v>6</v>
      </c>
      <c r="D1262">
        <v>232</v>
      </c>
      <c r="E1262">
        <v>3963.8</v>
      </c>
    </row>
    <row r="1263" spans="1:5" x14ac:dyDescent="0.25">
      <c r="A1263" s="1">
        <v>45457</v>
      </c>
      <c r="B1263">
        <v>2</v>
      </c>
      <c r="C1263" t="s">
        <v>6</v>
      </c>
      <c r="D1263">
        <v>224</v>
      </c>
      <c r="E1263">
        <v>3951.65</v>
      </c>
    </row>
    <row r="1264" spans="1:5" x14ac:dyDescent="0.25">
      <c r="A1264" s="1">
        <v>45458</v>
      </c>
      <c r="B1264">
        <v>2</v>
      </c>
      <c r="C1264" t="s">
        <v>6</v>
      </c>
      <c r="D1264">
        <v>283</v>
      </c>
      <c r="E1264">
        <v>4707.1099999999997</v>
      </c>
    </row>
    <row r="1265" spans="1:5" x14ac:dyDescent="0.25">
      <c r="A1265" s="1">
        <v>45459</v>
      </c>
      <c r="B1265">
        <v>2</v>
      </c>
      <c r="C1265" t="s">
        <v>6</v>
      </c>
      <c r="D1265">
        <v>261</v>
      </c>
      <c r="E1265">
        <v>4533.3</v>
      </c>
    </row>
    <row r="1266" spans="1:5" x14ac:dyDescent="0.25">
      <c r="A1266" s="1">
        <v>45460</v>
      </c>
      <c r="B1266">
        <v>2</v>
      </c>
      <c r="C1266" t="s">
        <v>6</v>
      </c>
      <c r="D1266">
        <v>276</v>
      </c>
      <c r="E1266">
        <v>4358.5600000000004</v>
      </c>
    </row>
    <row r="1267" spans="1:5" x14ac:dyDescent="0.25">
      <c r="A1267" s="1">
        <v>45461</v>
      </c>
      <c r="B1267">
        <v>2</v>
      </c>
      <c r="C1267" t="s">
        <v>6</v>
      </c>
      <c r="D1267">
        <v>235</v>
      </c>
      <c r="E1267">
        <v>3848.4</v>
      </c>
    </row>
    <row r="1268" spans="1:5" x14ac:dyDescent="0.25">
      <c r="A1268" s="1">
        <v>45462</v>
      </c>
      <c r="B1268">
        <v>2</v>
      </c>
      <c r="C1268" t="s">
        <v>6</v>
      </c>
      <c r="D1268">
        <v>242</v>
      </c>
      <c r="E1268">
        <v>4414.8999999999996</v>
      </c>
    </row>
    <row r="1269" spans="1:5" x14ac:dyDescent="0.25">
      <c r="A1269" s="1">
        <v>45463</v>
      </c>
      <c r="B1269">
        <v>2</v>
      </c>
      <c r="C1269" t="s">
        <v>6</v>
      </c>
      <c r="D1269">
        <v>219</v>
      </c>
      <c r="E1269">
        <v>3922.01</v>
      </c>
    </row>
    <row r="1270" spans="1:5" x14ac:dyDescent="0.25">
      <c r="A1270" s="1">
        <v>45464</v>
      </c>
      <c r="B1270">
        <v>2</v>
      </c>
      <c r="C1270" t="s">
        <v>6</v>
      </c>
      <c r="D1270">
        <v>253</v>
      </c>
      <c r="E1270">
        <v>4205.1000000000004</v>
      </c>
    </row>
    <row r="1271" spans="1:5" x14ac:dyDescent="0.25">
      <c r="A1271" s="1">
        <v>45465</v>
      </c>
      <c r="B1271">
        <v>2</v>
      </c>
      <c r="C1271" t="s">
        <v>6</v>
      </c>
      <c r="D1271">
        <v>296</v>
      </c>
      <c r="E1271">
        <v>4382.34</v>
      </c>
    </row>
    <row r="1272" spans="1:5" x14ac:dyDescent="0.25">
      <c r="A1272" s="1">
        <v>45466</v>
      </c>
      <c r="B1272">
        <v>2</v>
      </c>
      <c r="C1272" t="s">
        <v>6</v>
      </c>
      <c r="D1272">
        <v>279</v>
      </c>
      <c r="E1272">
        <v>4852.5200000000004</v>
      </c>
    </row>
    <row r="1273" spans="1:5" x14ac:dyDescent="0.25">
      <c r="A1273" s="1">
        <v>45467</v>
      </c>
      <c r="B1273">
        <v>2</v>
      </c>
      <c r="C1273" t="s">
        <v>6</v>
      </c>
      <c r="D1273">
        <v>237</v>
      </c>
      <c r="E1273">
        <v>3893.19</v>
      </c>
    </row>
    <row r="1274" spans="1:5" x14ac:dyDescent="0.25">
      <c r="A1274" s="1">
        <v>45468</v>
      </c>
      <c r="B1274">
        <v>2</v>
      </c>
      <c r="C1274" t="s">
        <v>6</v>
      </c>
      <c r="D1274">
        <v>228</v>
      </c>
      <c r="E1274">
        <v>4044.98</v>
      </c>
    </row>
    <row r="1275" spans="1:5" x14ac:dyDescent="0.25">
      <c r="A1275" s="1">
        <v>45469</v>
      </c>
      <c r="B1275">
        <v>2</v>
      </c>
      <c r="C1275" t="s">
        <v>6</v>
      </c>
      <c r="D1275">
        <v>207</v>
      </c>
      <c r="E1275">
        <v>3486.5</v>
      </c>
    </row>
    <row r="1276" spans="1:5" x14ac:dyDescent="0.25">
      <c r="A1276" s="1">
        <v>45470</v>
      </c>
      <c r="B1276">
        <v>2</v>
      </c>
      <c r="C1276" t="s">
        <v>6</v>
      </c>
      <c r="D1276">
        <v>228</v>
      </c>
      <c r="E1276">
        <v>4473.25</v>
      </c>
    </row>
    <row r="1277" spans="1:5" x14ac:dyDescent="0.25">
      <c r="A1277" s="1">
        <v>45471</v>
      </c>
      <c r="B1277">
        <v>2</v>
      </c>
      <c r="C1277" t="s">
        <v>6</v>
      </c>
      <c r="D1277">
        <v>314</v>
      </c>
      <c r="E1277">
        <v>5416.33</v>
      </c>
    </row>
    <row r="1278" spans="1:5" x14ac:dyDescent="0.25">
      <c r="A1278" s="1">
        <v>45472</v>
      </c>
      <c r="B1278">
        <v>2</v>
      </c>
      <c r="C1278" t="s">
        <v>6</v>
      </c>
      <c r="D1278">
        <v>285</v>
      </c>
      <c r="E1278">
        <v>5473</v>
      </c>
    </row>
    <row r="1279" spans="1:5" x14ac:dyDescent="0.25">
      <c r="A1279" s="1">
        <v>45473</v>
      </c>
      <c r="B1279">
        <v>2</v>
      </c>
      <c r="C1279" t="s">
        <v>6</v>
      </c>
      <c r="D1279">
        <v>313</v>
      </c>
      <c r="E1279">
        <v>5047.47</v>
      </c>
    </row>
    <row r="1280" spans="1:5" x14ac:dyDescent="0.25">
      <c r="A1280" s="1">
        <v>45474</v>
      </c>
      <c r="B1280">
        <v>2</v>
      </c>
      <c r="C1280" t="s">
        <v>6</v>
      </c>
      <c r="D1280">
        <v>252</v>
      </c>
      <c r="E1280">
        <v>4328.9399999999996</v>
      </c>
    </row>
    <row r="1281" spans="1:5" x14ac:dyDescent="0.25">
      <c r="A1281" s="1">
        <v>45475</v>
      </c>
      <c r="B1281">
        <v>2</v>
      </c>
      <c r="C1281" t="s">
        <v>6</v>
      </c>
      <c r="D1281">
        <v>296</v>
      </c>
      <c r="E1281">
        <v>5345.74</v>
      </c>
    </row>
    <row r="1282" spans="1:5" x14ac:dyDescent="0.25">
      <c r="A1282" s="1">
        <v>45476</v>
      </c>
      <c r="B1282">
        <v>2</v>
      </c>
      <c r="C1282" t="s">
        <v>6</v>
      </c>
      <c r="D1282">
        <v>263</v>
      </c>
      <c r="E1282">
        <v>4632.7299999999996</v>
      </c>
    </row>
    <row r="1283" spans="1:5" x14ac:dyDescent="0.25">
      <c r="A1283" s="1">
        <v>45477</v>
      </c>
      <c r="B1283">
        <v>2</v>
      </c>
      <c r="C1283" t="s">
        <v>6</v>
      </c>
      <c r="D1283">
        <v>272</v>
      </c>
      <c r="E1283">
        <v>4724.2299999999996</v>
      </c>
    </row>
    <row r="1284" spans="1:5" x14ac:dyDescent="0.25">
      <c r="A1284" s="1">
        <v>45478</v>
      </c>
      <c r="B1284">
        <v>2</v>
      </c>
      <c r="C1284" t="s">
        <v>6</v>
      </c>
      <c r="D1284">
        <v>229</v>
      </c>
      <c r="E1284">
        <v>3994.52</v>
      </c>
    </row>
    <row r="1285" spans="1:5" x14ac:dyDescent="0.25">
      <c r="A1285" s="1">
        <v>45479</v>
      </c>
      <c r="B1285">
        <v>2</v>
      </c>
      <c r="C1285" t="s">
        <v>6</v>
      </c>
      <c r="D1285">
        <v>312</v>
      </c>
      <c r="E1285">
        <v>5219.72</v>
      </c>
    </row>
    <row r="1286" spans="1:5" x14ac:dyDescent="0.25">
      <c r="A1286" s="1">
        <v>45480</v>
      </c>
      <c r="B1286">
        <v>2</v>
      </c>
      <c r="C1286" t="s">
        <v>6</v>
      </c>
      <c r="D1286">
        <v>258</v>
      </c>
      <c r="E1286">
        <v>4536.87</v>
      </c>
    </row>
    <row r="1287" spans="1:5" x14ac:dyDescent="0.25">
      <c r="A1287" s="1">
        <v>45481</v>
      </c>
      <c r="B1287">
        <v>2</v>
      </c>
      <c r="C1287" t="s">
        <v>6</v>
      </c>
      <c r="D1287">
        <v>280</v>
      </c>
      <c r="E1287">
        <v>5187.57</v>
      </c>
    </row>
    <row r="1288" spans="1:5" x14ac:dyDescent="0.25">
      <c r="A1288" s="1">
        <v>45482</v>
      </c>
      <c r="B1288">
        <v>2</v>
      </c>
      <c r="C1288" t="s">
        <v>6</v>
      </c>
      <c r="D1288">
        <v>263</v>
      </c>
      <c r="E1288">
        <v>4985.93</v>
      </c>
    </row>
    <row r="1289" spans="1:5" x14ac:dyDescent="0.25">
      <c r="A1289" s="1">
        <v>45483</v>
      </c>
      <c r="B1289">
        <v>2</v>
      </c>
      <c r="C1289" t="s">
        <v>6</v>
      </c>
      <c r="D1289">
        <v>257</v>
      </c>
      <c r="E1289">
        <v>4253.84</v>
      </c>
    </row>
    <row r="1290" spans="1:5" x14ac:dyDescent="0.25">
      <c r="A1290" s="1">
        <v>45484</v>
      </c>
      <c r="B1290">
        <v>2</v>
      </c>
      <c r="C1290" t="s">
        <v>6</v>
      </c>
      <c r="D1290">
        <v>266</v>
      </c>
      <c r="E1290">
        <v>4183.53</v>
      </c>
    </row>
    <row r="1291" spans="1:5" x14ac:dyDescent="0.25">
      <c r="A1291" s="1">
        <v>45485</v>
      </c>
      <c r="B1291">
        <v>2</v>
      </c>
      <c r="C1291" t="s">
        <v>6</v>
      </c>
      <c r="D1291">
        <v>270</v>
      </c>
      <c r="E1291">
        <v>4648.13</v>
      </c>
    </row>
    <row r="1292" spans="1:5" x14ac:dyDescent="0.25">
      <c r="A1292" s="1">
        <v>45486</v>
      </c>
      <c r="B1292">
        <v>2</v>
      </c>
      <c r="C1292" t="s">
        <v>6</v>
      </c>
      <c r="D1292">
        <v>292</v>
      </c>
      <c r="E1292">
        <v>4349.6400000000003</v>
      </c>
    </row>
    <row r="1293" spans="1:5" x14ac:dyDescent="0.25">
      <c r="A1293" s="1">
        <v>45487</v>
      </c>
      <c r="B1293">
        <v>2</v>
      </c>
      <c r="C1293" t="s">
        <v>6</v>
      </c>
      <c r="D1293">
        <v>268</v>
      </c>
      <c r="E1293">
        <v>4854.09</v>
      </c>
    </row>
    <row r="1294" spans="1:5" x14ac:dyDescent="0.25">
      <c r="A1294" s="1">
        <v>45488</v>
      </c>
      <c r="B1294">
        <v>2</v>
      </c>
      <c r="C1294" t="s">
        <v>6</v>
      </c>
      <c r="D1294">
        <v>276</v>
      </c>
      <c r="E1294">
        <v>4687.84</v>
      </c>
    </row>
    <row r="1295" spans="1:5" x14ac:dyDescent="0.25">
      <c r="A1295" s="1">
        <v>45489</v>
      </c>
      <c r="B1295">
        <v>2</v>
      </c>
      <c r="C1295" t="s">
        <v>6</v>
      </c>
      <c r="D1295">
        <v>291</v>
      </c>
      <c r="E1295">
        <v>4813.6400000000003</v>
      </c>
    </row>
    <row r="1296" spans="1:5" x14ac:dyDescent="0.25">
      <c r="A1296" s="1">
        <v>45490</v>
      </c>
      <c r="B1296">
        <v>2</v>
      </c>
      <c r="C1296" t="s">
        <v>6</v>
      </c>
      <c r="D1296">
        <v>257</v>
      </c>
      <c r="E1296">
        <v>4417.38</v>
      </c>
    </row>
    <row r="1297" spans="1:5" x14ac:dyDescent="0.25">
      <c r="A1297" s="1">
        <v>45491</v>
      </c>
      <c r="B1297">
        <v>2</v>
      </c>
      <c r="C1297" t="s">
        <v>6</v>
      </c>
      <c r="D1297">
        <v>231</v>
      </c>
      <c r="E1297">
        <v>3750.52</v>
      </c>
    </row>
    <row r="1298" spans="1:5" x14ac:dyDescent="0.25">
      <c r="A1298" s="1">
        <v>45492</v>
      </c>
      <c r="B1298">
        <v>2</v>
      </c>
      <c r="C1298" t="s">
        <v>6</v>
      </c>
      <c r="D1298">
        <v>240</v>
      </c>
      <c r="E1298">
        <v>3805.89</v>
      </c>
    </row>
    <row r="1299" spans="1:5" x14ac:dyDescent="0.25">
      <c r="A1299" s="1">
        <v>45493</v>
      </c>
      <c r="B1299">
        <v>2</v>
      </c>
      <c r="C1299" t="s">
        <v>6</v>
      </c>
      <c r="D1299">
        <v>294</v>
      </c>
      <c r="E1299">
        <v>4852.17</v>
      </c>
    </row>
    <row r="1300" spans="1:5" x14ac:dyDescent="0.25">
      <c r="A1300" s="1">
        <v>45494</v>
      </c>
      <c r="B1300">
        <v>2</v>
      </c>
      <c r="C1300" t="s">
        <v>6</v>
      </c>
      <c r="D1300">
        <v>295</v>
      </c>
      <c r="E1300">
        <v>5349</v>
      </c>
    </row>
    <row r="1301" spans="1:5" x14ac:dyDescent="0.25">
      <c r="A1301" s="1">
        <v>45495</v>
      </c>
      <c r="B1301">
        <v>2</v>
      </c>
      <c r="C1301" t="s">
        <v>6</v>
      </c>
      <c r="D1301">
        <v>301</v>
      </c>
      <c r="E1301">
        <v>4960.53</v>
      </c>
    </row>
    <row r="1302" spans="1:5" x14ac:dyDescent="0.25">
      <c r="A1302" s="1">
        <v>45496</v>
      </c>
      <c r="B1302">
        <v>2</v>
      </c>
      <c r="C1302" t="s">
        <v>6</v>
      </c>
      <c r="D1302">
        <v>306</v>
      </c>
      <c r="E1302">
        <v>4926.4399999999996</v>
      </c>
    </row>
    <row r="1303" spans="1:5" x14ac:dyDescent="0.25">
      <c r="A1303" s="1">
        <v>45497</v>
      </c>
      <c r="B1303">
        <v>2</v>
      </c>
      <c r="C1303" t="s">
        <v>6</v>
      </c>
      <c r="D1303">
        <v>270</v>
      </c>
      <c r="E1303">
        <v>4372.79</v>
      </c>
    </row>
    <row r="1304" spans="1:5" x14ac:dyDescent="0.25">
      <c r="A1304" s="1">
        <v>45498</v>
      </c>
      <c r="B1304">
        <v>2</v>
      </c>
      <c r="C1304" t="s">
        <v>6</v>
      </c>
      <c r="D1304">
        <v>287</v>
      </c>
      <c r="E1304">
        <v>4927.41</v>
      </c>
    </row>
    <row r="1305" spans="1:5" x14ac:dyDescent="0.25">
      <c r="A1305" s="1">
        <v>45499</v>
      </c>
      <c r="B1305">
        <v>2</v>
      </c>
      <c r="C1305" t="s">
        <v>6</v>
      </c>
      <c r="D1305">
        <v>276</v>
      </c>
      <c r="E1305">
        <v>4255.4399999999996</v>
      </c>
    </row>
    <row r="1306" spans="1:5" x14ac:dyDescent="0.25">
      <c r="A1306" s="1">
        <v>45500</v>
      </c>
      <c r="B1306">
        <v>2</v>
      </c>
      <c r="C1306" t="s">
        <v>6</v>
      </c>
      <c r="D1306">
        <v>319</v>
      </c>
      <c r="E1306">
        <v>5412.59</v>
      </c>
    </row>
    <row r="1307" spans="1:5" x14ac:dyDescent="0.25">
      <c r="A1307" s="1">
        <v>45501</v>
      </c>
      <c r="B1307">
        <v>2</v>
      </c>
      <c r="C1307" t="s">
        <v>6</v>
      </c>
      <c r="D1307">
        <v>334</v>
      </c>
      <c r="E1307">
        <v>5886.89</v>
      </c>
    </row>
    <row r="1308" spans="1:5" x14ac:dyDescent="0.25">
      <c r="A1308" s="1">
        <v>45502</v>
      </c>
      <c r="B1308">
        <v>2</v>
      </c>
      <c r="C1308" t="s">
        <v>6</v>
      </c>
      <c r="D1308">
        <v>262</v>
      </c>
      <c r="E1308">
        <v>4276.42</v>
      </c>
    </row>
    <row r="1309" spans="1:5" x14ac:dyDescent="0.25">
      <c r="A1309" s="1">
        <v>45503</v>
      </c>
      <c r="B1309">
        <v>2</v>
      </c>
      <c r="C1309" t="s">
        <v>6</v>
      </c>
      <c r="D1309">
        <v>279</v>
      </c>
      <c r="E1309">
        <v>5346.4</v>
      </c>
    </row>
    <row r="1310" spans="1:5" x14ac:dyDescent="0.25">
      <c r="A1310" s="1">
        <v>45504</v>
      </c>
      <c r="B1310">
        <v>2</v>
      </c>
      <c r="C1310" t="s">
        <v>6</v>
      </c>
      <c r="D1310">
        <v>305</v>
      </c>
      <c r="E1310">
        <v>5031.26</v>
      </c>
    </row>
    <row r="1311" spans="1:5" x14ac:dyDescent="0.25">
      <c r="A1311" s="1">
        <v>45505</v>
      </c>
      <c r="B1311">
        <v>2</v>
      </c>
      <c r="C1311" t="s">
        <v>6</v>
      </c>
      <c r="D1311">
        <v>296</v>
      </c>
      <c r="E1311">
        <v>5327.7</v>
      </c>
    </row>
    <row r="1312" spans="1:5" x14ac:dyDescent="0.25">
      <c r="A1312" s="1">
        <v>45506</v>
      </c>
      <c r="B1312">
        <v>2</v>
      </c>
      <c r="C1312" t="s">
        <v>6</v>
      </c>
      <c r="D1312">
        <v>273</v>
      </c>
      <c r="E1312">
        <v>4632.75</v>
      </c>
    </row>
    <row r="1313" spans="1:5" x14ac:dyDescent="0.25">
      <c r="A1313" s="1">
        <v>45507</v>
      </c>
      <c r="B1313">
        <v>2</v>
      </c>
      <c r="C1313" t="s">
        <v>6</v>
      </c>
      <c r="D1313">
        <v>306</v>
      </c>
      <c r="E1313">
        <v>4992.18</v>
      </c>
    </row>
    <row r="1314" spans="1:5" x14ac:dyDescent="0.25">
      <c r="A1314" s="1">
        <v>45508</v>
      </c>
      <c r="B1314">
        <v>2</v>
      </c>
      <c r="C1314" t="s">
        <v>6</v>
      </c>
      <c r="D1314">
        <v>306</v>
      </c>
      <c r="E1314">
        <v>5387.93</v>
      </c>
    </row>
    <row r="1315" spans="1:5" x14ac:dyDescent="0.25">
      <c r="A1315" s="1">
        <v>45509</v>
      </c>
      <c r="B1315">
        <v>2</v>
      </c>
      <c r="C1315" t="s">
        <v>6</v>
      </c>
      <c r="D1315">
        <v>297</v>
      </c>
      <c r="E1315">
        <v>5164.58</v>
      </c>
    </row>
    <row r="1316" spans="1:5" x14ac:dyDescent="0.25">
      <c r="A1316" s="1">
        <v>45510</v>
      </c>
      <c r="B1316">
        <v>2</v>
      </c>
      <c r="C1316" t="s">
        <v>6</v>
      </c>
      <c r="D1316">
        <v>295</v>
      </c>
      <c r="E1316">
        <v>4908.87</v>
      </c>
    </row>
    <row r="1317" spans="1:5" x14ac:dyDescent="0.25">
      <c r="A1317" s="1">
        <v>45511</v>
      </c>
      <c r="B1317">
        <v>2</v>
      </c>
      <c r="C1317" t="s">
        <v>6</v>
      </c>
      <c r="D1317">
        <v>276</v>
      </c>
      <c r="E1317">
        <v>4417.1400000000003</v>
      </c>
    </row>
    <row r="1318" spans="1:5" x14ac:dyDescent="0.25">
      <c r="A1318" s="1">
        <v>45512</v>
      </c>
      <c r="B1318">
        <v>2</v>
      </c>
      <c r="C1318" t="s">
        <v>6</v>
      </c>
      <c r="D1318">
        <v>287</v>
      </c>
      <c r="E1318">
        <v>5104.82</v>
      </c>
    </row>
    <row r="1319" spans="1:5" x14ac:dyDescent="0.25">
      <c r="A1319" s="1">
        <v>45513</v>
      </c>
      <c r="B1319">
        <v>2</v>
      </c>
      <c r="C1319" t="s">
        <v>6</v>
      </c>
      <c r="D1319">
        <v>270</v>
      </c>
      <c r="E1319">
        <v>4116.59</v>
      </c>
    </row>
    <row r="1320" spans="1:5" x14ac:dyDescent="0.25">
      <c r="A1320" s="1">
        <v>45514</v>
      </c>
      <c r="B1320">
        <v>2</v>
      </c>
      <c r="C1320" t="s">
        <v>6</v>
      </c>
      <c r="D1320">
        <v>308</v>
      </c>
      <c r="E1320">
        <v>4862.22</v>
      </c>
    </row>
    <row r="1321" spans="1:5" x14ac:dyDescent="0.25">
      <c r="A1321" s="1">
        <v>45515</v>
      </c>
      <c r="B1321">
        <v>2</v>
      </c>
      <c r="C1321" t="s">
        <v>6</v>
      </c>
      <c r="D1321">
        <v>330</v>
      </c>
      <c r="E1321">
        <v>5421.64</v>
      </c>
    </row>
    <row r="1322" spans="1:5" x14ac:dyDescent="0.25">
      <c r="A1322" s="1">
        <v>45516</v>
      </c>
      <c r="B1322">
        <v>2</v>
      </c>
      <c r="C1322" t="s">
        <v>6</v>
      </c>
      <c r="D1322">
        <v>270</v>
      </c>
      <c r="E1322">
        <v>4267.12</v>
      </c>
    </row>
    <row r="1323" spans="1:5" x14ac:dyDescent="0.25">
      <c r="A1323" s="1">
        <v>45517</v>
      </c>
      <c r="B1323">
        <v>2</v>
      </c>
      <c r="C1323" t="s">
        <v>6</v>
      </c>
      <c r="D1323">
        <v>285</v>
      </c>
      <c r="E1323">
        <v>4792.53</v>
      </c>
    </row>
    <row r="1324" spans="1:5" x14ac:dyDescent="0.25">
      <c r="A1324" s="1">
        <v>45518</v>
      </c>
      <c r="B1324">
        <v>2</v>
      </c>
      <c r="C1324" t="s">
        <v>6</v>
      </c>
      <c r="D1324">
        <v>319</v>
      </c>
      <c r="E1324">
        <v>5383.75</v>
      </c>
    </row>
    <row r="1325" spans="1:5" x14ac:dyDescent="0.25">
      <c r="A1325" s="1">
        <v>45519</v>
      </c>
      <c r="B1325">
        <v>2</v>
      </c>
      <c r="C1325" t="s">
        <v>6</v>
      </c>
      <c r="D1325">
        <v>282</v>
      </c>
      <c r="E1325">
        <v>4638.08</v>
      </c>
    </row>
    <row r="1326" spans="1:5" x14ac:dyDescent="0.25">
      <c r="A1326" s="1">
        <v>45520</v>
      </c>
      <c r="B1326">
        <v>2</v>
      </c>
      <c r="C1326" t="s">
        <v>6</v>
      </c>
      <c r="D1326">
        <v>268</v>
      </c>
      <c r="E1326">
        <v>4719.1899999999996</v>
      </c>
    </row>
    <row r="1327" spans="1:5" x14ac:dyDescent="0.25">
      <c r="A1327" s="1">
        <v>45521</v>
      </c>
      <c r="B1327">
        <v>2</v>
      </c>
      <c r="C1327" t="s">
        <v>6</v>
      </c>
      <c r="D1327">
        <v>312</v>
      </c>
      <c r="E1327">
        <v>4840.37</v>
      </c>
    </row>
    <row r="1328" spans="1:5" x14ac:dyDescent="0.25">
      <c r="A1328" s="1">
        <v>45522</v>
      </c>
      <c r="B1328">
        <v>2</v>
      </c>
      <c r="C1328" t="s">
        <v>6</v>
      </c>
      <c r="D1328">
        <v>295</v>
      </c>
      <c r="E1328">
        <v>4781.91</v>
      </c>
    </row>
    <row r="1329" spans="1:5" x14ac:dyDescent="0.25">
      <c r="A1329" s="1">
        <v>45523</v>
      </c>
      <c r="B1329">
        <v>2</v>
      </c>
      <c r="C1329" t="s">
        <v>6</v>
      </c>
      <c r="D1329">
        <v>256</v>
      </c>
      <c r="E1329">
        <v>4441.13</v>
      </c>
    </row>
    <row r="1330" spans="1:5" x14ac:dyDescent="0.25">
      <c r="A1330" s="1">
        <v>45524</v>
      </c>
      <c r="B1330">
        <v>2</v>
      </c>
      <c r="C1330" t="s">
        <v>6</v>
      </c>
      <c r="D1330">
        <v>295</v>
      </c>
      <c r="E1330">
        <v>5183.43</v>
      </c>
    </row>
    <row r="1331" spans="1:5" x14ac:dyDescent="0.25">
      <c r="A1331" s="1">
        <v>45525</v>
      </c>
      <c r="B1331">
        <v>2</v>
      </c>
      <c r="C1331" t="s">
        <v>6</v>
      </c>
      <c r="D1331">
        <v>305</v>
      </c>
      <c r="E1331">
        <v>4905.38</v>
      </c>
    </row>
    <row r="1332" spans="1:5" x14ac:dyDescent="0.25">
      <c r="A1332" s="1">
        <v>45526</v>
      </c>
      <c r="B1332">
        <v>2</v>
      </c>
      <c r="C1332" t="s">
        <v>6</v>
      </c>
      <c r="D1332">
        <v>310</v>
      </c>
      <c r="E1332">
        <v>5594.18</v>
      </c>
    </row>
    <row r="1333" spans="1:5" x14ac:dyDescent="0.25">
      <c r="A1333" s="1">
        <v>45527</v>
      </c>
      <c r="B1333">
        <v>2</v>
      </c>
      <c r="C1333" t="s">
        <v>6</v>
      </c>
      <c r="D1333">
        <v>290</v>
      </c>
      <c r="E1333">
        <v>4626.07</v>
      </c>
    </row>
    <row r="1334" spans="1:5" x14ac:dyDescent="0.25">
      <c r="A1334" s="1">
        <v>45528</v>
      </c>
      <c r="B1334">
        <v>2</v>
      </c>
      <c r="C1334" t="s">
        <v>6</v>
      </c>
      <c r="D1334">
        <v>289</v>
      </c>
      <c r="E1334">
        <v>5508.9</v>
      </c>
    </row>
    <row r="1335" spans="1:5" x14ac:dyDescent="0.25">
      <c r="A1335" s="1">
        <v>45529</v>
      </c>
      <c r="B1335">
        <v>2</v>
      </c>
      <c r="C1335" t="s">
        <v>6</v>
      </c>
      <c r="D1335">
        <v>325</v>
      </c>
      <c r="E1335">
        <v>6050.79</v>
      </c>
    </row>
    <row r="1336" spans="1:5" x14ac:dyDescent="0.25">
      <c r="A1336" s="1">
        <v>45530</v>
      </c>
      <c r="B1336">
        <v>2</v>
      </c>
      <c r="C1336" t="s">
        <v>6</v>
      </c>
      <c r="D1336">
        <v>271</v>
      </c>
      <c r="E1336">
        <v>4394.43</v>
      </c>
    </row>
    <row r="1337" spans="1:5" x14ac:dyDescent="0.25">
      <c r="A1337" s="1">
        <v>45531</v>
      </c>
      <c r="B1337">
        <v>2</v>
      </c>
      <c r="C1337" t="s">
        <v>6</v>
      </c>
      <c r="D1337">
        <v>314</v>
      </c>
      <c r="E1337">
        <v>5524.9</v>
      </c>
    </row>
    <row r="1338" spans="1:5" x14ac:dyDescent="0.25">
      <c r="A1338" s="1">
        <v>45532</v>
      </c>
      <c r="B1338">
        <v>2</v>
      </c>
      <c r="C1338" t="s">
        <v>6</v>
      </c>
      <c r="D1338">
        <v>278</v>
      </c>
      <c r="E1338">
        <v>4668.21</v>
      </c>
    </row>
    <row r="1339" spans="1:5" x14ac:dyDescent="0.25">
      <c r="A1339" s="1">
        <v>45533</v>
      </c>
      <c r="B1339">
        <v>2</v>
      </c>
      <c r="C1339" t="s">
        <v>6</v>
      </c>
      <c r="D1339">
        <v>296</v>
      </c>
      <c r="E1339">
        <v>5093.5200000000004</v>
      </c>
    </row>
    <row r="1340" spans="1:5" x14ac:dyDescent="0.25">
      <c r="A1340" s="1">
        <v>45534</v>
      </c>
      <c r="B1340">
        <v>2</v>
      </c>
      <c r="C1340" t="s">
        <v>6</v>
      </c>
      <c r="D1340">
        <v>286</v>
      </c>
      <c r="E1340">
        <v>4861.93</v>
      </c>
    </row>
    <row r="1341" spans="1:5" x14ac:dyDescent="0.25">
      <c r="A1341" s="1">
        <v>45535</v>
      </c>
      <c r="B1341">
        <v>2</v>
      </c>
      <c r="C1341" t="s">
        <v>6</v>
      </c>
      <c r="D1341">
        <v>344</v>
      </c>
      <c r="E1341">
        <v>5864.51</v>
      </c>
    </row>
    <row r="1342" spans="1:5" x14ac:dyDescent="0.25">
      <c r="A1342" s="1">
        <v>45536</v>
      </c>
      <c r="B1342">
        <v>2</v>
      </c>
      <c r="C1342" t="s">
        <v>6</v>
      </c>
      <c r="D1342">
        <v>337</v>
      </c>
      <c r="E1342">
        <v>5855.35</v>
      </c>
    </row>
    <row r="1343" spans="1:5" x14ac:dyDescent="0.25">
      <c r="A1343" s="1">
        <v>45537</v>
      </c>
      <c r="B1343">
        <v>2</v>
      </c>
      <c r="C1343" t="s">
        <v>6</v>
      </c>
      <c r="D1343">
        <v>294</v>
      </c>
      <c r="E1343">
        <v>4865.8</v>
      </c>
    </row>
    <row r="1344" spans="1:5" x14ac:dyDescent="0.25">
      <c r="A1344" s="1">
        <v>45538</v>
      </c>
      <c r="B1344">
        <v>2</v>
      </c>
      <c r="C1344" t="s">
        <v>6</v>
      </c>
      <c r="D1344">
        <v>289</v>
      </c>
      <c r="E1344">
        <v>4727.1499999999996</v>
      </c>
    </row>
    <row r="1345" spans="1:5" x14ac:dyDescent="0.25">
      <c r="A1345" s="1">
        <v>45539</v>
      </c>
      <c r="B1345">
        <v>2</v>
      </c>
      <c r="C1345" t="s">
        <v>6</v>
      </c>
      <c r="D1345">
        <v>250</v>
      </c>
      <c r="E1345">
        <v>4420.9399999999996</v>
      </c>
    </row>
    <row r="1346" spans="1:5" x14ac:dyDescent="0.25">
      <c r="A1346" s="1">
        <v>45540</v>
      </c>
      <c r="B1346">
        <v>2</v>
      </c>
      <c r="C1346" t="s">
        <v>6</v>
      </c>
      <c r="D1346">
        <v>241</v>
      </c>
      <c r="E1346">
        <v>4643.8100000000004</v>
      </c>
    </row>
    <row r="1347" spans="1:5" x14ac:dyDescent="0.25">
      <c r="A1347" s="1">
        <v>45541</v>
      </c>
      <c r="B1347">
        <v>2</v>
      </c>
      <c r="C1347" t="s">
        <v>6</v>
      </c>
      <c r="D1347">
        <v>270</v>
      </c>
      <c r="E1347">
        <v>4656.1499999999996</v>
      </c>
    </row>
    <row r="1348" spans="1:5" x14ac:dyDescent="0.25">
      <c r="A1348" s="1">
        <v>45542</v>
      </c>
      <c r="B1348">
        <v>2</v>
      </c>
      <c r="C1348" t="s">
        <v>6</v>
      </c>
      <c r="D1348">
        <v>308</v>
      </c>
      <c r="E1348">
        <v>4873.1400000000003</v>
      </c>
    </row>
    <row r="1349" spans="1:5" x14ac:dyDescent="0.25">
      <c r="A1349" s="1">
        <v>45543</v>
      </c>
      <c r="B1349">
        <v>2</v>
      </c>
      <c r="C1349" t="s">
        <v>6</v>
      </c>
      <c r="D1349">
        <v>265</v>
      </c>
      <c r="E1349">
        <v>4651.42</v>
      </c>
    </row>
    <row r="1350" spans="1:5" x14ac:dyDescent="0.25">
      <c r="A1350" s="1">
        <v>45544</v>
      </c>
      <c r="B1350">
        <v>2</v>
      </c>
      <c r="C1350" t="s">
        <v>6</v>
      </c>
      <c r="D1350">
        <v>263</v>
      </c>
      <c r="E1350">
        <v>4286.1000000000004</v>
      </c>
    </row>
    <row r="1351" spans="1:5" x14ac:dyDescent="0.25">
      <c r="A1351" s="1">
        <v>45545</v>
      </c>
      <c r="B1351">
        <v>2</v>
      </c>
      <c r="C1351" t="s">
        <v>6</v>
      </c>
      <c r="D1351">
        <v>280</v>
      </c>
      <c r="E1351">
        <v>4316.83</v>
      </c>
    </row>
    <row r="1352" spans="1:5" x14ac:dyDescent="0.25">
      <c r="A1352" s="1">
        <v>45546</v>
      </c>
      <c r="B1352">
        <v>2</v>
      </c>
      <c r="C1352" t="s">
        <v>6</v>
      </c>
      <c r="D1352">
        <v>242</v>
      </c>
      <c r="E1352">
        <v>4066.38</v>
      </c>
    </row>
    <row r="1353" spans="1:5" x14ac:dyDescent="0.25">
      <c r="A1353" s="1">
        <v>45547</v>
      </c>
      <c r="B1353">
        <v>2</v>
      </c>
      <c r="C1353" t="s">
        <v>6</v>
      </c>
      <c r="D1353">
        <v>298</v>
      </c>
      <c r="E1353">
        <v>4865.17</v>
      </c>
    </row>
    <row r="1354" spans="1:5" x14ac:dyDescent="0.25">
      <c r="A1354" s="1">
        <v>45548</v>
      </c>
      <c r="B1354">
        <v>2</v>
      </c>
      <c r="C1354" t="s">
        <v>6</v>
      </c>
      <c r="D1354">
        <v>295</v>
      </c>
      <c r="E1354">
        <v>5009.51</v>
      </c>
    </row>
    <row r="1355" spans="1:5" x14ac:dyDescent="0.25">
      <c r="A1355" s="1">
        <v>45549</v>
      </c>
      <c r="B1355">
        <v>2</v>
      </c>
      <c r="C1355" t="s">
        <v>6</v>
      </c>
      <c r="D1355">
        <v>336</v>
      </c>
      <c r="E1355">
        <v>5416.7</v>
      </c>
    </row>
    <row r="1356" spans="1:5" x14ac:dyDescent="0.25">
      <c r="A1356" s="1">
        <v>45550</v>
      </c>
      <c r="B1356">
        <v>2</v>
      </c>
      <c r="C1356" t="s">
        <v>6</v>
      </c>
      <c r="D1356">
        <v>314</v>
      </c>
      <c r="E1356">
        <v>5814.62</v>
      </c>
    </row>
    <row r="1357" spans="1:5" x14ac:dyDescent="0.25">
      <c r="A1357" s="1">
        <v>45551</v>
      </c>
      <c r="B1357">
        <v>2</v>
      </c>
      <c r="C1357" t="s">
        <v>6</v>
      </c>
      <c r="D1357">
        <v>278</v>
      </c>
      <c r="E1357">
        <v>4761.4399999999996</v>
      </c>
    </row>
    <row r="1358" spans="1:5" x14ac:dyDescent="0.25">
      <c r="A1358" s="1">
        <v>45552</v>
      </c>
      <c r="B1358">
        <v>2</v>
      </c>
      <c r="C1358" t="s">
        <v>6</v>
      </c>
      <c r="D1358">
        <v>254</v>
      </c>
      <c r="E1358">
        <v>4583.34</v>
      </c>
    </row>
    <row r="1359" spans="1:5" x14ac:dyDescent="0.25">
      <c r="A1359" s="1">
        <v>45553</v>
      </c>
      <c r="B1359">
        <v>2</v>
      </c>
      <c r="C1359" t="s">
        <v>6</v>
      </c>
      <c r="D1359">
        <v>255</v>
      </c>
      <c r="E1359">
        <v>4036.17</v>
      </c>
    </row>
    <row r="1360" spans="1:5" x14ac:dyDescent="0.25">
      <c r="A1360" s="1">
        <v>45554</v>
      </c>
      <c r="B1360">
        <v>2</v>
      </c>
      <c r="C1360" t="s">
        <v>6</v>
      </c>
      <c r="D1360">
        <v>268</v>
      </c>
      <c r="E1360">
        <v>4418.47</v>
      </c>
    </row>
    <row r="1361" spans="1:5" x14ac:dyDescent="0.25">
      <c r="A1361" s="1">
        <v>45555</v>
      </c>
      <c r="B1361">
        <v>2</v>
      </c>
      <c r="C1361" t="s">
        <v>6</v>
      </c>
      <c r="D1361">
        <v>303</v>
      </c>
      <c r="E1361">
        <v>4476.74</v>
      </c>
    </row>
    <row r="1362" spans="1:5" x14ac:dyDescent="0.25">
      <c r="A1362" s="1">
        <v>45556</v>
      </c>
      <c r="B1362">
        <v>2</v>
      </c>
      <c r="C1362" t="s">
        <v>6</v>
      </c>
      <c r="D1362">
        <v>304</v>
      </c>
      <c r="E1362">
        <v>4920.34</v>
      </c>
    </row>
    <row r="1363" spans="1:5" x14ac:dyDescent="0.25">
      <c r="A1363" s="1">
        <v>45557</v>
      </c>
      <c r="B1363">
        <v>2</v>
      </c>
      <c r="C1363" t="s">
        <v>6</v>
      </c>
      <c r="D1363">
        <v>306</v>
      </c>
      <c r="E1363">
        <v>5254.43</v>
      </c>
    </row>
    <row r="1364" spans="1:5" x14ac:dyDescent="0.25">
      <c r="A1364" s="1">
        <v>45558</v>
      </c>
      <c r="B1364">
        <v>2</v>
      </c>
      <c r="C1364" t="s">
        <v>6</v>
      </c>
      <c r="D1364">
        <v>269</v>
      </c>
      <c r="E1364">
        <v>4468.71</v>
      </c>
    </row>
    <row r="1365" spans="1:5" x14ac:dyDescent="0.25">
      <c r="A1365" s="1">
        <v>45559</v>
      </c>
      <c r="B1365">
        <v>2</v>
      </c>
      <c r="C1365" t="s">
        <v>6</v>
      </c>
      <c r="D1365">
        <v>270</v>
      </c>
      <c r="E1365">
        <v>4220.1000000000004</v>
      </c>
    </row>
    <row r="1366" spans="1:5" x14ac:dyDescent="0.25">
      <c r="A1366" s="1">
        <v>45560</v>
      </c>
      <c r="B1366">
        <v>2</v>
      </c>
      <c r="C1366" t="s">
        <v>6</v>
      </c>
      <c r="D1366">
        <v>233</v>
      </c>
      <c r="E1366">
        <v>3896.44</v>
      </c>
    </row>
    <row r="1367" spans="1:5" x14ac:dyDescent="0.25">
      <c r="A1367" s="1">
        <v>45561</v>
      </c>
      <c r="B1367">
        <v>2</v>
      </c>
      <c r="C1367" t="s">
        <v>6</v>
      </c>
      <c r="D1367">
        <v>247</v>
      </c>
      <c r="E1367">
        <v>4218.1000000000004</v>
      </c>
    </row>
    <row r="1368" spans="1:5" x14ac:dyDescent="0.25">
      <c r="A1368" s="1">
        <v>45562</v>
      </c>
      <c r="B1368">
        <v>2</v>
      </c>
      <c r="C1368" t="s">
        <v>6</v>
      </c>
      <c r="D1368">
        <v>283</v>
      </c>
      <c r="E1368">
        <v>4754.8100000000004</v>
      </c>
    </row>
    <row r="1369" spans="1:5" x14ac:dyDescent="0.25">
      <c r="A1369" s="1">
        <v>45563</v>
      </c>
      <c r="B1369">
        <v>2</v>
      </c>
      <c r="C1369" t="s">
        <v>6</v>
      </c>
      <c r="D1369">
        <v>294</v>
      </c>
      <c r="E1369">
        <v>4702.3</v>
      </c>
    </row>
    <row r="1370" spans="1:5" x14ac:dyDescent="0.25">
      <c r="A1370" s="1">
        <v>45564</v>
      </c>
      <c r="B1370">
        <v>2</v>
      </c>
      <c r="C1370" t="s">
        <v>6</v>
      </c>
      <c r="D1370">
        <v>302</v>
      </c>
      <c r="E1370">
        <v>4981.93</v>
      </c>
    </row>
    <row r="1371" spans="1:5" x14ac:dyDescent="0.25">
      <c r="A1371" s="1">
        <v>45565</v>
      </c>
      <c r="B1371">
        <v>2</v>
      </c>
      <c r="C1371" t="s">
        <v>6</v>
      </c>
      <c r="D1371">
        <v>293</v>
      </c>
      <c r="E1371">
        <v>5117.37</v>
      </c>
    </row>
    <row r="1372" spans="1:5" x14ac:dyDescent="0.25">
      <c r="A1372" s="1">
        <v>45566</v>
      </c>
      <c r="B1372">
        <v>2</v>
      </c>
      <c r="C1372" t="s">
        <v>6</v>
      </c>
      <c r="D1372">
        <v>260</v>
      </c>
      <c r="E1372">
        <v>4762.4399999999996</v>
      </c>
    </row>
    <row r="1373" spans="1:5" x14ac:dyDescent="0.25">
      <c r="A1373" s="1">
        <v>45567</v>
      </c>
      <c r="B1373">
        <v>2</v>
      </c>
      <c r="C1373" t="s">
        <v>6</v>
      </c>
      <c r="D1373">
        <v>226</v>
      </c>
      <c r="E1373">
        <v>4105.5</v>
      </c>
    </row>
    <row r="1374" spans="1:5" x14ac:dyDescent="0.25">
      <c r="A1374" s="1">
        <v>45568</v>
      </c>
      <c r="B1374">
        <v>2</v>
      </c>
      <c r="C1374" t="s">
        <v>6</v>
      </c>
      <c r="D1374">
        <v>275</v>
      </c>
      <c r="E1374">
        <v>4792.66</v>
      </c>
    </row>
    <row r="1375" spans="1:5" x14ac:dyDescent="0.25">
      <c r="A1375" s="1">
        <v>45569</v>
      </c>
      <c r="B1375">
        <v>2</v>
      </c>
      <c r="C1375" t="s">
        <v>6</v>
      </c>
      <c r="D1375">
        <v>284</v>
      </c>
      <c r="E1375">
        <v>4875.82</v>
      </c>
    </row>
    <row r="1376" spans="1:5" x14ac:dyDescent="0.25">
      <c r="A1376" s="1">
        <v>45570</v>
      </c>
      <c r="B1376">
        <v>2</v>
      </c>
      <c r="C1376" t="s">
        <v>6</v>
      </c>
      <c r="D1376">
        <v>386</v>
      </c>
      <c r="E1376">
        <v>6769.15</v>
      </c>
    </row>
    <row r="1377" spans="1:5" x14ac:dyDescent="0.25">
      <c r="A1377" s="1">
        <v>45571</v>
      </c>
      <c r="B1377">
        <v>2</v>
      </c>
      <c r="C1377" t="s">
        <v>6</v>
      </c>
      <c r="D1377">
        <v>309</v>
      </c>
      <c r="E1377">
        <v>5363.85</v>
      </c>
    </row>
    <row r="1378" spans="1:5" x14ac:dyDescent="0.25">
      <c r="A1378" s="1">
        <v>45572</v>
      </c>
      <c r="B1378">
        <v>2</v>
      </c>
      <c r="C1378" t="s">
        <v>6</v>
      </c>
      <c r="D1378">
        <v>273</v>
      </c>
      <c r="E1378">
        <v>4712.12</v>
      </c>
    </row>
    <row r="1379" spans="1:5" x14ac:dyDescent="0.25">
      <c r="A1379" s="1">
        <v>45573</v>
      </c>
      <c r="B1379">
        <v>2</v>
      </c>
      <c r="C1379" t="s">
        <v>6</v>
      </c>
      <c r="D1379">
        <v>277</v>
      </c>
      <c r="E1379">
        <v>4783.8999999999996</v>
      </c>
    </row>
    <row r="1380" spans="1:5" x14ac:dyDescent="0.25">
      <c r="A1380" s="1">
        <v>45574</v>
      </c>
      <c r="B1380">
        <v>2</v>
      </c>
      <c r="C1380" t="s">
        <v>6</v>
      </c>
      <c r="D1380">
        <v>253</v>
      </c>
      <c r="E1380">
        <v>3857.26</v>
      </c>
    </row>
    <row r="1381" spans="1:5" x14ac:dyDescent="0.25">
      <c r="A1381" s="1">
        <v>45575</v>
      </c>
      <c r="B1381">
        <v>2</v>
      </c>
      <c r="C1381" t="s">
        <v>6</v>
      </c>
      <c r="D1381">
        <v>257</v>
      </c>
      <c r="E1381">
        <v>4716.83</v>
      </c>
    </row>
    <row r="1382" spans="1:5" x14ac:dyDescent="0.25">
      <c r="A1382" s="1">
        <v>45576</v>
      </c>
      <c r="B1382">
        <v>2</v>
      </c>
      <c r="C1382" t="s">
        <v>6</v>
      </c>
      <c r="D1382">
        <v>224</v>
      </c>
      <c r="E1382">
        <v>4056.25</v>
      </c>
    </row>
    <row r="1383" spans="1:5" x14ac:dyDescent="0.25">
      <c r="A1383" s="1">
        <v>45577</v>
      </c>
      <c r="B1383">
        <v>2</v>
      </c>
      <c r="C1383" t="s">
        <v>6</v>
      </c>
      <c r="D1383">
        <v>287</v>
      </c>
      <c r="E1383">
        <v>4767.51</v>
      </c>
    </row>
    <row r="1384" spans="1:5" x14ac:dyDescent="0.25">
      <c r="A1384" s="1">
        <v>45578</v>
      </c>
      <c r="B1384">
        <v>2</v>
      </c>
      <c r="C1384" t="s">
        <v>6</v>
      </c>
      <c r="D1384">
        <v>291</v>
      </c>
      <c r="E1384">
        <v>4969.17</v>
      </c>
    </row>
    <row r="1385" spans="1:5" x14ac:dyDescent="0.25">
      <c r="A1385" s="1">
        <v>45579</v>
      </c>
      <c r="B1385">
        <v>2</v>
      </c>
      <c r="C1385" t="s">
        <v>6</v>
      </c>
      <c r="D1385">
        <v>281</v>
      </c>
      <c r="E1385">
        <v>4695.72</v>
      </c>
    </row>
    <row r="1386" spans="1:5" x14ac:dyDescent="0.25">
      <c r="A1386" s="1">
        <v>45580</v>
      </c>
      <c r="B1386">
        <v>2</v>
      </c>
      <c r="C1386" t="s">
        <v>6</v>
      </c>
      <c r="D1386">
        <v>301</v>
      </c>
      <c r="E1386">
        <v>5471.69</v>
      </c>
    </row>
    <row r="1387" spans="1:5" x14ac:dyDescent="0.25">
      <c r="A1387" s="1">
        <v>45581</v>
      </c>
      <c r="B1387">
        <v>2</v>
      </c>
      <c r="C1387" t="s">
        <v>6</v>
      </c>
      <c r="D1387">
        <v>309</v>
      </c>
      <c r="E1387">
        <v>5226.99</v>
      </c>
    </row>
    <row r="1388" spans="1:5" x14ac:dyDescent="0.25">
      <c r="A1388" s="1">
        <v>45582</v>
      </c>
      <c r="B1388">
        <v>2</v>
      </c>
      <c r="C1388" t="s">
        <v>6</v>
      </c>
      <c r="D1388">
        <v>282</v>
      </c>
      <c r="E1388">
        <v>4919.2</v>
      </c>
    </row>
    <row r="1389" spans="1:5" x14ac:dyDescent="0.25">
      <c r="A1389" s="1">
        <v>45583</v>
      </c>
      <c r="B1389">
        <v>2</v>
      </c>
      <c r="C1389" t="s">
        <v>6</v>
      </c>
      <c r="D1389">
        <v>283</v>
      </c>
      <c r="E1389">
        <v>4886.07</v>
      </c>
    </row>
    <row r="1390" spans="1:5" x14ac:dyDescent="0.25">
      <c r="A1390" s="1">
        <v>45584</v>
      </c>
      <c r="B1390">
        <v>2</v>
      </c>
      <c r="C1390" t="s">
        <v>6</v>
      </c>
      <c r="D1390">
        <v>280</v>
      </c>
      <c r="E1390">
        <v>4854.7</v>
      </c>
    </row>
    <row r="1391" spans="1:5" x14ac:dyDescent="0.25">
      <c r="A1391" s="1">
        <v>45585</v>
      </c>
      <c r="B1391">
        <v>2</v>
      </c>
      <c r="C1391" t="s">
        <v>6</v>
      </c>
      <c r="D1391">
        <v>296</v>
      </c>
      <c r="E1391">
        <v>5443.59</v>
      </c>
    </row>
    <row r="1392" spans="1:5" x14ac:dyDescent="0.25">
      <c r="A1392" s="1">
        <v>45586</v>
      </c>
      <c r="B1392">
        <v>2</v>
      </c>
      <c r="C1392" t="s">
        <v>6</v>
      </c>
      <c r="D1392">
        <v>265</v>
      </c>
      <c r="E1392">
        <v>4442.8599999999997</v>
      </c>
    </row>
    <row r="1393" spans="1:5" x14ac:dyDescent="0.25">
      <c r="A1393" s="1">
        <v>45587</v>
      </c>
      <c r="B1393">
        <v>2</v>
      </c>
      <c r="C1393" t="s">
        <v>6</v>
      </c>
      <c r="D1393">
        <v>295</v>
      </c>
      <c r="E1393">
        <v>5203.54</v>
      </c>
    </row>
    <row r="1394" spans="1:5" x14ac:dyDescent="0.25">
      <c r="A1394" s="1">
        <v>45588</v>
      </c>
      <c r="B1394">
        <v>2</v>
      </c>
      <c r="C1394" t="s">
        <v>6</v>
      </c>
      <c r="D1394">
        <v>311</v>
      </c>
      <c r="E1394">
        <v>5459.35</v>
      </c>
    </row>
    <row r="1395" spans="1:5" x14ac:dyDescent="0.25">
      <c r="A1395" s="1">
        <v>45589</v>
      </c>
      <c r="B1395">
        <v>2</v>
      </c>
      <c r="C1395" t="s">
        <v>6</v>
      </c>
      <c r="D1395">
        <v>239</v>
      </c>
      <c r="E1395">
        <v>3779.43</v>
      </c>
    </row>
    <row r="1396" spans="1:5" x14ac:dyDescent="0.25">
      <c r="A1396" s="1">
        <v>45590</v>
      </c>
      <c r="B1396">
        <v>2</v>
      </c>
      <c r="C1396" t="s">
        <v>6</v>
      </c>
      <c r="D1396">
        <v>242</v>
      </c>
      <c r="E1396">
        <v>4116.1400000000003</v>
      </c>
    </row>
    <row r="1397" spans="1:5" x14ac:dyDescent="0.25">
      <c r="A1397" s="1">
        <v>45591</v>
      </c>
      <c r="B1397">
        <v>2</v>
      </c>
      <c r="C1397" t="s">
        <v>6</v>
      </c>
      <c r="D1397">
        <v>289</v>
      </c>
      <c r="E1397">
        <v>5431.81</v>
      </c>
    </row>
    <row r="1398" spans="1:5" x14ac:dyDescent="0.25">
      <c r="A1398" s="1">
        <v>45592</v>
      </c>
      <c r="B1398">
        <v>2</v>
      </c>
      <c r="C1398" t="s">
        <v>6</v>
      </c>
      <c r="D1398">
        <v>283</v>
      </c>
      <c r="E1398">
        <v>4782.54</v>
      </c>
    </row>
    <row r="1399" spans="1:5" x14ac:dyDescent="0.25">
      <c r="A1399" s="1">
        <v>45593</v>
      </c>
      <c r="B1399">
        <v>2</v>
      </c>
      <c r="C1399" t="s">
        <v>6</v>
      </c>
      <c r="D1399">
        <v>268</v>
      </c>
      <c r="E1399">
        <v>4612.08</v>
      </c>
    </row>
    <row r="1400" spans="1:5" x14ac:dyDescent="0.25">
      <c r="A1400" s="1">
        <v>45594</v>
      </c>
      <c r="B1400">
        <v>2</v>
      </c>
      <c r="C1400" t="s">
        <v>6</v>
      </c>
      <c r="D1400">
        <v>256</v>
      </c>
      <c r="E1400">
        <v>4244.53</v>
      </c>
    </row>
    <row r="1401" spans="1:5" x14ac:dyDescent="0.25">
      <c r="A1401" s="1">
        <v>45595</v>
      </c>
      <c r="B1401">
        <v>2</v>
      </c>
      <c r="C1401" t="s">
        <v>6</v>
      </c>
      <c r="D1401">
        <v>258</v>
      </c>
      <c r="E1401">
        <v>4386.3999999999996</v>
      </c>
    </row>
    <row r="1402" spans="1:5" x14ac:dyDescent="0.25">
      <c r="A1402" s="1">
        <v>45596</v>
      </c>
      <c r="B1402">
        <v>2</v>
      </c>
      <c r="C1402" t="s">
        <v>6</v>
      </c>
      <c r="D1402">
        <v>233</v>
      </c>
      <c r="E1402">
        <v>4222.28</v>
      </c>
    </row>
    <row r="1403" spans="1:5" x14ac:dyDescent="0.25">
      <c r="A1403" s="1">
        <v>45597</v>
      </c>
      <c r="B1403">
        <v>2</v>
      </c>
      <c r="C1403" t="s">
        <v>6</v>
      </c>
      <c r="D1403">
        <v>260</v>
      </c>
      <c r="E1403">
        <v>4254.2299999999996</v>
      </c>
    </row>
    <row r="1404" spans="1:5" x14ac:dyDescent="0.25">
      <c r="A1404" s="1">
        <v>45598</v>
      </c>
      <c r="B1404">
        <v>2</v>
      </c>
      <c r="C1404" t="s">
        <v>6</v>
      </c>
      <c r="D1404">
        <v>304</v>
      </c>
      <c r="E1404">
        <v>5516.86</v>
      </c>
    </row>
    <row r="1405" spans="1:5" x14ac:dyDescent="0.25">
      <c r="A1405" s="1">
        <v>45599</v>
      </c>
      <c r="B1405">
        <v>2</v>
      </c>
      <c r="C1405" t="s">
        <v>6</v>
      </c>
      <c r="D1405">
        <v>316</v>
      </c>
      <c r="E1405">
        <v>5360.27</v>
      </c>
    </row>
    <row r="1406" spans="1:5" x14ac:dyDescent="0.25">
      <c r="A1406" s="1">
        <v>45600</v>
      </c>
      <c r="B1406">
        <v>2</v>
      </c>
      <c r="C1406" t="s">
        <v>6</v>
      </c>
      <c r="D1406">
        <v>252</v>
      </c>
      <c r="E1406">
        <v>4252.24</v>
      </c>
    </row>
    <row r="1407" spans="1:5" x14ac:dyDescent="0.25">
      <c r="A1407" s="1">
        <v>45601</v>
      </c>
      <c r="B1407">
        <v>2</v>
      </c>
      <c r="C1407" t="s">
        <v>6</v>
      </c>
      <c r="D1407">
        <v>226</v>
      </c>
      <c r="E1407">
        <v>3860.56</v>
      </c>
    </row>
    <row r="1408" spans="1:5" x14ac:dyDescent="0.25">
      <c r="A1408" s="1">
        <v>45602</v>
      </c>
      <c r="B1408">
        <v>2</v>
      </c>
      <c r="C1408" t="s">
        <v>6</v>
      </c>
      <c r="D1408">
        <v>248</v>
      </c>
      <c r="E1408">
        <v>4572.1099999999997</v>
      </c>
    </row>
    <row r="1409" spans="1:5" x14ac:dyDescent="0.25">
      <c r="A1409" s="1">
        <v>45603</v>
      </c>
      <c r="B1409">
        <v>2</v>
      </c>
      <c r="C1409" t="s">
        <v>6</v>
      </c>
      <c r="D1409">
        <v>254</v>
      </c>
      <c r="E1409">
        <v>4257.42</v>
      </c>
    </row>
    <row r="1410" spans="1:5" x14ac:dyDescent="0.25">
      <c r="A1410" s="1">
        <v>45604</v>
      </c>
      <c r="B1410">
        <v>2</v>
      </c>
      <c r="C1410" t="s">
        <v>6</v>
      </c>
      <c r="D1410">
        <v>209</v>
      </c>
      <c r="E1410">
        <v>3645.35</v>
      </c>
    </row>
    <row r="1411" spans="1:5" x14ac:dyDescent="0.25">
      <c r="A1411" s="1">
        <v>45605</v>
      </c>
      <c r="B1411">
        <v>2</v>
      </c>
      <c r="C1411" t="s">
        <v>6</v>
      </c>
      <c r="D1411">
        <v>287</v>
      </c>
      <c r="E1411">
        <v>4827.3900000000003</v>
      </c>
    </row>
    <row r="1412" spans="1:5" x14ac:dyDescent="0.25">
      <c r="A1412" s="1">
        <v>45606</v>
      </c>
      <c r="B1412">
        <v>2</v>
      </c>
      <c r="C1412" t="s">
        <v>6</v>
      </c>
      <c r="D1412">
        <v>283</v>
      </c>
      <c r="E1412">
        <v>5052.62</v>
      </c>
    </row>
    <row r="1413" spans="1:5" x14ac:dyDescent="0.25">
      <c r="A1413" s="1">
        <v>45607</v>
      </c>
      <c r="B1413">
        <v>2</v>
      </c>
      <c r="C1413" t="s">
        <v>6</v>
      </c>
      <c r="D1413">
        <v>257</v>
      </c>
      <c r="E1413">
        <v>4410.5600000000004</v>
      </c>
    </row>
    <row r="1414" spans="1:5" x14ac:dyDescent="0.25">
      <c r="A1414" s="1">
        <v>45608</v>
      </c>
      <c r="B1414">
        <v>2</v>
      </c>
      <c r="C1414" t="s">
        <v>6</v>
      </c>
      <c r="D1414">
        <v>251</v>
      </c>
      <c r="E1414">
        <v>4410.8500000000004</v>
      </c>
    </row>
    <row r="1415" spans="1:5" x14ac:dyDescent="0.25">
      <c r="A1415" s="1">
        <v>45609</v>
      </c>
      <c r="B1415">
        <v>2</v>
      </c>
      <c r="C1415" t="s">
        <v>6</v>
      </c>
      <c r="D1415">
        <v>255</v>
      </c>
      <c r="E1415">
        <v>4324.05</v>
      </c>
    </row>
    <row r="1416" spans="1:5" x14ac:dyDescent="0.25">
      <c r="A1416" s="1">
        <v>45610</v>
      </c>
      <c r="B1416">
        <v>2</v>
      </c>
      <c r="C1416" t="s">
        <v>6</v>
      </c>
      <c r="D1416">
        <v>223</v>
      </c>
      <c r="E1416">
        <v>3703.24</v>
      </c>
    </row>
    <row r="1417" spans="1:5" x14ac:dyDescent="0.25">
      <c r="A1417" s="1">
        <v>45611</v>
      </c>
      <c r="B1417">
        <v>2</v>
      </c>
      <c r="C1417" t="s">
        <v>6</v>
      </c>
      <c r="D1417">
        <v>235</v>
      </c>
      <c r="E1417">
        <v>4026.68</v>
      </c>
    </row>
    <row r="1418" spans="1:5" x14ac:dyDescent="0.25">
      <c r="A1418" s="1">
        <v>45612</v>
      </c>
      <c r="B1418">
        <v>2</v>
      </c>
      <c r="C1418" t="s">
        <v>6</v>
      </c>
      <c r="D1418">
        <v>346</v>
      </c>
      <c r="E1418">
        <v>5847.33</v>
      </c>
    </row>
    <row r="1419" spans="1:5" x14ac:dyDescent="0.25">
      <c r="A1419" s="1">
        <v>45613</v>
      </c>
      <c r="B1419">
        <v>2</v>
      </c>
      <c r="C1419" t="s">
        <v>6</v>
      </c>
      <c r="D1419">
        <v>282</v>
      </c>
      <c r="E1419">
        <v>4801.1499999999996</v>
      </c>
    </row>
    <row r="1420" spans="1:5" x14ac:dyDescent="0.25">
      <c r="A1420" s="1">
        <v>45614</v>
      </c>
      <c r="B1420">
        <v>2</v>
      </c>
      <c r="C1420" t="s">
        <v>6</v>
      </c>
      <c r="D1420">
        <v>269</v>
      </c>
      <c r="E1420">
        <v>4235.0200000000004</v>
      </c>
    </row>
    <row r="1421" spans="1:5" x14ac:dyDescent="0.25">
      <c r="A1421" s="1">
        <v>45615</v>
      </c>
      <c r="B1421">
        <v>2</v>
      </c>
      <c r="C1421" t="s">
        <v>6</v>
      </c>
      <c r="D1421">
        <v>269</v>
      </c>
      <c r="E1421">
        <v>4462.7</v>
      </c>
    </row>
    <row r="1422" spans="1:5" x14ac:dyDescent="0.25">
      <c r="A1422" s="1">
        <v>45616</v>
      </c>
      <c r="B1422">
        <v>2</v>
      </c>
      <c r="C1422" t="s">
        <v>6</v>
      </c>
      <c r="D1422">
        <v>300</v>
      </c>
      <c r="E1422">
        <v>5404.32</v>
      </c>
    </row>
    <row r="1423" spans="1:5" x14ac:dyDescent="0.25">
      <c r="A1423" s="1">
        <v>45617</v>
      </c>
      <c r="B1423">
        <v>2</v>
      </c>
      <c r="C1423" t="s">
        <v>6</v>
      </c>
      <c r="D1423">
        <v>244</v>
      </c>
      <c r="E1423">
        <v>4048.83</v>
      </c>
    </row>
    <row r="1424" spans="1:5" x14ac:dyDescent="0.25">
      <c r="A1424" s="1">
        <v>45618</v>
      </c>
      <c r="B1424">
        <v>2</v>
      </c>
      <c r="C1424" t="s">
        <v>6</v>
      </c>
      <c r="D1424">
        <v>239</v>
      </c>
      <c r="E1424">
        <v>4065.61</v>
      </c>
    </row>
    <row r="1425" spans="1:5" x14ac:dyDescent="0.25">
      <c r="A1425" s="1">
        <v>45619</v>
      </c>
      <c r="B1425">
        <v>2</v>
      </c>
      <c r="C1425" t="s">
        <v>6</v>
      </c>
      <c r="D1425">
        <v>223</v>
      </c>
      <c r="E1425">
        <v>4032.74</v>
      </c>
    </row>
    <row r="1426" spans="1:5" x14ac:dyDescent="0.25">
      <c r="A1426" s="1">
        <v>45620</v>
      </c>
      <c r="B1426">
        <v>2</v>
      </c>
      <c r="C1426" t="s">
        <v>6</v>
      </c>
      <c r="D1426">
        <v>293</v>
      </c>
      <c r="E1426">
        <v>4711.5</v>
      </c>
    </row>
    <row r="1427" spans="1:5" x14ac:dyDescent="0.25">
      <c r="A1427" s="1">
        <v>45621</v>
      </c>
      <c r="B1427">
        <v>2</v>
      </c>
      <c r="C1427" t="s">
        <v>6</v>
      </c>
      <c r="D1427">
        <v>261</v>
      </c>
      <c r="E1427">
        <v>4504.7</v>
      </c>
    </row>
    <row r="1428" spans="1:5" x14ac:dyDescent="0.25">
      <c r="A1428" s="1">
        <v>45622</v>
      </c>
      <c r="B1428">
        <v>2</v>
      </c>
      <c r="C1428" t="s">
        <v>6</v>
      </c>
      <c r="D1428">
        <v>238</v>
      </c>
      <c r="E1428">
        <v>3921.99</v>
      </c>
    </row>
    <row r="1429" spans="1:5" x14ac:dyDescent="0.25">
      <c r="A1429" s="1">
        <v>45623</v>
      </c>
      <c r="B1429">
        <v>2</v>
      </c>
      <c r="C1429" t="s">
        <v>6</v>
      </c>
      <c r="D1429">
        <v>304</v>
      </c>
      <c r="E1429">
        <v>4971.09</v>
      </c>
    </row>
    <row r="1430" spans="1:5" x14ac:dyDescent="0.25">
      <c r="A1430" s="1">
        <v>45624</v>
      </c>
      <c r="B1430">
        <v>2</v>
      </c>
      <c r="C1430" t="s">
        <v>6</v>
      </c>
      <c r="D1430">
        <v>175</v>
      </c>
      <c r="E1430">
        <v>3064.63</v>
      </c>
    </row>
    <row r="1431" spans="1:5" x14ac:dyDescent="0.25">
      <c r="A1431" s="1">
        <v>45625</v>
      </c>
      <c r="B1431">
        <v>2</v>
      </c>
      <c r="C1431" t="s">
        <v>6</v>
      </c>
      <c r="D1431">
        <v>213</v>
      </c>
      <c r="E1431">
        <v>3749.47</v>
      </c>
    </row>
    <row r="1432" spans="1:5" x14ac:dyDescent="0.25">
      <c r="A1432" s="1">
        <v>45626</v>
      </c>
      <c r="B1432">
        <v>2</v>
      </c>
      <c r="C1432" t="s">
        <v>6</v>
      </c>
      <c r="D1432">
        <v>284</v>
      </c>
      <c r="E1432">
        <v>4978.2299999999996</v>
      </c>
    </row>
    <row r="1433" spans="1:5" x14ac:dyDescent="0.25">
      <c r="A1433" s="1">
        <v>45627</v>
      </c>
      <c r="B1433">
        <v>2</v>
      </c>
      <c r="C1433" t="s">
        <v>6</v>
      </c>
      <c r="D1433">
        <v>269</v>
      </c>
      <c r="E1433">
        <v>4082.95</v>
      </c>
    </row>
    <row r="1434" spans="1:5" x14ac:dyDescent="0.25">
      <c r="A1434" s="1">
        <v>45628</v>
      </c>
      <c r="B1434">
        <v>2</v>
      </c>
      <c r="C1434" t="s">
        <v>6</v>
      </c>
      <c r="D1434">
        <v>243</v>
      </c>
      <c r="E1434">
        <v>4125.1400000000003</v>
      </c>
    </row>
    <row r="1435" spans="1:5" x14ac:dyDescent="0.25">
      <c r="A1435" s="1">
        <v>45629</v>
      </c>
      <c r="B1435">
        <v>2</v>
      </c>
      <c r="C1435" t="s">
        <v>6</v>
      </c>
      <c r="D1435">
        <v>245</v>
      </c>
      <c r="E1435">
        <v>4087.05</v>
      </c>
    </row>
    <row r="1436" spans="1:5" x14ac:dyDescent="0.25">
      <c r="A1436" s="1">
        <v>45630</v>
      </c>
      <c r="B1436">
        <v>2</v>
      </c>
      <c r="C1436" t="s">
        <v>6</v>
      </c>
      <c r="D1436">
        <v>217</v>
      </c>
      <c r="E1436">
        <v>3702.75</v>
      </c>
    </row>
    <row r="1437" spans="1:5" x14ac:dyDescent="0.25">
      <c r="A1437" s="1">
        <v>45631</v>
      </c>
      <c r="B1437">
        <v>2</v>
      </c>
      <c r="C1437" t="s">
        <v>6</v>
      </c>
      <c r="D1437">
        <v>223</v>
      </c>
      <c r="E1437">
        <v>3786.1</v>
      </c>
    </row>
    <row r="1438" spans="1:5" x14ac:dyDescent="0.25">
      <c r="A1438" s="1">
        <v>45632</v>
      </c>
      <c r="B1438">
        <v>2</v>
      </c>
      <c r="C1438" t="s">
        <v>6</v>
      </c>
      <c r="D1438">
        <v>224</v>
      </c>
      <c r="E1438">
        <v>3924.62</v>
      </c>
    </row>
    <row r="1439" spans="1:5" x14ac:dyDescent="0.25">
      <c r="A1439" s="1">
        <v>45633</v>
      </c>
      <c r="B1439">
        <v>2</v>
      </c>
      <c r="C1439" t="s">
        <v>6</v>
      </c>
      <c r="D1439">
        <v>222</v>
      </c>
      <c r="E1439">
        <v>3678.16</v>
      </c>
    </row>
    <row r="1440" spans="1:5" x14ac:dyDescent="0.25">
      <c r="A1440" s="1">
        <v>45634</v>
      </c>
      <c r="B1440">
        <v>2</v>
      </c>
      <c r="C1440" t="s">
        <v>6</v>
      </c>
      <c r="D1440">
        <v>236</v>
      </c>
      <c r="E1440">
        <v>4235.0200000000004</v>
      </c>
    </row>
    <row r="1441" spans="1:5" x14ac:dyDescent="0.25">
      <c r="A1441" s="1">
        <v>45635</v>
      </c>
      <c r="B1441">
        <v>2</v>
      </c>
      <c r="C1441" t="s">
        <v>6</v>
      </c>
      <c r="D1441">
        <v>253</v>
      </c>
      <c r="E1441">
        <v>4271.6899999999996</v>
      </c>
    </row>
    <row r="1442" spans="1:5" x14ac:dyDescent="0.25">
      <c r="A1442" s="1">
        <v>45636</v>
      </c>
      <c r="B1442">
        <v>2</v>
      </c>
      <c r="C1442" t="s">
        <v>6</v>
      </c>
      <c r="D1442">
        <v>210</v>
      </c>
      <c r="E1442">
        <v>3527.59</v>
      </c>
    </row>
    <row r="1443" spans="1:5" x14ac:dyDescent="0.25">
      <c r="A1443" s="1">
        <v>45637</v>
      </c>
      <c r="B1443">
        <v>2</v>
      </c>
      <c r="C1443" t="s">
        <v>6</v>
      </c>
      <c r="D1443">
        <v>251</v>
      </c>
      <c r="E1443">
        <v>4344.4399999999996</v>
      </c>
    </row>
    <row r="1444" spans="1:5" x14ac:dyDescent="0.25">
      <c r="A1444" s="1">
        <v>45638</v>
      </c>
      <c r="B1444">
        <v>2</v>
      </c>
      <c r="C1444" t="s">
        <v>6</v>
      </c>
      <c r="D1444">
        <v>214</v>
      </c>
      <c r="E1444">
        <v>3429.5</v>
      </c>
    </row>
    <row r="1445" spans="1:5" x14ac:dyDescent="0.25">
      <c r="A1445" s="1">
        <v>45639</v>
      </c>
      <c r="B1445">
        <v>2</v>
      </c>
      <c r="C1445" t="s">
        <v>6</v>
      </c>
      <c r="D1445">
        <v>206</v>
      </c>
      <c r="E1445">
        <v>3684</v>
      </c>
    </row>
    <row r="1446" spans="1:5" x14ac:dyDescent="0.25">
      <c r="A1446" s="1">
        <v>45640</v>
      </c>
      <c r="B1446">
        <v>2</v>
      </c>
      <c r="C1446" t="s">
        <v>6</v>
      </c>
      <c r="D1446">
        <v>256</v>
      </c>
      <c r="E1446">
        <v>4713.03</v>
      </c>
    </row>
    <row r="1447" spans="1:5" x14ac:dyDescent="0.25">
      <c r="A1447" s="1">
        <v>45641</v>
      </c>
      <c r="B1447">
        <v>2</v>
      </c>
      <c r="C1447" t="s">
        <v>6</v>
      </c>
      <c r="D1447">
        <v>184</v>
      </c>
      <c r="E1447">
        <v>3263.32</v>
      </c>
    </row>
    <row r="1448" spans="1:5" x14ac:dyDescent="0.25">
      <c r="A1448" s="1">
        <v>45642</v>
      </c>
      <c r="B1448">
        <v>2</v>
      </c>
      <c r="C1448" t="s">
        <v>6</v>
      </c>
      <c r="D1448">
        <v>235</v>
      </c>
      <c r="E1448">
        <v>3722.66</v>
      </c>
    </row>
    <row r="1449" spans="1:5" x14ac:dyDescent="0.25">
      <c r="A1449" s="1">
        <v>45643</v>
      </c>
      <c r="B1449">
        <v>2</v>
      </c>
      <c r="C1449" t="s">
        <v>6</v>
      </c>
      <c r="D1449">
        <v>221</v>
      </c>
      <c r="E1449">
        <v>3760.36</v>
      </c>
    </row>
    <row r="1450" spans="1:5" x14ac:dyDescent="0.25">
      <c r="A1450" s="1">
        <v>45644</v>
      </c>
      <c r="B1450">
        <v>2</v>
      </c>
      <c r="C1450" t="s">
        <v>6</v>
      </c>
      <c r="D1450">
        <v>218</v>
      </c>
      <c r="E1450">
        <v>3589.68</v>
      </c>
    </row>
    <row r="1451" spans="1:5" x14ac:dyDescent="0.25">
      <c r="A1451" s="1">
        <v>45645</v>
      </c>
      <c r="B1451">
        <v>2</v>
      </c>
      <c r="C1451" t="s">
        <v>6</v>
      </c>
      <c r="D1451">
        <v>208</v>
      </c>
      <c r="E1451">
        <v>3671.03</v>
      </c>
    </row>
    <row r="1452" spans="1:5" x14ac:dyDescent="0.25">
      <c r="A1452" s="1">
        <v>45646</v>
      </c>
      <c r="B1452">
        <v>2</v>
      </c>
      <c r="C1452" t="s">
        <v>6</v>
      </c>
      <c r="D1452">
        <v>251</v>
      </c>
      <c r="E1452">
        <v>4099.95</v>
      </c>
    </row>
    <row r="1453" spans="1:5" x14ac:dyDescent="0.25">
      <c r="A1453" s="1">
        <v>45647</v>
      </c>
      <c r="B1453">
        <v>2</v>
      </c>
      <c r="C1453" t="s">
        <v>6</v>
      </c>
      <c r="D1453">
        <v>269</v>
      </c>
      <c r="E1453">
        <v>4701.3500000000004</v>
      </c>
    </row>
    <row r="1454" spans="1:5" x14ac:dyDescent="0.25">
      <c r="A1454" s="1">
        <v>45648</v>
      </c>
      <c r="B1454">
        <v>2</v>
      </c>
      <c r="C1454" t="s">
        <v>6</v>
      </c>
      <c r="D1454">
        <v>288</v>
      </c>
      <c r="E1454">
        <v>4911.95</v>
      </c>
    </row>
    <row r="1455" spans="1:5" x14ac:dyDescent="0.25">
      <c r="A1455" s="1">
        <v>45649</v>
      </c>
      <c r="B1455">
        <v>2</v>
      </c>
      <c r="C1455" t="s">
        <v>6</v>
      </c>
      <c r="D1455">
        <v>227</v>
      </c>
      <c r="E1455">
        <v>3661.58</v>
      </c>
    </row>
    <row r="1456" spans="1:5" x14ac:dyDescent="0.25">
      <c r="A1456" s="1">
        <v>45650</v>
      </c>
      <c r="B1456">
        <v>2</v>
      </c>
      <c r="C1456" t="s">
        <v>6</v>
      </c>
      <c r="D1456">
        <v>255</v>
      </c>
      <c r="E1456">
        <v>3818.56</v>
      </c>
    </row>
    <row r="1457" spans="1:5" x14ac:dyDescent="0.25">
      <c r="A1457" s="1">
        <v>45651</v>
      </c>
      <c r="B1457">
        <v>2</v>
      </c>
      <c r="C1457" t="s">
        <v>6</v>
      </c>
      <c r="D1457">
        <v>207</v>
      </c>
      <c r="E1457">
        <v>3706.03</v>
      </c>
    </row>
    <row r="1458" spans="1:5" x14ac:dyDescent="0.25">
      <c r="A1458" s="1">
        <v>45652</v>
      </c>
      <c r="B1458">
        <v>2</v>
      </c>
      <c r="C1458" t="s">
        <v>6</v>
      </c>
      <c r="D1458">
        <v>246</v>
      </c>
      <c r="E1458">
        <v>4190.17</v>
      </c>
    </row>
    <row r="1459" spans="1:5" x14ac:dyDescent="0.25">
      <c r="A1459" s="1">
        <v>45653</v>
      </c>
      <c r="B1459">
        <v>2</v>
      </c>
      <c r="C1459" t="s">
        <v>6</v>
      </c>
      <c r="D1459">
        <v>251</v>
      </c>
      <c r="E1459">
        <v>4195.8500000000004</v>
      </c>
    </row>
    <row r="1460" spans="1:5" x14ac:dyDescent="0.25">
      <c r="A1460" s="1">
        <v>45654</v>
      </c>
      <c r="B1460">
        <v>2</v>
      </c>
      <c r="C1460" t="s">
        <v>6</v>
      </c>
      <c r="D1460">
        <v>225</v>
      </c>
      <c r="E1460">
        <v>4027.96</v>
      </c>
    </row>
    <row r="1461" spans="1:5" x14ac:dyDescent="0.25">
      <c r="A1461" s="1">
        <v>45655</v>
      </c>
      <c r="B1461">
        <v>2</v>
      </c>
      <c r="C1461" t="s">
        <v>6</v>
      </c>
      <c r="D1461">
        <v>210</v>
      </c>
      <c r="E1461">
        <v>3616.46</v>
      </c>
    </row>
    <row r="1462" spans="1:5" x14ac:dyDescent="0.25">
      <c r="A1462" s="1">
        <v>45656</v>
      </c>
      <c r="B1462">
        <v>2</v>
      </c>
      <c r="C1462" t="s">
        <v>6</v>
      </c>
      <c r="D1462">
        <v>218</v>
      </c>
      <c r="E1462">
        <v>3843</v>
      </c>
    </row>
    <row r="1463" spans="1:5" x14ac:dyDescent="0.25">
      <c r="A1463" s="1">
        <v>45657</v>
      </c>
      <c r="B1463">
        <v>2</v>
      </c>
      <c r="C1463" t="s">
        <v>6</v>
      </c>
      <c r="D1463">
        <v>239</v>
      </c>
      <c r="E1463">
        <v>4092.22</v>
      </c>
    </row>
    <row r="1464" spans="1:5" x14ac:dyDescent="0.25">
      <c r="A1464" s="1">
        <v>44927</v>
      </c>
      <c r="B1464">
        <v>3</v>
      </c>
      <c r="C1464" t="s">
        <v>7</v>
      </c>
      <c r="D1464">
        <v>225</v>
      </c>
      <c r="E1464">
        <v>3716.96</v>
      </c>
    </row>
    <row r="1465" spans="1:5" x14ac:dyDescent="0.25">
      <c r="A1465" s="1">
        <v>44928</v>
      </c>
      <c r="B1465">
        <v>3</v>
      </c>
      <c r="C1465" t="s">
        <v>7</v>
      </c>
      <c r="D1465">
        <v>216</v>
      </c>
      <c r="E1465">
        <v>3117.7</v>
      </c>
    </row>
    <row r="1466" spans="1:5" x14ac:dyDescent="0.25">
      <c r="A1466" s="1">
        <v>44929</v>
      </c>
      <c r="B1466">
        <v>3</v>
      </c>
      <c r="C1466" t="s">
        <v>7</v>
      </c>
      <c r="D1466">
        <v>200</v>
      </c>
      <c r="E1466">
        <v>3072.35</v>
      </c>
    </row>
    <row r="1467" spans="1:5" x14ac:dyDescent="0.25">
      <c r="A1467" s="1">
        <v>44930</v>
      </c>
      <c r="B1467">
        <v>3</v>
      </c>
      <c r="C1467" t="s">
        <v>7</v>
      </c>
      <c r="D1467">
        <v>200</v>
      </c>
      <c r="E1467">
        <v>3176.15</v>
      </c>
    </row>
    <row r="1468" spans="1:5" x14ac:dyDescent="0.25">
      <c r="A1468" s="1">
        <v>44931</v>
      </c>
      <c r="B1468">
        <v>3</v>
      </c>
      <c r="C1468" t="s">
        <v>7</v>
      </c>
      <c r="D1468">
        <v>210</v>
      </c>
      <c r="E1468">
        <v>3646.07</v>
      </c>
    </row>
    <row r="1469" spans="1:5" x14ac:dyDescent="0.25">
      <c r="A1469" s="1">
        <v>44932</v>
      </c>
      <c r="B1469">
        <v>3</v>
      </c>
      <c r="C1469" t="s">
        <v>7</v>
      </c>
      <c r="D1469">
        <v>200</v>
      </c>
      <c r="E1469">
        <v>3372.63</v>
      </c>
    </row>
    <row r="1470" spans="1:5" x14ac:dyDescent="0.25">
      <c r="A1470" s="1">
        <v>44933</v>
      </c>
      <c r="B1470">
        <v>3</v>
      </c>
      <c r="C1470" t="s">
        <v>7</v>
      </c>
      <c r="D1470">
        <v>260</v>
      </c>
      <c r="E1470">
        <v>4033.61</v>
      </c>
    </row>
    <row r="1471" spans="1:5" x14ac:dyDescent="0.25">
      <c r="A1471" s="1">
        <v>44934</v>
      </c>
      <c r="B1471">
        <v>3</v>
      </c>
      <c r="C1471" t="s">
        <v>7</v>
      </c>
      <c r="D1471">
        <v>237</v>
      </c>
      <c r="E1471">
        <v>3907.93</v>
      </c>
    </row>
    <row r="1472" spans="1:5" x14ac:dyDescent="0.25">
      <c r="A1472" s="1">
        <v>44935</v>
      </c>
      <c r="B1472">
        <v>3</v>
      </c>
      <c r="C1472" t="s">
        <v>7</v>
      </c>
      <c r="D1472">
        <v>246</v>
      </c>
      <c r="E1472">
        <v>3995.93</v>
      </c>
    </row>
    <row r="1473" spans="1:5" x14ac:dyDescent="0.25">
      <c r="A1473" s="1">
        <v>44936</v>
      </c>
      <c r="B1473">
        <v>3</v>
      </c>
      <c r="C1473" t="s">
        <v>7</v>
      </c>
      <c r="D1473">
        <v>166</v>
      </c>
      <c r="E1473">
        <v>2885.05</v>
      </c>
    </row>
    <row r="1474" spans="1:5" x14ac:dyDescent="0.25">
      <c r="A1474" s="1">
        <v>44937</v>
      </c>
      <c r="B1474">
        <v>3</v>
      </c>
      <c r="C1474" t="s">
        <v>7</v>
      </c>
      <c r="D1474">
        <v>171</v>
      </c>
      <c r="E1474">
        <v>2822.53</v>
      </c>
    </row>
    <row r="1475" spans="1:5" x14ac:dyDescent="0.25">
      <c r="A1475" s="1">
        <v>44938</v>
      </c>
      <c r="B1475">
        <v>3</v>
      </c>
      <c r="C1475" t="s">
        <v>7</v>
      </c>
      <c r="D1475">
        <v>178</v>
      </c>
      <c r="E1475">
        <v>3136.8</v>
      </c>
    </row>
    <row r="1476" spans="1:5" x14ac:dyDescent="0.25">
      <c r="A1476" s="1">
        <v>44939</v>
      </c>
      <c r="B1476">
        <v>3</v>
      </c>
      <c r="C1476" t="s">
        <v>7</v>
      </c>
      <c r="D1476">
        <v>209</v>
      </c>
      <c r="E1476">
        <v>3623.03</v>
      </c>
    </row>
    <row r="1477" spans="1:5" x14ac:dyDescent="0.25">
      <c r="A1477" s="1">
        <v>44940</v>
      </c>
      <c r="B1477">
        <v>3</v>
      </c>
      <c r="C1477" t="s">
        <v>7</v>
      </c>
      <c r="D1477">
        <v>209</v>
      </c>
      <c r="E1477">
        <v>3170.73</v>
      </c>
    </row>
    <row r="1478" spans="1:5" x14ac:dyDescent="0.25">
      <c r="A1478" s="1">
        <v>44941</v>
      </c>
      <c r="B1478">
        <v>3</v>
      </c>
      <c r="C1478" t="s">
        <v>7</v>
      </c>
      <c r="D1478">
        <v>226</v>
      </c>
      <c r="E1478">
        <v>3513.43</v>
      </c>
    </row>
    <row r="1479" spans="1:5" x14ac:dyDescent="0.25">
      <c r="A1479" s="1">
        <v>44942</v>
      </c>
      <c r="B1479">
        <v>3</v>
      </c>
      <c r="C1479" t="s">
        <v>7</v>
      </c>
      <c r="D1479">
        <v>194</v>
      </c>
      <c r="E1479">
        <v>3199.01</v>
      </c>
    </row>
    <row r="1480" spans="1:5" x14ac:dyDescent="0.25">
      <c r="A1480" s="1">
        <v>44943</v>
      </c>
      <c r="B1480">
        <v>3</v>
      </c>
      <c r="C1480" t="s">
        <v>7</v>
      </c>
      <c r="D1480">
        <v>179</v>
      </c>
      <c r="E1480">
        <v>2892.34</v>
      </c>
    </row>
    <row r="1481" spans="1:5" x14ac:dyDescent="0.25">
      <c r="A1481" s="1">
        <v>44944</v>
      </c>
      <c r="B1481">
        <v>3</v>
      </c>
      <c r="C1481" t="s">
        <v>7</v>
      </c>
      <c r="D1481">
        <v>154</v>
      </c>
      <c r="E1481">
        <v>2571.7800000000002</v>
      </c>
    </row>
    <row r="1482" spans="1:5" x14ac:dyDescent="0.25">
      <c r="A1482" s="1">
        <v>44945</v>
      </c>
      <c r="B1482">
        <v>3</v>
      </c>
      <c r="C1482" t="s">
        <v>7</v>
      </c>
      <c r="D1482">
        <v>202</v>
      </c>
      <c r="E1482">
        <v>3296.65</v>
      </c>
    </row>
    <row r="1483" spans="1:5" x14ac:dyDescent="0.25">
      <c r="A1483" s="1">
        <v>44946</v>
      </c>
      <c r="B1483">
        <v>3</v>
      </c>
      <c r="C1483" t="s">
        <v>7</v>
      </c>
      <c r="D1483">
        <v>210</v>
      </c>
      <c r="E1483">
        <v>3619.77</v>
      </c>
    </row>
    <row r="1484" spans="1:5" x14ac:dyDescent="0.25">
      <c r="A1484" s="1">
        <v>44947</v>
      </c>
      <c r="B1484">
        <v>3</v>
      </c>
      <c r="C1484" t="s">
        <v>7</v>
      </c>
      <c r="D1484">
        <v>229</v>
      </c>
      <c r="E1484">
        <v>3660.95</v>
      </c>
    </row>
    <row r="1485" spans="1:5" x14ac:dyDescent="0.25">
      <c r="A1485" s="1">
        <v>44948</v>
      </c>
      <c r="B1485">
        <v>3</v>
      </c>
      <c r="C1485" t="s">
        <v>7</v>
      </c>
      <c r="D1485">
        <v>208</v>
      </c>
      <c r="E1485">
        <v>3620.71</v>
      </c>
    </row>
    <row r="1486" spans="1:5" x14ac:dyDescent="0.25">
      <c r="A1486" s="1">
        <v>44949</v>
      </c>
      <c r="B1486">
        <v>3</v>
      </c>
      <c r="C1486" t="s">
        <v>7</v>
      </c>
      <c r="D1486">
        <v>189</v>
      </c>
      <c r="E1486">
        <v>3366.73</v>
      </c>
    </row>
    <row r="1487" spans="1:5" x14ac:dyDescent="0.25">
      <c r="A1487" s="1">
        <v>44950</v>
      </c>
      <c r="B1487">
        <v>3</v>
      </c>
      <c r="C1487" t="s">
        <v>7</v>
      </c>
      <c r="D1487">
        <v>193</v>
      </c>
      <c r="E1487">
        <v>3233.32</v>
      </c>
    </row>
    <row r="1488" spans="1:5" x14ac:dyDescent="0.25">
      <c r="A1488" s="1">
        <v>44951</v>
      </c>
      <c r="B1488">
        <v>3</v>
      </c>
      <c r="C1488" t="s">
        <v>7</v>
      </c>
      <c r="D1488">
        <v>129</v>
      </c>
      <c r="E1488">
        <v>1812.6</v>
      </c>
    </row>
    <row r="1489" spans="1:5" x14ac:dyDescent="0.25">
      <c r="A1489" s="1">
        <v>44952</v>
      </c>
      <c r="B1489">
        <v>3</v>
      </c>
      <c r="C1489" t="s">
        <v>7</v>
      </c>
      <c r="D1489">
        <v>163</v>
      </c>
      <c r="E1489">
        <v>2669.8</v>
      </c>
    </row>
    <row r="1490" spans="1:5" x14ac:dyDescent="0.25">
      <c r="A1490" s="1">
        <v>44953</v>
      </c>
      <c r="B1490">
        <v>3</v>
      </c>
      <c r="C1490" t="s">
        <v>7</v>
      </c>
      <c r="D1490">
        <v>212</v>
      </c>
      <c r="E1490">
        <v>3541.9</v>
      </c>
    </row>
    <row r="1491" spans="1:5" x14ac:dyDescent="0.25">
      <c r="A1491" s="1">
        <v>44954</v>
      </c>
      <c r="B1491">
        <v>3</v>
      </c>
      <c r="C1491" t="s">
        <v>7</v>
      </c>
      <c r="D1491">
        <v>203</v>
      </c>
      <c r="E1491">
        <v>3370.84</v>
      </c>
    </row>
    <row r="1492" spans="1:5" x14ac:dyDescent="0.25">
      <c r="A1492" s="1">
        <v>44955</v>
      </c>
      <c r="B1492">
        <v>3</v>
      </c>
      <c r="C1492" t="s">
        <v>7</v>
      </c>
      <c r="D1492">
        <v>232</v>
      </c>
      <c r="E1492">
        <v>3787.25</v>
      </c>
    </row>
    <row r="1493" spans="1:5" x14ac:dyDescent="0.25">
      <c r="A1493" s="1">
        <v>44956</v>
      </c>
      <c r="B1493">
        <v>3</v>
      </c>
      <c r="C1493" t="s">
        <v>7</v>
      </c>
      <c r="D1493">
        <v>217</v>
      </c>
      <c r="E1493">
        <v>3505.78</v>
      </c>
    </row>
    <row r="1494" spans="1:5" x14ac:dyDescent="0.25">
      <c r="A1494" s="1">
        <v>44957</v>
      </c>
      <c r="B1494">
        <v>3</v>
      </c>
      <c r="C1494" t="s">
        <v>7</v>
      </c>
      <c r="D1494">
        <v>165</v>
      </c>
      <c r="E1494">
        <v>2811.91</v>
      </c>
    </row>
    <row r="1495" spans="1:5" x14ac:dyDescent="0.25">
      <c r="A1495" s="1">
        <v>44958</v>
      </c>
      <c r="B1495">
        <v>3</v>
      </c>
      <c r="C1495" t="s">
        <v>7</v>
      </c>
      <c r="D1495">
        <v>180</v>
      </c>
      <c r="E1495">
        <v>3278.64</v>
      </c>
    </row>
    <row r="1496" spans="1:5" x14ac:dyDescent="0.25">
      <c r="A1496" s="1">
        <v>44959</v>
      </c>
      <c r="B1496">
        <v>3</v>
      </c>
      <c r="C1496" t="s">
        <v>7</v>
      </c>
      <c r="D1496">
        <v>211</v>
      </c>
      <c r="E1496">
        <v>3667.44</v>
      </c>
    </row>
    <row r="1497" spans="1:5" x14ac:dyDescent="0.25">
      <c r="A1497" s="1">
        <v>44960</v>
      </c>
      <c r="B1497">
        <v>3</v>
      </c>
      <c r="C1497" t="s">
        <v>7</v>
      </c>
      <c r="D1497">
        <v>193</v>
      </c>
      <c r="E1497">
        <v>3159.12</v>
      </c>
    </row>
    <row r="1498" spans="1:5" x14ac:dyDescent="0.25">
      <c r="A1498" s="1">
        <v>44961</v>
      </c>
      <c r="B1498">
        <v>3</v>
      </c>
      <c r="C1498" t="s">
        <v>7</v>
      </c>
      <c r="D1498">
        <v>189</v>
      </c>
      <c r="E1498">
        <v>3267.05</v>
      </c>
    </row>
    <row r="1499" spans="1:5" x14ac:dyDescent="0.25">
      <c r="A1499" s="1">
        <v>44962</v>
      </c>
      <c r="B1499">
        <v>3</v>
      </c>
      <c r="C1499" t="s">
        <v>7</v>
      </c>
      <c r="D1499">
        <v>200</v>
      </c>
      <c r="E1499">
        <v>3364.81</v>
      </c>
    </row>
    <row r="1500" spans="1:5" x14ac:dyDescent="0.25">
      <c r="A1500" s="1">
        <v>44963</v>
      </c>
      <c r="B1500">
        <v>3</v>
      </c>
      <c r="C1500" t="s">
        <v>7</v>
      </c>
      <c r="D1500">
        <v>193</v>
      </c>
      <c r="E1500">
        <v>3120.2</v>
      </c>
    </row>
    <row r="1501" spans="1:5" x14ac:dyDescent="0.25">
      <c r="A1501" s="1">
        <v>44964</v>
      </c>
      <c r="B1501">
        <v>3</v>
      </c>
      <c r="C1501" t="s">
        <v>7</v>
      </c>
      <c r="D1501">
        <v>219</v>
      </c>
      <c r="E1501">
        <v>3855.21</v>
      </c>
    </row>
    <row r="1502" spans="1:5" x14ac:dyDescent="0.25">
      <c r="A1502" s="1">
        <v>44965</v>
      </c>
      <c r="B1502">
        <v>3</v>
      </c>
      <c r="C1502" t="s">
        <v>7</v>
      </c>
      <c r="D1502">
        <v>157</v>
      </c>
      <c r="E1502">
        <v>2701.5</v>
      </c>
    </row>
    <row r="1503" spans="1:5" x14ac:dyDescent="0.25">
      <c r="A1503" s="1">
        <v>44966</v>
      </c>
      <c r="B1503">
        <v>3</v>
      </c>
      <c r="C1503" t="s">
        <v>7</v>
      </c>
      <c r="D1503">
        <v>169</v>
      </c>
      <c r="E1503">
        <v>2802.54</v>
      </c>
    </row>
    <row r="1504" spans="1:5" x14ac:dyDescent="0.25">
      <c r="A1504" s="1">
        <v>44967</v>
      </c>
      <c r="B1504">
        <v>3</v>
      </c>
      <c r="C1504" t="s">
        <v>7</v>
      </c>
      <c r="D1504">
        <v>202</v>
      </c>
      <c r="E1504">
        <v>3180.87</v>
      </c>
    </row>
    <row r="1505" spans="1:5" x14ac:dyDescent="0.25">
      <c r="A1505" s="1">
        <v>44968</v>
      </c>
      <c r="B1505">
        <v>3</v>
      </c>
      <c r="C1505" t="s">
        <v>7</v>
      </c>
      <c r="D1505">
        <v>181</v>
      </c>
      <c r="E1505">
        <v>3092.44</v>
      </c>
    </row>
    <row r="1506" spans="1:5" x14ac:dyDescent="0.25">
      <c r="A1506" s="1">
        <v>44969</v>
      </c>
      <c r="B1506">
        <v>3</v>
      </c>
      <c r="C1506" t="s">
        <v>7</v>
      </c>
      <c r="D1506">
        <v>221</v>
      </c>
      <c r="E1506">
        <v>3540.32</v>
      </c>
    </row>
    <row r="1507" spans="1:5" x14ac:dyDescent="0.25">
      <c r="A1507" s="1">
        <v>44970</v>
      </c>
      <c r="B1507">
        <v>3</v>
      </c>
      <c r="C1507" t="s">
        <v>7</v>
      </c>
      <c r="D1507">
        <v>210</v>
      </c>
      <c r="E1507">
        <v>3598.86</v>
      </c>
    </row>
    <row r="1508" spans="1:5" x14ac:dyDescent="0.25">
      <c r="A1508" s="1">
        <v>44971</v>
      </c>
      <c r="B1508">
        <v>3</v>
      </c>
      <c r="C1508" t="s">
        <v>7</v>
      </c>
      <c r="D1508">
        <v>191</v>
      </c>
      <c r="E1508">
        <v>3162.58</v>
      </c>
    </row>
    <row r="1509" spans="1:5" x14ac:dyDescent="0.25">
      <c r="A1509" s="1">
        <v>44972</v>
      </c>
      <c r="B1509">
        <v>3</v>
      </c>
      <c r="C1509" t="s">
        <v>7</v>
      </c>
      <c r="D1509">
        <v>187</v>
      </c>
      <c r="E1509">
        <v>3215.12</v>
      </c>
    </row>
    <row r="1510" spans="1:5" x14ac:dyDescent="0.25">
      <c r="A1510" s="1">
        <v>44973</v>
      </c>
      <c r="B1510">
        <v>3</v>
      </c>
      <c r="C1510" t="s">
        <v>7</v>
      </c>
      <c r="D1510">
        <v>196</v>
      </c>
      <c r="E1510">
        <v>2937.47</v>
      </c>
    </row>
    <row r="1511" spans="1:5" x14ac:dyDescent="0.25">
      <c r="A1511" s="1">
        <v>44974</v>
      </c>
      <c r="B1511">
        <v>3</v>
      </c>
      <c r="C1511" t="s">
        <v>7</v>
      </c>
      <c r="D1511">
        <v>185</v>
      </c>
      <c r="E1511">
        <v>3043.86</v>
      </c>
    </row>
    <row r="1512" spans="1:5" x14ac:dyDescent="0.25">
      <c r="A1512" s="1">
        <v>44975</v>
      </c>
      <c r="B1512">
        <v>3</v>
      </c>
      <c r="C1512" t="s">
        <v>7</v>
      </c>
      <c r="D1512">
        <v>250</v>
      </c>
      <c r="E1512">
        <v>3600.38</v>
      </c>
    </row>
    <row r="1513" spans="1:5" x14ac:dyDescent="0.25">
      <c r="A1513" s="1">
        <v>44976</v>
      </c>
      <c r="B1513">
        <v>3</v>
      </c>
      <c r="C1513" t="s">
        <v>7</v>
      </c>
      <c r="D1513">
        <v>200</v>
      </c>
      <c r="E1513">
        <v>3474.39</v>
      </c>
    </row>
    <row r="1514" spans="1:5" x14ac:dyDescent="0.25">
      <c r="A1514" s="1">
        <v>44977</v>
      </c>
      <c r="B1514">
        <v>3</v>
      </c>
      <c r="C1514" t="s">
        <v>7</v>
      </c>
      <c r="D1514">
        <v>196</v>
      </c>
      <c r="E1514">
        <v>3072.81</v>
      </c>
    </row>
    <row r="1515" spans="1:5" x14ac:dyDescent="0.25">
      <c r="A1515" s="1">
        <v>44978</v>
      </c>
      <c r="B1515">
        <v>3</v>
      </c>
      <c r="C1515" t="s">
        <v>7</v>
      </c>
      <c r="D1515">
        <v>165</v>
      </c>
      <c r="E1515">
        <v>2698.38</v>
      </c>
    </row>
    <row r="1516" spans="1:5" x14ac:dyDescent="0.25">
      <c r="A1516" s="1">
        <v>44979</v>
      </c>
      <c r="B1516">
        <v>3</v>
      </c>
      <c r="C1516" t="s">
        <v>7</v>
      </c>
      <c r="D1516">
        <v>194</v>
      </c>
      <c r="E1516">
        <v>3084.66</v>
      </c>
    </row>
    <row r="1517" spans="1:5" x14ac:dyDescent="0.25">
      <c r="A1517" s="1">
        <v>44980</v>
      </c>
      <c r="B1517">
        <v>3</v>
      </c>
      <c r="C1517" t="s">
        <v>7</v>
      </c>
      <c r="D1517">
        <v>200</v>
      </c>
      <c r="E1517">
        <v>3332.89</v>
      </c>
    </row>
    <row r="1518" spans="1:5" x14ac:dyDescent="0.25">
      <c r="A1518" s="1">
        <v>44981</v>
      </c>
      <c r="B1518">
        <v>3</v>
      </c>
      <c r="C1518" t="s">
        <v>7</v>
      </c>
      <c r="D1518">
        <v>181</v>
      </c>
      <c r="E1518">
        <v>2988.95</v>
      </c>
    </row>
    <row r="1519" spans="1:5" x14ac:dyDescent="0.25">
      <c r="A1519" s="1">
        <v>44982</v>
      </c>
      <c r="B1519">
        <v>3</v>
      </c>
      <c r="C1519" t="s">
        <v>7</v>
      </c>
      <c r="D1519">
        <v>219</v>
      </c>
      <c r="E1519">
        <v>3355.69</v>
      </c>
    </row>
    <row r="1520" spans="1:5" x14ac:dyDescent="0.25">
      <c r="A1520" s="1">
        <v>44983</v>
      </c>
      <c r="B1520">
        <v>3</v>
      </c>
      <c r="C1520" t="s">
        <v>7</v>
      </c>
      <c r="D1520">
        <v>242</v>
      </c>
      <c r="E1520">
        <v>4298.3100000000004</v>
      </c>
    </row>
    <row r="1521" spans="1:5" x14ac:dyDescent="0.25">
      <c r="A1521" s="1">
        <v>44984</v>
      </c>
      <c r="B1521">
        <v>3</v>
      </c>
      <c r="C1521" t="s">
        <v>7</v>
      </c>
      <c r="D1521">
        <v>240</v>
      </c>
      <c r="E1521">
        <v>3943.14</v>
      </c>
    </row>
    <row r="1522" spans="1:5" x14ac:dyDescent="0.25">
      <c r="A1522" s="1">
        <v>44985</v>
      </c>
      <c r="B1522">
        <v>3</v>
      </c>
      <c r="C1522" t="s">
        <v>7</v>
      </c>
      <c r="D1522">
        <v>172</v>
      </c>
      <c r="E1522">
        <v>2757.65</v>
      </c>
    </row>
    <row r="1523" spans="1:5" x14ac:dyDescent="0.25">
      <c r="A1523" s="1">
        <v>44986</v>
      </c>
      <c r="B1523">
        <v>3</v>
      </c>
      <c r="C1523" t="s">
        <v>7</v>
      </c>
      <c r="D1523">
        <v>194</v>
      </c>
      <c r="E1523">
        <v>2958.36</v>
      </c>
    </row>
    <row r="1524" spans="1:5" x14ac:dyDescent="0.25">
      <c r="A1524" s="1">
        <v>44987</v>
      </c>
      <c r="B1524">
        <v>3</v>
      </c>
      <c r="C1524" t="s">
        <v>7</v>
      </c>
      <c r="D1524">
        <v>175</v>
      </c>
      <c r="E1524">
        <v>2763.11</v>
      </c>
    </row>
    <row r="1525" spans="1:5" x14ac:dyDescent="0.25">
      <c r="A1525" s="1">
        <v>44988</v>
      </c>
      <c r="B1525">
        <v>3</v>
      </c>
      <c r="C1525" t="s">
        <v>7</v>
      </c>
      <c r="D1525">
        <v>175</v>
      </c>
      <c r="E1525">
        <v>2640.62</v>
      </c>
    </row>
    <row r="1526" spans="1:5" x14ac:dyDescent="0.25">
      <c r="A1526" s="1">
        <v>44989</v>
      </c>
      <c r="B1526">
        <v>3</v>
      </c>
      <c r="C1526" t="s">
        <v>7</v>
      </c>
      <c r="D1526">
        <v>235</v>
      </c>
      <c r="E1526">
        <v>4165.67</v>
      </c>
    </row>
    <row r="1527" spans="1:5" x14ac:dyDescent="0.25">
      <c r="A1527" s="1">
        <v>44990</v>
      </c>
      <c r="B1527">
        <v>3</v>
      </c>
      <c r="C1527" t="s">
        <v>7</v>
      </c>
      <c r="D1527">
        <v>209</v>
      </c>
      <c r="E1527">
        <v>3409.78</v>
      </c>
    </row>
    <row r="1528" spans="1:5" x14ac:dyDescent="0.25">
      <c r="A1528" s="1">
        <v>44991</v>
      </c>
      <c r="B1528">
        <v>3</v>
      </c>
      <c r="C1528" t="s">
        <v>7</v>
      </c>
      <c r="D1528">
        <v>160</v>
      </c>
      <c r="E1528">
        <v>2642.04</v>
      </c>
    </row>
    <row r="1529" spans="1:5" x14ac:dyDescent="0.25">
      <c r="A1529" s="1">
        <v>44992</v>
      </c>
      <c r="B1529">
        <v>3</v>
      </c>
      <c r="C1529" t="s">
        <v>7</v>
      </c>
      <c r="D1529">
        <v>155</v>
      </c>
      <c r="E1529">
        <v>2670.48</v>
      </c>
    </row>
    <row r="1530" spans="1:5" x14ac:dyDescent="0.25">
      <c r="A1530" s="1">
        <v>44993</v>
      </c>
      <c r="B1530">
        <v>3</v>
      </c>
      <c r="C1530" t="s">
        <v>7</v>
      </c>
      <c r="D1530">
        <v>175</v>
      </c>
      <c r="E1530">
        <v>3133.87</v>
      </c>
    </row>
    <row r="1531" spans="1:5" x14ac:dyDescent="0.25">
      <c r="A1531" s="1">
        <v>44994</v>
      </c>
      <c r="B1531">
        <v>3</v>
      </c>
      <c r="C1531" t="s">
        <v>7</v>
      </c>
      <c r="D1531">
        <v>169</v>
      </c>
      <c r="E1531">
        <v>2802.63</v>
      </c>
    </row>
    <row r="1532" spans="1:5" x14ac:dyDescent="0.25">
      <c r="A1532" s="1">
        <v>44995</v>
      </c>
      <c r="B1532">
        <v>3</v>
      </c>
      <c r="C1532" t="s">
        <v>7</v>
      </c>
      <c r="D1532">
        <v>154</v>
      </c>
      <c r="E1532">
        <v>2524.86</v>
      </c>
    </row>
    <row r="1533" spans="1:5" x14ac:dyDescent="0.25">
      <c r="A1533" s="1">
        <v>44996</v>
      </c>
      <c r="B1533">
        <v>3</v>
      </c>
      <c r="C1533" t="s">
        <v>7</v>
      </c>
      <c r="D1533">
        <v>192</v>
      </c>
      <c r="E1533">
        <v>3023.41</v>
      </c>
    </row>
    <row r="1534" spans="1:5" x14ac:dyDescent="0.25">
      <c r="A1534" s="1">
        <v>44997</v>
      </c>
      <c r="B1534">
        <v>3</v>
      </c>
      <c r="C1534" t="s">
        <v>7</v>
      </c>
      <c r="D1534">
        <v>216</v>
      </c>
      <c r="E1534">
        <v>3657.1</v>
      </c>
    </row>
    <row r="1535" spans="1:5" x14ac:dyDescent="0.25">
      <c r="A1535" s="1">
        <v>44998</v>
      </c>
      <c r="B1535">
        <v>3</v>
      </c>
      <c r="C1535" t="s">
        <v>7</v>
      </c>
      <c r="D1535">
        <v>149</v>
      </c>
      <c r="E1535">
        <v>2614.2600000000002</v>
      </c>
    </row>
    <row r="1536" spans="1:5" x14ac:dyDescent="0.25">
      <c r="A1536" s="1">
        <v>44999</v>
      </c>
      <c r="B1536">
        <v>3</v>
      </c>
      <c r="C1536" t="s">
        <v>7</v>
      </c>
      <c r="D1536">
        <v>177</v>
      </c>
      <c r="E1536">
        <v>2974.55</v>
      </c>
    </row>
    <row r="1537" spans="1:5" x14ac:dyDescent="0.25">
      <c r="A1537" s="1">
        <v>45000</v>
      </c>
      <c r="B1537">
        <v>3</v>
      </c>
      <c r="C1537" t="s">
        <v>7</v>
      </c>
      <c r="D1537">
        <v>181</v>
      </c>
      <c r="E1537">
        <v>3122.06</v>
      </c>
    </row>
    <row r="1538" spans="1:5" x14ac:dyDescent="0.25">
      <c r="A1538" s="1">
        <v>45001</v>
      </c>
      <c r="B1538">
        <v>3</v>
      </c>
      <c r="C1538" t="s">
        <v>7</v>
      </c>
      <c r="D1538">
        <v>197</v>
      </c>
      <c r="E1538">
        <v>3258.45</v>
      </c>
    </row>
    <row r="1539" spans="1:5" x14ac:dyDescent="0.25">
      <c r="A1539" s="1">
        <v>45002</v>
      </c>
      <c r="B1539">
        <v>3</v>
      </c>
      <c r="C1539" t="s">
        <v>7</v>
      </c>
      <c r="D1539">
        <v>217</v>
      </c>
      <c r="E1539">
        <v>3559.78</v>
      </c>
    </row>
    <row r="1540" spans="1:5" x14ac:dyDescent="0.25">
      <c r="A1540" s="1">
        <v>45003</v>
      </c>
      <c r="B1540">
        <v>3</v>
      </c>
      <c r="C1540" t="s">
        <v>7</v>
      </c>
      <c r="D1540">
        <v>170</v>
      </c>
      <c r="E1540">
        <v>2677.99</v>
      </c>
    </row>
    <row r="1541" spans="1:5" x14ac:dyDescent="0.25">
      <c r="A1541" s="1">
        <v>45004</v>
      </c>
      <c r="B1541">
        <v>3</v>
      </c>
      <c r="C1541" t="s">
        <v>7</v>
      </c>
      <c r="D1541">
        <v>223</v>
      </c>
      <c r="E1541">
        <v>3863.18</v>
      </c>
    </row>
    <row r="1542" spans="1:5" x14ac:dyDescent="0.25">
      <c r="A1542" s="1">
        <v>45005</v>
      </c>
      <c r="B1542">
        <v>3</v>
      </c>
      <c r="C1542" t="s">
        <v>7</v>
      </c>
      <c r="D1542">
        <v>185</v>
      </c>
      <c r="E1542">
        <v>3139.35</v>
      </c>
    </row>
    <row r="1543" spans="1:5" x14ac:dyDescent="0.25">
      <c r="A1543" s="1">
        <v>45006</v>
      </c>
      <c r="B1543">
        <v>3</v>
      </c>
      <c r="C1543" t="s">
        <v>7</v>
      </c>
      <c r="D1543">
        <v>199</v>
      </c>
      <c r="E1543">
        <v>2995.06</v>
      </c>
    </row>
    <row r="1544" spans="1:5" x14ac:dyDescent="0.25">
      <c r="A1544" s="1">
        <v>45007</v>
      </c>
      <c r="B1544">
        <v>3</v>
      </c>
      <c r="C1544" t="s">
        <v>7</v>
      </c>
      <c r="D1544">
        <v>197</v>
      </c>
      <c r="E1544">
        <v>3082.39</v>
      </c>
    </row>
    <row r="1545" spans="1:5" x14ac:dyDescent="0.25">
      <c r="A1545" s="1">
        <v>45008</v>
      </c>
      <c r="B1545">
        <v>3</v>
      </c>
      <c r="C1545" t="s">
        <v>7</v>
      </c>
      <c r="D1545">
        <v>199</v>
      </c>
      <c r="E1545">
        <v>3419.38</v>
      </c>
    </row>
    <row r="1546" spans="1:5" x14ac:dyDescent="0.25">
      <c r="A1546" s="1">
        <v>45009</v>
      </c>
      <c r="B1546">
        <v>3</v>
      </c>
      <c r="C1546" t="s">
        <v>7</v>
      </c>
      <c r="D1546">
        <v>149</v>
      </c>
      <c r="E1546">
        <v>2546.5700000000002</v>
      </c>
    </row>
    <row r="1547" spans="1:5" x14ac:dyDescent="0.25">
      <c r="A1547" s="1">
        <v>45010</v>
      </c>
      <c r="B1547">
        <v>3</v>
      </c>
      <c r="C1547" t="s">
        <v>7</v>
      </c>
      <c r="D1547">
        <v>212</v>
      </c>
      <c r="E1547">
        <v>3531.72</v>
      </c>
    </row>
    <row r="1548" spans="1:5" x14ac:dyDescent="0.25">
      <c r="A1548" s="1">
        <v>45011</v>
      </c>
      <c r="B1548">
        <v>3</v>
      </c>
      <c r="C1548" t="s">
        <v>7</v>
      </c>
      <c r="D1548">
        <v>178</v>
      </c>
      <c r="E1548">
        <v>2776.4</v>
      </c>
    </row>
    <row r="1549" spans="1:5" x14ac:dyDescent="0.25">
      <c r="A1549" s="1">
        <v>45012</v>
      </c>
      <c r="B1549">
        <v>3</v>
      </c>
      <c r="C1549" t="s">
        <v>7</v>
      </c>
      <c r="D1549">
        <v>174</v>
      </c>
      <c r="E1549">
        <v>2764.8</v>
      </c>
    </row>
    <row r="1550" spans="1:5" x14ac:dyDescent="0.25">
      <c r="A1550" s="1">
        <v>45013</v>
      </c>
      <c r="B1550">
        <v>3</v>
      </c>
      <c r="C1550" t="s">
        <v>7</v>
      </c>
      <c r="D1550">
        <v>198</v>
      </c>
      <c r="E1550">
        <v>3070.2</v>
      </c>
    </row>
    <row r="1551" spans="1:5" x14ac:dyDescent="0.25">
      <c r="A1551" s="1">
        <v>45014</v>
      </c>
      <c r="B1551">
        <v>3</v>
      </c>
      <c r="C1551" t="s">
        <v>7</v>
      </c>
      <c r="D1551">
        <v>161</v>
      </c>
      <c r="E1551">
        <v>2648.21</v>
      </c>
    </row>
    <row r="1552" spans="1:5" x14ac:dyDescent="0.25">
      <c r="A1552" s="1">
        <v>45015</v>
      </c>
      <c r="B1552">
        <v>3</v>
      </c>
      <c r="C1552" t="s">
        <v>7</v>
      </c>
      <c r="D1552">
        <v>185</v>
      </c>
      <c r="E1552">
        <v>3024.67</v>
      </c>
    </row>
    <row r="1553" spans="1:5" x14ac:dyDescent="0.25">
      <c r="A1553" s="1">
        <v>45016</v>
      </c>
      <c r="B1553">
        <v>3</v>
      </c>
      <c r="C1553" t="s">
        <v>7</v>
      </c>
      <c r="D1553">
        <v>179</v>
      </c>
      <c r="E1553">
        <v>2949.69</v>
      </c>
    </row>
    <row r="1554" spans="1:5" x14ac:dyDescent="0.25">
      <c r="A1554" s="1">
        <v>45017</v>
      </c>
      <c r="B1554">
        <v>3</v>
      </c>
      <c r="C1554" t="s">
        <v>7</v>
      </c>
      <c r="D1554">
        <v>208</v>
      </c>
      <c r="E1554">
        <v>3285.1</v>
      </c>
    </row>
    <row r="1555" spans="1:5" x14ac:dyDescent="0.25">
      <c r="A1555" s="1">
        <v>45018</v>
      </c>
      <c r="B1555">
        <v>3</v>
      </c>
      <c r="C1555" t="s">
        <v>7</v>
      </c>
      <c r="D1555">
        <v>199</v>
      </c>
      <c r="E1555">
        <v>3464.92</v>
      </c>
    </row>
    <row r="1556" spans="1:5" x14ac:dyDescent="0.25">
      <c r="A1556" s="1">
        <v>45019</v>
      </c>
      <c r="B1556">
        <v>3</v>
      </c>
      <c r="C1556" t="s">
        <v>7</v>
      </c>
      <c r="D1556">
        <v>133</v>
      </c>
      <c r="E1556">
        <v>2351.5</v>
      </c>
    </row>
    <row r="1557" spans="1:5" x14ac:dyDescent="0.25">
      <c r="A1557" s="1">
        <v>45020</v>
      </c>
      <c r="B1557">
        <v>3</v>
      </c>
      <c r="C1557" t="s">
        <v>7</v>
      </c>
      <c r="D1557">
        <v>199</v>
      </c>
      <c r="E1557">
        <v>3114.7</v>
      </c>
    </row>
    <row r="1558" spans="1:5" x14ac:dyDescent="0.25">
      <c r="A1558" s="1">
        <v>45021</v>
      </c>
      <c r="B1558">
        <v>3</v>
      </c>
      <c r="C1558" t="s">
        <v>7</v>
      </c>
      <c r="D1558">
        <v>172</v>
      </c>
      <c r="E1558">
        <v>2830.23</v>
      </c>
    </row>
    <row r="1559" spans="1:5" x14ac:dyDescent="0.25">
      <c r="A1559" s="1">
        <v>45022</v>
      </c>
      <c r="B1559">
        <v>3</v>
      </c>
      <c r="C1559" t="s">
        <v>7</v>
      </c>
      <c r="D1559">
        <v>187</v>
      </c>
      <c r="E1559">
        <v>3167.08</v>
      </c>
    </row>
    <row r="1560" spans="1:5" x14ac:dyDescent="0.25">
      <c r="A1560" s="1">
        <v>45023</v>
      </c>
      <c r="B1560">
        <v>3</v>
      </c>
      <c r="C1560" t="s">
        <v>7</v>
      </c>
      <c r="D1560">
        <v>186</v>
      </c>
      <c r="E1560">
        <v>3036.82</v>
      </c>
    </row>
    <row r="1561" spans="1:5" x14ac:dyDescent="0.25">
      <c r="A1561" s="1">
        <v>45024</v>
      </c>
      <c r="B1561">
        <v>3</v>
      </c>
      <c r="C1561" t="s">
        <v>7</v>
      </c>
      <c r="D1561">
        <v>201</v>
      </c>
      <c r="E1561">
        <v>3294.17</v>
      </c>
    </row>
    <row r="1562" spans="1:5" x14ac:dyDescent="0.25">
      <c r="A1562" s="1">
        <v>45025</v>
      </c>
      <c r="B1562">
        <v>3</v>
      </c>
      <c r="C1562" t="s">
        <v>7</v>
      </c>
      <c r="D1562">
        <v>234</v>
      </c>
      <c r="E1562">
        <v>4167.76</v>
      </c>
    </row>
    <row r="1563" spans="1:5" x14ac:dyDescent="0.25">
      <c r="A1563" s="1">
        <v>45026</v>
      </c>
      <c r="B1563">
        <v>3</v>
      </c>
      <c r="C1563" t="s">
        <v>7</v>
      </c>
      <c r="D1563">
        <v>167</v>
      </c>
      <c r="E1563">
        <v>2926.57</v>
      </c>
    </row>
    <row r="1564" spans="1:5" x14ac:dyDescent="0.25">
      <c r="A1564" s="1">
        <v>45027</v>
      </c>
      <c r="B1564">
        <v>3</v>
      </c>
      <c r="C1564" t="s">
        <v>7</v>
      </c>
      <c r="D1564">
        <v>162</v>
      </c>
      <c r="E1564">
        <v>2841.04</v>
      </c>
    </row>
    <row r="1565" spans="1:5" x14ac:dyDescent="0.25">
      <c r="A1565" s="1">
        <v>45028</v>
      </c>
      <c r="B1565">
        <v>3</v>
      </c>
      <c r="C1565" t="s">
        <v>7</v>
      </c>
      <c r="D1565">
        <v>183</v>
      </c>
      <c r="E1565">
        <v>3106.35</v>
      </c>
    </row>
    <row r="1566" spans="1:5" x14ac:dyDescent="0.25">
      <c r="A1566" s="1">
        <v>45029</v>
      </c>
      <c r="B1566">
        <v>3</v>
      </c>
      <c r="C1566" t="s">
        <v>7</v>
      </c>
      <c r="D1566">
        <v>219</v>
      </c>
      <c r="E1566">
        <v>3694.97</v>
      </c>
    </row>
    <row r="1567" spans="1:5" x14ac:dyDescent="0.25">
      <c r="A1567" s="1">
        <v>45030</v>
      </c>
      <c r="B1567">
        <v>3</v>
      </c>
      <c r="C1567" t="s">
        <v>7</v>
      </c>
      <c r="D1567">
        <v>163</v>
      </c>
      <c r="E1567">
        <v>2762.86</v>
      </c>
    </row>
    <row r="1568" spans="1:5" x14ac:dyDescent="0.25">
      <c r="A1568" s="1">
        <v>45031</v>
      </c>
      <c r="B1568">
        <v>3</v>
      </c>
      <c r="C1568" t="s">
        <v>7</v>
      </c>
      <c r="D1568">
        <v>234</v>
      </c>
      <c r="E1568">
        <v>4048.49</v>
      </c>
    </row>
    <row r="1569" spans="1:5" x14ac:dyDescent="0.25">
      <c r="A1569" s="1">
        <v>45032</v>
      </c>
      <c r="B1569">
        <v>3</v>
      </c>
      <c r="C1569" t="s">
        <v>7</v>
      </c>
      <c r="D1569">
        <v>226</v>
      </c>
      <c r="E1569">
        <v>3563.62</v>
      </c>
    </row>
    <row r="1570" spans="1:5" x14ac:dyDescent="0.25">
      <c r="A1570" s="1">
        <v>45033</v>
      </c>
      <c r="B1570">
        <v>3</v>
      </c>
      <c r="C1570" t="s">
        <v>7</v>
      </c>
      <c r="D1570">
        <v>180</v>
      </c>
      <c r="E1570">
        <v>2610.21</v>
      </c>
    </row>
    <row r="1571" spans="1:5" x14ac:dyDescent="0.25">
      <c r="A1571" s="1">
        <v>45034</v>
      </c>
      <c r="B1571">
        <v>3</v>
      </c>
      <c r="C1571" t="s">
        <v>7</v>
      </c>
      <c r="D1571">
        <v>163</v>
      </c>
      <c r="E1571">
        <v>2636.78</v>
      </c>
    </row>
    <row r="1572" spans="1:5" x14ac:dyDescent="0.25">
      <c r="A1572" s="1">
        <v>45035</v>
      </c>
      <c r="B1572">
        <v>3</v>
      </c>
      <c r="C1572" t="s">
        <v>7</v>
      </c>
      <c r="D1572">
        <v>220</v>
      </c>
      <c r="E1572">
        <v>3686.67</v>
      </c>
    </row>
    <row r="1573" spans="1:5" x14ac:dyDescent="0.25">
      <c r="A1573" s="1">
        <v>45036</v>
      </c>
      <c r="B1573">
        <v>3</v>
      </c>
      <c r="C1573" t="s">
        <v>7</v>
      </c>
      <c r="D1573">
        <v>215</v>
      </c>
      <c r="E1573">
        <v>3464.94</v>
      </c>
    </row>
    <row r="1574" spans="1:5" x14ac:dyDescent="0.25">
      <c r="A1574" s="1">
        <v>45037</v>
      </c>
      <c r="B1574">
        <v>3</v>
      </c>
      <c r="C1574" t="s">
        <v>7</v>
      </c>
      <c r="D1574">
        <v>208</v>
      </c>
      <c r="E1574">
        <v>3305.65</v>
      </c>
    </row>
    <row r="1575" spans="1:5" x14ac:dyDescent="0.25">
      <c r="A1575" s="1">
        <v>45038</v>
      </c>
      <c r="B1575">
        <v>3</v>
      </c>
      <c r="C1575" t="s">
        <v>7</v>
      </c>
      <c r="D1575">
        <v>220</v>
      </c>
      <c r="E1575">
        <v>3712.11</v>
      </c>
    </row>
    <row r="1576" spans="1:5" x14ac:dyDescent="0.25">
      <c r="A1576" s="1">
        <v>45039</v>
      </c>
      <c r="B1576">
        <v>3</v>
      </c>
      <c r="C1576" t="s">
        <v>7</v>
      </c>
      <c r="D1576">
        <v>218</v>
      </c>
      <c r="E1576">
        <v>3559.82</v>
      </c>
    </row>
    <row r="1577" spans="1:5" x14ac:dyDescent="0.25">
      <c r="A1577" s="1">
        <v>45040</v>
      </c>
      <c r="B1577">
        <v>3</v>
      </c>
      <c r="C1577" t="s">
        <v>7</v>
      </c>
      <c r="D1577">
        <v>178</v>
      </c>
      <c r="E1577">
        <v>2975.13</v>
      </c>
    </row>
    <row r="1578" spans="1:5" x14ac:dyDescent="0.25">
      <c r="A1578" s="1">
        <v>45041</v>
      </c>
      <c r="B1578">
        <v>3</v>
      </c>
      <c r="C1578" t="s">
        <v>7</v>
      </c>
      <c r="D1578">
        <v>151</v>
      </c>
      <c r="E1578">
        <v>2486.13</v>
      </c>
    </row>
    <row r="1579" spans="1:5" x14ac:dyDescent="0.25">
      <c r="A1579" s="1">
        <v>45042</v>
      </c>
      <c r="B1579">
        <v>3</v>
      </c>
      <c r="C1579" t="s">
        <v>7</v>
      </c>
      <c r="D1579">
        <v>159</v>
      </c>
      <c r="E1579">
        <v>2791.23</v>
      </c>
    </row>
    <row r="1580" spans="1:5" x14ac:dyDescent="0.25">
      <c r="A1580" s="1">
        <v>45043</v>
      </c>
      <c r="B1580">
        <v>3</v>
      </c>
      <c r="C1580" t="s">
        <v>7</v>
      </c>
      <c r="D1580">
        <v>188</v>
      </c>
      <c r="E1580">
        <v>3055.44</v>
      </c>
    </row>
    <row r="1581" spans="1:5" x14ac:dyDescent="0.25">
      <c r="A1581" s="1">
        <v>45044</v>
      </c>
      <c r="B1581">
        <v>3</v>
      </c>
      <c r="C1581" t="s">
        <v>7</v>
      </c>
      <c r="D1581">
        <v>181</v>
      </c>
      <c r="E1581">
        <v>2840.87</v>
      </c>
    </row>
    <row r="1582" spans="1:5" x14ac:dyDescent="0.25">
      <c r="A1582" s="1">
        <v>45045</v>
      </c>
      <c r="B1582">
        <v>3</v>
      </c>
      <c r="C1582" t="s">
        <v>7</v>
      </c>
      <c r="D1582">
        <v>251</v>
      </c>
      <c r="E1582">
        <v>3982.44</v>
      </c>
    </row>
    <row r="1583" spans="1:5" x14ac:dyDescent="0.25">
      <c r="A1583" s="1">
        <v>45046</v>
      </c>
      <c r="B1583">
        <v>3</v>
      </c>
      <c r="C1583" t="s">
        <v>7</v>
      </c>
      <c r="D1583">
        <v>186</v>
      </c>
      <c r="E1583">
        <v>3177.76</v>
      </c>
    </row>
    <row r="1584" spans="1:5" x14ac:dyDescent="0.25">
      <c r="A1584" s="1">
        <v>45047</v>
      </c>
      <c r="B1584">
        <v>3</v>
      </c>
      <c r="C1584" t="s">
        <v>7</v>
      </c>
      <c r="D1584">
        <v>150</v>
      </c>
      <c r="E1584">
        <v>2440.4899999999998</v>
      </c>
    </row>
    <row r="1585" spans="1:5" x14ac:dyDescent="0.25">
      <c r="A1585" s="1">
        <v>45048</v>
      </c>
      <c r="B1585">
        <v>3</v>
      </c>
      <c r="C1585" t="s">
        <v>7</v>
      </c>
      <c r="D1585">
        <v>174</v>
      </c>
      <c r="E1585">
        <v>2782.67</v>
      </c>
    </row>
    <row r="1586" spans="1:5" x14ac:dyDescent="0.25">
      <c r="A1586" s="1">
        <v>45049</v>
      </c>
      <c r="B1586">
        <v>3</v>
      </c>
      <c r="C1586" t="s">
        <v>7</v>
      </c>
      <c r="D1586">
        <v>170</v>
      </c>
      <c r="E1586">
        <v>3113.93</v>
      </c>
    </row>
    <row r="1587" spans="1:5" x14ac:dyDescent="0.25">
      <c r="A1587" s="1">
        <v>45050</v>
      </c>
      <c r="B1587">
        <v>3</v>
      </c>
      <c r="C1587" t="s">
        <v>7</v>
      </c>
      <c r="D1587">
        <v>205</v>
      </c>
      <c r="E1587">
        <v>3196</v>
      </c>
    </row>
    <row r="1588" spans="1:5" x14ac:dyDescent="0.25">
      <c r="A1588" s="1">
        <v>45051</v>
      </c>
      <c r="B1588">
        <v>3</v>
      </c>
      <c r="C1588" t="s">
        <v>7</v>
      </c>
      <c r="D1588">
        <v>163</v>
      </c>
      <c r="E1588">
        <v>2797.72</v>
      </c>
    </row>
    <row r="1589" spans="1:5" x14ac:dyDescent="0.25">
      <c r="A1589" s="1">
        <v>45052</v>
      </c>
      <c r="B1589">
        <v>3</v>
      </c>
      <c r="C1589" t="s">
        <v>7</v>
      </c>
      <c r="D1589">
        <v>218</v>
      </c>
      <c r="E1589">
        <v>3306.33</v>
      </c>
    </row>
    <row r="1590" spans="1:5" x14ac:dyDescent="0.25">
      <c r="A1590" s="1">
        <v>45053</v>
      </c>
      <c r="B1590">
        <v>3</v>
      </c>
      <c r="C1590" t="s">
        <v>7</v>
      </c>
      <c r="D1590">
        <v>228</v>
      </c>
      <c r="E1590">
        <v>3820.15</v>
      </c>
    </row>
    <row r="1591" spans="1:5" x14ac:dyDescent="0.25">
      <c r="A1591" s="1">
        <v>45054</v>
      </c>
      <c r="B1591">
        <v>3</v>
      </c>
      <c r="C1591" t="s">
        <v>7</v>
      </c>
      <c r="D1591">
        <v>182</v>
      </c>
      <c r="E1591">
        <v>3069.31</v>
      </c>
    </row>
    <row r="1592" spans="1:5" x14ac:dyDescent="0.25">
      <c r="A1592" s="1">
        <v>45055</v>
      </c>
      <c r="B1592">
        <v>3</v>
      </c>
      <c r="C1592" t="s">
        <v>7</v>
      </c>
      <c r="D1592">
        <v>176</v>
      </c>
      <c r="E1592">
        <v>3002.15</v>
      </c>
    </row>
    <row r="1593" spans="1:5" x14ac:dyDescent="0.25">
      <c r="A1593" s="1">
        <v>45056</v>
      </c>
      <c r="B1593">
        <v>3</v>
      </c>
      <c r="C1593" t="s">
        <v>7</v>
      </c>
      <c r="D1593">
        <v>182</v>
      </c>
      <c r="E1593">
        <v>3131.24</v>
      </c>
    </row>
    <row r="1594" spans="1:5" x14ac:dyDescent="0.25">
      <c r="A1594" s="1">
        <v>45057</v>
      </c>
      <c r="B1594">
        <v>3</v>
      </c>
      <c r="C1594" t="s">
        <v>7</v>
      </c>
      <c r="D1594">
        <v>146</v>
      </c>
      <c r="E1594">
        <v>2495.08</v>
      </c>
    </row>
    <row r="1595" spans="1:5" x14ac:dyDescent="0.25">
      <c r="A1595" s="1">
        <v>45058</v>
      </c>
      <c r="B1595">
        <v>3</v>
      </c>
      <c r="C1595" t="s">
        <v>7</v>
      </c>
      <c r="D1595">
        <v>206</v>
      </c>
      <c r="E1595">
        <v>3519.1</v>
      </c>
    </row>
    <row r="1596" spans="1:5" x14ac:dyDescent="0.25">
      <c r="A1596" s="1">
        <v>45059</v>
      </c>
      <c r="B1596">
        <v>3</v>
      </c>
      <c r="C1596" t="s">
        <v>7</v>
      </c>
      <c r="D1596">
        <v>200</v>
      </c>
      <c r="E1596">
        <v>3201.93</v>
      </c>
    </row>
    <row r="1597" spans="1:5" x14ac:dyDescent="0.25">
      <c r="A1597" s="1">
        <v>45060</v>
      </c>
      <c r="B1597">
        <v>3</v>
      </c>
      <c r="C1597" t="s">
        <v>7</v>
      </c>
      <c r="D1597">
        <v>233</v>
      </c>
      <c r="E1597">
        <v>3823.21</v>
      </c>
    </row>
    <row r="1598" spans="1:5" x14ac:dyDescent="0.25">
      <c r="A1598" s="1">
        <v>45061</v>
      </c>
      <c r="B1598">
        <v>3</v>
      </c>
      <c r="C1598" t="s">
        <v>7</v>
      </c>
      <c r="D1598">
        <v>204</v>
      </c>
      <c r="E1598">
        <v>3409.87</v>
      </c>
    </row>
    <row r="1599" spans="1:5" x14ac:dyDescent="0.25">
      <c r="A1599" s="1">
        <v>45062</v>
      </c>
      <c r="B1599">
        <v>3</v>
      </c>
      <c r="C1599" t="s">
        <v>7</v>
      </c>
      <c r="D1599">
        <v>174</v>
      </c>
      <c r="E1599">
        <v>2894.24</v>
      </c>
    </row>
    <row r="1600" spans="1:5" x14ac:dyDescent="0.25">
      <c r="A1600" s="1">
        <v>45063</v>
      </c>
      <c r="B1600">
        <v>3</v>
      </c>
      <c r="C1600" t="s">
        <v>7</v>
      </c>
      <c r="D1600">
        <v>180</v>
      </c>
      <c r="E1600">
        <v>3176.77</v>
      </c>
    </row>
    <row r="1601" spans="1:5" x14ac:dyDescent="0.25">
      <c r="A1601" s="1">
        <v>45064</v>
      </c>
      <c r="B1601">
        <v>3</v>
      </c>
      <c r="C1601" t="s">
        <v>7</v>
      </c>
      <c r="D1601">
        <v>211</v>
      </c>
      <c r="E1601">
        <v>3888.17</v>
      </c>
    </row>
    <row r="1602" spans="1:5" x14ac:dyDescent="0.25">
      <c r="A1602" s="1">
        <v>45065</v>
      </c>
      <c r="B1602">
        <v>3</v>
      </c>
      <c r="C1602" t="s">
        <v>7</v>
      </c>
      <c r="D1602">
        <v>204</v>
      </c>
      <c r="E1602">
        <v>3383.63</v>
      </c>
    </row>
    <row r="1603" spans="1:5" x14ac:dyDescent="0.25">
      <c r="A1603" s="1">
        <v>45066</v>
      </c>
      <c r="B1603">
        <v>3</v>
      </c>
      <c r="C1603" t="s">
        <v>7</v>
      </c>
      <c r="D1603">
        <v>227</v>
      </c>
      <c r="E1603">
        <v>3625.12</v>
      </c>
    </row>
    <row r="1604" spans="1:5" x14ac:dyDescent="0.25">
      <c r="A1604" s="1">
        <v>45067</v>
      </c>
      <c r="B1604">
        <v>3</v>
      </c>
      <c r="C1604" t="s">
        <v>7</v>
      </c>
      <c r="D1604">
        <v>191</v>
      </c>
      <c r="E1604">
        <v>2830.73</v>
      </c>
    </row>
    <row r="1605" spans="1:5" x14ac:dyDescent="0.25">
      <c r="A1605" s="1">
        <v>45068</v>
      </c>
      <c r="B1605">
        <v>3</v>
      </c>
      <c r="C1605" t="s">
        <v>7</v>
      </c>
      <c r="D1605">
        <v>194</v>
      </c>
      <c r="E1605">
        <v>3071.14</v>
      </c>
    </row>
    <row r="1606" spans="1:5" x14ac:dyDescent="0.25">
      <c r="A1606" s="1">
        <v>45069</v>
      </c>
      <c r="B1606">
        <v>3</v>
      </c>
      <c r="C1606" t="s">
        <v>7</v>
      </c>
      <c r="D1606">
        <v>185</v>
      </c>
      <c r="E1606">
        <v>2961.76</v>
      </c>
    </row>
    <row r="1607" spans="1:5" x14ac:dyDescent="0.25">
      <c r="A1607" s="1">
        <v>45070</v>
      </c>
      <c r="B1607">
        <v>3</v>
      </c>
      <c r="C1607" t="s">
        <v>7</v>
      </c>
      <c r="D1607">
        <v>268</v>
      </c>
      <c r="E1607">
        <v>4471.05</v>
      </c>
    </row>
    <row r="1608" spans="1:5" x14ac:dyDescent="0.25">
      <c r="A1608" s="1">
        <v>45071</v>
      </c>
      <c r="B1608">
        <v>3</v>
      </c>
      <c r="C1608" t="s">
        <v>7</v>
      </c>
      <c r="D1608">
        <v>206</v>
      </c>
      <c r="E1608">
        <v>3492.98</v>
      </c>
    </row>
    <row r="1609" spans="1:5" x14ac:dyDescent="0.25">
      <c r="A1609" s="1">
        <v>45072</v>
      </c>
      <c r="B1609">
        <v>3</v>
      </c>
      <c r="C1609" t="s">
        <v>7</v>
      </c>
      <c r="D1609">
        <v>225</v>
      </c>
      <c r="E1609">
        <v>3779.86</v>
      </c>
    </row>
    <row r="1610" spans="1:5" x14ac:dyDescent="0.25">
      <c r="A1610" s="1">
        <v>45073</v>
      </c>
      <c r="B1610">
        <v>3</v>
      </c>
      <c r="C1610" t="s">
        <v>7</v>
      </c>
      <c r="D1610">
        <v>232</v>
      </c>
      <c r="E1610">
        <v>3961.37</v>
      </c>
    </row>
    <row r="1611" spans="1:5" x14ac:dyDescent="0.25">
      <c r="A1611" s="1">
        <v>45074</v>
      </c>
      <c r="B1611">
        <v>3</v>
      </c>
      <c r="C1611" t="s">
        <v>7</v>
      </c>
      <c r="D1611">
        <v>216</v>
      </c>
      <c r="E1611">
        <v>3448.36</v>
      </c>
    </row>
    <row r="1612" spans="1:5" x14ac:dyDescent="0.25">
      <c r="A1612" s="1">
        <v>45075</v>
      </c>
      <c r="B1612">
        <v>3</v>
      </c>
      <c r="C1612" t="s">
        <v>7</v>
      </c>
      <c r="D1612">
        <v>181</v>
      </c>
      <c r="E1612">
        <v>2870.55</v>
      </c>
    </row>
    <row r="1613" spans="1:5" x14ac:dyDescent="0.25">
      <c r="A1613" s="1">
        <v>45076</v>
      </c>
      <c r="B1613">
        <v>3</v>
      </c>
      <c r="C1613" t="s">
        <v>7</v>
      </c>
      <c r="D1613">
        <v>193</v>
      </c>
      <c r="E1613">
        <v>3211.8</v>
      </c>
    </row>
    <row r="1614" spans="1:5" x14ac:dyDescent="0.25">
      <c r="A1614" s="1">
        <v>45077</v>
      </c>
      <c r="B1614">
        <v>3</v>
      </c>
      <c r="C1614" t="s">
        <v>7</v>
      </c>
      <c r="D1614">
        <v>214</v>
      </c>
      <c r="E1614">
        <v>3652.6</v>
      </c>
    </row>
    <row r="1615" spans="1:5" x14ac:dyDescent="0.25">
      <c r="A1615" s="1">
        <v>45078</v>
      </c>
      <c r="B1615">
        <v>3</v>
      </c>
      <c r="C1615" t="s">
        <v>7</v>
      </c>
      <c r="D1615">
        <v>195</v>
      </c>
      <c r="E1615">
        <v>3040.69</v>
      </c>
    </row>
    <row r="1616" spans="1:5" x14ac:dyDescent="0.25">
      <c r="A1616" s="1">
        <v>45079</v>
      </c>
      <c r="B1616">
        <v>3</v>
      </c>
      <c r="C1616" t="s">
        <v>7</v>
      </c>
      <c r="D1616">
        <v>218</v>
      </c>
      <c r="E1616">
        <v>3848.05</v>
      </c>
    </row>
    <row r="1617" spans="1:5" x14ac:dyDescent="0.25">
      <c r="A1617" s="1">
        <v>45080</v>
      </c>
      <c r="B1617">
        <v>3</v>
      </c>
      <c r="C1617" t="s">
        <v>7</v>
      </c>
      <c r="D1617">
        <v>251</v>
      </c>
      <c r="E1617">
        <v>4154.41</v>
      </c>
    </row>
    <row r="1618" spans="1:5" x14ac:dyDescent="0.25">
      <c r="A1618" s="1">
        <v>45081</v>
      </c>
      <c r="B1618">
        <v>3</v>
      </c>
      <c r="C1618" t="s">
        <v>7</v>
      </c>
      <c r="D1618">
        <v>223</v>
      </c>
      <c r="E1618">
        <v>3737.57</v>
      </c>
    </row>
    <row r="1619" spans="1:5" x14ac:dyDescent="0.25">
      <c r="A1619" s="1">
        <v>45082</v>
      </c>
      <c r="B1619">
        <v>3</v>
      </c>
      <c r="C1619" t="s">
        <v>7</v>
      </c>
      <c r="D1619">
        <v>233</v>
      </c>
      <c r="E1619">
        <v>3587.1</v>
      </c>
    </row>
    <row r="1620" spans="1:5" x14ac:dyDescent="0.25">
      <c r="A1620" s="1">
        <v>45083</v>
      </c>
      <c r="B1620">
        <v>3</v>
      </c>
      <c r="C1620" t="s">
        <v>7</v>
      </c>
      <c r="D1620">
        <v>225</v>
      </c>
      <c r="E1620">
        <v>3863.73</v>
      </c>
    </row>
    <row r="1621" spans="1:5" x14ac:dyDescent="0.25">
      <c r="A1621" s="1">
        <v>45084</v>
      </c>
      <c r="B1621">
        <v>3</v>
      </c>
      <c r="C1621" t="s">
        <v>7</v>
      </c>
      <c r="D1621">
        <v>197</v>
      </c>
      <c r="E1621">
        <v>3292.69</v>
      </c>
    </row>
    <row r="1622" spans="1:5" x14ac:dyDescent="0.25">
      <c r="A1622" s="1">
        <v>45085</v>
      </c>
      <c r="B1622">
        <v>3</v>
      </c>
      <c r="C1622" t="s">
        <v>7</v>
      </c>
      <c r="D1622">
        <v>184</v>
      </c>
      <c r="E1622">
        <v>2762.65</v>
      </c>
    </row>
    <row r="1623" spans="1:5" x14ac:dyDescent="0.25">
      <c r="A1623" s="1">
        <v>45086</v>
      </c>
      <c r="B1623">
        <v>3</v>
      </c>
      <c r="C1623" t="s">
        <v>7</v>
      </c>
      <c r="D1623">
        <v>218</v>
      </c>
      <c r="E1623">
        <v>3321.87</v>
      </c>
    </row>
    <row r="1624" spans="1:5" x14ac:dyDescent="0.25">
      <c r="A1624" s="1">
        <v>45087</v>
      </c>
      <c r="B1624">
        <v>3</v>
      </c>
      <c r="C1624" t="s">
        <v>7</v>
      </c>
      <c r="D1624">
        <v>242</v>
      </c>
      <c r="E1624">
        <v>3804.9</v>
      </c>
    </row>
    <row r="1625" spans="1:5" x14ac:dyDescent="0.25">
      <c r="A1625" s="1">
        <v>45088</v>
      </c>
      <c r="B1625">
        <v>3</v>
      </c>
      <c r="C1625" t="s">
        <v>7</v>
      </c>
      <c r="D1625">
        <v>268</v>
      </c>
      <c r="E1625">
        <v>4935.54</v>
      </c>
    </row>
    <row r="1626" spans="1:5" x14ac:dyDescent="0.25">
      <c r="A1626" s="1">
        <v>45089</v>
      </c>
      <c r="B1626">
        <v>3</v>
      </c>
      <c r="C1626" t="s">
        <v>7</v>
      </c>
      <c r="D1626">
        <v>234</v>
      </c>
      <c r="E1626">
        <v>4073.86</v>
      </c>
    </row>
    <row r="1627" spans="1:5" x14ac:dyDescent="0.25">
      <c r="A1627" s="1">
        <v>45090</v>
      </c>
      <c r="B1627">
        <v>3</v>
      </c>
      <c r="C1627" t="s">
        <v>7</v>
      </c>
      <c r="D1627">
        <v>234</v>
      </c>
      <c r="E1627">
        <v>3772.15</v>
      </c>
    </row>
    <row r="1628" spans="1:5" x14ac:dyDescent="0.25">
      <c r="A1628" s="1">
        <v>45091</v>
      </c>
      <c r="B1628">
        <v>3</v>
      </c>
      <c r="C1628" t="s">
        <v>7</v>
      </c>
      <c r="D1628">
        <v>242</v>
      </c>
      <c r="E1628">
        <v>3896.59</v>
      </c>
    </row>
    <row r="1629" spans="1:5" x14ac:dyDescent="0.25">
      <c r="A1629" s="1">
        <v>45092</v>
      </c>
      <c r="B1629">
        <v>3</v>
      </c>
      <c r="C1629" t="s">
        <v>7</v>
      </c>
      <c r="D1629">
        <v>263</v>
      </c>
      <c r="E1629">
        <v>3980.86</v>
      </c>
    </row>
    <row r="1630" spans="1:5" x14ac:dyDescent="0.25">
      <c r="A1630" s="1">
        <v>45093</v>
      </c>
      <c r="B1630">
        <v>3</v>
      </c>
      <c r="C1630" t="s">
        <v>7</v>
      </c>
      <c r="D1630">
        <v>239</v>
      </c>
      <c r="E1630">
        <v>4072.03</v>
      </c>
    </row>
    <row r="1631" spans="1:5" x14ac:dyDescent="0.25">
      <c r="A1631" s="1">
        <v>45094</v>
      </c>
      <c r="B1631">
        <v>3</v>
      </c>
      <c r="C1631" t="s">
        <v>7</v>
      </c>
      <c r="D1631">
        <v>297</v>
      </c>
      <c r="E1631">
        <v>4902.8900000000003</v>
      </c>
    </row>
    <row r="1632" spans="1:5" x14ac:dyDescent="0.25">
      <c r="A1632" s="1">
        <v>45095</v>
      </c>
      <c r="B1632">
        <v>3</v>
      </c>
      <c r="C1632" t="s">
        <v>7</v>
      </c>
      <c r="D1632">
        <v>249</v>
      </c>
      <c r="E1632">
        <v>4001.92</v>
      </c>
    </row>
    <row r="1633" spans="1:5" x14ac:dyDescent="0.25">
      <c r="A1633" s="1">
        <v>45096</v>
      </c>
      <c r="B1633">
        <v>3</v>
      </c>
      <c r="C1633" t="s">
        <v>7</v>
      </c>
      <c r="D1633">
        <v>222</v>
      </c>
      <c r="E1633">
        <v>3635.06</v>
      </c>
    </row>
    <row r="1634" spans="1:5" x14ac:dyDescent="0.25">
      <c r="A1634" s="1">
        <v>45097</v>
      </c>
      <c r="B1634">
        <v>3</v>
      </c>
      <c r="C1634" t="s">
        <v>7</v>
      </c>
      <c r="D1634">
        <v>212</v>
      </c>
      <c r="E1634">
        <v>3387.85</v>
      </c>
    </row>
    <row r="1635" spans="1:5" x14ac:dyDescent="0.25">
      <c r="A1635" s="1">
        <v>45098</v>
      </c>
      <c r="B1635">
        <v>3</v>
      </c>
      <c r="C1635" t="s">
        <v>7</v>
      </c>
      <c r="D1635">
        <v>211</v>
      </c>
      <c r="E1635">
        <v>3445.64</v>
      </c>
    </row>
    <row r="1636" spans="1:5" x14ac:dyDescent="0.25">
      <c r="A1636" s="1">
        <v>45099</v>
      </c>
      <c r="B1636">
        <v>3</v>
      </c>
      <c r="C1636" t="s">
        <v>7</v>
      </c>
      <c r="D1636">
        <v>267</v>
      </c>
      <c r="E1636">
        <v>4445.17</v>
      </c>
    </row>
    <row r="1637" spans="1:5" x14ac:dyDescent="0.25">
      <c r="A1637" s="1">
        <v>45100</v>
      </c>
      <c r="B1637">
        <v>3</v>
      </c>
      <c r="C1637" t="s">
        <v>7</v>
      </c>
      <c r="D1637">
        <v>265</v>
      </c>
      <c r="E1637">
        <v>3718.18</v>
      </c>
    </row>
    <row r="1638" spans="1:5" x14ac:dyDescent="0.25">
      <c r="A1638" s="1">
        <v>45101</v>
      </c>
      <c r="B1638">
        <v>3</v>
      </c>
      <c r="C1638" t="s">
        <v>7</v>
      </c>
      <c r="D1638">
        <v>288</v>
      </c>
      <c r="E1638">
        <v>4722.63</v>
      </c>
    </row>
    <row r="1639" spans="1:5" x14ac:dyDescent="0.25">
      <c r="A1639" s="1">
        <v>45102</v>
      </c>
      <c r="B1639">
        <v>3</v>
      </c>
      <c r="C1639" t="s">
        <v>7</v>
      </c>
      <c r="D1639">
        <v>205</v>
      </c>
      <c r="E1639">
        <v>3602.56</v>
      </c>
    </row>
    <row r="1640" spans="1:5" x14ac:dyDescent="0.25">
      <c r="A1640" s="1">
        <v>45103</v>
      </c>
      <c r="B1640">
        <v>3</v>
      </c>
      <c r="C1640" t="s">
        <v>7</v>
      </c>
      <c r="D1640">
        <v>256</v>
      </c>
      <c r="E1640">
        <v>3900.16</v>
      </c>
    </row>
    <row r="1641" spans="1:5" x14ac:dyDescent="0.25">
      <c r="A1641" s="1">
        <v>45104</v>
      </c>
      <c r="B1641">
        <v>3</v>
      </c>
      <c r="C1641" t="s">
        <v>7</v>
      </c>
      <c r="D1641">
        <v>238</v>
      </c>
      <c r="E1641">
        <v>4099.07</v>
      </c>
    </row>
    <row r="1642" spans="1:5" x14ac:dyDescent="0.25">
      <c r="A1642" s="1">
        <v>45105</v>
      </c>
      <c r="B1642">
        <v>3</v>
      </c>
      <c r="C1642" t="s">
        <v>7</v>
      </c>
      <c r="D1642">
        <v>241</v>
      </c>
      <c r="E1642">
        <v>3981.02</v>
      </c>
    </row>
    <row r="1643" spans="1:5" x14ac:dyDescent="0.25">
      <c r="A1643" s="1">
        <v>45106</v>
      </c>
      <c r="B1643">
        <v>3</v>
      </c>
      <c r="C1643" t="s">
        <v>7</v>
      </c>
      <c r="D1643">
        <v>227</v>
      </c>
      <c r="E1643">
        <v>3786.74</v>
      </c>
    </row>
    <row r="1644" spans="1:5" x14ac:dyDescent="0.25">
      <c r="A1644" s="1">
        <v>45107</v>
      </c>
      <c r="B1644">
        <v>3</v>
      </c>
      <c r="C1644" t="s">
        <v>7</v>
      </c>
      <c r="D1644">
        <v>262</v>
      </c>
      <c r="E1644">
        <v>4062.51</v>
      </c>
    </row>
    <row r="1645" spans="1:5" x14ac:dyDescent="0.25">
      <c r="A1645" s="1">
        <v>45108</v>
      </c>
      <c r="B1645">
        <v>3</v>
      </c>
      <c r="C1645" t="s">
        <v>7</v>
      </c>
      <c r="D1645">
        <v>307</v>
      </c>
      <c r="E1645">
        <v>5342.18</v>
      </c>
    </row>
    <row r="1646" spans="1:5" x14ac:dyDescent="0.25">
      <c r="A1646" s="1">
        <v>45109</v>
      </c>
      <c r="B1646">
        <v>3</v>
      </c>
      <c r="C1646" t="s">
        <v>7</v>
      </c>
      <c r="D1646">
        <v>204</v>
      </c>
      <c r="E1646">
        <v>3733.59</v>
      </c>
    </row>
    <row r="1647" spans="1:5" x14ac:dyDescent="0.25">
      <c r="A1647" s="1">
        <v>45110</v>
      </c>
      <c r="B1647">
        <v>3</v>
      </c>
      <c r="C1647" t="s">
        <v>7</v>
      </c>
      <c r="D1647">
        <v>247</v>
      </c>
      <c r="E1647">
        <v>3784.26</v>
      </c>
    </row>
    <row r="1648" spans="1:5" x14ac:dyDescent="0.25">
      <c r="A1648" s="1">
        <v>45111</v>
      </c>
      <c r="B1648">
        <v>3</v>
      </c>
      <c r="C1648" t="s">
        <v>7</v>
      </c>
      <c r="D1648">
        <v>264</v>
      </c>
      <c r="E1648">
        <v>4603.45</v>
      </c>
    </row>
    <row r="1649" spans="1:5" x14ac:dyDescent="0.25">
      <c r="A1649" s="1">
        <v>45112</v>
      </c>
      <c r="B1649">
        <v>3</v>
      </c>
      <c r="C1649" t="s">
        <v>7</v>
      </c>
      <c r="D1649">
        <v>278</v>
      </c>
      <c r="E1649">
        <v>3908.05</v>
      </c>
    </row>
    <row r="1650" spans="1:5" x14ac:dyDescent="0.25">
      <c r="A1650" s="1">
        <v>45113</v>
      </c>
      <c r="B1650">
        <v>3</v>
      </c>
      <c r="C1650" t="s">
        <v>7</v>
      </c>
      <c r="D1650">
        <v>235</v>
      </c>
      <c r="E1650">
        <v>3793.59</v>
      </c>
    </row>
    <row r="1651" spans="1:5" x14ac:dyDescent="0.25">
      <c r="A1651" s="1">
        <v>45114</v>
      </c>
      <c r="B1651">
        <v>3</v>
      </c>
      <c r="C1651" t="s">
        <v>7</v>
      </c>
      <c r="D1651">
        <v>240</v>
      </c>
      <c r="E1651">
        <v>3812.3</v>
      </c>
    </row>
    <row r="1652" spans="1:5" x14ac:dyDescent="0.25">
      <c r="A1652" s="1">
        <v>45115</v>
      </c>
      <c r="B1652">
        <v>3</v>
      </c>
      <c r="C1652" t="s">
        <v>7</v>
      </c>
      <c r="D1652">
        <v>278</v>
      </c>
      <c r="E1652">
        <v>4527.58</v>
      </c>
    </row>
    <row r="1653" spans="1:5" x14ac:dyDescent="0.25">
      <c r="A1653" s="1">
        <v>45116</v>
      </c>
      <c r="B1653">
        <v>3</v>
      </c>
      <c r="C1653" t="s">
        <v>7</v>
      </c>
      <c r="D1653">
        <v>248</v>
      </c>
      <c r="E1653">
        <v>3702.15</v>
      </c>
    </row>
    <row r="1654" spans="1:5" x14ac:dyDescent="0.25">
      <c r="A1654" s="1">
        <v>45117</v>
      </c>
      <c r="B1654">
        <v>3</v>
      </c>
      <c r="C1654" t="s">
        <v>7</v>
      </c>
      <c r="D1654">
        <v>256</v>
      </c>
      <c r="E1654">
        <v>4024.24</v>
      </c>
    </row>
    <row r="1655" spans="1:5" x14ac:dyDescent="0.25">
      <c r="A1655" s="1">
        <v>45118</v>
      </c>
      <c r="B1655">
        <v>3</v>
      </c>
      <c r="C1655" t="s">
        <v>7</v>
      </c>
      <c r="D1655">
        <v>260</v>
      </c>
      <c r="E1655">
        <v>4291.7299999999996</v>
      </c>
    </row>
    <row r="1656" spans="1:5" x14ac:dyDescent="0.25">
      <c r="A1656" s="1">
        <v>45119</v>
      </c>
      <c r="B1656">
        <v>3</v>
      </c>
      <c r="C1656" t="s">
        <v>7</v>
      </c>
      <c r="D1656">
        <v>217</v>
      </c>
      <c r="E1656">
        <v>3564.23</v>
      </c>
    </row>
    <row r="1657" spans="1:5" x14ac:dyDescent="0.25">
      <c r="A1657" s="1">
        <v>45120</v>
      </c>
      <c r="B1657">
        <v>3</v>
      </c>
      <c r="C1657" t="s">
        <v>7</v>
      </c>
      <c r="D1657">
        <v>268</v>
      </c>
      <c r="E1657">
        <v>4410.75</v>
      </c>
    </row>
    <row r="1658" spans="1:5" x14ac:dyDescent="0.25">
      <c r="A1658" s="1">
        <v>45121</v>
      </c>
      <c r="B1658">
        <v>3</v>
      </c>
      <c r="C1658" t="s">
        <v>7</v>
      </c>
      <c r="D1658">
        <v>290</v>
      </c>
      <c r="E1658">
        <v>5179.6400000000003</v>
      </c>
    </row>
    <row r="1659" spans="1:5" x14ac:dyDescent="0.25">
      <c r="A1659" s="1">
        <v>45122</v>
      </c>
      <c r="B1659">
        <v>3</v>
      </c>
      <c r="C1659" t="s">
        <v>7</v>
      </c>
      <c r="D1659">
        <v>282</v>
      </c>
      <c r="E1659">
        <v>4434.33</v>
      </c>
    </row>
    <row r="1660" spans="1:5" x14ac:dyDescent="0.25">
      <c r="A1660" s="1">
        <v>45123</v>
      </c>
      <c r="B1660">
        <v>3</v>
      </c>
      <c r="C1660" t="s">
        <v>7</v>
      </c>
      <c r="D1660">
        <v>270</v>
      </c>
      <c r="E1660">
        <v>4569.46</v>
      </c>
    </row>
    <row r="1661" spans="1:5" x14ac:dyDescent="0.25">
      <c r="A1661" s="1">
        <v>45124</v>
      </c>
      <c r="B1661">
        <v>3</v>
      </c>
      <c r="C1661" t="s">
        <v>7</v>
      </c>
      <c r="D1661">
        <v>267</v>
      </c>
      <c r="E1661">
        <v>4142.22</v>
      </c>
    </row>
    <row r="1662" spans="1:5" x14ac:dyDescent="0.25">
      <c r="A1662" s="1">
        <v>45125</v>
      </c>
      <c r="B1662">
        <v>3</v>
      </c>
      <c r="C1662" t="s">
        <v>7</v>
      </c>
      <c r="D1662">
        <v>297</v>
      </c>
      <c r="E1662">
        <v>4532.13</v>
      </c>
    </row>
    <row r="1663" spans="1:5" x14ac:dyDescent="0.25">
      <c r="A1663" s="1">
        <v>45126</v>
      </c>
      <c r="B1663">
        <v>3</v>
      </c>
      <c r="C1663" t="s">
        <v>7</v>
      </c>
      <c r="D1663">
        <v>254</v>
      </c>
      <c r="E1663">
        <v>4163.26</v>
      </c>
    </row>
    <row r="1664" spans="1:5" x14ac:dyDescent="0.25">
      <c r="A1664" s="1">
        <v>45127</v>
      </c>
      <c r="B1664">
        <v>3</v>
      </c>
      <c r="C1664" t="s">
        <v>7</v>
      </c>
      <c r="D1664">
        <v>208</v>
      </c>
      <c r="E1664">
        <v>3489.33</v>
      </c>
    </row>
    <row r="1665" spans="1:5" x14ac:dyDescent="0.25">
      <c r="A1665" s="1">
        <v>45128</v>
      </c>
      <c r="B1665">
        <v>3</v>
      </c>
      <c r="C1665" t="s">
        <v>7</v>
      </c>
      <c r="D1665">
        <v>226</v>
      </c>
      <c r="E1665">
        <v>3905.15</v>
      </c>
    </row>
    <row r="1666" spans="1:5" x14ac:dyDescent="0.25">
      <c r="A1666" s="1">
        <v>45129</v>
      </c>
      <c r="B1666">
        <v>3</v>
      </c>
      <c r="C1666" t="s">
        <v>7</v>
      </c>
      <c r="D1666">
        <v>270</v>
      </c>
      <c r="E1666">
        <v>4905.63</v>
      </c>
    </row>
    <row r="1667" spans="1:5" x14ac:dyDescent="0.25">
      <c r="A1667" s="1">
        <v>45130</v>
      </c>
      <c r="B1667">
        <v>3</v>
      </c>
      <c r="C1667" t="s">
        <v>7</v>
      </c>
      <c r="D1667">
        <v>291</v>
      </c>
      <c r="E1667">
        <v>4717.09</v>
      </c>
    </row>
    <row r="1668" spans="1:5" x14ac:dyDescent="0.25">
      <c r="A1668" s="1">
        <v>45131</v>
      </c>
      <c r="B1668">
        <v>3</v>
      </c>
      <c r="C1668" t="s">
        <v>7</v>
      </c>
      <c r="D1668">
        <v>295</v>
      </c>
      <c r="E1668">
        <v>4651.5</v>
      </c>
    </row>
    <row r="1669" spans="1:5" x14ac:dyDescent="0.25">
      <c r="A1669" s="1">
        <v>45132</v>
      </c>
      <c r="B1669">
        <v>3</v>
      </c>
      <c r="C1669" t="s">
        <v>7</v>
      </c>
      <c r="D1669">
        <v>256</v>
      </c>
      <c r="E1669">
        <v>4374.92</v>
      </c>
    </row>
    <row r="1670" spans="1:5" x14ac:dyDescent="0.25">
      <c r="A1670" s="1">
        <v>45133</v>
      </c>
      <c r="B1670">
        <v>3</v>
      </c>
      <c r="C1670" t="s">
        <v>7</v>
      </c>
      <c r="D1670">
        <v>270</v>
      </c>
      <c r="E1670">
        <v>4851.1000000000004</v>
      </c>
    </row>
    <row r="1671" spans="1:5" x14ac:dyDescent="0.25">
      <c r="A1671" s="1">
        <v>45134</v>
      </c>
      <c r="B1671">
        <v>3</v>
      </c>
      <c r="C1671" t="s">
        <v>7</v>
      </c>
      <c r="D1671">
        <v>283</v>
      </c>
      <c r="E1671">
        <v>4458.4399999999996</v>
      </c>
    </row>
    <row r="1672" spans="1:5" x14ac:dyDescent="0.25">
      <c r="A1672" s="1">
        <v>45135</v>
      </c>
      <c r="B1672">
        <v>3</v>
      </c>
      <c r="C1672" t="s">
        <v>7</v>
      </c>
      <c r="D1672">
        <v>259</v>
      </c>
      <c r="E1672">
        <v>4353.17</v>
      </c>
    </row>
    <row r="1673" spans="1:5" x14ac:dyDescent="0.25">
      <c r="A1673" s="1">
        <v>45136</v>
      </c>
      <c r="B1673">
        <v>3</v>
      </c>
      <c r="C1673" t="s">
        <v>7</v>
      </c>
      <c r="D1673">
        <v>296</v>
      </c>
      <c r="E1673">
        <v>4751.67</v>
      </c>
    </row>
    <row r="1674" spans="1:5" x14ac:dyDescent="0.25">
      <c r="A1674" s="1">
        <v>45137</v>
      </c>
      <c r="B1674">
        <v>3</v>
      </c>
      <c r="C1674" t="s">
        <v>7</v>
      </c>
      <c r="D1674">
        <v>297</v>
      </c>
      <c r="E1674">
        <v>4788.38</v>
      </c>
    </row>
    <row r="1675" spans="1:5" x14ac:dyDescent="0.25">
      <c r="A1675" s="1">
        <v>45138</v>
      </c>
      <c r="B1675">
        <v>3</v>
      </c>
      <c r="C1675" t="s">
        <v>7</v>
      </c>
      <c r="D1675">
        <v>239</v>
      </c>
      <c r="E1675">
        <v>3679.91</v>
      </c>
    </row>
    <row r="1676" spans="1:5" x14ac:dyDescent="0.25">
      <c r="A1676" s="1">
        <v>45139</v>
      </c>
      <c r="B1676">
        <v>3</v>
      </c>
      <c r="C1676" t="s">
        <v>7</v>
      </c>
      <c r="D1676">
        <v>293</v>
      </c>
      <c r="E1676">
        <v>5055.51</v>
      </c>
    </row>
    <row r="1677" spans="1:5" x14ac:dyDescent="0.25">
      <c r="A1677" s="1">
        <v>45140</v>
      </c>
      <c r="B1677">
        <v>3</v>
      </c>
      <c r="C1677" t="s">
        <v>7</v>
      </c>
      <c r="D1677">
        <v>278</v>
      </c>
      <c r="E1677">
        <v>4456.55</v>
      </c>
    </row>
    <row r="1678" spans="1:5" x14ac:dyDescent="0.25">
      <c r="A1678" s="1">
        <v>45141</v>
      </c>
      <c r="B1678">
        <v>3</v>
      </c>
      <c r="C1678" t="s">
        <v>7</v>
      </c>
      <c r="D1678">
        <v>225</v>
      </c>
      <c r="E1678">
        <v>3674.2</v>
      </c>
    </row>
    <row r="1679" spans="1:5" x14ac:dyDescent="0.25">
      <c r="A1679" s="1">
        <v>45142</v>
      </c>
      <c r="B1679">
        <v>3</v>
      </c>
      <c r="C1679" t="s">
        <v>7</v>
      </c>
      <c r="D1679">
        <v>306</v>
      </c>
      <c r="E1679">
        <v>5672.63</v>
      </c>
    </row>
    <row r="1680" spans="1:5" x14ac:dyDescent="0.25">
      <c r="A1680" s="1">
        <v>45143</v>
      </c>
      <c r="B1680">
        <v>3</v>
      </c>
      <c r="C1680" t="s">
        <v>7</v>
      </c>
      <c r="D1680">
        <v>314</v>
      </c>
      <c r="E1680">
        <v>5511.95</v>
      </c>
    </row>
    <row r="1681" spans="1:5" x14ac:dyDescent="0.25">
      <c r="A1681" s="1">
        <v>45144</v>
      </c>
      <c r="B1681">
        <v>3</v>
      </c>
      <c r="C1681" t="s">
        <v>7</v>
      </c>
      <c r="D1681">
        <v>300</v>
      </c>
      <c r="E1681">
        <v>4467.01</v>
      </c>
    </row>
    <row r="1682" spans="1:5" x14ac:dyDescent="0.25">
      <c r="A1682" s="1">
        <v>45145</v>
      </c>
      <c r="B1682">
        <v>3</v>
      </c>
      <c r="C1682" t="s">
        <v>7</v>
      </c>
      <c r="D1682">
        <v>263</v>
      </c>
      <c r="E1682">
        <v>3856.56</v>
      </c>
    </row>
    <row r="1683" spans="1:5" x14ac:dyDescent="0.25">
      <c r="A1683" s="1">
        <v>45146</v>
      </c>
      <c r="B1683">
        <v>3</v>
      </c>
      <c r="C1683" t="s">
        <v>7</v>
      </c>
      <c r="D1683">
        <v>266</v>
      </c>
      <c r="E1683">
        <v>4576.26</v>
      </c>
    </row>
    <row r="1684" spans="1:5" x14ac:dyDescent="0.25">
      <c r="A1684" s="1">
        <v>45147</v>
      </c>
      <c r="B1684">
        <v>3</v>
      </c>
      <c r="C1684" t="s">
        <v>7</v>
      </c>
      <c r="D1684">
        <v>261</v>
      </c>
      <c r="E1684">
        <v>4296.2299999999996</v>
      </c>
    </row>
    <row r="1685" spans="1:5" x14ac:dyDescent="0.25">
      <c r="A1685" s="1">
        <v>45148</v>
      </c>
      <c r="B1685">
        <v>3</v>
      </c>
      <c r="C1685" t="s">
        <v>7</v>
      </c>
      <c r="D1685">
        <v>251</v>
      </c>
      <c r="E1685">
        <v>4216.1899999999996</v>
      </c>
    </row>
    <row r="1686" spans="1:5" x14ac:dyDescent="0.25">
      <c r="A1686" s="1">
        <v>45149</v>
      </c>
      <c r="B1686">
        <v>3</v>
      </c>
      <c r="C1686" t="s">
        <v>7</v>
      </c>
      <c r="D1686">
        <v>250</v>
      </c>
      <c r="E1686">
        <v>4154.88</v>
      </c>
    </row>
    <row r="1687" spans="1:5" x14ac:dyDescent="0.25">
      <c r="A1687" s="1">
        <v>45150</v>
      </c>
      <c r="B1687">
        <v>3</v>
      </c>
      <c r="C1687" t="s">
        <v>7</v>
      </c>
      <c r="D1687">
        <v>219</v>
      </c>
      <c r="E1687">
        <v>3915.07</v>
      </c>
    </row>
    <row r="1688" spans="1:5" x14ac:dyDescent="0.25">
      <c r="A1688" s="1">
        <v>45151</v>
      </c>
      <c r="B1688">
        <v>3</v>
      </c>
      <c r="C1688" t="s">
        <v>7</v>
      </c>
      <c r="D1688">
        <v>304</v>
      </c>
      <c r="E1688">
        <v>5206.04</v>
      </c>
    </row>
    <row r="1689" spans="1:5" x14ac:dyDescent="0.25">
      <c r="A1689" s="1">
        <v>45152</v>
      </c>
      <c r="B1689">
        <v>3</v>
      </c>
      <c r="C1689" t="s">
        <v>7</v>
      </c>
      <c r="D1689">
        <v>279</v>
      </c>
      <c r="E1689">
        <v>4651.99</v>
      </c>
    </row>
    <row r="1690" spans="1:5" x14ac:dyDescent="0.25">
      <c r="A1690" s="1">
        <v>45153</v>
      </c>
      <c r="B1690">
        <v>3</v>
      </c>
      <c r="C1690" t="s">
        <v>7</v>
      </c>
      <c r="D1690">
        <v>262</v>
      </c>
      <c r="E1690">
        <v>4366.47</v>
      </c>
    </row>
    <row r="1691" spans="1:5" x14ac:dyDescent="0.25">
      <c r="A1691" s="1">
        <v>45154</v>
      </c>
      <c r="B1691">
        <v>3</v>
      </c>
      <c r="C1691" t="s">
        <v>7</v>
      </c>
      <c r="D1691">
        <v>243</v>
      </c>
      <c r="E1691">
        <v>3962.28</v>
      </c>
    </row>
    <row r="1692" spans="1:5" x14ac:dyDescent="0.25">
      <c r="A1692" s="1">
        <v>45155</v>
      </c>
      <c r="B1692">
        <v>3</v>
      </c>
      <c r="C1692" t="s">
        <v>7</v>
      </c>
      <c r="D1692">
        <v>277</v>
      </c>
      <c r="E1692">
        <v>4729.3900000000003</v>
      </c>
    </row>
    <row r="1693" spans="1:5" x14ac:dyDescent="0.25">
      <c r="A1693" s="1">
        <v>45156</v>
      </c>
      <c r="B1693">
        <v>3</v>
      </c>
      <c r="C1693" t="s">
        <v>7</v>
      </c>
      <c r="D1693">
        <v>272</v>
      </c>
      <c r="E1693">
        <v>3975.59</v>
      </c>
    </row>
    <row r="1694" spans="1:5" x14ac:dyDescent="0.25">
      <c r="A1694" s="1">
        <v>45157</v>
      </c>
      <c r="B1694">
        <v>3</v>
      </c>
      <c r="C1694" t="s">
        <v>7</v>
      </c>
      <c r="D1694">
        <v>302</v>
      </c>
      <c r="E1694">
        <v>4933.3599999999997</v>
      </c>
    </row>
    <row r="1695" spans="1:5" x14ac:dyDescent="0.25">
      <c r="A1695" s="1">
        <v>45158</v>
      </c>
      <c r="B1695">
        <v>3</v>
      </c>
      <c r="C1695" t="s">
        <v>7</v>
      </c>
      <c r="D1695">
        <v>330</v>
      </c>
      <c r="E1695">
        <v>5538.21</v>
      </c>
    </row>
    <row r="1696" spans="1:5" x14ac:dyDescent="0.25">
      <c r="A1696" s="1">
        <v>45159</v>
      </c>
      <c r="B1696">
        <v>3</v>
      </c>
      <c r="C1696" t="s">
        <v>7</v>
      </c>
      <c r="D1696">
        <v>288</v>
      </c>
      <c r="E1696">
        <v>4660.93</v>
      </c>
    </row>
    <row r="1697" spans="1:5" x14ac:dyDescent="0.25">
      <c r="A1697" s="1">
        <v>45160</v>
      </c>
      <c r="B1697">
        <v>3</v>
      </c>
      <c r="C1697" t="s">
        <v>7</v>
      </c>
      <c r="D1697">
        <v>274</v>
      </c>
      <c r="E1697">
        <v>4287.21</v>
      </c>
    </row>
    <row r="1698" spans="1:5" x14ac:dyDescent="0.25">
      <c r="A1698" s="1">
        <v>45161</v>
      </c>
      <c r="B1698">
        <v>3</v>
      </c>
      <c r="C1698" t="s">
        <v>7</v>
      </c>
      <c r="D1698">
        <v>271</v>
      </c>
      <c r="E1698">
        <v>4337.2299999999996</v>
      </c>
    </row>
    <row r="1699" spans="1:5" x14ac:dyDescent="0.25">
      <c r="A1699" s="1">
        <v>45162</v>
      </c>
      <c r="B1699">
        <v>3</v>
      </c>
      <c r="C1699" t="s">
        <v>7</v>
      </c>
      <c r="D1699">
        <v>273</v>
      </c>
      <c r="E1699">
        <v>4445.84</v>
      </c>
    </row>
    <row r="1700" spans="1:5" x14ac:dyDescent="0.25">
      <c r="A1700" s="1">
        <v>45163</v>
      </c>
      <c r="B1700">
        <v>3</v>
      </c>
      <c r="C1700" t="s">
        <v>7</v>
      </c>
      <c r="D1700">
        <v>262</v>
      </c>
      <c r="E1700">
        <v>4190.1099999999997</v>
      </c>
    </row>
    <row r="1701" spans="1:5" x14ac:dyDescent="0.25">
      <c r="A1701" s="1">
        <v>45164</v>
      </c>
      <c r="B1701">
        <v>3</v>
      </c>
      <c r="C1701" t="s">
        <v>7</v>
      </c>
      <c r="D1701">
        <v>305</v>
      </c>
      <c r="E1701">
        <v>4585.24</v>
      </c>
    </row>
    <row r="1702" spans="1:5" x14ac:dyDescent="0.25">
      <c r="A1702" s="1">
        <v>45165</v>
      </c>
      <c r="B1702">
        <v>3</v>
      </c>
      <c r="C1702" t="s">
        <v>7</v>
      </c>
      <c r="D1702">
        <v>291</v>
      </c>
      <c r="E1702">
        <v>4840.38</v>
      </c>
    </row>
    <row r="1703" spans="1:5" x14ac:dyDescent="0.25">
      <c r="A1703" s="1">
        <v>45166</v>
      </c>
      <c r="B1703">
        <v>3</v>
      </c>
      <c r="C1703" t="s">
        <v>7</v>
      </c>
      <c r="D1703">
        <v>279</v>
      </c>
      <c r="E1703">
        <v>4700.42</v>
      </c>
    </row>
    <row r="1704" spans="1:5" x14ac:dyDescent="0.25">
      <c r="A1704" s="1">
        <v>45167</v>
      </c>
      <c r="B1704">
        <v>3</v>
      </c>
      <c r="C1704" t="s">
        <v>7</v>
      </c>
      <c r="D1704">
        <v>292</v>
      </c>
      <c r="E1704">
        <v>5069.71</v>
      </c>
    </row>
    <row r="1705" spans="1:5" x14ac:dyDescent="0.25">
      <c r="A1705" s="1">
        <v>45168</v>
      </c>
      <c r="B1705">
        <v>3</v>
      </c>
      <c r="C1705" t="s">
        <v>7</v>
      </c>
      <c r="D1705">
        <v>291</v>
      </c>
      <c r="E1705">
        <v>5012.7700000000004</v>
      </c>
    </row>
    <row r="1706" spans="1:5" x14ac:dyDescent="0.25">
      <c r="A1706" s="1">
        <v>45169</v>
      </c>
      <c r="B1706">
        <v>3</v>
      </c>
      <c r="C1706" t="s">
        <v>7</v>
      </c>
      <c r="D1706">
        <v>292</v>
      </c>
      <c r="E1706">
        <v>4873.4399999999996</v>
      </c>
    </row>
    <row r="1707" spans="1:5" x14ac:dyDescent="0.25">
      <c r="A1707" s="1">
        <v>45170</v>
      </c>
      <c r="B1707">
        <v>3</v>
      </c>
      <c r="C1707" t="s">
        <v>7</v>
      </c>
      <c r="D1707">
        <v>290</v>
      </c>
      <c r="E1707">
        <v>4666.49</v>
      </c>
    </row>
    <row r="1708" spans="1:5" x14ac:dyDescent="0.25">
      <c r="A1708" s="1">
        <v>45171</v>
      </c>
      <c r="B1708">
        <v>3</v>
      </c>
      <c r="C1708" t="s">
        <v>7</v>
      </c>
      <c r="D1708">
        <v>263</v>
      </c>
      <c r="E1708">
        <v>4237.05</v>
      </c>
    </row>
    <row r="1709" spans="1:5" x14ac:dyDescent="0.25">
      <c r="A1709" s="1">
        <v>45172</v>
      </c>
      <c r="B1709">
        <v>3</v>
      </c>
      <c r="C1709" t="s">
        <v>7</v>
      </c>
      <c r="D1709">
        <v>308</v>
      </c>
      <c r="E1709">
        <v>5243.07</v>
      </c>
    </row>
    <row r="1710" spans="1:5" x14ac:dyDescent="0.25">
      <c r="A1710" s="1">
        <v>45173</v>
      </c>
      <c r="B1710">
        <v>3</v>
      </c>
      <c r="C1710" t="s">
        <v>7</v>
      </c>
      <c r="D1710">
        <v>245</v>
      </c>
      <c r="E1710">
        <v>3540.08</v>
      </c>
    </row>
    <row r="1711" spans="1:5" x14ac:dyDescent="0.25">
      <c r="A1711" s="1">
        <v>45174</v>
      </c>
      <c r="B1711">
        <v>3</v>
      </c>
      <c r="C1711" t="s">
        <v>7</v>
      </c>
      <c r="D1711">
        <v>226</v>
      </c>
      <c r="E1711">
        <v>3918.23</v>
      </c>
    </row>
    <row r="1712" spans="1:5" x14ac:dyDescent="0.25">
      <c r="A1712" s="1">
        <v>45175</v>
      </c>
      <c r="B1712">
        <v>3</v>
      </c>
      <c r="C1712" t="s">
        <v>7</v>
      </c>
      <c r="D1712">
        <v>267</v>
      </c>
      <c r="E1712">
        <v>4459.3999999999996</v>
      </c>
    </row>
    <row r="1713" spans="1:5" x14ac:dyDescent="0.25">
      <c r="A1713" s="1">
        <v>45176</v>
      </c>
      <c r="B1713">
        <v>3</v>
      </c>
      <c r="C1713" t="s">
        <v>7</v>
      </c>
      <c r="D1713">
        <v>229</v>
      </c>
      <c r="E1713">
        <v>3611.54</v>
      </c>
    </row>
    <row r="1714" spans="1:5" x14ac:dyDescent="0.25">
      <c r="A1714" s="1">
        <v>45177</v>
      </c>
      <c r="B1714">
        <v>3</v>
      </c>
      <c r="C1714" t="s">
        <v>7</v>
      </c>
      <c r="D1714">
        <v>228</v>
      </c>
      <c r="E1714">
        <v>3725.33</v>
      </c>
    </row>
    <row r="1715" spans="1:5" x14ac:dyDescent="0.25">
      <c r="A1715" s="1">
        <v>45178</v>
      </c>
      <c r="B1715">
        <v>3</v>
      </c>
      <c r="C1715" t="s">
        <v>7</v>
      </c>
      <c r="D1715">
        <v>260</v>
      </c>
      <c r="E1715">
        <v>4576.71</v>
      </c>
    </row>
    <row r="1716" spans="1:5" x14ac:dyDescent="0.25">
      <c r="A1716" s="1">
        <v>45179</v>
      </c>
      <c r="B1716">
        <v>3</v>
      </c>
      <c r="C1716" t="s">
        <v>7</v>
      </c>
      <c r="D1716">
        <v>254</v>
      </c>
      <c r="E1716">
        <v>4196.12</v>
      </c>
    </row>
    <row r="1717" spans="1:5" x14ac:dyDescent="0.25">
      <c r="A1717" s="1">
        <v>45180</v>
      </c>
      <c r="B1717">
        <v>3</v>
      </c>
      <c r="C1717" t="s">
        <v>7</v>
      </c>
      <c r="D1717">
        <v>257</v>
      </c>
      <c r="E1717">
        <v>4146.7</v>
      </c>
    </row>
    <row r="1718" spans="1:5" x14ac:dyDescent="0.25">
      <c r="A1718" s="1">
        <v>45181</v>
      </c>
      <c r="B1718">
        <v>3</v>
      </c>
      <c r="C1718" t="s">
        <v>7</v>
      </c>
      <c r="D1718">
        <v>303</v>
      </c>
      <c r="E1718">
        <v>4682.09</v>
      </c>
    </row>
    <row r="1719" spans="1:5" x14ac:dyDescent="0.25">
      <c r="A1719" s="1">
        <v>45182</v>
      </c>
      <c r="B1719">
        <v>3</v>
      </c>
      <c r="C1719" t="s">
        <v>7</v>
      </c>
      <c r="D1719">
        <v>229</v>
      </c>
      <c r="E1719">
        <v>3919.07</v>
      </c>
    </row>
    <row r="1720" spans="1:5" x14ac:dyDescent="0.25">
      <c r="A1720" s="1">
        <v>45183</v>
      </c>
      <c r="B1720">
        <v>3</v>
      </c>
      <c r="C1720" t="s">
        <v>7</v>
      </c>
      <c r="D1720">
        <v>237</v>
      </c>
      <c r="E1720">
        <v>3953</v>
      </c>
    </row>
    <row r="1721" spans="1:5" x14ac:dyDescent="0.25">
      <c r="A1721" s="1">
        <v>45184</v>
      </c>
      <c r="B1721">
        <v>3</v>
      </c>
      <c r="C1721" t="s">
        <v>7</v>
      </c>
      <c r="D1721">
        <v>273</v>
      </c>
      <c r="E1721">
        <v>4489.17</v>
      </c>
    </row>
    <row r="1722" spans="1:5" x14ac:dyDescent="0.25">
      <c r="A1722" s="1">
        <v>45185</v>
      </c>
      <c r="B1722">
        <v>3</v>
      </c>
      <c r="C1722" t="s">
        <v>7</v>
      </c>
      <c r="D1722">
        <v>269</v>
      </c>
      <c r="E1722">
        <v>4731.57</v>
      </c>
    </row>
    <row r="1723" spans="1:5" x14ac:dyDescent="0.25">
      <c r="A1723" s="1">
        <v>45186</v>
      </c>
      <c r="B1723">
        <v>3</v>
      </c>
      <c r="C1723" t="s">
        <v>7</v>
      </c>
      <c r="D1723">
        <v>283</v>
      </c>
      <c r="E1723">
        <v>4956.7700000000004</v>
      </c>
    </row>
    <row r="1724" spans="1:5" x14ac:dyDescent="0.25">
      <c r="A1724" s="1">
        <v>45187</v>
      </c>
      <c r="B1724">
        <v>3</v>
      </c>
      <c r="C1724" t="s">
        <v>7</v>
      </c>
      <c r="D1724">
        <v>274</v>
      </c>
      <c r="E1724">
        <v>4421.55</v>
      </c>
    </row>
    <row r="1725" spans="1:5" x14ac:dyDescent="0.25">
      <c r="A1725" s="1">
        <v>45188</v>
      </c>
      <c r="B1725">
        <v>3</v>
      </c>
      <c r="C1725" t="s">
        <v>7</v>
      </c>
      <c r="D1725">
        <v>228</v>
      </c>
      <c r="E1725">
        <v>3544.11</v>
      </c>
    </row>
    <row r="1726" spans="1:5" x14ac:dyDescent="0.25">
      <c r="A1726" s="1">
        <v>45189</v>
      </c>
      <c r="B1726">
        <v>3</v>
      </c>
      <c r="C1726" t="s">
        <v>7</v>
      </c>
      <c r="D1726">
        <v>258</v>
      </c>
      <c r="E1726">
        <v>4257.54</v>
      </c>
    </row>
    <row r="1727" spans="1:5" x14ac:dyDescent="0.25">
      <c r="A1727" s="1">
        <v>45190</v>
      </c>
      <c r="B1727">
        <v>3</v>
      </c>
      <c r="C1727" t="s">
        <v>7</v>
      </c>
      <c r="D1727">
        <v>265</v>
      </c>
      <c r="E1727">
        <v>4427.43</v>
      </c>
    </row>
    <row r="1728" spans="1:5" x14ac:dyDescent="0.25">
      <c r="A1728" s="1">
        <v>45191</v>
      </c>
      <c r="B1728">
        <v>3</v>
      </c>
      <c r="C1728" t="s">
        <v>7</v>
      </c>
      <c r="D1728">
        <v>258</v>
      </c>
      <c r="E1728">
        <v>4425.8</v>
      </c>
    </row>
    <row r="1729" spans="1:5" x14ac:dyDescent="0.25">
      <c r="A1729" s="1">
        <v>45192</v>
      </c>
      <c r="B1729">
        <v>3</v>
      </c>
      <c r="C1729" t="s">
        <v>7</v>
      </c>
      <c r="D1729">
        <v>283</v>
      </c>
      <c r="E1729">
        <v>4807.91</v>
      </c>
    </row>
    <row r="1730" spans="1:5" x14ac:dyDescent="0.25">
      <c r="A1730" s="1">
        <v>45193</v>
      </c>
      <c r="B1730">
        <v>3</v>
      </c>
      <c r="C1730" t="s">
        <v>7</v>
      </c>
      <c r="D1730">
        <v>286</v>
      </c>
      <c r="E1730">
        <v>4655.3999999999996</v>
      </c>
    </row>
    <row r="1731" spans="1:5" x14ac:dyDescent="0.25">
      <c r="A1731" s="1">
        <v>45194</v>
      </c>
      <c r="B1731">
        <v>3</v>
      </c>
      <c r="C1731" t="s">
        <v>7</v>
      </c>
      <c r="D1731">
        <v>246</v>
      </c>
      <c r="E1731">
        <v>3889.11</v>
      </c>
    </row>
    <row r="1732" spans="1:5" x14ac:dyDescent="0.25">
      <c r="A1732" s="1">
        <v>45195</v>
      </c>
      <c r="B1732">
        <v>3</v>
      </c>
      <c r="C1732" t="s">
        <v>7</v>
      </c>
      <c r="D1732">
        <v>249</v>
      </c>
      <c r="E1732">
        <v>4505.1899999999996</v>
      </c>
    </row>
    <row r="1733" spans="1:5" x14ac:dyDescent="0.25">
      <c r="A1733" s="1">
        <v>45196</v>
      </c>
      <c r="B1733">
        <v>3</v>
      </c>
      <c r="C1733" t="s">
        <v>7</v>
      </c>
      <c r="D1733">
        <v>239</v>
      </c>
      <c r="E1733">
        <v>3794.97</v>
      </c>
    </row>
    <row r="1734" spans="1:5" x14ac:dyDescent="0.25">
      <c r="A1734" s="1">
        <v>45197</v>
      </c>
      <c r="B1734">
        <v>3</v>
      </c>
      <c r="C1734" t="s">
        <v>7</v>
      </c>
      <c r="D1734">
        <v>252</v>
      </c>
      <c r="E1734">
        <v>4227.92</v>
      </c>
    </row>
    <row r="1735" spans="1:5" x14ac:dyDescent="0.25">
      <c r="A1735" s="1">
        <v>45198</v>
      </c>
      <c r="B1735">
        <v>3</v>
      </c>
      <c r="C1735" t="s">
        <v>7</v>
      </c>
      <c r="D1735">
        <v>260</v>
      </c>
      <c r="E1735">
        <v>4387.8</v>
      </c>
    </row>
    <row r="1736" spans="1:5" x14ac:dyDescent="0.25">
      <c r="A1736" s="1">
        <v>45199</v>
      </c>
      <c r="B1736">
        <v>3</v>
      </c>
      <c r="C1736" t="s">
        <v>7</v>
      </c>
      <c r="D1736">
        <v>309</v>
      </c>
      <c r="E1736">
        <v>4856.01</v>
      </c>
    </row>
    <row r="1737" spans="1:5" x14ac:dyDescent="0.25">
      <c r="A1737" s="1">
        <v>45200</v>
      </c>
      <c r="B1737">
        <v>3</v>
      </c>
      <c r="C1737" t="s">
        <v>7</v>
      </c>
      <c r="D1737">
        <v>295</v>
      </c>
      <c r="E1737">
        <v>5136.6499999999996</v>
      </c>
    </row>
    <row r="1738" spans="1:5" x14ac:dyDescent="0.25">
      <c r="A1738" s="1">
        <v>45201</v>
      </c>
      <c r="B1738">
        <v>3</v>
      </c>
      <c r="C1738" t="s">
        <v>7</v>
      </c>
      <c r="D1738">
        <v>277</v>
      </c>
      <c r="E1738">
        <v>4600.38</v>
      </c>
    </row>
    <row r="1739" spans="1:5" x14ac:dyDescent="0.25">
      <c r="A1739" s="1">
        <v>45202</v>
      </c>
      <c r="B1739">
        <v>3</v>
      </c>
      <c r="C1739" t="s">
        <v>7</v>
      </c>
      <c r="D1739">
        <v>248</v>
      </c>
      <c r="E1739">
        <v>3948.44</v>
      </c>
    </row>
    <row r="1740" spans="1:5" x14ac:dyDescent="0.25">
      <c r="A1740" s="1">
        <v>45203</v>
      </c>
      <c r="B1740">
        <v>3</v>
      </c>
      <c r="C1740" t="s">
        <v>7</v>
      </c>
      <c r="D1740">
        <v>266</v>
      </c>
      <c r="E1740">
        <v>4168.6499999999996</v>
      </c>
    </row>
    <row r="1741" spans="1:5" x14ac:dyDescent="0.25">
      <c r="A1741" s="1">
        <v>45204</v>
      </c>
      <c r="B1741">
        <v>3</v>
      </c>
      <c r="C1741" t="s">
        <v>7</v>
      </c>
      <c r="D1741">
        <v>188</v>
      </c>
      <c r="E1741">
        <v>2875.97</v>
      </c>
    </row>
    <row r="1742" spans="1:5" x14ac:dyDescent="0.25">
      <c r="A1742" s="1">
        <v>45205</v>
      </c>
      <c r="B1742">
        <v>3</v>
      </c>
      <c r="C1742" t="s">
        <v>7</v>
      </c>
      <c r="D1742">
        <v>259</v>
      </c>
      <c r="E1742">
        <v>3757.83</v>
      </c>
    </row>
    <row r="1743" spans="1:5" x14ac:dyDescent="0.25">
      <c r="A1743" s="1">
        <v>45206</v>
      </c>
      <c r="B1743">
        <v>3</v>
      </c>
      <c r="C1743" t="s">
        <v>7</v>
      </c>
      <c r="D1743">
        <v>264</v>
      </c>
      <c r="E1743">
        <v>4465.08</v>
      </c>
    </row>
    <row r="1744" spans="1:5" x14ac:dyDescent="0.25">
      <c r="A1744" s="1">
        <v>45207</v>
      </c>
      <c r="B1744">
        <v>3</v>
      </c>
      <c r="C1744" t="s">
        <v>7</v>
      </c>
      <c r="D1744">
        <v>279</v>
      </c>
      <c r="E1744">
        <v>5276.35</v>
      </c>
    </row>
    <row r="1745" spans="1:5" x14ac:dyDescent="0.25">
      <c r="A1745" s="1">
        <v>45208</v>
      </c>
      <c r="B1745">
        <v>3</v>
      </c>
      <c r="C1745" t="s">
        <v>7</v>
      </c>
      <c r="D1745">
        <v>255</v>
      </c>
      <c r="E1745">
        <v>4145.96</v>
      </c>
    </row>
    <row r="1746" spans="1:5" x14ac:dyDescent="0.25">
      <c r="A1746" s="1">
        <v>45209</v>
      </c>
      <c r="B1746">
        <v>3</v>
      </c>
      <c r="C1746" t="s">
        <v>7</v>
      </c>
      <c r="D1746">
        <v>267</v>
      </c>
      <c r="E1746">
        <v>4541.8100000000004</v>
      </c>
    </row>
    <row r="1747" spans="1:5" x14ac:dyDescent="0.25">
      <c r="A1747" s="1">
        <v>45210</v>
      </c>
      <c r="B1747">
        <v>3</v>
      </c>
      <c r="C1747" t="s">
        <v>7</v>
      </c>
      <c r="D1747">
        <v>243</v>
      </c>
      <c r="E1747">
        <v>4135.5600000000004</v>
      </c>
    </row>
    <row r="1748" spans="1:5" x14ac:dyDescent="0.25">
      <c r="A1748" s="1">
        <v>45211</v>
      </c>
      <c r="B1748">
        <v>3</v>
      </c>
      <c r="C1748" t="s">
        <v>7</v>
      </c>
      <c r="D1748">
        <v>261</v>
      </c>
      <c r="E1748">
        <v>4498.7</v>
      </c>
    </row>
    <row r="1749" spans="1:5" x14ac:dyDescent="0.25">
      <c r="A1749" s="1">
        <v>45212</v>
      </c>
      <c r="B1749">
        <v>3</v>
      </c>
      <c r="C1749" t="s">
        <v>7</v>
      </c>
      <c r="D1749">
        <v>247</v>
      </c>
      <c r="E1749">
        <v>3729.23</v>
      </c>
    </row>
    <row r="1750" spans="1:5" x14ac:dyDescent="0.25">
      <c r="A1750" s="1">
        <v>45213</v>
      </c>
      <c r="B1750">
        <v>3</v>
      </c>
      <c r="C1750" t="s">
        <v>7</v>
      </c>
      <c r="D1750">
        <v>305</v>
      </c>
      <c r="E1750">
        <v>5109.3599999999997</v>
      </c>
    </row>
    <row r="1751" spans="1:5" x14ac:dyDescent="0.25">
      <c r="A1751" s="1">
        <v>45214</v>
      </c>
      <c r="B1751">
        <v>3</v>
      </c>
      <c r="C1751" t="s">
        <v>7</v>
      </c>
      <c r="D1751">
        <v>286</v>
      </c>
      <c r="E1751">
        <v>4305.47</v>
      </c>
    </row>
    <row r="1752" spans="1:5" x14ac:dyDescent="0.25">
      <c r="A1752" s="1">
        <v>45215</v>
      </c>
      <c r="B1752">
        <v>3</v>
      </c>
      <c r="C1752" t="s">
        <v>7</v>
      </c>
      <c r="D1752">
        <v>262</v>
      </c>
      <c r="E1752">
        <v>4735.12</v>
      </c>
    </row>
    <row r="1753" spans="1:5" x14ac:dyDescent="0.25">
      <c r="A1753" s="1">
        <v>45216</v>
      </c>
      <c r="B1753">
        <v>3</v>
      </c>
      <c r="C1753" t="s">
        <v>7</v>
      </c>
      <c r="D1753">
        <v>271</v>
      </c>
      <c r="E1753">
        <v>4317.8999999999996</v>
      </c>
    </row>
    <row r="1754" spans="1:5" x14ac:dyDescent="0.25">
      <c r="A1754" s="1">
        <v>45217</v>
      </c>
      <c r="B1754">
        <v>3</v>
      </c>
      <c r="C1754" t="s">
        <v>7</v>
      </c>
      <c r="D1754">
        <v>244</v>
      </c>
      <c r="E1754">
        <v>3997.06</v>
      </c>
    </row>
    <row r="1755" spans="1:5" x14ac:dyDescent="0.25">
      <c r="A1755" s="1">
        <v>45218</v>
      </c>
      <c r="B1755">
        <v>3</v>
      </c>
      <c r="C1755" t="s">
        <v>7</v>
      </c>
      <c r="D1755">
        <v>238</v>
      </c>
      <c r="E1755">
        <v>4235.45</v>
      </c>
    </row>
    <row r="1756" spans="1:5" x14ac:dyDescent="0.25">
      <c r="A1756" s="1">
        <v>45219</v>
      </c>
      <c r="B1756">
        <v>3</v>
      </c>
      <c r="C1756" t="s">
        <v>7</v>
      </c>
      <c r="D1756">
        <v>227</v>
      </c>
      <c r="E1756">
        <v>3796.06</v>
      </c>
    </row>
    <row r="1757" spans="1:5" x14ac:dyDescent="0.25">
      <c r="A1757" s="1">
        <v>45220</v>
      </c>
      <c r="B1757">
        <v>3</v>
      </c>
      <c r="C1757" t="s">
        <v>7</v>
      </c>
      <c r="D1757">
        <v>280</v>
      </c>
      <c r="E1757">
        <v>4266.13</v>
      </c>
    </row>
    <row r="1758" spans="1:5" x14ac:dyDescent="0.25">
      <c r="A1758" s="1">
        <v>45221</v>
      </c>
      <c r="B1758">
        <v>3</v>
      </c>
      <c r="C1758" t="s">
        <v>7</v>
      </c>
      <c r="D1758">
        <v>274</v>
      </c>
      <c r="E1758">
        <v>4530.63</v>
      </c>
    </row>
    <row r="1759" spans="1:5" x14ac:dyDescent="0.25">
      <c r="A1759" s="1">
        <v>45222</v>
      </c>
      <c r="B1759">
        <v>3</v>
      </c>
      <c r="C1759" t="s">
        <v>7</v>
      </c>
      <c r="D1759">
        <v>239</v>
      </c>
      <c r="E1759">
        <v>4063.62</v>
      </c>
    </row>
    <row r="1760" spans="1:5" x14ac:dyDescent="0.25">
      <c r="A1760" s="1">
        <v>45223</v>
      </c>
      <c r="B1760">
        <v>3</v>
      </c>
      <c r="C1760" t="s">
        <v>7</v>
      </c>
      <c r="D1760">
        <v>265</v>
      </c>
      <c r="E1760">
        <v>4531.3599999999997</v>
      </c>
    </row>
    <row r="1761" spans="1:5" x14ac:dyDescent="0.25">
      <c r="A1761" s="1">
        <v>45224</v>
      </c>
      <c r="B1761">
        <v>3</v>
      </c>
      <c r="C1761" t="s">
        <v>7</v>
      </c>
      <c r="D1761">
        <v>225</v>
      </c>
      <c r="E1761">
        <v>4000.8</v>
      </c>
    </row>
    <row r="1762" spans="1:5" x14ac:dyDescent="0.25">
      <c r="A1762" s="1">
        <v>45225</v>
      </c>
      <c r="B1762">
        <v>3</v>
      </c>
      <c r="C1762" t="s">
        <v>7</v>
      </c>
      <c r="D1762">
        <v>219</v>
      </c>
      <c r="E1762">
        <v>3747.62</v>
      </c>
    </row>
    <row r="1763" spans="1:5" x14ac:dyDescent="0.25">
      <c r="A1763" s="1">
        <v>45226</v>
      </c>
      <c r="B1763">
        <v>3</v>
      </c>
      <c r="C1763" t="s">
        <v>7</v>
      </c>
      <c r="D1763">
        <v>250</v>
      </c>
      <c r="E1763">
        <v>3562.58</v>
      </c>
    </row>
    <row r="1764" spans="1:5" x14ac:dyDescent="0.25">
      <c r="A1764" s="1">
        <v>45227</v>
      </c>
      <c r="B1764">
        <v>3</v>
      </c>
      <c r="C1764" t="s">
        <v>7</v>
      </c>
      <c r="D1764">
        <v>276</v>
      </c>
      <c r="E1764">
        <v>4717.83</v>
      </c>
    </row>
    <row r="1765" spans="1:5" x14ac:dyDescent="0.25">
      <c r="A1765" s="1">
        <v>45228</v>
      </c>
      <c r="B1765">
        <v>3</v>
      </c>
      <c r="C1765" t="s">
        <v>7</v>
      </c>
      <c r="D1765">
        <v>273</v>
      </c>
      <c r="E1765">
        <v>4450.2</v>
      </c>
    </row>
    <row r="1766" spans="1:5" x14ac:dyDescent="0.25">
      <c r="A1766" s="1">
        <v>45229</v>
      </c>
      <c r="B1766">
        <v>3</v>
      </c>
      <c r="C1766" t="s">
        <v>7</v>
      </c>
      <c r="D1766">
        <v>262</v>
      </c>
      <c r="E1766">
        <v>4279.99</v>
      </c>
    </row>
    <row r="1767" spans="1:5" x14ac:dyDescent="0.25">
      <c r="A1767" s="1">
        <v>45230</v>
      </c>
      <c r="B1767">
        <v>3</v>
      </c>
      <c r="C1767" t="s">
        <v>7</v>
      </c>
      <c r="D1767">
        <v>226</v>
      </c>
      <c r="E1767">
        <v>3804.06</v>
      </c>
    </row>
    <row r="1768" spans="1:5" x14ac:dyDescent="0.25">
      <c r="A1768" s="1">
        <v>45231</v>
      </c>
      <c r="B1768">
        <v>3</v>
      </c>
      <c r="C1768" t="s">
        <v>7</v>
      </c>
      <c r="D1768">
        <v>271</v>
      </c>
      <c r="E1768">
        <v>4572.05</v>
      </c>
    </row>
    <row r="1769" spans="1:5" x14ac:dyDescent="0.25">
      <c r="A1769" s="1">
        <v>45232</v>
      </c>
      <c r="B1769">
        <v>3</v>
      </c>
      <c r="C1769" t="s">
        <v>7</v>
      </c>
      <c r="D1769">
        <v>195</v>
      </c>
      <c r="E1769">
        <v>3198.97</v>
      </c>
    </row>
    <row r="1770" spans="1:5" x14ac:dyDescent="0.25">
      <c r="A1770" s="1">
        <v>45233</v>
      </c>
      <c r="B1770">
        <v>3</v>
      </c>
      <c r="C1770" t="s">
        <v>7</v>
      </c>
      <c r="D1770">
        <v>259</v>
      </c>
      <c r="E1770">
        <v>4505.3999999999996</v>
      </c>
    </row>
    <row r="1771" spans="1:5" x14ac:dyDescent="0.25">
      <c r="A1771" s="1">
        <v>45234</v>
      </c>
      <c r="B1771">
        <v>3</v>
      </c>
      <c r="C1771" t="s">
        <v>7</v>
      </c>
      <c r="D1771">
        <v>283</v>
      </c>
      <c r="E1771">
        <v>4633.74</v>
      </c>
    </row>
    <row r="1772" spans="1:5" x14ac:dyDescent="0.25">
      <c r="A1772" s="1">
        <v>45235</v>
      </c>
      <c r="B1772">
        <v>3</v>
      </c>
      <c r="C1772" t="s">
        <v>7</v>
      </c>
      <c r="D1772">
        <v>253</v>
      </c>
      <c r="E1772">
        <v>4355.83</v>
      </c>
    </row>
    <row r="1773" spans="1:5" x14ac:dyDescent="0.25">
      <c r="A1773" s="1">
        <v>45236</v>
      </c>
      <c r="B1773">
        <v>3</v>
      </c>
      <c r="C1773" t="s">
        <v>7</v>
      </c>
      <c r="D1773">
        <v>226</v>
      </c>
      <c r="E1773">
        <v>3601.87</v>
      </c>
    </row>
    <row r="1774" spans="1:5" x14ac:dyDescent="0.25">
      <c r="A1774" s="1">
        <v>45237</v>
      </c>
      <c r="B1774">
        <v>3</v>
      </c>
      <c r="C1774" t="s">
        <v>7</v>
      </c>
      <c r="D1774">
        <v>266</v>
      </c>
      <c r="E1774">
        <v>4305.51</v>
      </c>
    </row>
    <row r="1775" spans="1:5" x14ac:dyDescent="0.25">
      <c r="A1775" s="1">
        <v>45238</v>
      </c>
      <c r="B1775">
        <v>3</v>
      </c>
      <c r="C1775" t="s">
        <v>7</v>
      </c>
      <c r="D1775">
        <v>224</v>
      </c>
      <c r="E1775">
        <v>3632.71</v>
      </c>
    </row>
    <row r="1776" spans="1:5" x14ac:dyDescent="0.25">
      <c r="A1776" s="1">
        <v>45239</v>
      </c>
      <c r="B1776">
        <v>3</v>
      </c>
      <c r="C1776" t="s">
        <v>7</v>
      </c>
      <c r="D1776">
        <v>289</v>
      </c>
      <c r="E1776">
        <v>4986.9399999999996</v>
      </c>
    </row>
    <row r="1777" spans="1:5" x14ac:dyDescent="0.25">
      <c r="A1777" s="1">
        <v>45240</v>
      </c>
      <c r="B1777">
        <v>3</v>
      </c>
      <c r="C1777" t="s">
        <v>7</v>
      </c>
      <c r="D1777">
        <v>197</v>
      </c>
      <c r="E1777">
        <v>3176.58</v>
      </c>
    </row>
    <row r="1778" spans="1:5" x14ac:dyDescent="0.25">
      <c r="A1778" s="1">
        <v>45241</v>
      </c>
      <c r="B1778">
        <v>3</v>
      </c>
      <c r="C1778" t="s">
        <v>7</v>
      </c>
      <c r="D1778">
        <v>305</v>
      </c>
      <c r="E1778">
        <v>5000.6000000000004</v>
      </c>
    </row>
    <row r="1779" spans="1:5" x14ac:dyDescent="0.25">
      <c r="A1779" s="1">
        <v>45242</v>
      </c>
      <c r="B1779">
        <v>3</v>
      </c>
      <c r="C1779" t="s">
        <v>7</v>
      </c>
      <c r="D1779">
        <v>285</v>
      </c>
      <c r="E1779">
        <v>4721.0600000000004</v>
      </c>
    </row>
    <row r="1780" spans="1:5" x14ac:dyDescent="0.25">
      <c r="A1780" s="1">
        <v>45243</v>
      </c>
      <c r="B1780">
        <v>3</v>
      </c>
      <c r="C1780" t="s">
        <v>7</v>
      </c>
      <c r="D1780">
        <v>207</v>
      </c>
      <c r="E1780">
        <v>3595.66</v>
      </c>
    </row>
    <row r="1781" spans="1:5" x14ac:dyDescent="0.25">
      <c r="A1781" s="1">
        <v>45244</v>
      </c>
      <c r="B1781">
        <v>3</v>
      </c>
      <c r="C1781" t="s">
        <v>7</v>
      </c>
      <c r="D1781">
        <v>241</v>
      </c>
      <c r="E1781">
        <v>3819.67</v>
      </c>
    </row>
    <row r="1782" spans="1:5" x14ac:dyDescent="0.25">
      <c r="A1782" s="1">
        <v>45245</v>
      </c>
      <c r="B1782">
        <v>3</v>
      </c>
      <c r="C1782" t="s">
        <v>7</v>
      </c>
      <c r="D1782">
        <v>258</v>
      </c>
      <c r="E1782">
        <v>4092.94</v>
      </c>
    </row>
    <row r="1783" spans="1:5" x14ac:dyDescent="0.25">
      <c r="A1783" s="1">
        <v>45246</v>
      </c>
      <c r="B1783">
        <v>3</v>
      </c>
      <c r="C1783" t="s">
        <v>7</v>
      </c>
      <c r="D1783">
        <v>211</v>
      </c>
      <c r="E1783">
        <v>3735.26</v>
      </c>
    </row>
    <row r="1784" spans="1:5" x14ac:dyDescent="0.25">
      <c r="A1784" s="1">
        <v>45247</v>
      </c>
      <c r="B1784">
        <v>3</v>
      </c>
      <c r="C1784" t="s">
        <v>7</v>
      </c>
      <c r="D1784">
        <v>208</v>
      </c>
      <c r="E1784">
        <v>3570.57</v>
      </c>
    </row>
    <row r="1785" spans="1:5" x14ac:dyDescent="0.25">
      <c r="A1785" s="1">
        <v>45248</v>
      </c>
      <c r="B1785">
        <v>3</v>
      </c>
      <c r="C1785" t="s">
        <v>7</v>
      </c>
      <c r="D1785">
        <v>278</v>
      </c>
      <c r="E1785">
        <v>4919.38</v>
      </c>
    </row>
    <row r="1786" spans="1:5" x14ac:dyDescent="0.25">
      <c r="A1786" s="1">
        <v>45249</v>
      </c>
      <c r="B1786">
        <v>3</v>
      </c>
      <c r="C1786" t="s">
        <v>7</v>
      </c>
      <c r="D1786">
        <v>232</v>
      </c>
      <c r="E1786">
        <v>3829.86</v>
      </c>
    </row>
    <row r="1787" spans="1:5" x14ac:dyDescent="0.25">
      <c r="A1787" s="1">
        <v>45250</v>
      </c>
      <c r="B1787">
        <v>3</v>
      </c>
      <c r="C1787" t="s">
        <v>7</v>
      </c>
      <c r="D1787">
        <v>220</v>
      </c>
      <c r="E1787">
        <v>3831.36</v>
      </c>
    </row>
    <row r="1788" spans="1:5" x14ac:dyDescent="0.25">
      <c r="A1788" s="1">
        <v>45251</v>
      </c>
      <c r="B1788">
        <v>3</v>
      </c>
      <c r="C1788" t="s">
        <v>7</v>
      </c>
      <c r="D1788">
        <v>204</v>
      </c>
      <c r="E1788">
        <v>3502.27</v>
      </c>
    </row>
    <row r="1789" spans="1:5" x14ac:dyDescent="0.25">
      <c r="A1789" s="1">
        <v>45252</v>
      </c>
      <c r="B1789">
        <v>3</v>
      </c>
      <c r="C1789" t="s">
        <v>7</v>
      </c>
      <c r="D1789">
        <v>241</v>
      </c>
      <c r="E1789">
        <v>3875.1</v>
      </c>
    </row>
    <row r="1790" spans="1:5" x14ac:dyDescent="0.25">
      <c r="A1790" s="1">
        <v>45253</v>
      </c>
      <c r="B1790">
        <v>3</v>
      </c>
      <c r="C1790" t="s">
        <v>7</v>
      </c>
      <c r="D1790">
        <v>204</v>
      </c>
      <c r="E1790">
        <v>3427.87</v>
      </c>
    </row>
    <row r="1791" spans="1:5" x14ac:dyDescent="0.25">
      <c r="A1791" s="1">
        <v>45254</v>
      </c>
      <c r="B1791">
        <v>3</v>
      </c>
      <c r="C1791" t="s">
        <v>7</v>
      </c>
      <c r="D1791">
        <v>200</v>
      </c>
      <c r="E1791">
        <v>3285.95</v>
      </c>
    </row>
    <row r="1792" spans="1:5" x14ac:dyDescent="0.25">
      <c r="A1792" s="1">
        <v>45255</v>
      </c>
      <c r="B1792">
        <v>3</v>
      </c>
      <c r="C1792" t="s">
        <v>7</v>
      </c>
      <c r="D1792">
        <v>252</v>
      </c>
      <c r="E1792">
        <v>4025.4</v>
      </c>
    </row>
    <row r="1793" spans="1:5" x14ac:dyDescent="0.25">
      <c r="A1793" s="1">
        <v>45256</v>
      </c>
      <c r="B1793">
        <v>3</v>
      </c>
      <c r="C1793" t="s">
        <v>7</v>
      </c>
      <c r="D1793">
        <v>248</v>
      </c>
      <c r="E1793">
        <v>3953.5</v>
      </c>
    </row>
    <row r="1794" spans="1:5" x14ac:dyDescent="0.25">
      <c r="A1794" s="1">
        <v>45257</v>
      </c>
      <c r="B1794">
        <v>3</v>
      </c>
      <c r="C1794" t="s">
        <v>7</v>
      </c>
      <c r="D1794">
        <v>258</v>
      </c>
      <c r="E1794">
        <v>4397.0600000000004</v>
      </c>
    </row>
    <row r="1795" spans="1:5" x14ac:dyDescent="0.25">
      <c r="A1795" s="1">
        <v>45258</v>
      </c>
      <c r="B1795">
        <v>3</v>
      </c>
      <c r="C1795" t="s">
        <v>7</v>
      </c>
      <c r="D1795">
        <v>235</v>
      </c>
      <c r="E1795">
        <v>4023.28</v>
      </c>
    </row>
    <row r="1796" spans="1:5" x14ac:dyDescent="0.25">
      <c r="A1796" s="1">
        <v>45259</v>
      </c>
      <c r="B1796">
        <v>3</v>
      </c>
      <c r="C1796" t="s">
        <v>7</v>
      </c>
      <c r="D1796">
        <v>197</v>
      </c>
      <c r="E1796">
        <v>3002.09</v>
      </c>
    </row>
    <row r="1797" spans="1:5" x14ac:dyDescent="0.25">
      <c r="A1797" s="1">
        <v>45260</v>
      </c>
      <c r="B1797">
        <v>3</v>
      </c>
      <c r="C1797" t="s">
        <v>7</v>
      </c>
      <c r="D1797">
        <v>232</v>
      </c>
      <c r="E1797">
        <v>4027.31</v>
      </c>
    </row>
    <row r="1798" spans="1:5" x14ac:dyDescent="0.25">
      <c r="A1798" s="1">
        <v>45261</v>
      </c>
      <c r="B1798">
        <v>3</v>
      </c>
      <c r="C1798" t="s">
        <v>7</v>
      </c>
      <c r="D1798">
        <v>254</v>
      </c>
      <c r="E1798">
        <v>4141.17</v>
      </c>
    </row>
    <row r="1799" spans="1:5" x14ac:dyDescent="0.25">
      <c r="A1799" s="1">
        <v>45262</v>
      </c>
      <c r="B1799">
        <v>3</v>
      </c>
      <c r="C1799" t="s">
        <v>7</v>
      </c>
      <c r="D1799">
        <v>245</v>
      </c>
      <c r="E1799">
        <v>4216.47</v>
      </c>
    </row>
    <row r="1800" spans="1:5" x14ac:dyDescent="0.25">
      <c r="A1800" s="1">
        <v>45263</v>
      </c>
      <c r="B1800">
        <v>3</v>
      </c>
      <c r="C1800" t="s">
        <v>7</v>
      </c>
      <c r="D1800">
        <v>252</v>
      </c>
      <c r="E1800">
        <v>4186.63</v>
      </c>
    </row>
    <row r="1801" spans="1:5" x14ac:dyDescent="0.25">
      <c r="A1801" s="1">
        <v>45264</v>
      </c>
      <c r="B1801">
        <v>3</v>
      </c>
      <c r="C1801" t="s">
        <v>7</v>
      </c>
      <c r="D1801">
        <v>213</v>
      </c>
      <c r="E1801">
        <v>3760.66</v>
      </c>
    </row>
    <row r="1802" spans="1:5" x14ac:dyDescent="0.25">
      <c r="A1802" s="1">
        <v>45265</v>
      </c>
      <c r="B1802">
        <v>3</v>
      </c>
      <c r="C1802" t="s">
        <v>7</v>
      </c>
      <c r="D1802">
        <v>231</v>
      </c>
      <c r="E1802">
        <v>3911.45</v>
      </c>
    </row>
    <row r="1803" spans="1:5" x14ac:dyDescent="0.25">
      <c r="A1803" s="1">
        <v>45266</v>
      </c>
      <c r="B1803">
        <v>3</v>
      </c>
      <c r="C1803" t="s">
        <v>7</v>
      </c>
      <c r="D1803">
        <v>265</v>
      </c>
      <c r="E1803">
        <v>4123.07</v>
      </c>
    </row>
    <row r="1804" spans="1:5" x14ac:dyDescent="0.25">
      <c r="A1804" s="1">
        <v>45267</v>
      </c>
      <c r="B1804">
        <v>3</v>
      </c>
      <c r="C1804" t="s">
        <v>7</v>
      </c>
      <c r="D1804">
        <v>211</v>
      </c>
      <c r="E1804">
        <v>3702.98</v>
      </c>
    </row>
    <row r="1805" spans="1:5" x14ac:dyDescent="0.25">
      <c r="A1805" s="1">
        <v>45268</v>
      </c>
      <c r="B1805">
        <v>3</v>
      </c>
      <c r="C1805" t="s">
        <v>7</v>
      </c>
      <c r="D1805">
        <v>231</v>
      </c>
      <c r="E1805">
        <v>3870.67</v>
      </c>
    </row>
    <row r="1806" spans="1:5" x14ac:dyDescent="0.25">
      <c r="A1806" s="1">
        <v>45269</v>
      </c>
      <c r="B1806">
        <v>3</v>
      </c>
      <c r="C1806" t="s">
        <v>7</v>
      </c>
      <c r="D1806">
        <v>266</v>
      </c>
      <c r="E1806">
        <v>4207.4799999999996</v>
      </c>
    </row>
    <row r="1807" spans="1:5" x14ac:dyDescent="0.25">
      <c r="A1807" s="1">
        <v>45270</v>
      </c>
      <c r="B1807">
        <v>3</v>
      </c>
      <c r="C1807" t="s">
        <v>7</v>
      </c>
      <c r="D1807">
        <v>284</v>
      </c>
      <c r="E1807">
        <v>4279.63</v>
      </c>
    </row>
    <row r="1808" spans="1:5" x14ac:dyDescent="0.25">
      <c r="A1808" s="1">
        <v>45271</v>
      </c>
      <c r="B1808">
        <v>3</v>
      </c>
      <c r="C1808" t="s">
        <v>7</v>
      </c>
      <c r="D1808">
        <v>163</v>
      </c>
      <c r="E1808">
        <v>2876.68</v>
      </c>
    </row>
    <row r="1809" spans="1:5" x14ac:dyDescent="0.25">
      <c r="A1809" s="1">
        <v>45272</v>
      </c>
      <c r="B1809">
        <v>3</v>
      </c>
      <c r="C1809" t="s">
        <v>7</v>
      </c>
      <c r="D1809">
        <v>213</v>
      </c>
      <c r="E1809">
        <v>3796.49</v>
      </c>
    </row>
    <row r="1810" spans="1:5" x14ac:dyDescent="0.25">
      <c r="A1810" s="1">
        <v>45273</v>
      </c>
      <c r="B1810">
        <v>3</v>
      </c>
      <c r="C1810" t="s">
        <v>7</v>
      </c>
      <c r="D1810">
        <v>208</v>
      </c>
      <c r="E1810">
        <v>3749.99</v>
      </c>
    </row>
    <row r="1811" spans="1:5" x14ac:dyDescent="0.25">
      <c r="A1811" s="1">
        <v>45274</v>
      </c>
      <c r="B1811">
        <v>3</v>
      </c>
      <c r="C1811" t="s">
        <v>7</v>
      </c>
      <c r="D1811">
        <v>194</v>
      </c>
      <c r="E1811">
        <v>3303.24</v>
      </c>
    </row>
    <row r="1812" spans="1:5" x14ac:dyDescent="0.25">
      <c r="A1812" s="1">
        <v>45275</v>
      </c>
      <c r="B1812">
        <v>3</v>
      </c>
      <c r="C1812" t="s">
        <v>7</v>
      </c>
      <c r="D1812">
        <v>201</v>
      </c>
      <c r="E1812">
        <v>3313.34</v>
      </c>
    </row>
    <row r="1813" spans="1:5" x14ac:dyDescent="0.25">
      <c r="A1813" s="1">
        <v>45276</v>
      </c>
      <c r="B1813">
        <v>3</v>
      </c>
      <c r="C1813" t="s">
        <v>7</v>
      </c>
      <c r="D1813">
        <v>254</v>
      </c>
      <c r="E1813">
        <v>4338.0600000000004</v>
      </c>
    </row>
    <row r="1814" spans="1:5" x14ac:dyDescent="0.25">
      <c r="A1814" s="1">
        <v>45277</v>
      </c>
      <c r="B1814">
        <v>3</v>
      </c>
      <c r="C1814" t="s">
        <v>7</v>
      </c>
      <c r="D1814">
        <v>236</v>
      </c>
      <c r="E1814">
        <v>3478.49</v>
      </c>
    </row>
    <row r="1815" spans="1:5" x14ac:dyDescent="0.25">
      <c r="A1815" s="1">
        <v>45278</v>
      </c>
      <c r="B1815">
        <v>3</v>
      </c>
      <c r="C1815" t="s">
        <v>7</v>
      </c>
      <c r="D1815">
        <v>188</v>
      </c>
      <c r="E1815">
        <v>3133.76</v>
      </c>
    </row>
    <row r="1816" spans="1:5" x14ac:dyDescent="0.25">
      <c r="A1816" s="1">
        <v>45279</v>
      </c>
      <c r="B1816">
        <v>3</v>
      </c>
      <c r="C1816" t="s">
        <v>7</v>
      </c>
      <c r="D1816">
        <v>214</v>
      </c>
      <c r="E1816">
        <v>3264.71</v>
      </c>
    </row>
    <row r="1817" spans="1:5" x14ac:dyDescent="0.25">
      <c r="A1817" s="1">
        <v>45280</v>
      </c>
      <c r="B1817">
        <v>3</v>
      </c>
      <c r="C1817" t="s">
        <v>7</v>
      </c>
      <c r="D1817">
        <v>196</v>
      </c>
      <c r="E1817">
        <v>3349.32</v>
      </c>
    </row>
    <row r="1818" spans="1:5" x14ac:dyDescent="0.25">
      <c r="A1818" s="1">
        <v>45281</v>
      </c>
      <c r="B1818">
        <v>3</v>
      </c>
      <c r="C1818" t="s">
        <v>7</v>
      </c>
      <c r="D1818">
        <v>207</v>
      </c>
      <c r="E1818">
        <v>3320.35</v>
      </c>
    </row>
    <row r="1819" spans="1:5" x14ac:dyDescent="0.25">
      <c r="A1819" s="1">
        <v>45282</v>
      </c>
      <c r="B1819">
        <v>3</v>
      </c>
      <c r="C1819" t="s">
        <v>7</v>
      </c>
      <c r="D1819">
        <v>205</v>
      </c>
      <c r="E1819">
        <v>3518.11</v>
      </c>
    </row>
    <row r="1820" spans="1:5" x14ac:dyDescent="0.25">
      <c r="A1820" s="1">
        <v>45283</v>
      </c>
      <c r="B1820">
        <v>3</v>
      </c>
      <c r="C1820" t="s">
        <v>7</v>
      </c>
      <c r="D1820">
        <v>237</v>
      </c>
      <c r="E1820">
        <v>3740.23</v>
      </c>
    </row>
    <row r="1821" spans="1:5" x14ac:dyDescent="0.25">
      <c r="A1821" s="1">
        <v>45284</v>
      </c>
      <c r="B1821">
        <v>3</v>
      </c>
      <c r="C1821" t="s">
        <v>7</v>
      </c>
      <c r="D1821">
        <v>216</v>
      </c>
      <c r="E1821">
        <v>3474.38</v>
      </c>
    </row>
    <row r="1822" spans="1:5" x14ac:dyDescent="0.25">
      <c r="A1822" s="1">
        <v>45285</v>
      </c>
      <c r="B1822">
        <v>3</v>
      </c>
      <c r="C1822" t="s">
        <v>7</v>
      </c>
      <c r="D1822">
        <v>224</v>
      </c>
      <c r="E1822">
        <v>3707.48</v>
      </c>
    </row>
    <row r="1823" spans="1:5" x14ac:dyDescent="0.25">
      <c r="A1823" s="1">
        <v>45286</v>
      </c>
      <c r="B1823">
        <v>3</v>
      </c>
      <c r="C1823" t="s">
        <v>7</v>
      </c>
      <c r="D1823">
        <v>188</v>
      </c>
      <c r="E1823">
        <v>2989.34</v>
      </c>
    </row>
    <row r="1824" spans="1:5" x14ac:dyDescent="0.25">
      <c r="A1824" s="1">
        <v>45287</v>
      </c>
      <c r="B1824">
        <v>3</v>
      </c>
      <c r="C1824" t="s">
        <v>7</v>
      </c>
      <c r="D1824">
        <v>223</v>
      </c>
      <c r="E1824">
        <v>3783.89</v>
      </c>
    </row>
    <row r="1825" spans="1:5" x14ac:dyDescent="0.25">
      <c r="A1825" s="1">
        <v>45288</v>
      </c>
      <c r="B1825">
        <v>3</v>
      </c>
      <c r="C1825" t="s">
        <v>7</v>
      </c>
      <c r="D1825">
        <v>198</v>
      </c>
      <c r="E1825">
        <v>3517.82</v>
      </c>
    </row>
    <row r="1826" spans="1:5" x14ac:dyDescent="0.25">
      <c r="A1826" s="1">
        <v>45289</v>
      </c>
      <c r="B1826">
        <v>3</v>
      </c>
      <c r="C1826" t="s">
        <v>7</v>
      </c>
      <c r="D1826">
        <v>170</v>
      </c>
      <c r="E1826">
        <v>2922.97</v>
      </c>
    </row>
    <row r="1827" spans="1:5" x14ac:dyDescent="0.25">
      <c r="A1827" s="1">
        <v>45290</v>
      </c>
      <c r="B1827">
        <v>3</v>
      </c>
      <c r="C1827" t="s">
        <v>7</v>
      </c>
      <c r="D1827">
        <v>230</v>
      </c>
      <c r="E1827">
        <v>3971.74</v>
      </c>
    </row>
    <row r="1828" spans="1:5" x14ac:dyDescent="0.25">
      <c r="A1828" s="1">
        <v>45291</v>
      </c>
      <c r="B1828">
        <v>3</v>
      </c>
      <c r="C1828" t="s">
        <v>7</v>
      </c>
      <c r="D1828">
        <v>256</v>
      </c>
      <c r="E1828">
        <v>4256.1099999999997</v>
      </c>
    </row>
    <row r="1829" spans="1:5" x14ac:dyDescent="0.25">
      <c r="A1829" s="1">
        <v>45292</v>
      </c>
      <c r="B1829">
        <v>3</v>
      </c>
      <c r="C1829" t="s">
        <v>7</v>
      </c>
      <c r="D1829">
        <v>191</v>
      </c>
      <c r="E1829">
        <v>2838.86</v>
      </c>
    </row>
    <row r="1830" spans="1:5" x14ac:dyDescent="0.25">
      <c r="A1830" s="1">
        <v>45293</v>
      </c>
      <c r="B1830">
        <v>3</v>
      </c>
      <c r="C1830" t="s">
        <v>7</v>
      </c>
      <c r="D1830">
        <v>229</v>
      </c>
      <c r="E1830">
        <v>3793.85</v>
      </c>
    </row>
    <row r="1831" spans="1:5" x14ac:dyDescent="0.25">
      <c r="A1831" s="1">
        <v>45294</v>
      </c>
      <c r="B1831">
        <v>3</v>
      </c>
      <c r="C1831" t="s">
        <v>7</v>
      </c>
      <c r="D1831">
        <v>207</v>
      </c>
      <c r="E1831">
        <v>3321.64</v>
      </c>
    </row>
    <row r="1832" spans="1:5" x14ac:dyDescent="0.25">
      <c r="A1832" s="1">
        <v>45295</v>
      </c>
      <c r="B1832">
        <v>3</v>
      </c>
      <c r="C1832" t="s">
        <v>7</v>
      </c>
      <c r="D1832">
        <v>190</v>
      </c>
      <c r="E1832">
        <v>3275.8</v>
      </c>
    </row>
    <row r="1833" spans="1:5" x14ac:dyDescent="0.25">
      <c r="A1833" s="1">
        <v>45296</v>
      </c>
      <c r="B1833">
        <v>3</v>
      </c>
      <c r="C1833" t="s">
        <v>7</v>
      </c>
      <c r="D1833">
        <v>207</v>
      </c>
      <c r="E1833">
        <v>3469.27</v>
      </c>
    </row>
    <row r="1834" spans="1:5" x14ac:dyDescent="0.25">
      <c r="A1834" s="1">
        <v>45297</v>
      </c>
      <c r="B1834">
        <v>3</v>
      </c>
      <c r="C1834" t="s">
        <v>7</v>
      </c>
      <c r="D1834">
        <v>229</v>
      </c>
      <c r="E1834">
        <v>3559.96</v>
      </c>
    </row>
    <row r="1835" spans="1:5" x14ac:dyDescent="0.25">
      <c r="A1835" s="1">
        <v>45298</v>
      </c>
      <c r="B1835">
        <v>3</v>
      </c>
      <c r="C1835" t="s">
        <v>7</v>
      </c>
      <c r="D1835">
        <v>272</v>
      </c>
      <c r="E1835">
        <v>4566.4799999999996</v>
      </c>
    </row>
    <row r="1836" spans="1:5" x14ac:dyDescent="0.25">
      <c r="A1836" s="1">
        <v>45299</v>
      </c>
      <c r="B1836">
        <v>3</v>
      </c>
      <c r="C1836" t="s">
        <v>7</v>
      </c>
      <c r="D1836">
        <v>173</v>
      </c>
      <c r="E1836">
        <v>3210.49</v>
      </c>
    </row>
    <row r="1837" spans="1:5" x14ac:dyDescent="0.25">
      <c r="A1837" s="1">
        <v>45300</v>
      </c>
      <c r="B1837">
        <v>3</v>
      </c>
      <c r="C1837" t="s">
        <v>7</v>
      </c>
      <c r="D1837">
        <v>186</v>
      </c>
      <c r="E1837">
        <v>2898.46</v>
      </c>
    </row>
    <row r="1838" spans="1:5" x14ac:dyDescent="0.25">
      <c r="A1838" s="1">
        <v>45301</v>
      </c>
      <c r="B1838">
        <v>3</v>
      </c>
      <c r="C1838" t="s">
        <v>7</v>
      </c>
      <c r="D1838">
        <v>218</v>
      </c>
      <c r="E1838">
        <v>3639.27</v>
      </c>
    </row>
    <row r="1839" spans="1:5" x14ac:dyDescent="0.25">
      <c r="A1839" s="1">
        <v>45302</v>
      </c>
      <c r="B1839">
        <v>3</v>
      </c>
      <c r="C1839" t="s">
        <v>7</v>
      </c>
      <c r="D1839">
        <v>193</v>
      </c>
      <c r="E1839">
        <v>3363.81</v>
      </c>
    </row>
    <row r="1840" spans="1:5" x14ac:dyDescent="0.25">
      <c r="A1840" s="1">
        <v>45303</v>
      </c>
      <c r="B1840">
        <v>3</v>
      </c>
      <c r="C1840" t="s">
        <v>7</v>
      </c>
      <c r="D1840">
        <v>208</v>
      </c>
      <c r="E1840">
        <v>3130.57</v>
      </c>
    </row>
    <row r="1841" spans="1:5" x14ac:dyDescent="0.25">
      <c r="A1841" s="1">
        <v>45304</v>
      </c>
      <c r="B1841">
        <v>3</v>
      </c>
      <c r="C1841" t="s">
        <v>7</v>
      </c>
      <c r="D1841">
        <v>227</v>
      </c>
      <c r="E1841">
        <v>3858.52</v>
      </c>
    </row>
    <row r="1842" spans="1:5" x14ac:dyDescent="0.25">
      <c r="A1842" s="1">
        <v>45305</v>
      </c>
      <c r="B1842">
        <v>3</v>
      </c>
      <c r="C1842" t="s">
        <v>7</v>
      </c>
      <c r="D1842">
        <v>195</v>
      </c>
      <c r="E1842">
        <v>3389</v>
      </c>
    </row>
    <row r="1843" spans="1:5" x14ac:dyDescent="0.25">
      <c r="A1843" s="1">
        <v>45306</v>
      </c>
      <c r="B1843">
        <v>3</v>
      </c>
      <c r="C1843" t="s">
        <v>7</v>
      </c>
      <c r="D1843">
        <v>178</v>
      </c>
      <c r="E1843">
        <v>3053.9</v>
      </c>
    </row>
    <row r="1844" spans="1:5" x14ac:dyDescent="0.25">
      <c r="A1844" s="1">
        <v>45307</v>
      </c>
      <c r="B1844">
        <v>3</v>
      </c>
      <c r="C1844" t="s">
        <v>7</v>
      </c>
      <c r="D1844">
        <v>205</v>
      </c>
      <c r="E1844">
        <v>3484.63</v>
      </c>
    </row>
    <row r="1845" spans="1:5" x14ac:dyDescent="0.25">
      <c r="A1845" s="1">
        <v>45308</v>
      </c>
      <c r="B1845">
        <v>3</v>
      </c>
      <c r="C1845" t="s">
        <v>7</v>
      </c>
      <c r="D1845">
        <v>179</v>
      </c>
      <c r="E1845">
        <v>2796.87</v>
      </c>
    </row>
    <row r="1846" spans="1:5" x14ac:dyDescent="0.25">
      <c r="A1846" s="1">
        <v>45309</v>
      </c>
      <c r="B1846">
        <v>3</v>
      </c>
      <c r="C1846" t="s">
        <v>7</v>
      </c>
      <c r="D1846">
        <v>180</v>
      </c>
      <c r="E1846">
        <v>3098.03</v>
      </c>
    </row>
    <row r="1847" spans="1:5" x14ac:dyDescent="0.25">
      <c r="A1847" s="1">
        <v>45310</v>
      </c>
      <c r="B1847">
        <v>3</v>
      </c>
      <c r="C1847" t="s">
        <v>7</v>
      </c>
      <c r="D1847">
        <v>192</v>
      </c>
      <c r="E1847">
        <v>3555.23</v>
      </c>
    </row>
    <row r="1848" spans="1:5" x14ac:dyDescent="0.25">
      <c r="A1848" s="1">
        <v>45311</v>
      </c>
      <c r="B1848">
        <v>3</v>
      </c>
      <c r="C1848" t="s">
        <v>7</v>
      </c>
      <c r="D1848">
        <v>285</v>
      </c>
      <c r="E1848">
        <v>4305.62</v>
      </c>
    </row>
    <row r="1849" spans="1:5" x14ac:dyDescent="0.25">
      <c r="A1849" s="1">
        <v>45312</v>
      </c>
      <c r="B1849">
        <v>3</v>
      </c>
      <c r="C1849" t="s">
        <v>7</v>
      </c>
      <c r="D1849">
        <v>243</v>
      </c>
      <c r="E1849">
        <v>4429.24</v>
      </c>
    </row>
    <row r="1850" spans="1:5" x14ac:dyDescent="0.25">
      <c r="A1850" s="1">
        <v>45313</v>
      </c>
      <c r="B1850">
        <v>3</v>
      </c>
      <c r="C1850" t="s">
        <v>7</v>
      </c>
      <c r="D1850">
        <v>156</v>
      </c>
      <c r="E1850">
        <v>2306.46</v>
      </c>
    </row>
    <row r="1851" spans="1:5" x14ac:dyDescent="0.25">
      <c r="A1851" s="1">
        <v>45314</v>
      </c>
      <c r="B1851">
        <v>3</v>
      </c>
      <c r="C1851" t="s">
        <v>7</v>
      </c>
      <c r="D1851">
        <v>204</v>
      </c>
      <c r="E1851">
        <v>3495.46</v>
      </c>
    </row>
    <row r="1852" spans="1:5" x14ac:dyDescent="0.25">
      <c r="A1852" s="1">
        <v>45315</v>
      </c>
      <c r="B1852">
        <v>3</v>
      </c>
      <c r="C1852" t="s">
        <v>7</v>
      </c>
      <c r="D1852">
        <v>215</v>
      </c>
      <c r="E1852">
        <v>3427.25</v>
      </c>
    </row>
    <row r="1853" spans="1:5" x14ac:dyDescent="0.25">
      <c r="A1853" s="1">
        <v>45316</v>
      </c>
      <c r="B1853">
        <v>3</v>
      </c>
      <c r="C1853" t="s">
        <v>7</v>
      </c>
      <c r="D1853">
        <v>211</v>
      </c>
      <c r="E1853">
        <v>3502.95</v>
      </c>
    </row>
    <row r="1854" spans="1:5" x14ac:dyDescent="0.25">
      <c r="A1854" s="1">
        <v>45317</v>
      </c>
      <c r="B1854">
        <v>3</v>
      </c>
      <c r="C1854" t="s">
        <v>7</v>
      </c>
      <c r="D1854">
        <v>184</v>
      </c>
      <c r="E1854">
        <v>3134.87</v>
      </c>
    </row>
    <row r="1855" spans="1:5" x14ac:dyDescent="0.25">
      <c r="A1855" s="1">
        <v>45318</v>
      </c>
      <c r="B1855">
        <v>3</v>
      </c>
      <c r="C1855" t="s">
        <v>7</v>
      </c>
      <c r="D1855">
        <v>227</v>
      </c>
      <c r="E1855">
        <v>3615.82</v>
      </c>
    </row>
    <row r="1856" spans="1:5" x14ac:dyDescent="0.25">
      <c r="A1856" s="1">
        <v>45319</v>
      </c>
      <c r="B1856">
        <v>3</v>
      </c>
      <c r="C1856" t="s">
        <v>7</v>
      </c>
      <c r="D1856">
        <v>219</v>
      </c>
      <c r="E1856">
        <v>3488.38</v>
      </c>
    </row>
    <row r="1857" spans="1:5" x14ac:dyDescent="0.25">
      <c r="A1857" s="1">
        <v>45320</v>
      </c>
      <c r="B1857">
        <v>3</v>
      </c>
      <c r="C1857" t="s">
        <v>7</v>
      </c>
      <c r="D1857">
        <v>168</v>
      </c>
      <c r="E1857">
        <v>2748.61</v>
      </c>
    </row>
    <row r="1858" spans="1:5" x14ac:dyDescent="0.25">
      <c r="A1858" s="1">
        <v>45321</v>
      </c>
      <c r="B1858">
        <v>3</v>
      </c>
      <c r="C1858" t="s">
        <v>7</v>
      </c>
      <c r="D1858">
        <v>180</v>
      </c>
      <c r="E1858">
        <v>2998.5</v>
      </c>
    </row>
    <row r="1859" spans="1:5" x14ac:dyDescent="0.25">
      <c r="A1859" s="1">
        <v>45322</v>
      </c>
      <c r="B1859">
        <v>3</v>
      </c>
      <c r="C1859" t="s">
        <v>7</v>
      </c>
      <c r="D1859">
        <v>158</v>
      </c>
      <c r="E1859">
        <v>2741.03</v>
      </c>
    </row>
    <row r="1860" spans="1:5" x14ac:dyDescent="0.25">
      <c r="A1860" s="1">
        <v>45323</v>
      </c>
      <c r="B1860">
        <v>3</v>
      </c>
      <c r="C1860" t="s">
        <v>7</v>
      </c>
      <c r="D1860">
        <v>225</v>
      </c>
      <c r="E1860">
        <v>3477.94</v>
      </c>
    </row>
    <row r="1861" spans="1:5" x14ac:dyDescent="0.25">
      <c r="A1861" s="1">
        <v>45324</v>
      </c>
      <c r="B1861">
        <v>3</v>
      </c>
      <c r="C1861" t="s">
        <v>7</v>
      </c>
      <c r="D1861">
        <v>200</v>
      </c>
      <c r="E1861">
        <v>3383.15</v>
      </c>
    </row>
    <row r="1862" spans="1:5" x14ac:dyDescent="0.25">
      <c r="A1862" s="1">
        <v>45325</v>
      </c>
      <c r="B1862">
        <v>3</v>
      </c>
      <c r="C1862" t="s">
        <v>7</v>
      </c>
      <c r="D1862">
        <v>193</v>
      </c>
      <c r="E1862">
        <v>3277.44</v>
      </c>
    </row>
    <row r="1863" spans="1:5" x14ac:dyDescent="0.25">
      <c r="A1863" s="1">
        <v>45326</v>
      </c>
      <c r="B1863">
        <v>3</v>
      </c>
      <c r="C1863" t="s">
        <v>7</v>
      </c>
      <c r="D1863">
        <v>186</v>
      </c>
      <c r="E1863">
        <v>2956.3</v>
      </c>
    </row>
    <row r="1864" spans="1:5" x14ac:dyDescent="0.25">
      <c r="A1864" s="1">
        <v>45327</v>
      </c>
      <c r="B1864">
        <v>3</v>
      </c>
      <c r="C1864" t="s">
        <v>7</v>
      </c>
      <c r="D1864">
        <v>185</v>
      </c>
      <c r="E1864">
        <v>3049.3</v>
      </c>
    </row>
    <row r="1865" spans="1:5" x14ac:dyDescent="0.25">
      <c r="A1865" s="1">
        <v>45328</v>
      </c>
      <c r="B1865">
        <v>3</v>
      </c>
      <c r="C1865" t="s">
        <v>7</v>
      </c>
      <c r="D1865">
        <v>231</v>
      </c>
      <c r="E1865">
        <v>3536.66</v>
      </c>
    </row>
    <row r="1866" spans="1:5" x14ac:dyDescent="0.25">
      <c r="A1866" s="1">
        <v>45329</v>
      </c>
      <c r="B1866">
        <v>3</v>
      </c>
      <c r="C1866" t="s">
        <v>7</v>
      </c>
      <c r="D1866">
        <v>181</v>
      </c>
      <c r="E1866">
        <v>3013.05</v>
      </c>
    </row>
    <row r="1867" spans="1:5" x14ac:dyDescent="0.25">
      <c r="A1867" s="1">
        <v>45330</v>
      </c>
      <c r="B1867">
        <v>3</v>
      </c>
      <c r="C1867" t="s">
        <v>7</v>
      </c>
      <c r="D1867">
        <v>188</v>
      </c>
      <c r="E1867">
        <v>3049.35</v>
      </c>
    </row>
    <row r="1868" spans="1:5" x14ac:dyDescent="0.25">
      <c r="A1868" s="1">
        <v>45331</v>
      </c>
      <c r="B1868">
        <v>3</v>
      </c>
      <c r="C1868" t="s">
        <v>7</v>
      </c>
      <c r="D1868">
        <v>228</v>
      </c>
      <c r="E1868">
        <v>3655.74</v>
      </c>
    </row>
    <row r="1869" spans="1:5" x14ac:dyDescent="0.25">
      <c r="A1869" s="1">
        <v>45332</v>
      </c>
      <c r="B1869">
        <v>3</v>
      </c>
      <c r="C1869" t="s">
        <v>7</v>
      </c>
      <c r="D1869">
        <v>234</v>
      </c>
      <c r="E1869">
        <v>3791.72</v>
      </c>
    </row>
    <row r="1870" spans="1:5" x14ac:dyDescent="0.25">
      <c r="A1870" s="1">
        <v>45333</v>
      </c>
      <c r="B1870">
        <v>3</v>
      </c>
      <c r="C1870" t="s">
        <v>7</v>
      </c>
      <c r="D1870">
        <v>212</v>
      </c>
      <c r="E1870">
        <v>3307.91</v>
      </c>
    </row>
    <row r="1871" spans="1:5" x14ac:dyDescent="0.25">
      <c r="A1871" s="1">
        <v>45334</v>
      </c>
      <c r="B1871">
        <v>3</v>
      </c>
      <c r="C1871" t="s">
        <v>7</v>
      </c>
      <c r="D1871">
        <v>158</v>
      </c>
      <c r="E1871">
        <v>2540.25</v>
      </c>
    </row>
    <row r="1872" spans="1:5" x14ac:dyDescent="0.25">
      <c r="A1872" s="1">
        <v>45335</v>
      </c>
      <c r="B1872">
        <v>3</v>
      </c>
      <c r="C1872" t="s">
        <v>7</v>
      </c>
      <c r="D1872">
        <v>163</v>
      </c>
      <c r="E1872">
        <v>2625.11</v>
      </c>
    </row>
    <row r="1873" spans="1:5" x14ac:dyDescent="0.25">
      <c r="A1873" s="1">
        <v>45336</v>
      </c>
      <c r="B1873">
        <v>3</v>
      </c>
      <c r="C1873" t="s">
        <v>7</v>
      </c>
      <c r="D1873">
        <v>198</v>
      </c>
      <c r="E1873">
        <v>3333.35</v>
      </c>
    </row>
    <row r="1874" spans="1:5" x14ac:dyDescent="0.25">
      <c r="A1874" s="1">
        <v>45337</v>
      </c>
      <c r="B1874">
        <v>3</v>
      </c>
      <c r="C1874" t="s">
        <v>7</v>
      </c>
      <c r="D1874">
        <v>162</v>
      </c>
      <c r="E1874">
        <v>2425.9699999999998</v>
      </c>
    </row>
    <row r="1875" spans="1:5" x14ac:dyDescent="0.25">
      <c r="A1875" s="1">
        <v>45338</v>
      </c>
      <c r="B1875">
        <v>3</v>
      </c>
      <c r="C1875" t="s">
        <v>7</v>
      </c>
      <c r="D1875">
        <v>202</v>
      </c>
      <c r="E1875">
        <v>3418.44</v>
      </c>
    </row>
    <row r="1876" spans="1:5" x14ac:dyDescent="0.25">
      <c r="A1876" s="1">
        <v>45339</v>
      </c>
      <c r="B1876">
        <v>3</v>
      </c>
      <c r="C1876" t="s">
        <v>7</v>
      </c>
      <c r="D1876">
        <v>210</v>
      </c>
      <c r="E1876">
        <v>3583.04</v>
      </c>
    </row>
    <row r="1877" spans="1:5" x14ac:dyDescent="0.25">
      <c r="A1877" s="1">
        <v>45340</v>
      </c>
      <c r="B1877">
        <v>3</v>
      </c>
      <c r="C1877" t="s">
        <v>7</v>
      </c>
      <c r="D1877">
        <v>223</v>
      </c>
      <c r="E1877">
        <v>3700.96</v>
      </c>
    </row>
    <row r="1878" spans="1:5" x14ac:dyDescent="0.25">
      <c r="A1878" s="1">
        <v>45341</v>
      </c>
      <c r="B1878">
        <v>3</v>
      </c>
      <c r="C1878" t="s">
        <v>7</v>
      </c>
      <c r="D1878">
        <v>192</v>
      </c>
      <c r="E1878">
        <v>3158.92</v>
      </c>
    </row>
    <row r="1879" spans="1:5" x14ac:dyDescent="0.25">
      <c r="A1879" s="1">
        <v>45342</v>
      </c>
      <c r="B1879">
        <v>3</v>
      </c>
      <c r="C1879" t="s">
        <v>7</v>
      </c>
      <c r="D1879">
        <v>186</v>
      </c>
      <c r="E1879">
        <v>3233.74</v>
      </c>
    </row>
    <row r="1880" spans="1:5" x14ac:dyDescent="0.25">
      <c r="A1880" s="1">
        <v>45343</v>
      </c>
      <c r="B1880">
        <v>3</v>
      </c>
      <c r="C1880" t="s">
        <v>7</v>
      </c>
      <c r="D1880">
        <v>189</v>
      </c>
      <c r="E1880">
        <v>3342.72</v>
      </c>
    </row>
    <row r="1881" spans="1:5" x14ac:dyDescent="0.25">
      <c r="A1881" s="1">
        <v>45344</v>
      </c>
      <c r="B1881">
        <v>3</v>
      </c>
      <c r="C1881" t="s">
        <v>7</v>
      </c>
      <c r="D1881">
        <v>204</v>
      </c>
      <c r="E1881">
        <v>3344.28</v>
      </c>
    </row>
    <row r="1882" spans="1:5" x14ac:dyDescent="0.25">
      <c r="A1882" s="1">
        <v>45345</v>
      </c>
      <c r="B1882">
        <v>3</v>
      </c>
      <c r="C1882" t="s">
        <v>7</v>
      </c>
      <c r="D1882">
        <v>180</v>
      </c>
      <c r="E1882">
        <v>2778.6</v>
      </c>
    </row>
    <row r="1883" spans="1:5" x14ac:dyDescent="0.25">
      <c r="A1883" s="1">
        <v>45346</v>
      </c>
      <c r="B1883">
        <v>3</v>
      </c>
      <c r="C1883" t="s">
        <v>7</v>
      </c>
      <c r="D1883">
        <v>223</v>
      </c>
      <c r="E1883">
        <v>3696.67</v>
      </c>
    </row>
    <row r="1884" spans="1:5" x14ac:dyDescent="0.25">
      <c r="A1884" s="1">
        <v>45347</v>
      </c>
      <c r="B1884">
        <v>3</v>
      </c>
      <c r="C1884" t="s">
        <v>7</v>
      </c>
      <c r="D1884">
        <v>236</v>
      </c>
      <c r="E1884">
        <v>3773.32</v>
      </c>
    </row>
    <row r="1885" spans="1:5" x14ac:dyDescent="0.25">
      <c r="A1885" s="1">
        <v>45348</v>
      </c>
      <c r="B1885">
        <v>3</v>
      </c>
      <c r="C1885" t="s">
        <v>7</v>
      </c>
      <c r="D1885">
        <v>159</v>
      </c>
      <c r="E1885">
        <v>2875.08</v>
      </c>
    </row>
    <row r="1886" spans="1:5" x14ac:dyDescent="0.25">
      <c r="A1886" s="1">
        <v>45349</v>
      </c>
      <c r="B1886">
        <v>3</v>
      </c>
      <c r="C1886" t="s">
        <v>7</v>
      </c>
      <c r="D1886">
        <v>190</v>
      </c>
      <c r="E1886">
        <v>3335.31</v>
      </c>
    </row>
    <row r="1887" spans="1:5" x14ac:dyDescent="0.25">
      <c r="A1887" s="1">
        <v>45350</v>
      </c>
      <c r="B1887">
        <v>3</v>
      </c>
      <c r="C1887" t="s">
        <v>7</v>
      </c>
      <c r="D1887">
        <v>165</v>
      </c>
      <c r="E1887">
        <v>2849.33</v>
      </c>
    </row>
    <row r="1888" spans="1:5" x14ac:dyDescent="0.25">
      <c r="A1888" s="1">
        <v>45351</v>
      </c>
      <c r="B1888">
        <v>3</v>
      </c>
      <c r="C1888" t="s">
        <v>7</v>
      </c>
      <c r="D1888">
        <v>168</v>
      </c>
      <c r="E1888">
        <v>2813.05</v>
      </c>
    </row>
    <row r="1889" spans="1:5" x14ac:dyDescent="0.25">
      <c r="A1889" s="1">
        <v>45352</v>
      </c>
      <c r="B1889">
        <v>3</v>
      </c>
      <c r="C1889" t="s">
        <v>7</v>
      </c>
      <c r="D1889">
        <v>201</v>
      </c>
      <c r="E1889">
        <v>3468.31</v>
      </c>
    </row>
    <row r="1890" spans="1:5" x14ac:dyDescent="0.25">
      <c r="A1890" s="1">
        <v>45353</v>
      </c>
      <c r="B1890">
        <v>3</v>
      </c>
      <c r="C1890" t="s">
        <v>7</v>
      </c>
      <c r="D1890">
        <v>200</v>
      </c>
      <c r="E1890">
        <v>3106.32</v>
      </c>
    </row>
    <row r="1891" spans="1:5" x14ac:dyDescent="0.25">
      <c r="A1891" s="1">
        <v>45354</v>
      </c>
      <c r="B1891">
        <v>3</v>
      </c>
      <c r="C1891" t="s">
        <v>7</v>
      </c>
      <c r="D1891">
        <v>176</v>
      </c>
      <c r="E1891">
        <v>3005.31</v>
      </c>
    </row>
    <row r="1892" spans="1:5" x14ac:dyDescent="0.25">
      <c r="A1892" s="1">
        <v>45355</v>
      </c>
      <c r="B1892">
        <v>3</v>
      </c>
      <c r="C1892" t="s">
        <v>7</v>
      </c>
      <c r="D1892">
        <v>166</v>
      </c>
      <c r="E1892">
        <v>2776.5</v>
      </c>
    </row>
    <row r="1893" spans="1:5" x14ac:dyDescent="0.25">
      <c r="A1893" s="1">
        <v>45356</v>
      </c>
      <c r="B1893">
        <v>3</v>
      </c>
      <c r="C1893" t="s">
        <v>7</v>
      </c>
      <c r="D1893">
        <v>169</v>
      </c>
      <c r="E1893">
        <v>3020.25</v>
      </c>
    </row>
    <row r="1894" spans="1:5" x14ac:dyDescent="0.25">
      <c r="A1894" s="1">
        <v>45357</v>
      </c>
      <c r="B1894">
        <v>3</v>
      </c>
      <c r="C1894" t="s">
        <v>7</v>
      </c>
      <c r="D1894">
        <v>183</v>
      </c>
      <c r="E1894">
        <v>3004.62</v>
      </c>
    </row>
    <row r="1895" spans="1:5" x14ac:dyDescent="0.25">
      <c r="A1895" s="1">
        <v>45358</v>
      </c>
      <c r="B1895">
        <v>3</v>
      </c>
      <c r="C1895" t="s">
        <v>7</v>
      </c>
      <c r="D1895">
        <v>172</v>
      </c>
      <c r="E1895">
        <v>2817.81</v>
      </c>
    </row>
    <row r="1896" spans="1:5" x14ac:dyDescent="0.25">
      <c r="A1896" s="1">
        <v>45359</v>
      </c>
      <c r="B1896">
        <v>3</v>
      </c>
      <c r="C1896" t="s">
        <v>7</v>
      </c>
      <c r="D1896">
        <v>214</v>
      </c>
      <c r="E1896">
        <v>3226.9</v>
      </c>
    </row>
    <row r="1897" spans="1:5" x14ac:dyDescent="0.25">
      <c r="A1897" s="1">
        <v>45360</v>
      </c>
      <c r="B1897">
        <v>3</v>
      </c>
      <c r="C1897" t="s">
        <v>7</v>
      </c>
      <c r="D1897">
        <v>192</v>
      </c>
      <c r="E1897">
        <v>3268.89</v>
      </c>
    </row>
    <row r="1898" spans="1:5" x14ac:dyDescent="0.25">
      <c r="A1898" s="1">
        <v>45361</v>
      </c>
      <c r="B1898">
        <v>3</v>
      </c>
      <c r="C1898" t="s">
        <v>7</v>
      </c>
      <c r="D1898">
        <v>198</v>
      </c>
      <c r="E1898">
        <v>3383.32</v>
      </c>
    </row>
    <row r="1899" spans="1:5" x14ac:dyDescent="0.25">
      <c r="A1899" s="1">
        <v>45362</v>
      </c>
      <c r="B1899">
        <v>3</v>
      </c>
      <c r="C1899" t="s">
        <v>7</v>
      </c>
      <c r="D1899">
        <v>177</v>
      </c>
      <c r="E1899">
        <v>2958.78</v>
      </c>
    </row>
    <row r="1900" spans="1:5" x14ac:dyDescent="0.25">
      <c r="A1900" s="1">
        <v>45363</v>
      </c>
      <c r="B1900">
        <v>3</v>
      </c>
      <c r="C1900" t="s">
        <v>7</v>
      </c>
      <c r="D1900">
        <v>208</v>
      </c>
      <c r="E1900">
        <v>3490.45</v>
      </c>
    </row>
    <row r="1901" spans="1:5" x14ac:dyDescent="0.25">
      <c r="A1901" s="1">
        <v>45364</v>
      </c>
      <c r="B1901">
        <v>3</v>
      </c>
      <c r="C1901" t="s">
        <v>7</v>
      </c>
      <c r="D1901">
        <v>211</v>
      </c>
      <c r="E1901">
        <v>3223.87</v>
      </c>
    </row>
    <row r="1902" spans="1:5" x14ac:dyDescent="0.25">
      <c r="A1902" s="1">
        <v>45365</v>
      </c>
      <c r="B1902">
        <v>3</v>
      </c>
      <c r="C1902" t="s">
        <v>7</v>
      </c>
      <c r="D1902">
        <v>184</v>
      </c>
      <c r="E1902">
        <v>2927.31</v>
      </c>
    </row>
    <row r="1903" spans="1:5" x14ac:dyDescent="0.25">
      <c r="A1903" s="1">
        <v>45366</v>
      </c>
      <c r="B1903">
        <v>3</v>
      </c>
      <c r="C1903" t="s">
        <v>7</v>
      </c>
      <c r="D1903">
        <v>193</v>
      </c>
      <c r="E1903">
        <v>2992.74</v>
      </c>
    </row>
    <row r="1904" spans="1:5" x14ac:dyDescent="0.25">
      <c r="A1904" s="1">
        <v>45367</v>
      </c>
      <c r="B1904">
        <v>3</v>
      </c>
      <c r="C1904" t="s">
        <v>7</v>
      </c>
      <c r="D1904">
        <v>223</v>
      </c>
      <c r="E1904">
        <v>3799.25</v>
      </c>
    </row>
    <row r="1905" spans="1:5" x14ac:dyDescent="0.25">
      <c r="A1905" s="1">
        <v>45368</v>
      </c>
      <c r="B1905">
        <v>3</v>
      </c>
      <c r="C1905" t="s">
        <v>7</v>
      </c>
      <c r="D1905">
        <v>192</v>
      </c>
      <c r="E1905">
        <v>3528.11</v>
      </c>
    </row>
    <row r="1906" spans="1:5" x14ac:dyDescent="0.25">
      <c r="A1906" s="1">
        <v>45369</v>
      </c>
      <c r="B1906">
        <v>3</v>
      </c>
      <c r="C1906" t="s">
        <v>7</v>
      </c>
      <c r="D1906">
        <v>201</v>
      </c>
      <c r="E1906">
        <v>3148.03</v>
      </c>
    </row>
    <row r="1907" spans="1:5" x14ac:dyDescent="0.25">
      <c r="A1907" s="1">
        <v>45370</v>
      </c>
      <c r="B1907">
        <v>3</v>
      </c>
      <c r="C1907" t="s">
        <v>7</v>
      </c>
      <c r="D1907">
        <v>186</v>
      </c>
      <c r="E1907">
        <v>3005.33</v>
      </c>
    </row>
    <row r="1908" spans="1:5" x14ac:dyDescent="0.25">
      <c r="A1908" s="1">
        <v>45371</v>
      </c>
      <c r="B1908">
        <v>3</v>
      </c>
      <c r="C1908" t="s">
        <v>7</v>
      </c>
      <c r="D1908">
        <v>194</v>
      </c>
      <c r="E1908">
        <v>3374.26</v>
      </c>
    </row>
    <row r="1909" spans="1:5" x14ac:dyDescent="0.25">
      <c r="A1909" s="1">
        <v>45372</v>
      </c>
      <c r="B1909">
        <v>3</v>
      </c>
      <c r="C1909" t="s">
        <v>7</v>
      </c>
      <c r="D1909">
        <v>177</v>
      </c>
      <c r="E1909">
        <v>3222.5</v>
      </c>
    </row>
    <row r="1910" spans="1:5" x14ac:dyDescent="0.25">
      <c r="A1910" s="1">
        <v>45373</v>
      </c>
      <c r="B1910">
        <v>3</v>
      </c>
      <c r="C1910" t="s">
        <v>7</v>
      </c>
      <c r="D1910">
        <v>171</v>
      </c>
      <c r="E1910">
        <v>2693</v>
      </c>
    </row>
    <row r="1911" spans="1:5" x14ac:dyDescent="0.25">
      <c r="A1911" s="1">
        <v>45374</v>
      </c>
      <c r="B1911">
        <v>3</v>
      </c>
      <c r="C1911" t="s">
        <v>7</v>
      </c>
      <c r="D1911">
        <v>207</v>
      </c>
      <c r="E1911">
        <v>3074.5</v>
      </c>
    </row>
    <row r="1912" spans="1:5" x14ac:dyDescent="0.25">
      <c r="A1912" s="1">
        <v>45375</v>
      </c>
      <c r="B1912">
        <v>3</v>
      </c>
      <c r="C1912" t="s">
        <v>7</v>
      </c>
      <c r="D1912">
        <v>196</v>
      </c>
      <c r="E1912">
        <v>3161.84</v>
      </c>
    </row>
    <row r="1913" spans="1:5" x14ac:dyDescent="0.25">
      <c r="A1913" s="1">
        <v>45376</v>
      </c>
      <c r="B1913">
        <v>3</v>
      </c>
      <c r="C1913" t="s">
        <v>7</v>
      </c>
      <c r="D1913">
        <v>210</v>
      </c>
      <c r="E1913">
        <v>3426.4</v>
      </c>
    </row>
    <row r="1914" spans="1:5" x14ac:dyDescent="0.25">
      <c r="A1914" s="1">
        <v>45377</v>
      </c>
      <c r="B1914">
        <v>3</v>
      </c>
      <c r="C1914" t="s">
        <v>7</v>
      </c>
      <c r="D1914">
        <v>191</v>
      </c>
      <c r="E1914">
        <v>3162.15</v>
      </c>
    </row>
    <row r="1915" spans="1:5" x14ac:dyDescent="0.25">
      <c r="A1915" s="1">
        <v>45378</v>
      </c>
      <c r="B1915">
        <v>3</v>
      </c>
      <c r="C1915" t="s">
        <v>7</v>
      </c>
      <c r="D1915">
        <v>213</v>
      </c>
      <c r="E1915">
        <v>3603.68</v>
      </c>
    </row>
    <row r="1916" spans="1:5" x14ac:dyDescent="0.25">
      <c r="A1916" s="1">
        <v>45379</v>
      </c>
      <c r="B1916">
        <v>3</v>
      </c>
      <c r="C1916" t="s">
        <v>7</v>
      </c>
      <c r="D1916">
        <v>200</v>
      </c>
      <c r="E1916">
        <v>3200.23</v>
      </c>
    </row>
    <row r="1917" spans="1:5" x14ac:dyDescent="0.25">
      <c r="A1917" s="1">
        <v>45380</v>
      </c>
      <c r="B1917">
        <v>3</v>
      </c>
      <c r="C1917" t="s">
        <v>7</v>
      </c>
      <c r="D1917">
        <v>188</v>
      </c>
      <c r="E1917">
        <v>3128.74</v>
      </c>
    </row>
    <row r="1918" spans="1:5" x14ac:dyDescent="0.25">
      <c r="A1918" s="1">
        <v>45381</v>
      </c>
      <c r="B1918">
        <v>3</v>
      </c>
      <c r="C1918" t="s">
        <v>7</v>
      </c>
      <c r="D1918">
        <v>229</v>
      </c>
      <c r="E1918">
        <v>3580.03</v>
      </c>
    </row>
    <row r="1919" spans="1:5" x14ac:dyDescent="0.25">
      <c r="A1919" s="1">
        <v>45382</v>
      </c>
      <c r="B1919">
        <v>3</v>
      </c>
      <c r="C1919" t="s">
        <v>7</v>
      </c>
      <c r="D1919">
        <v>200</v>
      </c>
      <c r="E1919">
        <v>3355.19</v>
      </c>
    </row>
    <row r="1920" spans="1:5" x14ac:dyDescent="0.25">
      <c r="A1920" s="1">
        <v>45383</v>
      </c>
      <c r="B1920">
        <v>3</v>
      </c>
      <c r="C1920" t="s">
        <v>7</v>
      </c>
      <c r="D1920">
        <v>170</v>
      </c>
      <c r="E1920">
        <v>2791.97</v>
      </c>
    </row>
    <row r="1921" spans="1:5" x14ac:dyDescent="0.25">
      <c r="A1921" s="1">
        <v>45384</v>
      </c>
      <c r="B1921">
        <v>3</v>
      </c>
      <c r="C1921" t="s">
        <v>7</v>
      </c>
      <c r="D1921">
        <v>143</v>
      </c>
      <c r="E1921">
        <v>2490.62</v>
      </c>
    </row>
    <row r="1922" spans="1:5" x14ac:dyDescent="0.25">
      <c r="A1922" s="1">
        <v>45385</v>
      </c>
      <c r="B1922">
        <v>3</v>
      </c>
      <c r="C1922" t="s">
        <v>7</v>
      </c>
      <c r="D1922">
        <v>190</v>
      </c>
      <c r="E1922">
        <v>3173.81</v>
      </c>
    </row>
    <row r="1923" spans="1:5" x14ac:dyDescent="0.25">
      <c r="A1923" s="1">
        <v>45386</v>
      </c>
      <c r="B1923">
        <v>3</v>
      </c>
      <c r="C1923" t="s">
        <v>7</v>
      </c>
      <c r="D1923">
        <v>210</v>
      </c>
      <c r="E1923">
        <v>3224.74</v>
      </c>
    </row>
    <row r="1924" spans="1:5" x14ac:dyDescent="0.25">
      <c r="A1924" s="1">
        <v>45387</v>
      </c>
      <c r="B1924">
        <v>3</v>
      </c>
      <c r="C1924" t="s">
        <v>7</v>
      </c>
      <c r="D1924">
        <v>177</v>
      </c>
      <c r="E1924">
        <v>3315.24</v>
      </c>
    </row>
    <row r="1925" spans="1:5" x14ac:dyDescent="0.25">
      <c r="A1925" s="1">
        <v>45388</v>
      </c>
      <c r="B1925">
        <v>3</v>
      </c>
      <c r="C1925" t="s">
        <v>7</v>
      </c>
      <c r="D1925">
        <v>222</v>
      </c>
      <c r="E1925">
        <v>3916.76</v>
      </c>
    </row>
    <row r="1926" spans="1:5" x14ac:dyDescent="0.25">
      <c r="A1926" s="1">
        <v>45389</v>
      </c>
      <c r="B1926">
        <v>3</v>
      </c>
      <c r="C1926" t="s">
        <v>7</v>
      </c>
      <c r="D1926">
        <v>216</v>
      </c>
      <c r="E1926">
        <v>3545.86</v>
      </c>
    </row>
    <row r="1927" spans="1:5" x14ac:dyDescent="0.25">
      <c r="A1927" s="1">
        <v>45390</v>
      </c>
      <c r="B1927">
        <v>3</v>
      </c>
      <c r="C1927" t="s">
        <v>7</v>
      </c>
      <c r="D1927">
        <v>176</v>
      </c>
      <c r="E1927">
        <v>3056.74</v>
      </c>
    </row>
    <row r="1928" spans="1:5" x14ac:dyDescent="0.25">
      <c r="A1928" s="1">
        <v>45391</v>
      </c>
      <c r="B1928">
        <v>3</v>
      </c>
      <c r="C1928" t="s">
        <v>7</v>
      </c>
      <c r="D1928">
        <v>203</v>
      </c>
      <c r="E1928">
        <v>3299.14</v>
      </c>
    </row>
    <row r="1929" spans="1:5" x14ac:dyDescent="0.25">
      <c r="A1929" s="1">
        <v>45392</v>
      </c>
      <c r="B1929">
        <v>3</v>
      </c>
      <c r="C1929" t="s">
        <v>7</v>
      </c>
      <c r="D1929">
        <v>164</v>
      </c>
      <c r="E1929">
        <v>2851.68</v>
      </c>
    </row>
    <row r="1930" spans="1:5" x14ac:dyDescent="0.25">
      <c r="A1930" s="1">
        <v>45393</v>
      </c>
      <c r="B1930">
        <v>3</v>
      </c>
      <c r="C1930" t="s">
        <v>7</v>
      </c>
      <c r="D1930">
        <v>224</v>
      </c>
      <c r="E1930">
        <v>3525.5</v>
      </c>
    </row>
    <row r="1931" spans="1:5" x14ac:dyDescent="0.25">
      <c r="A1931" s="1">
        <v>45394</v>
      </c>
      <c r="B1931">
        <v>3</v>
      </c>
      <c r="C1931" t="s">
        <v>7</v>
      </c>
      <c r="D1931">
        <v>170</v>
      </c>
      <c r="E1931">
        <v>2786.37</v>
      </c>
    </row>
    <row r="1932" spans="1:5" x14ac:dyDescent="0.25">
      <c r="A1932" s="1">
        <v>45395</v>
      </c>
      <c r="B1932">
        <v>3</v>
      </c>
      <c r="C1932" t="s">
        <v>7</v>
      </c>
      <c r="D1932">
        <v>210</v>
      </c>
      <c r="E1932">
        <v>3478.71</v>
      </c>
    </row>
    <row r="1933" spans="1:5" x14ac:dyDescent="0.25">
      <c r="A1933" s="1">
        <v>45396</v>
      </c>
      <c r="B1933">
        <v>3</v>
      </c>
      <c r="C1933" t="s">
        <v>7</v>
      </c>
      <c r="D1933">
        <v>205</v>
      </c>
      <c r="E1933">
        <v>3722.75</v>
      </c>
    </row>
    <row r="1934" spans="1:5" x14ac:dyDescent="0.25">
      <c r="A1934" s="1">
        <v>45397</v>
      </c>
      <c r="B1934">
        <v>3</v>
      </c>
      <c r="C1934" t="s">
        <v>7</v>
      </c>
      <c r="D1934">
        <v>152</v>
      </c>
      <c r="E1934">
        <v>2591.09</v>
      </c>
    </row>
    <row r="1935" spans="1:5" x14ac:dyDescent="0.25">
      <c r="A1935" s="1">
        <v>45398</v>
      </c>
      <c r="B1935">
        <v>3</v>
      </c>
      <c r="C1935" t="s">
        <v>7</v>
      </c>
      <c r="D1935">
        <v>143</v>
      </c>
      <c r="E1935">
        <v>2259.54</v>
      </c>
    </row>
    <row r="1936" spans="1:5" x14ac:dyDescent="0.25">
      <c r="A1936" s="1">
        <v>45399</v>
      </c>
      <c r="B1936">
        <v>3</v>
      </c>
      <c r="C1936" t="s">
        <v>7</v>
      </c>
      <c r="D1936">
        <v>201</v>
      </c>
      <c r="E1936">
        <v>3245.48</v>
      </c>
    </row>
    <row r="1937" spans="1:5" x14ac:dyDescent="0.25">
      <c r="A1937" s="1">
        <v>45400</v>
      </c>
      <c r="B1937">
        <v>3</v>
      </c>
      <c r="C1937" t="s">
        <v>7</v>
      </c>
      <c r="D1937">
        <v>200</v>
      </c>
      <c r="E1937">
        <v>3364.76</v>
      </c>
    </row>
    <row r="1938" spans="1:5" x14ac:dyDescent="0.25">
      <c r="A1938" s="1">
        <v>45401</v>
      </c>
      <c r="B1938">
        <v>3</v>
      </c>
      <c r="C1938" t="s">
        <v>7</v>
      </c>
      <c r="D1938">
        <v>184</v>
      </c>
      <c r="E1938">
        <v>3035.76</v>
      </c>
    </row>
    <row r="1939" spans="1:5" x14ac:dyDescent="0.25">
      <c r="A1939" s="1">
        <v>45402</v>
      </c>
      <c r="B1939">
        <v>3</v>
      </c>
      <c r="C1939" t="s">
        <v>7</v>
      </c>
      <c r="D1939">
        <v>203</v>
      </c>
      <c r="E1939">
        <v>3507.95</v>
      </c>
    </row>
    <row r="1940" spans="1:5" x14ac:dyDescent="0.25">
      <c r="A1940" s="1">
        <v>45403</v>
      </c>
      <c r="B1940">
        <v>3</v>
      </c>
      <c r="C1940" t="s">
        <v>7</v>
      </c>
      <c r="D1940">
        <v>229</v>
      </c>
      <c r="E1940">
        <v>3934.01</v>
      </c>
    </row>
    <row r="1941" spans="1:5" x14ac:dyDescent="0.25">
      <c r="A1941" s="1">
        <v>45404</v>
      </c>
      <c r="B1941">
        <v>3</v>
      </c>
      <c r="C1941" t="s">
        <v>7</v>
      </c>
      <c r="D1941">
        <v>186</v>
      </c>
      <c r="E1941">
        <v>3074.69</v>
      </c>
    </row>
    <row r="1942" spans="1:5" x14ac:dyDescent="0.25">
      <c r="A1942" s="1">
        <v>45405</v>
      </c>
      <c r="B1942">
        <v>3</v>
      </c>
      <c r="C1942" t="s">
        <v>7</v>
      </c>
      <c r="D1942">
        <v>199</v>
      </c>
      <c r="E1942">
        <v>3288.38</v>
      </c>
    </row>
    <row r="1943" spans="1:5" x14ac:dyDescent="0.25">
      <c r="A1943" s="1">
        <v>45406</v>
      </c>
      <c r="B1943">
        <v>3</v>
      </c>
      <c r="C1943" t="s">
        <v>7</v>
      </c>
      <c r="D1943">
        <v>210</v>
      </c>
      <c r="E1943">
        <v>3309.4</v>
      </c>
    </row>
    <row r="1944" spans="1:5" x14ac:dyDescent="0.25">
      <c r="A1944" s="1">
        <v>45407</v>
      </c>
      <c r="B1944">
        <v>3</v>
      </c>
      <c r="C1944" t="s">
        <v>7</v>
      </c>
      <c r="D1944">
        <v>137</v>
      </c>
      <c r="E1944">
        <v>2139.61</v>
      </c>
    </row>
    <row r="1945" spans="1:5" x14ac:dyDescent="0.25">
      <c r="A1945" s="1">
        <v>45408</v>
      </c>
      <c r="B1945">
        <v>3</v>
      </c>
      <c r="C1945" t="s">
        <v>7</v>
      </c>
      <c r="D1945">
        <v>216</v>
      </c>
      <c r="E1945">
        <v>3577.91</v>
      </c>
    </row>
    <row r="1946" spans="1:5" x14ac:dyDescent="0.25">
      <c r="A1946" s="1">
        <v>45409</v>
      </c>
      <c r="B1946">
        <v>3</v>
      </c>
      <c r="C1946" t="s">
        <v>7</v>
      </c>
      <c r="D1946">
        <v>230</v>
      </c>
      <c r="E1946">
        <v>3592.42</v>
      </c>
    </row>
    <row r="1947" spans="1:5" x14ac:dyDescent="0.25">
      <c r="A1947" s="1">
        <v>45410</v>
      </c>
      <c r="B1947">
        <v>3</v>
      </c>
      <c r="C1947" t="s">
        <v>7</v>
      </c>
      <c r="D1947">
        <v>219</v>
      </c>
      <c r="E1947">
        <v>3379.66</v>
      </c>
    </row>
    <row r="1948" spans="1:5" x14ac:dyDescent="0.25">
      <c r="A1948" s="1">
        <v>45411</v>
      </c>
      <c r="B1948">
        <v>3</v>
      </c>
      <c r="C1948" t="s">
        <v>7</v>
      </c>
      <c r="D1948">
        <v>197</v>
      </c>
      <c r="E1948">
        <v>3114.6</v>
      </c>
    </row>
    <row r="1949" spans="1:5" x14ac:dyDescent="0.25">
      <c r="A1949" s="1">
        <v>45412</v>
      </c>
      <c r="B1949">
        <v>3</v>
      </c>
      <c r="C1949" t="s">
        <v>7</v>
      </c>
      <c r="D1949">
        <v>182</v>
      </c>
      <c r="E1949">
        <v>2890.09</v>
      </c>
    </row>
    <row r="1950" spans="1:5" x14ac:dyDescent="0.25">
      <c r="A1950" s="1">
        <v>45413</v>
      </c>
      <c r="B1950">
        <v>3</v>
      </c>
      <c r="C1950" t="s">
        <v>7</v>
      </c>
      <c r="D1950">
        <v>197</v>
      </c>
      <c r="E1950">
        <v>3210.12</v>
      </c>
    </row>
    <row r="1951" spans="1:5" x14ac:dyDescent="0.25">
      <c r="A1951" s="1">
        <v>45414</v>
      </c>
      <c r="B1951">
        <v>3</v>
      </c>
      <c r="C1951" t="s">
        <v>7</v>
      </c>
      <c r="D1951">
        <v>204</v>
      </c>
      <c r="E1951">
        <v>3693.87</v>
      </c>
    </row>
    <row r="1952" spans="1:5" x14ac:dyDescent="0.25">
      <c r="A1952" s="1">
        <v>45415</v>
      </c>
      <c r="B1952">
        <v>3</v>
      </c>
      <c r="C1952" t="s">
        <v>7</v>
      </c>
      <c r="D1952">
        <v>217</v>
      </c>
      <c r="E1952">
        <v>3838.47</v>
      </c>
    </row>
    <row r="1953" spans="1:5" x14ac:dyDescent="0.25">
      <c r="A1953" s="1">
        <v>45416</v>
      </c>
      <c r="B1953">
        <v>3</v>
      </c>
      <c r="C1953" t="s">
        <v>7</v>
      </c>
      <c r="D1953">
        <v>225</v>
      </c>
      <c r="E1953">
        <v>3355.42</v>
      </c>
    </row>
    <row r="1954" spans="1:5" x14ac:dyDescent="0.25">
      <c r="A1954" s="1">
        <v>45417</v>
      </c>
      <c r="B1954">
        <v>3</v>
      </c>
      <c r="C1954" t="s">
        <v>7</v>
      </c>
      <c r="D1954">
        <v>226</v>
      </c>
      <c r="E1954">
        <v>3396.71</v>
      </c>
    </row>
    <row r="1955" spans="1:5" x14ac:dyDescent="0.25">
      <c r="A1955" s="1">
        <v>45418</v>
      </c>
      <c r="B1955">
        <v>3</v>
      </c>
      <c r="C1955" t="s">
        <v>7</v>
      </c>
      <c r="D1955">
        <v>188</v>
      </c>
      <c r="E1955">
        <v>3040.56</v>
      </c>
    </row>
    <row r="1956" spans="1:5" x14ac:dyDescent="0.25">
      <c r="A1956" s="1">
        <v>45419</v>
      </c>
      <c r="B1956">
        <v>3</v>
      </c>
      <c r="C1956" t="s">
        <v>7</v>
      </c>
      <c r="D1956">
        <v>181</v>
      </c>
      <c r="E1956">
        <v>2910.06</v>
      </c>
    </row>
    <row r="1957" spans="1:5" x14ac:dyDescent="0.25">
      <c r="A1957" s="1">
        <v>45420</v>
      </c>
      <c r="B1957">
        <v>3</v>
      </c>
      <c r="C1957" t="s">
        <v>7</v>
      </c>
      <c r="D1957">
        <v>185</v>
      </c>
      <c r="E1957">
        <v>3085.75</v>
      </c>
    </row>
    <row r="1958" spans="1:5" x14ac:dyDescent="0.25">
      <c r="A1958" s="1">
        <v>45421</v>
      </c>
      <c r="B1958">
        <v>3</v>
      </c>
      <c r="C1958" t="s">
        <v>7</v>
      </c>
      <c r="D1958">
        <v>226</v>
      </c>
      <c r="E1958">
        <v>3813.34</v>
      </c>
    </row>
    <row r="1959" spans="1:5" x14ac:dyDescent="0.25">
      <c r="A1959" s="1">
        <v>45422</v>
      </c>
      <c r="B1959">
        <v>3</v>
      </c>
      <c r="C1959" t="s">
        <v>7</v>
      </c>
      <c r="D1959">
        <v>214</v>
      </c>
      <c r="E1959">
        <v>3370.23</v>
      </c>
    </row>
    <row r="1960" spans="1:5" x14ac:dyDescent="0.25">
      <c r="A1960" s="1">
        <v>45423</v>
      </c>
      <c r="B1960">
        <v>3</v>
      </c>
      <c r="C1960" t="s">
        <v>7</v>
      </c>
      <c r="D1960">
        <v>204</v>
      </c>
      <c r="E1960">
        <v>3506.29</v>
      </c>
    </row>
    <row r="1961" spans="1:5" x14ac:dyDescent="0.25">
      <c r="A1961" s="1">
        <v>45424</v>
      </c>
      <c r="B1961">
        <v>3</v>
      </c>
      <c r="C1961" t="s">
        <v>7</v>
      </c>
      <c r="D1961">
        <v>213</v>
      </c>
      <c r="E1961">
        <v>3431.51</v>
      </c>
    </row>
    <row r="1962" spans="1:5" x14ac:dyDescent="0.25">
      <c r="A1962" s="1">
        <v>45425</v>
      </c>
      <c r="B1962">
        <v>3</v>
      </c>
      <c r="C1962" t="s">
        <v>7</v>
      </c>
      <c r="D1962">
        <v>173</v>
      </c>
      <c r="E1962">
        <v>2832.77</v>
      </c>
    </row>
    <row r="1963" spans="1:5" x14ac:dyDescent="0.25">
      <c r="A1963" s="1">
        <v>45426</v>
      </c>
      <c r="B1963">
        <v>3</v>
      </c>
      <c r="C1963" t="s">
        <v>7</v>
      </c>
      <c r="D1963">
        <v>230</v>
      </c>
      <c r="E1963">
        <v>3643.85</v>
      </c>
    </row>
    <row r="1964" spans="1:5" x14ac:dyDescent="0.25">
      <c r="A1964" s="1">
        <v>45427</v>
      </c>
      <c r="B1964">
        <v>3</v>
      </c>
      <c r="C1964" t="s">
        <v>7</v>
      </c>
      <c r="D1964">
        <v>204</v>
      </c>
      <c r="E1964">
        <v>3372.82</v>
      </c>
    </row>
    <row r="1965" spans="1:5" x14ac:dyDescent="0.25">
      <c r="A1965" s="1">
        <v>45428</v>
      </c>
      <c r="B1965">
        <v>3</v>
      </c>
      <c r="C1965" t="s">
        <v>7</v>
      </c>
      <c r="D1965">
        <v>189</v>
      </c>
      <c r="E1965">
        <v>2907.48</v>
      </c>
    </row>
    <row r="1966" spans="1:5" x14ac:dyDescent="0.25">
      <c r="A1966" s="1">
        <v>45429</v>
      </c>
      <c r="B1966">
        <v>3</v>
      </c>
      <c r="C1966" t="s">
        <v>7</v>
      </c>
      <c r="D1966">
        <v>176</v>
      </c>
      <c r="E1966">
        <v>2883.56</v>
      </c>
    </row>
    <row r="1967" spans="1:5" x14ac:dyDescent="0.25">
      <c r="A1967" s="1">
        <v>45430</v>
      </c>
      <c r="B1967">
        <v>3</v>
      </c>
      <c r="C1967" t="s">
        <v>7</v>
      </c>
      <c r="D1967">
        <v>242</v>
      </c>
      <c r="E1967">
        <v>3874.78</v>
      </c>
    </row>
    <row r="1968" spans="1:5" x14ac:dyDescent="0.25">
      <c r="A1968" s="1">
        <v>45431</v>
      </c>
      <c r="B1968">
        <v>3</v>
      </c>
      <c r="C1968" t="s">
        <v>7</v>
      </c>
      <c r="D1968">
        <v>225</v>
      </c>
      <c r="E1968">
        <v>3674.57</v>
      </c>
    </row>
    <row r="1969" spans="1:5" x14ac:dyDescent="0.25">
      <c r="A1969" s="1">
        <v>45432</v>
      </c>
      <c r="B1969">
        <v>3</v>
      </c>
      <c r="C1969" t="s">
        <v>7</v>
      </c>
      <c r="D1969">
        <v>176</v>
      </c>
      <c r="E1969">
        <v>2606.31</v>
      </c>
    </row>
    <row r="1970" spans="1:5" x14ac:dyDescent="0.25">
      <c r="A1970" s="1">
        <v>45433</v>
      </c>
      <c r="B1970">
        <v>3</v>
      </c>
      <c r="C1970" t="s">
        <v>7</v>
      </c>
      <c r="D1970">
        <v>200</v>
      </c>
      <c r="E1970">
        <v>3095.62</v>
      </c>
    </row>
    <row r="1971" spans="1:5" x14ac:dyDescent="0.25">
      <c r="A1971" s="1">
        <v>45434</v>
      </c>
      <c r="B1971">
        <v>3</v>
      </c>
      <c r="C1971" t="s">
        <v>7</v>
      </c>
      <c r="D1971">
        <v>189</v>
      </c>
      <c r="E1971">
        <v>2979.51</v>
      </c>
    </row>
    <row r="1972" spans="1:5" x14ac:dyDescent="0.25">
      <c r="A1972" s="1">
        <v>45435</v>
      </c>
      <c r="B1972">
        <v>3</v>
      </c>
      <c r="C1972" t="s">
        <v>7</v>
      </c>
      <c r="D1972">
        <v>167</v>
      </c>
      <c r="E1972">
        <v>2686.36</v>
      </c>
    </row>
    <row r="1973" spans="1:5" x14ac:dyDescent="0.25">
      <c r="A1973" s="1">
        <v>45436</v>
      </c>
      <c r="B1973">
        <v>3</v>
      </c>
      <c r="C1973" t="s">
        <v>7</v>
      </c>
      <c r="D1973">
        <v>226</v>
      </c>
      <c r="E1973">
        <v>3656.85</v>
      </c>
    </row>
    <row r="1974" spans="1:5" x14ac:dyDescent="0.25">
      <c r="A1974" s="1">
        <v>45437</v>
      </c>
      <c r="B1974">
        <v>3</v>
      </c>
      <c r="C1974" t="s">
        <v>7</v>
      </c>
      <c r="D1974">
        <v>226</v>
      </c>
      <c r="E1974">
        <v>3878.57</v>
      </c>
    </row>
    <row r="1975" spans="1:5" x14ac:dyDescent="0.25">
      <c r="A1975" s="1">
        <v>45438</v>
      </c>
      <c r="B1975">
        <v>3</v>
      </c>
      <c r="C1975" t="s">
        <v>7</v>
      </c>
      <c r="D1975">
        <v>244</v>
      </c>
      <c r="E1975">
        <v>3888.86</v>
      </c>
    </row>
    <row r="1976" spans="1:5" x14ac:dyDescent="0.25">
      <c r="A1976" s="1">
        <v>45439</v>
      </c>
      <c r="B1976">
        <v>3</v>
      </c>
      <c r="C1976" t="s">
        <v>7</v>
      </c>
      <c r="D1976">
        <v>197</v>
      </c>
      <c r="E1976">
        <v>3120.9</v>
      </c>
    </row>
    <row r="1977" spans="1:5" x14ac:dyDescent="0.25">
      <c r="A1977" s="1">
        <v>45440</v>
      </c>
      <c r="B1977">
        <v>3</v>
      </c>
      <c r="C1977" t="s">
        <v>7</v>
      </c>
      <c r="D1977">
        <v>167</v>
      </c>
      <c r="E1977">
        <v>2783.2</v>
      </c>
    </row>
    <row r="1978" spans="1:5" x14ac:dyDescent="0.25">
      <c r="A1978" s="1">
        <v>45441</v>
      </c>
      <c r="B1978">
        <v>3</v>
      </c>
      <c r="C1978" t="s">
        <v>7</v>
      </c>
      <c r="D1978">
        <v>203</v>
      </c>
      <c r="E1978">
        <v>3443.31</v>
      </c>
    </row>
    <row r="1979" spans="1:5" x14ac:dyDescent="0.25">
      <c r="A1979" s="1">
        <v>45442</v>
      </c>
      <c r="B1979">
        <v>3</v>
      </c>
      <c r="C1979" t="s">
        <v>7</v>
      </c>
      <c r="D1979">
        <v>187</v>
      </c>
      <c r="E1979">
        <v>3124.2</v>
      </c>
    </row>
    <row r="1980" spans="1:5" x14ac:dyDescent="0.25">
      <c r="A1980" s="1">
        <v>45443</v>
      </c>
      <c r="B1980">
        <v>3</v>
      </c>
      <c r="C1980" t="s">
        <v>7</v>
      </c>
      <c r="D1980">
        <v>211</v>
      </c>
      <c r="E1980">
        <v>3699.13</v>
      </c>
    </row>
    <row r="1981" spans="1:5" x14ac:dyDescent="0.25">
      <c r="A1981" s="1">
        <v>45444</v>
      </c>
      <c r="B1981">
        <v>3</v>
      </c>
      <c r="C1981" t="s">
        <v>7</v>
      </c>
      <c r="D1981">
        <v>238</v>
      </c>
      <c r="E1981">
        <v>3803.59</v>
      </c>
    </row>
    <row r="1982" spans="1:5" x14ac:dyDescent="0.25">
      <c r="A1982" s="1">
        <v>45445</v>
      </c>
      <c r="B1982">
        <v>3</v>
      </c>
      <c r="C1982" t="s">
        <v>7</v>
      </c>
      <c r="D1982">
        <v>208</v>
      </c>
      <c r="E1982">
        <v>3247.76</v>
      </c>
    </row>
    <row r="1983" spans="1:5" x14ac:dyDescent="0.25">
      <c r="A1983" s="1">
        <v>45446</v>
      </c>
      <c r="B1983">
        <v>3</v>
      </c>
      <c r="C1983" t="s">
        <v>7</v>
      </c>
      <c r="D1983">
        <v>228</v>
      </c>
      <c r="E1983">
        <v>3702.93</v>
      </c>
    </row>
    <row r="1984" spans="1:5" x14ac:dyDescent="0.25">
      <c r="A1984" s="1">
        <v>45447</v>
      </c>
      <c r="B1984">
        <v>3</v>
      </c>
      <c r="C1984" t="s">
        <v>7</v>
      </c>
      <c r="D1984">
        <v>217</v>
      </c>
      <c r="E1984">
        <v>3585.27</v>
      </c>
    </row>
    <row r="1985" spans="1:5" x14ac:dyDescent="0.25">
      <c r="A1985" s="1">
        <v>45448</v>
      </c>
      <c r="B1985">
        <v>3</v>
      </c>
      <c r="C1985" t="s">
        <v>7</v>
      </c>
      <c r="D1985">
        <v>215</v>
      </c>
      <c r="E1985">
        <v>3768.92</v>
      </c>
    </row>
    <row r="1986" spans="1:5" x14ac:dyDescent="0.25">
      <c r="A1986" s="1">
        <v>45449</v>
      </c>
      <c r="B1986">
        <v>3</v>
      </c>
      <c r="C1986" t="s">
        <v>7</v>
      </c>
      <c r="D1986">
        <v>217</v>
      </c>
      <c r="E1986">
        <v>3800.77</v>
      </c>
    </row>
    <row r="1987" spans="1:5" x14ac:dyDescent="0.25">
      <c r="A1987" s="1">
        <v>45450</v>
      </c>
      <c r="B1987">
        <v>3</v>
      </c>
      <c r="C1987" t="s">
        <v>7</v>
      </c>
      <c r="D1987">
        <v>200</v>
      </c>
      <c r="E1987">
        <v>3387.9</v>
      </c>
    </row>
    <row r="1988" spans="1:5" x14ac:dyDescent="0.25">
      <c r="A1988" s="1">
        <v>45451</v>
      </c>
      <c r="B1988">
        <v>3</v>
      </c>
      <c r="C1988" t="s">
        <v>7</v>
      </c>
      <c r="D1988">
        <v>244</v>
      </c>
      <c r="E1988">
        <v>4211.82</v>
      </c>
    </row>
    <row r="1989" spans="1:5" x14ac:dyDescent="0.25">
      <c r="A1989" s="1">
        <v>45452</v>
      </c>
      <c r="B1989">
        <v>3</v>
      </c>
      <c r="C1989" t="s">
        <v>7</v>
      </c>
      <c r="D1989">
        <v>198</v>
      </c>
      <c r="E1989">
        <v>3649.12</v>
      </c>
    </row>
    <row r="1990" spans="1:5" x14ac:dyDescent="0.25">
      <c r="A1990" s="1">
        <v>45453</v>
      </c>
      <c r="B1990">
        <v>3</v>
      </c>
      <c r="C1990" t="s">
        <v>7</v>
      </c>
      <c r="D1990">
        <v>228</v>
      </c>
      <c r="E1990">
        <v>3736.38</v>
      </c>
    </row>
    <row r="1991" spans="1:5" x14ac:dyDescent="0.25">
      <c r="A1991" s="1">
        <v>45454</v>
      </c>
      <c r="B1991">
        <v>3</v>
      </c>
      <c r="C1991" t="s">
        <v>7</v>
      </c>
      <c r="D1991">
        <v>223</v>
      </c>
      <c r="E1991">
        <v>3843.63</v>
      </c>
    </row>
    <row r="1992" spans="1:5" x14ac:dyDescent="0.25">
      <c r="A1992" s="1">
        <v>45455</v>
      </c>
      <c r="B1992">
        <v>3</v>
      </c>
      <c r="C1992" t="s">
        <v>7</v>
      </c>
      <c r="D1992">
        <v>247</v>
      </c>
      <c r="E1992">
        <v>3741.55</v>
      </c>
    </row>
    <row r="1993" spans="1:5" x14ac:dyDescent="0.25">
      <c r="A1993" s="1">
        <v>45456</v>
      </c>
      <c r="B1993">
        <v>3</v>
      </c>
      <c r="C1993" t="s">
        <v>7</v>
      </c>
      <c r="D1993">
        <v>232</v>
      </c>
      <c r="E1993">
        <v>3907.78</v>
      </c>
    </row>
    <row r="1994" spans="1:5" x14ac:dyDescent="0.25">
      <c r="A1994" s="1">
        <v>45457</v>
      </c>
      <c r="B1994">
        <v>3</v>
      </c>
      <c r="C1994" t="s">
        <v>7</v>
      </c>
      <c r="D1994">
        <v>220</v>
      </c>
      <c r="E1994">
        <v>3720.1</v>
      </c>
    </row>
    <row r="1995" spans="1:5" x14ac:dyDescent="0.25">
      <c r="A1995" s="1">
        <v>45458</v>
      </c>
      <c r="B1995">
        <v>3</v>
      </c>
      <c r="C1995" t="s">
        <v>7</v>
      </c>
      <c r="D1995">
        <v>276</v>
      </c>
      <c r="E1995">
        <v>4453.29</v>
      </c>
    </row>
    <row r="1996" spans="1:5" x14ac:dyDescent="0.25">
      <c r="A1996" s="1">
        <v>45459</v>
      </c>
      <c r="B1996">
        <v>3</v>
      </c>
      <c r="C1996" t="s">
        <v>7</v>
      </c>
      <c r="D1996">
        <v>238</v>
      </c>
      <c r="E1996">
        <v>3830.59</v>
      </c>
    </row>
    <row r="1997" spans="1:5" x14ac:dyDescent="0.25">
      <c r="A1997" s="1">
        <v>45460</v>
      </c>
      <c r="B1997">
        <v>3</v>
      </c>
      <c r="C1997" t="s">
        <v>7</v>
      </c>
      <c r="D1997">
        <v>237</v>
      </c>
      <c r="E1997">
        <v>3846.23</v>
      </c>
    </row>
    <row r="1998" spans="1:5" x14ac:dyDescent="0.25">
      <c r="A1998" s="1">
        <v>45461</v>
      </c>
      <c r="B1998">
        <v>3</v>
      </c>
      <c r="C1998" t="s">
        <v>7</v>
      </c>
      <c r="D1998">
        <v>209</v>
      </c>
      <c r="E1998">
        <v>3468.73</v>
      </c>
    </row>
    <row r="1999" spans="1:5" x14ac:dyDescent="0.25">
      <c r="A1999" s="1">
        <v>45462</v>
      </c>
      <c r="B1999">
        <v>3</v>
      </c>
      <c r="C1999" t="s">
        <v>7</v>
      </c>
      <c r="D1999">
        <v>247</v>
      </c>
      <c r="E1999">
        <v>4126.51</v>
      </c>
    </row>
    <row r="2000" spans="1:5" x14ac:dyDescent="0.25">
      <c r="A2000" s="1">
        <v>45463</v>
      </c>
      <c r="B2000">
        <v>3</v>
      </c>
      <c r="C2000" t="s">
        <v>7</v>
      </c>
      <c r="D2000">
        <v>185</v>
      </c>
      <c r="E2000">
        <v>3012.66</v>
      </c>
    </row>
    <row r="2001" spans="1:5" x14ac:dyDescent="0.25">
      <c r="A2001" s="1">
        <v>45464</v>
      </c>
      <c r="B2001">
        <v>3</v>
      </c>
      <c r="C2001" t="s">
        <v>7</v>
      </c>
      <c r="D2001">
        <v>227</v>
      </c>
      <c r="E2001">
        <v>3627.8</v>
      </c>
    </row>
    <row r="2002" spans="1:5" x14ac:dyDescent="0.25">
      <c r="A2002" s="1">
        <v>45465</v>
      </c>
      <c r="B2002">
        <v>3</v>
      </c>
      <c r="C2002" t="s">
        <v>7</v>
      </c>
      <c r="D2002">
        <v>251</v>
      </c>
      <c r="E2002">
        <v>4020.74</v>
      </c>
    </row>
    <row r="2003" spans="1:5" x14ac:dyDescent="0.25">
      <c r="A2003" s="1">
        <v>45466</v>
      </c>
      <c r="B2003">
        <v>3</v>
      </c>
      <c r="C2003" t="s">
        <v>7</v>
      </c>
      <c r="D2003">
        <v>263</v>
      </c>
      <c r="E2003">
        <v>4555.57</v>
      </c>
    </row>
    <row r="2004" spans="1:5" x14ac:dyDescent="0.25">
      <c r="A2004" s="1">
        <v>45467</v>
      </c>
      <c r="B2004">
        <v>3</v>
      </c>
      <c r="C2004" t="s">
        <v>7</v>
      </c>
      <c r="D2004">
        <v>207</v>
      </c>
      <c r="E2004">
        <v>3493.98</v>
      </c>
    </row>
    <row r="2005" spans="1:5" x14ac:dyDescent="0.25">
      <c r="A2005" s="1">
        <v>45468</v>
      </c>
      <c r="B2005">
        <v>3</v>
      </c>
      <c r="C2005" t="s">
        <v>7</v>
      </c>
      <c r="D2005">
        <v>225</v>
      </c>
      <c r="E2005">
        <v>3555.46</v>
      </c>
    </row>
    <row r="2006" spans="1:5" x14ac:dyDescent="0.25">
      <c r="A2006" s="1">
        <v>45469</v>
      </c>
      <c r="B2006">
        <v>3</v>
      </c>
      <c r="C2006" t="s">
        <v>7</v>
      </c>
      <c r="D2006">
        <v>204</v>
      </c>
      <c r="E2006">
        <v>3161.61</v>
      </c>
    </row>
    <row r="2007" spans="1:5" x14ac:dyDescent="0.25">
      <c r="A2007" s="1">
        <v>45470</v>
      </c>
      <c r="B2007">
        <v>3</v>
      </c>
      <c r="C2007" t="s">
        <v>7</v>
      </c>
      <c r="D2007">
        <v>240</v>
      </c>
      <c r="E2007">
        <v>4221.17</v>
      </c>
    </row>
    <row r="2008" spans="1:5" x14ac:dyDescent="0.25">
      <c r="A2008" s="1">
        <v>45471</v>
      </c>
      <c r="B2008">
        <v>3</v>
      </c>
      <c r="C2008" t="s">
        <v>7</v>
      </c>
      <c r="D2008">
        <v>270</v>
      </c>
      <c r="E2008">
        <v>4473.47</v>
      </c>
    </row>
    <row r="2009" spans="1:5" x14ac:dyDescent="0.25">
      <c r="A2009" s="1">
        <v>45472</v>
      </c>
      <c r="B2009">
        <v>3</v>
      </c>
      <c r="C2009" t="s">
        <v>7</v>
      </c>
      <c r="D2009">
        <v>213</v>
      </c>
      <c r="E2009">
        <v>3314.06</v>
      </c>
    </row>
    <row r="2010" spans="1:5" x14ac:dyDescent="0.25">
      <c r="A2010" s="1">
        <v>45473</v>
      </c>
      <c r="B2010">
        <v>3</v>
      </c>
      <c r="C2010" t="s">
        <v>7</v>
      </c>
      <c r="D2010">
        <v>287</v>
      </c>
      <c r="E2010">
        <v>4792.67</v>
      </c>
    </row>
    <row r="2011" spans="1:5" x14ac:dyDescent="0.25">
      <c r="A2011" s="1">
        <v>45474</v>
      </c>
      <c r="B2011">
        <v>3</v>
      </c>
      <c r="C2011" t="s">
        <v>7</v>
      </c>
      <c r="D2011">
        <v>231</v>
      </c>
      <c r="E2011">
        <v>3743.03</v>
      </c>
    </row>
    <row r="2012" spans="1:5" x14ac:dyDescent="0.25">
      <c r="A2012" s="1">
        <v>45475</v>
      </c>
      <c r="B2012">
        <v>3</v>
      </c>
      <c r="C2012" t="s">
        <v>7</v>
      </c>
      <c r="D2012">
        <v>289</v>
      </c>
      <c r="E2012">
        <v>4861.2299999999996</v>
      </c>
    </row>
    <row r="2013" spans="1:5" x14ac:dyDescent="0.25">
      <c r="A2013" s="1">
        <v>45476</v>
      </c>
      <c r="B2013">
        <v>3</v>
      </c>
      <c r="C2013" t="s">
        <v>7</v>
      </c>
      <c r="D2013">
        <v>249</v>
      </c>
      <c r="E2013">
        <v>3946.39</v>
      </c>
    </row>
    <row r="2014" spans="1:5" x14ac:dyDescent="0.25">
      <c r="A2014" s="1">
        <v>45477</v>
      </c>
      <c r="B2014">
        <v>3</v>
      </c>
      <c r="C2014" t="s">
        <v>7</v>
      </c>
      <c r="D2014">
        <v>248</v>
      </c>
      <c r="E2014">
        <v>3977.54</v>
      </c>
    </row>
    <row r="2015" spans="1:5" x14ac:dyDescent="0.25">
      <c r="A2015" s="1">
        <v>45478</v>
      </c>
      <c r="B2015">
        <v>3</v>
      </c>
      <c r="C2015" t="s">
        <v>7</v>
      </c>
      <c r="D2015">
        <v>223</v>
      </c>
      <c r="E2015">
        <v>3950.94</v>
      </c>
    </row>
    <row r="2016" spans="1:5" x14ac:dyDescent="0.25">
      <c r="A2016" s="1">
        <v>45479</v>
      </c>
      <c r="B2016">
        <v>3</v>
      </c>
      <c r="C2016" t="s">
        <v>7</v>
      </c>
      <c r="D2016">
        <v>285</v>
      </c>
      <c r="E2016">
        <v>4660.08</v>
      </c>
    </row>
    <row r="2017" spans="1:5" x14ac:dyDescent="0.25">
      <c r="A2017" s="1">
        <v>45480</v>
      </c>
      <c r="B2017">
        <v>3</v>
      </c>
      <c r="C2017" t="s">
        <v>7</v>
      </c>
      <c r="D2017">
        <v>294</v>
      </c>
      <c r="E2017">
        <v>4734.3</v>
      </c>
    </row>
    <row r="2018" spans="1:5" x14ac:dyDescent="0.25">
      <c r="A2018" s="1">
        <v>45481</v>
      </c>
      <c r="B2018">
        <v>3</v>
      </c>
      <c r="C2018" t="s">
        <v>7</v>
      </c>
      <c r="D2018">
        <v>253</v>
      </c>
      <c r="E2018">
        <v>4104.67</v>
      </c>
    </row>
    <row r="2019" spans="1:5" x14ac:dyDescent="0.25">
      <c r="A2019" s="1">
        <v>45482</v>
      </c>
      <c r="B2019">
        <v>3</v>
      </c>
      <c r="C2019" t="s">
        <v>7</v>
      </c>
      <c r="D2019">
        <v>230</v>
      </c>
      <c r="E2019">
        <v>3939.77</v>
      </c>
    </row>
    <row r="2020" spans="1:5" x14ac:dyDescent="0.25">
      <c r="A2020" s="1">
        <v>45483</v>
      </c>
      <c r="B2020">
        <v>3</v>
      </c>
      <c r="C2020" t="s">
        <v>7</v>
      </c>
      <c r="D2020">
        <v>251</v>
      </c>
      <c r="E2020">
        <v>3973.53</v>
      </c>
    </row>
    <row r="2021" spans="1:5" x14ac:dyDescent="0.25">
      <c r="A2021" s="1">
        <v>45484</v>
      </c>
      <c r="B2021">
        <v>3</v>
      </c>
      <c r="C2021" t="s">
        <v>7</v>
      </c>
      <c r="D2021">
        <v>245</v>
      </c>
      <c r="E2021">
        <v>3906.65</v>
      </c>
    </row>
    <row r="2022" spans="1:5" x14ac:dyDescent="0.25">
      <c r="A2022" s="1">
        <v>45485</v>
      </c>
      <c r="B2022">
        <v>3</v>
      </c>
      <c r="C2022" t="s">
        <v>7</v>
      </c>
      <c r="D2022">
        <v>221</v>
      </c>
      <c r="E2022">
        <v>3448.99</v>
      </c>
    </row>
    <row r="2023" spans="1:5" x14ac:dyDescent="0.25">
      <c r="A2023" s="1">
        <v>45486</v>
      </c>
      <c r="B2023">
        <v>3</v>
      </c>
      <c r="C2023" t="s">
        <v>7</v>
      </c>
      <c r="D2023">
        <v>279</v>
      </c>
      <c r="E2023">
        <v>4871.78</v>
      </c>
    </row>
    <row r="2024" spans="1:5" x14ac:dyDescent="0.25">
      <c r="A2024" s="1">
        <v>45487</v>
      </c>
      <c r="B2024">
        <v>3</v>
      </c>
      <c r="C2024" t="s">
        <v>7</v>
      </c>
      <c r="D2024">
        <v>281</v>
      </c>
      <c r="E2024">
        <v>4557.46</v>
      </c>
    </row>
    <row r="2025" spans="1:5" x14ac:dyDescent="0.25">
      <c r="A2025" s="1">
        <v>45488</v>
      </c>
      <c r="B2025">
        <v>3</v>
      </c>
      <c r="C2025" t="s">
        <v>7</v>
      </c>
      <c r="D2025">
        <v>210</v>
      </c>
      <c r="E2025">
        <v>3486.49</v>
      </c>
    </row>
    <row r="2026" spans="1:5" x14ac:dyDescent="0.25">
      <c r="A2026" s="1">
        <v>45489</v>
      </c>
      <c r="B2026">
        <v>3</v>
      </c>
      <c r="C2026" t="s">
        <v>7</v>
      </c>
      <c r="D2026">
        <v>254</v>
      </c>
      <c r="E2026">
        <v>4231.74</v>
      </c>
    </row>
    <row r="2027" spans="1:5" x14ac:dyDescent="0.25">
      <c r="A2027" s="1">
        <v>45490</v>
      </c>
      <c r="B2027">
        <v>3</v>
      </c>
      <c r="C2027" t="s">
        <v>7</v>
      </c>
      <c r="D2027">
        <v>235</v>
      </c>
      <c r="E2027">
        <v>3767.9</v>
      </c>
    </row>
    <row r="2028" spans="1:5" x14ac:dyDescent="0.25">
      <c r="A2028" s="1">
        <v>45491</v>
      </c>
      <c r="B2028">
        <v>3</v>
      </c>
      <c r="C2028" t="s">
        <v>7</v>
      </c>
      <c r="D2028">
        <v>232</v>
      </c>
      <c r="E2028">
        <v>3428.31</v>
      </c>
    </row>
    <row r="2029" spans="1:5" x14ac:dyDescent="0.25">
      <c r="A2029" s="1">
        <v>45492</v>
      </c>
      <c r="B2029">
        <v>3</v>
      </c>
      <c r="C2029" t="s">
        <v>7</v>
      </c>
      <c r="D2029">
        <v>243</v>
      </c>
      <c r="E2029">
        <v>4191.59</v>
      </c>
    </row>
    <row r="2030" spans="1:5" x14ac:dyDescent="0.25">
      <c r="A2030" s="1">
        <v>45493</v>
      </c>
      <c r="B2030">
        <v>3</v>
      </c>
      <c r="C2030" t="s">
        <v>7</v>
      </c>
      <c r="D2030">
        <v>290</v>
      </c>
      <c r="E2030">
        <v>4403.3599999999997</v>
      </c>
    </row>
    <row r="2031" spans="1:5" x14ac:dyDescent="0.25">
      <c r="A2031" s="1">
        <v>45494</v>
      </c>
      <c r="B2031">
        <v>3</v>
      </c>
      <c r="C2031" t="s">
        <v>7</v>
      </c>
      <c r="D2031">
        <v>252</v>
      </c>
      <c r="E2031">
        <v>4416.8500000000004</v>
      </c>
    </row>
    <row r="2032" spans="1:5" x14ac:dyDescent="0.25">
      <c r="A2032" s="1">
        <v>45495</v>
      </c>
      <c r="B2032">
        <v>3</v>
      </c>
      <c r="C2032" t="s">
        <v>7</v>
      </c>
      <c r="D2032">
        <v>302</v>
      </c>
      <c r="E2032">
        <v>5175.41</v>
      </c>
    </row>
    <row r="2033" spans="1:5" x14ac:dyDescent="0.25">
      <c r="A2033" s="1">
        <v>45496</v>
      </c>
      <c r="B2033">
        <v>3</v>
      </c>
      <c r="C2033" t="s">
        <v>7</v>
      </c>
      <c r="D2033">
        <v>269</v>
      </c>
      <c r="E2033">
        <v>4572.4399999999996</v>
      </c>
    </row>
    <row r="2034" spans="1:5" x14ac:dyDescent="0.25">
      <c r="A2034" s="1">
        <v>45497</v>
      </c>
      <c r="B2034">
        <v>3</v>
      </c>
      <c r="C2034" t="s">
        <v>7</v>
      </c>
      <c r="D2034">
        <v>240</v>
      </c>
      <c r="E2034">
        <v>4101.2</v>
      </c>
    </row>
    <row r="2035" spans="1:5" x14ac:dyDescent="0.25">
      <c r="A2035" s="1">
        <v>45498</v>
      </c>
      <c r="B2035">
        <v>3</v>
      </c>
      <c r="C2035" t="s">
        <v>7</v>
      </c>
      <c r="D2035">
        <v>283</v>
      </c>
      <c r="E2035">
        <v>4618.0600000000004</v>
      </c>
    </row>
    <row r="2036" spans="1:5" x14ac:dyDescent="0.25">
      <c r="A2036" s="1">
        <v>45499</v>
      </c>
      <c r="B2036">
        <v>3</v>
      </c>
      <c r="C2036" t="s">
        <v>7</v>
      </c>
      <c r="D2036">
        <v>248</v>
      </c>
      <c r="E2036">
        <v>4247.8100000000004</v>
      </c>
    </row>
    <row r="2037" spans="1:5" x14ac:dyDescent="0.25">
      <c r="A2037" s="1">
        <v>45500</v>
      </c>
      <c r="B2037">
        <v>3</v>
      </c>
      <c r="C2037" t="s">
        <v>7</v>
      </c>
      <c r="D2037">
        <v>286</v>
      </c>
      <c r="E2037">
        <v>4668.49</v>
      </c>
    </row>
    <row r="2038" spans="1:5" x14ac:dyDescent="0.25">
      <c r="A2038" s="1">
        <v>45501</v>
      </c>
      <c r="B2038">
        <v>3</v>
      </c>
      <c r="C2038" t="s">
        <v>7</v>
      </c>
      <c r="D2038">
        <v>313</v>
      </c>
      <c r="E2038">
        <v>5216.8999999999996</v>
      </c>
    </row>
    <row r="2039" spans="1:5" x14ac:dyDescent="0.25">
      <c r="A2039" s="1">
        <v>45502</v>
      </c>
      <c r="B2039">
        <v>3</v>
      </c>
      <c r="C2039" t="s">
        <v>7</v>
      </c>
      <c r="D2039">
        <v>253</v>
      </c>
      <c r="E2039">
        <v>3953.77</v>
      </c>
    </row>
    <row r="2040" spans="1:5" x14ac:dyDescent="0.25">
      <c r="A2040" s="1">
        <v>45503</v>
      </c>
      <c r="B2040">
        <v>3</v>
      </c>
      <c r="C2040" t="s">
        <v>7</v>
      </c>
      <c r="D2040">
        <v>278</v>
      </c>
      <c r="E2040">
        <v>4859.0200000000004</v>
      </c>
    </row>
    <row r="2041" spans="1:5" x14ac:dyDescent="0.25">
      <c r="A2041" s="1">
        <v>45504</v>
      </c>
      <c r="B2041">
        <v>3</v>
      </c>
      <c r="C2041" t="s">
        <v>7</v>
      </c>
      <c r="D2041">
        <v>281</v>
      </c>
      <c r="E2041">
        <v>4615.37</v>
      </c>
    </row>
    <row r="2042" spans="1:5" x14ac:dyDescent="0.25">
      <c r="A2042" s="1">
        <v>45505</v>
      </c>
      <c r="B2042">
        <v>3</v>
      </c>
      <c r="C2042" t="s">
        <v>7</v>
      </c>
      <c r="D2042">
        <v>229</v>
      </c>
      <c r="E2042">
        <v>3857.31</v>
      </c>
    </row>
    <row r="2043" spans="1:5" x14ac:dyDescent="0.25">
      <c r="A2043" s="1">
        <v>45506</v>
      </c>
      <c r="B2043">
        <v>3</v>
      </c>
      <c r="C2043" t="s">
        <v>7</v>
      </c>
      <c r="D2043">
        <v>256</v>
      </c>
      <c r="E2043">
        <v>4543.68</v>
      </c>
    </row>
    <row r="2044" spans="1:5" x14ac:dyDescent="0.25">
      <c r="A2044" s="1">
        <v>45507</v>
      </c>
      <c r="B2044">
        <v>3</v>
      </c>
      <c r="C2044" t="s">
        <v>7</v>
      </c>
      <c r="D2044">
        <v>292</v>
      </c>
      <c r="E2044">
        <v>4780.3500000000004</v>
      </c>
    </row>
    <row r="2045" spans="1:5" x14ac:dyDescent="0.25">
      <c r="A2045" s="1">
        <v>45508</v>
      </c>
      <c r="B2045">
        <v>3</v>
      </c>
      <c r="C2045" t="s">
        <v>7</v>
      </c>
      <c r="D2045">
        <v>298</v>
      </c>
      <c r="E2045">
        <v>4807.83</v>
      </c>
    </row>
    <row r="2046" spans="1:5" x14ac:dyDescent="0.25">
      <c r="A2046" s="1">
        <v>45509</v>
      </c>
      <c r="B2046">
        <v>3</v>
      </c>
      <c r="C2046" t="s">
        <v>7</v>
      </c>
      <c r="D2046">
        <v>270</v>
      </c>
      <c r="E2046">
        <v>4857.18</v>
      </c>
    </row>
    <row r="2047" spans="1:5" x14ac:dyDescent="0.25">
      <c r="A2047" s="1">
        <v>45510</v>
      </c>
      <c r="B2047">
        <v>3</v>
      </c>
      <c r="C2047" t="s">
        <v>7</v>
      </c>
      <c r="D2047">
        <v>274</v>
      </c>
      <c r="E2047">
        <v>4180.24</v>
      </c>
    </row>
    <row r="2048" spans="1:5" x14ac:dyDescent="0.25">
      <c r="A2048" s="1">
        <v>45511</v>
      </c>
      <c r="B2048">
        <v>3</v>
      </c>
      <c r="C2048" t="s">
        <v>7</v>
      </c>
      <c r="D2048">
        <v>291</v>
      </c>
      <c r="E2048">
        <v>4872.5600000000004</v>
      </c>
    </row>
    <row r="2049" spans="1:5" x14ac:dyDescent="0.25">
      <c r="A2049" s="1">
        <v>45512</v>
      </c>
      <c r="B2049">
        <v>3</v>
      </c>
      <c r="C2049" t="s">
        <v>7</v>
      </c>
      <c r="D2049">
        <v>270</v>
      </c>
      <c r="E2049">
        <v>4487.33</v>
      </c>
    </row>
    <row r="2050" spans="1:5" x14ac:dyDescent="0.25">
      <c r="A2050" s="1">
        <v>45513</v>
      </c>
      <c r="B2050">
        <v>3</v>
      </c>
      <c r="C2050" t="s">
        <v>7</v>
      </c>
      <c r="D2050">
        <v>262</v>
      </c>
      <c r="E2050">
        <v>4280.1000000000004</v>
      </c>
    </row>
    <row r="2051" spans="1:5" x14ac:dyDescent="0.25">
      <c r="A2051" s="1">
        <v>45514</v>
      </c>
      <c r="B2051">
        <v>3</v>
      </c>
      <c r="C2051" t="s">
        <v>7</v>
      </c>
      <c r="D2051">
        <v>300</v>
      </c>
      <c r="E2051">
        <v>4950.03</v>
      </c>
    </row>
    <row r="2052" spans="1:5" x14ac:dyDescent="0.25">
      <c r="A2052" s="1">
        <v>45515</v>
      </c>
      <c r="B2052">
        <v>3</v>
      </c>
      <c r="C2052" t="s">
        <v>7</v>
      </c>
      <c r="D2052">
        <v>347</v>
      </c>
      <c r="E2052">
        <v>5977.39</v>
      </c>
    </row>
    <row r="2053" spans="1:5" x14ac:dyDescent="0.25">
      <c r="A2053" s="1">
        <v>45516</v>
      </c>
      <c r="B2053">
        <v>3</v>
      </c>
      <c r="C2053" t="s">
        <v>7</v>
      </c>
      <c r="D2053">
        <v>248</v>
      </c>
      <c r="E2053">
        <v>3869.83</v>
      </c>
    </row>
    <row r="2054" spans="1:5" x14ac:dyDescent="0.25">
      <c r="A2054" s="1">
        <v>45517</v>
      </c>
      <c r="B2054">
        <v>3</v>
      </c>
      <c r="C2054" t="s">
        <v>7</v>
      </c>
      <c r="D2054">
        <v>286</v>
      </c>
      <c r="E2054">
        <v>4988.84</v>
      </c>
    </row>
    <row r="2055" spans="1:5" x14ac:dyDescent="0.25">
      <c r="A2055" s="1">
        <v>45518</v>
      </c>
      <c r="B2055">
        <v>3</v>
      </c>
      <c r="C2055" t="s">
        <v>7</v>
      </c>
      <c r="D2055">
        <v>270</v>
      </c>
      <c r="E2055">
        <v>4158.2299999999996</v>
      </c>
    </row>
    <row r="2056" spans="1:5" x14ac:dyDescent="0.25">
      <c r="A2056" s="1">
        <v>45519</v>
      </c>
      <c r="B2056">
        <v>3</v>
      </c>
      <c r="C2056" t="s">
        <v>7</v>
      </c>
      <c r="D2056">
        <v>286</v>
      </c>
      <c r="E2056">
        <v>4481.62</v>
      </c>
    </row>
    <row r="2057" spans="1:5" x14ac:dyDescent="0.25">
      <c r="A2057" s="1">
        <v>45520</v>
      </c>
      <c r="B2057">
        <v>3</v>
      </c>
      <c r="C2057" t="s">
        <v>7</v>
      </c>
      <c r="D2057">
        <v>265</v>
      </c>
      <c r="E2057">
        <v>4815.3999999999996</v>
      </c>
    </row>
    <row r="2058" spans="1:5" x14ac:dyDescent="0.25">
      <c r="A2058" s="1">
        <v>45521</v>
      </c>
      <c r="B2058">
        <v>3</v>
      </c>
      <c r="C2058" t="s">
        <v>7</v>
      </c>
      <c r="D2058">
        <v>316</v>
      </c>
      <c r="E2058">
        <v>5220.05</v>
      </c>
    </row>
    <row r="2059" spans="1:5" x14ac:dyDescent="0.25">
      <c r="A2059" s="1">
        <v>45522</v>
      </c>
      <c r="B2059">
        <v>3</v>
      </c>
      <c r="C2059" t="s">
        <v>7</v>
      </c>
      <c r="D2059">
        <v>288</v>
      </c>
      <c r="E2059">
        <v>4733.7</v>
      </c>
    </row>
    <row r="2060" spans="1:5" x14ac:dyDescent="0.25">
      <c r="A2060" s="1">
        <v>45523</v>
      </c>
      <c r="B2060">
        <v>3</v>
      </c>
      <c r="C2060" t="s">
        <v>7</v>
      </c>
      <c r="D2060">
        <v>255</v>
      </c>
      <c r="E2060">
        <v>4354.0200000000004</v>
      </c>
    </row>
    <row r="2061" spans="1:5" x14ac:dyDescent="0.25">
      <c r="A2061" s="1">
        <v>45524</v>
      </c>
      <c r="B2061">
        <v>3</v>
      </c>
      <c r="C2061" t="s">
        <v>7</v>
      </c>
      <c r="D2061">
        <v>294</v>
      </c>
      <c r="E2061">
        <v>4799</v>
      </c>
    </row>
    <row r="2062" spans="1:5" x14ac:dyDescent="0.25">
      <c r="A2062" s="1">
        <v>45525</v>
      </c>
      <c r="B2062">
        <v>3</v>
      </c>
      <c r="C2062" t="s">
        <v>7</v>
      </c>
      <c r="D2062">
        <v>304</v>
      </c>
      <c r="E2062">
        <v>4811.8599999999997</v>
      </c>
    </row>
    <row r="2063" spans="1:5" x14ac:dyDescent="0.25">
      <c r="A2063" s="1">
        <v>45526</v>
      </c>
      <c r="B2063">
        <v>3</v>
      </c>
      <c r="C2063" t="s">
        <v>7</v>
      </c>
      <c r="D2063">
        <v>251</v>
      </c>
      <c r="E2063">
        <v>4057.53</v>
      </c>
    </row>
    <row r="2064" spans="1:5" x14ac:dyDescent="0.25">
      <c r="A2064" s="1">
        <v>45527</v>
      </c>
      <c r="B2064">
        <v>3</v>
      </c>
      <c r="C2064" t="s">
        <v>7</v>
      </c>
      <c r="D2064">
        <v>260</v>
      </c>
      <c r="E2064">
        <v>4047.63</v>
      </c>
    </row>
    <row r="2065" spans="1:5" x14ac:dyDescent="0.25">
      <c r="A2065" s="1">
        <v>45528</v>
      </c>
      <c r="B2065">
        <v>3</v>
      </c>
      <c r="C2065" t="s">
        <v>7</v>
      </c>
      <c r="D2065">
        <v>257</v>
      </c>
      <c r="E2065">
        <v>4172.17</v>
      </c>
    </row>
    <row r="2066" spans="1:5" x14ac:dyDescent="0.25">
      <c r="A2066" s="1">
        <v>45529</v>
      </c>
      <c r="B2066">
        <v>3</v>
      </c>
      <c r="C2066" t="s">
        <v>7</v>
      </c>
      <c r="D2066">
        <v>287</v>
      </c>
      <c r="E2066">
        <v>4445.37</v>
      </c>
    </row>
    <row r="2067" spans="1:5" x14ac:dyDescent="0.25">
      <c r="A2067" s="1">
        <v>45530</v>
      </c>
      <c r="B2067">
        <v>3</v>
      </c>
      <c r="C2067" t="s">
        <v>7</v>
      </c>
      <c r="D2067">
        <v>278</v>
      </c>
      <c r="E2067">
        <v>4454.17</v>
      </c>
    </row>
    <row r="2068" spans="1:5" x14ac:dyDescent="0.25">
      <c r="A2068" s="1">
        <v>45531</v>
      </c>
      <c r="B2068">
        <v>3</v>
      </c>
      <c r="C2068" t="s">
        <v>7</v>
      </c>
      <c r="D2068">
        <v>270</v>
      </c>
      <c r="E2068">
        <v>4133.22</v>
      </c>
    </row>
    <row r="2069" spans="1:5" x14ac:dyDescent="0.25">
      <c r="A2069" s="1">
        <v>45532</v>
      </c>
      <c r="B2069">
        <v>3</v>
      </c>
      <c r="C2069" t="s">
        <v>7</v>
      </c>
      <c r="D2069">
        <v>278</v>
      </c>
      <c r="E2069">
        <v>4319.92</v>
      </c>
    </row>
    <row r="2070" spans="1:5" x14ac:dyDescent="0.25">
      <c r="A2070" s="1">
        <v>45533</v>
      </c>
      <c r="B2070">
        <v>3</v>
      </c>
      <c r="C2070" t="s">
        <v>7</v>
      </c>
      <c r="D2070">
        <v>253</v>
      </c>
      <c r="E2070">
        <v>4138.16</v>
      </c>
    </row>
    <row r="2071" spans="1:5" x14ac:dyDescent="0.25">
      <c r="A2071" s="1">
        <v>45534</v>
      </c>
      <c r="B2071">
        <v>3</v>
      </c>
      <c r="C2071" t="s">
        <v>7</v>
      </c>
      <c r="D2071">
        <v>267</v>
      </c>
      <c r="E2071">
        <v>4629.29</v>
      </c>
    </row>
    <row r="2072" spans="1:5" x14ac:dyDescent="0.25">
      <c r="A2072" s="1">
        <v>45535</v>
      </c>
      <c r="B2072">
        <v>3</v>
      </c>
      <c r="C2072" t="s">
        <v>7</v>
      </c>
      <c r="D2072">
        <v>278</v>
      </c>
      <c r="E2072">
        <v>4224.21</v>
      </c>
    </row>
    <row r="2073" spans="1:5" x14ac:dyDescent="0.25">
      <c r="A2073" s="1">
        <v>45536</v>
      </c>
      <c r="B2073">
        <v>3</v>
      </c>
      <c r="C2073" t="s">
        <v>7</v>
      </c>
      <c r="D2073">
        <v>277</v>
      </c>
      <c r="E2073">
        <v>4761.74</v>
      </c>
    </row>
    <row r="2074" spans="1:5" x14ac:dyDescent="0.25">
      <c r="A2074" s="1">
        <v>45537</v>
      </c>
      <c r="B2074">
        <v>3</v>
      </c>
      <c r="C2074" t="s">
        <v>7</v>
      </c>
      <c r="D2074">
        <v>268</v>
      </c>
      <c r="E2074">
        <v>4480.16</v>
      </c>
    </row>
    <row r="2075" spans="1:5" x14ac:dyDescent="0.25">
      <c r="A2075" s="1">
        <v>45538</v>
      </c>
      <c r="B2075">
        <v>3</v>
      </c>
      <c r="C2075" t="s">
        <v>7</v>
      </c>
      <c r="D2075">
        <v>256</v>
      </c>
      <c r="E2075">
        <v>4224.21</v>
      </c>
    </row>
    <row r="2076" spans="1:5" x14ac:dyDescent="0.25">
      <c r="A2076" s="1">
        <v>45539</v>
      </c>
      <c r="B2076">
        <v>3</v>
      </c>
      <c r="C2076" t="s">
        <v>7</v>
      </c>
      <c r="D2076">
        <v>250</v>
      </c>
      <c r="E2076">
        <v>3971.05</v>
      </c>
    </row>
    <row r="2077" spans="1:5" x14ac:dyDescent="0.25">
      <c r="A2077" s="1">
        <v>45540</v>
      </c>
      <c r="B2077">
        <v>3</v>
      </c>
      <c r="C2077" t="s">
        <v>7</v>
      </c>
      <c r="D2077">
        <v>230</v>
      </c>
      <c r="E2077">
        <v>3919.91</v>
      </c>
    </row>
    <row r="2078" spans="1:5" x14ac:dyDescent="0.25">
      <c r="A2078" s="1">
        <v>45541</v>
      </c>
      <c r="B2078">
        <v>3</v>
      </c>
      <c r="C2078" t="s">
        <v>7</v>
      </c>
      <c r="D2078">
        <v>283</v>
      </c>
      <c r="E2078">
        <v>4834.05</v>
      </c>
    </row>
    <row r="2079" spans="1:5" x14ac:dyDescent="0.25">
      <c r="A2079" s="1">
        <v>45542</v>
      </c>
      <c r="B2079">
        <v>3</v>
      </c>
      <c r="C2079" t="s">
        <v>7</v>
      </c>
      <c r="D2079">
        <v>288</v>
      </c>
      <c r="E2079">
        <v>4478.6099999999997</v>
      </c>
    </row>
    <row r="2080" spans="1:5" x14ac:dyDescent="0.25">
      <c r="A2080" s="1">
        <v>45543</v>
      </c>
      <c r="B2080">
        <v>3</v>
      </c>
      <c r="C2080" t="s">
        <v>7</v>
      </c>
      <c r="D2080">
        <v>295</v>
      </c>
      <c r="E2080">
        <v>4915.38</v>
      </c>
    </row>
    <row r="2081" spans="1:5" x14ac:dyDescent="0.25">
      <c r="A2081" s="1">
        <v>45544</v>
      </c>
      <c r="B2081">
        <v>3</v>
      </c>
      <c r="C2081" t="s">
        <v>7</v>
      </c>
      <c r="D2081">
        <v>260</v>
      </c>
      <c r="E2081">
        <v>4307.79</v>
      </c>
    </row>
    <row r="2082" spans="1:5" x14ac:dyDescent="0.25">
      <c r="A2082" s="1">
        <v>45545</v>
      </c>
      <c r="B2082">
        <v>3</v>
      </c>
      <c r="C2082" t="s">
        <v>7</v>
      </c>
      <c r="D2082">
        <v>293</v>
      </c>
      <c r="E2082">
        <v>5073.6400000000003</v>
      </c>
    </row>
    <row r="2083" spans="1:5" x14ac:dyDescent="0.25">
      <c r="A2083" s="1">
        <v>45546</v>
      </c>
      <c r="B2083">
        <v>3</v>
      </c>
      <c r="C2083" t="s">
        <v>7</v>
      </c>
      <c r="D2083">
        <v>254</v>
      </c>
      <c r="E2083">
        <v>4555.8500000000004</v>
      </c>
    </row>
    <row r="2084" spans="1:5" x14ac:dyDescent="0.25">
      <c r="A2084" s="1">
        <v>45547</v>
      </c>
      <c r="B2084">
        <v>3</v>
      </c>
      <c r="C2084" t="s">
        <v>7</v>
      </c>
      <c r="D2084">
        <v>259</v>
      </c>
      <c r="E2084">
        <v>4006.92</v>
      </c>
    </row>
    <row r="2085" spans="1:5" x14ac:dyDescent="0.25">
      <c r="A2085" s="1">
        <v>45548</v>
      </c>
      <c r="B2085">
        <v>3</v>
      </c>
      <c r="C2085" t="s">
        <v>7</v>
      </c>
      <c r="D2085">
        <v>255</v>
      </c>
      <c r="E2085">
        <v>3762.69</v>
      </c>
    </row>
    <row r="2086" spans="1:5" x14ac:dyDescent="0.25">
      <c r="A2086" s="1">
        <v>45549</v>
      </c>
      <c r="B2086">
        <v>3</v>
      </c>
      <c r="C2086" t="s">
        <v>7</v>
      </c>
      <c r="D2086">
        <v>289</v>
      </c>
      <c r="E2086">
        <v>4620.92</v>
      </c>
    </row>
    <row r="2087" spans="1:5" x14ac:dyDescent="0.25">
      <c r="A2087" s="1">
        <v>45550</v>
      </c>
      <c r="B2087">
        <v>3</v>
      </c>
      <c r="C2087" t="s">
        <v>7</v>
      </c>
      <c r="D2087">
        <v>296</v>
      </c>
      <c r="E2087">
        <v>4989.49</v>
      </c>
    </row>
    <row r="2088" spans="1:5" x14ac:dyDescent="0.25">
      <c r="A2088" s="1">
        <v>45551</v>
      </c>
      <c r="B2088">
        <v>3</v>
      </c>
      <c r="C2088" t="s">
        <v>7</v>
      </c>
      <c r="D2088">
        <v>233</v>
      </c>
      <c r="E2088">
        <v>3989.87</v>
      </c>
    </row>
    <row r="2089" spans="1:5" x14ac:dyDescent="0.25">
      <c r="A2089" s="1">
        <v>45552</v>
      </c>
      <c r="B2089">
        <v>3</v>
      </c>
      <c r="C2089" t="s">
        <v>7</v>
      </c>
      <c r="D2089">
        <v>274</v>
      </c>
      <c r="E2089">
        <v>4611.47</v>
      </c>
    </row>
    <row r="2090" spans="1:5" x14ac:dyDescent="0.25">
      <c r="A2090" s="1">
        <v>45553</v>
      </c>
      <c r="B2090">
        <v>3</v>
      </c>
      <c r="C2090" t="s">
        <v>7</v>
      </c>
      <c r="D2090">
        <v>270</v>
      </c>
      <c r="E2090">
        <v>4400.16</v>
      </c>
    </row>
    <row r="2091" spans="1:5" x14ac:dyDescent="0.25">
      <c r="A2091" s="1">
        <v>45554</v>
      </c>
      <c r="B2091">
        <v>3</v>
      </c>
      <c r="C2091" t="s">
        <v>7</v>
      </c>
      <c r="D2091">
        <v>263</v>
      </c>
      <c r="E2091">
        <v>4303.47</v>
      </c>
    </row>
    <row r="2092" spans="1:5" x14ac:dyDescent="0.25">
      <c r="A2092" s="1">
        <v>45555</v>
      </c>
      <c r="B2092">
        <v>3</v>
      </c>
      <c r="C2092" t="s">
        <v>7</v>
      </c>
      <c r="D2092">
        <v>254</v>
      </c>
      <c r="E2092">
        <v>4396.7</v>
      </c>
    </row>
    <row r="2093" spans="1:5" x14ac:dyDescent="0.25">
      <c r="A2093" s="1">
        <v>45556</v>
      </c>
      <c r="B2093">
        <v>3</v>
      </c>
      <c r="C2093" t="s">
        <v>7</v>
      </c>
      <c r="D2093">
        <v>296</v>
      </c>
      <c r="E2093">
        <v>4891.71</v>
      </c>
    </row>
    <row r="2094" spans="1:5" x14ac:dyDescent="0.25">
      <c r="A2094" s="1">
        <v>45557</v>
      </c>
      <c r="B2094">
        <v>3</v>
      </c>
      <c r="C2094" t="s">
        <v>7</v>
      </c>
      <c r="D2094">
        <v>269</v>
      </c>
      <c r="E2094">
        <v>4095.05</v>
      </c>
    </row>
    <row r="2095" spans="1:5" x14ac:dyDescent="0.25">
      <c r="A2095" s="1">
        <v>45558</v>
      </c>
      <c r="B2095">
        <v>3</v>
      </c>
      <c r="C2095" t="s">
        <v>7</v>
      </c>
      <c r="D2095">
        <v>270</v>
      </c>
      <c r="E2095">
        <v>4809.32</v>
      </c>
    </row>
    <row r="2096" spans="1:5" x14ac:dyDescent="0.25">
      <c r="A2096" s="1">
        <v>45559</v>
      </c>
      <c r="B2096">
        <v>3</v>
      </c>
      <c r="C2096" t="s">
        <v>7</v>
      </c>
      <c r="D2096">
        <v>224</v>
      </c>
      <c r="E2096">
        <v>3576.37</v>
      </c>
    </row>
    <row r="2097" spans="1:5" x14ac:dyDescent="0.25">
      <c r="A2097" s="1">
        <v>45560</v>
      </c>
      <c r="B2097">
        <v>3</v>
      </c>
      <c r="C2097" t="s">
        <v>7</v>
      </c>
      <c r="D2097">
        <v>255</v>
      </c>
      <c r="E2097">
        <v>4135.6899999999996</v>
      </c>
    </row>
    <row r="2098" spans="1:5" x14ac:dyDescent="0.25">
      <c r="A2098" s="1">
        <v>45561</v>
      </c>
      <c r="B2098">
        <v>3</v>
      </c>
      <c r="C2098" t="s">
        <v>7</v>
      </c>
      <c r="D2098">
        <v>216</v>
      </c>
      <c r="E2098">
        <v>3523.75</v>
      </c>
    </row>
    <row r="2099" spans="1:5" x14ac:dyDescent="0.25">
      <c r="A2099" s="1">
        <v>45562</v>
      </c>
      <c r="B2099">
        <v>3</v>
      </c>
      <c r="C2099" t="s">
        <v>7</v>
      </c>
      <c r="D2099">
        <v>248</v>
      </c>
      <c r="E2099">
        <v>4121.41</v>
      </c>
    </row>
    <row r="2100" spans="1:5" x14ac:dyDescent="0.25">
      <c r="A2100" s="1">
        <v>45563</v>
      </c>
      <c r="B2100">
        <v>3</v>
      </c>
      <c r="C2100" t="s">
        <v>7</v>
      </c>
      <c r="D2100">
        <v>270</v>
      </c>
      <c r="E2100">
        <v>4918.78</v>
      </c>
    </row>
    <row r="2101" spans="1:5" x14ac:dyDescent="0.25">
      <c r="A2101" s="1">
        <v>45564</v>
      </c>
      <c r="B2101">
        <v>3</v>
      </c>
      <c r="C2101" t="s">
        <v>7</v>
      </c>
      <c r="D2101">
        <v>294</v>
      </c>
      <c r="E2101">
        <v>4539.91</v>
      </c>
    </row>
    <row r="2102" spans="1:5" x14ac:dyDescent="0.25">
      <c r="A2102" s="1">
        <v>45565</v>
      </c>
      <c r="B2102">
        <v>3</v>
      </c>
      <c r="C2102" t="s">
        <v>7</v>
      </c>
      <c r="D2102">
        <v>259</v>
      </c>
      <c r="E2102">
        <v>4246.6099999999997</v>
      </c>
    </row>
    <row r="2103" spans="1:5" x14ac:dyDescent="0.25">
      <c r="A2103" s="1">
        <v>45566</v>
      </c>
      <c r="B2103">
        <v>3</v>
      </c>
      <c r="C2103" t="s">
        <v>7</v>
      </c>
      <c r="D2103">
        <v>241</v>
      </c>
      <c r="E2103">
        <v>3551.04</v>
      </c>
    </row>
    <row r="2104" spans="1:5" x14ac:dyDescent="0.25">
      <c r="A2104" s="1">
        <v>45567</v>
      </c>
      <c r="B2104">
        <v>3</v>
      </c>
      <c r="C2104" t="s">
        <v>7</v>
      </c>
      <c r="D2104">
        <v>223</v>
      </c>
      <c r="E2104">
        <v>3645.85</v>
      </c>
    </row>
    <row r="2105" spans="1:5" x14ac:dyDescent="0.25">
      <c r="A2105" s="1">
        <v>45568</v>
      </c>
      <c r="B2105">
        <v>3</v>
      </c>
      <c r="C2105" t="s">
        <v>7</v>
      </c>
      <c r="D2105">
        <v>270</v>
      </c>
      <c r="E2105">
        <v>4587.2299999999996</v>
      </c>
    </row>
    <row r="2106" spans="1:5" x14ac:dyDescent="0.25">
      <c r="A2106" s="1">
        <v>45569</v>
      </c>
      <c r="B2106">
        <v>3</v>
      </c>
      <c r="C2106" t="s">
        <v>7</v>
      </c>
      <c r="D2106">
        <v>232</v>
      </c>
      <c r="E2106">
        <v>3937.07</v>
      </c>
    </row>
    <row r="2107" spans="1:5" x14ac:dyDescent="0.25">
      <c r="A2107" s="1">
        <v>45570</v>
      </c>
      <c r="B2107">
        <v>3</v>
      </c>
      <c r="C2107" t="s">
        <v>7</v>
      </c>
      <c r="D2107">
        <v>330</v>
      </c>
      <c r="E2107">
        <v>5144.67</v>
      </c>
    </row>
    <row r="2108" spans="1:5" x14ac:dyDescent="0.25">
      <c r="A2108" s="1">
        <v>45571</v>
      </c>
      <c r="B2108">
        <v>3</v>
      </c>
      <c r="C2108" t="s">
        <v>7</v>
      </c>
      <c r="D2108">
        <v>265</v>
      </c>
      <c r="E2108">
        <v>4305.6000000000004</v>
      </c>
    </row>
    <row r="2109" spans="1:5" x14ac:dyDescent="0.25">
      <c r="A2109" s="1">
        <v>45572</v>
      </c>
      <c r="B2109">
        <v>3</v>
      </c>
      <c r="C2109" t="s">
        <v>7</v>
      </c>
      <c r="D2109">
        <v>266</v>
      </c>
      <c r="E2109">
        <v>4419.45</v>
      </c>
    </row>
    <row r="2110" spans="1:5" x14ac:dyDescent="0.25">
      <c r="A2110" s="1">
        <v>45573</v>
      </c>
      <c r="B2110">
        <v>3</v>
      </c>
      <c r="C2110" t="s">
        <v>7</v>
      </c>
      <c r="D2110">
        <v>283</v>
      </c>
      <c r="E2110">
        <v>4889.5200000000004</v>
      </c>
    </row>
    <row r="2111" spans="1:5" x14ac:dyDescent="0.25">
      <c r="A2111" s="1">
        <v>45574</v>
      </c>
      <c r="B2111">
        <v>3</v>
      </c>
      <c r="C2111" t="s">
        <v>7</v>
      </c>
      <c r="D2111">
        <v>288</v>
      </c>
      <c r="E2111">
        <v>4927.16</v>
      </c>
    </row>
    <row r="2112" spans="1:5" x14ac:dyDescent="0.25">
      <c r="A2112" s="1">
        <v>45575</v>
      </c>
      <c r="B2112">
        <v>3</v>
      </c>
      <c r="C2112" t="s">
        <v>7</v>
      </c>
      <c r="D2112">
        <v>276</v>
      </c>
      <c r="E2112">
        <v>4445.68</v>
      </c>
    </row>
    <row r="2113" spans="1:5" x14ac:dyDescent="0.25">
      <c r="A2113" s="1">
        <v>45576</v>
      </c>
      <c r="B2113">
        <v>3</v>
      </c>
      <c r="C2113" t="s">
        <v>7</v>
      </c>
      <c r="D2113">
        <v>225</v>
      </c>
      <c r="E2113">
        <v>3177.06</v>
      </c>
    </row>
    <row r="2114" spans="1:5" x14ac:dyDescent="0.25">
      <c r="A2114" s="1">
        <v>45577</v>
      </c>
      <c r="B2114">
        <v>3</v>
      </c>
      <c r="C2114" t="s">
        <v>7</v>
      </c>
      <c r="D2114">
        <v>287</v>
      </c>
      <c r="E2114">
        <v>4963.57</v>
      </c>
    </row>
    <row r="2115" spans="1:5" x14ac:dyDescent="0.25">
      <c r="A2115" s="1">
        <v>45578</v>
      </c>
      <c r="B2115">
        <v>3</v>
      </c>
      <c r="C2115" t="s">
        <v>7</v>
      </c>
      <c r="D2115">
        <v>300</v>
      </c>
      <c r="E2115">
        <v>4857.87</v>
      </c>
    </row>
    <row r="2116" spans="1:5" x14ac:dyDescent="0.25">
      <c r="A2116" s="1">
        <v>45579</v>
      </c>
      <c r="B2116">
        <v>3</v>
      </c>
      <c r="C2116" t="s">
        <v>7</v>
      </c>
      <c r="D2116">
        <v>256</v>
      </c>
      <c r="E2116">
        <v>3934.41</v>
      </c>
    </row>
    <row r="2117" spans="1:5" x14ac:dyDescent="0.25">
      <c r="A2117" s="1">
        <v>45580</v>
      </c>
      <c r="B2117">
        <v>3</v>
      </c>
      <c r="C2117" t="s">
        <v>7</v>
      </c>
      <c r="D2117">
        <v>250</v>
      </c>
      <c r="E2117">
        <v>4218.37</v>
      </c>
    </row>
    <row r="2118" spans="1:5" x14ac:dyDescent="0.25">
      <c r="A2118" s="1">
        <v>45581</v>
      </c>
      <c r="B2118">
        <v>3</v>
      </c>
      <c r="C2118" t="s">
        <v>7</v>
      </c>
      <c r="D2118">
        <v>263</v>
      </c>
      <c r="E2118">
        <v>4615.21</v>
      </c>
    </row>
    <row r="2119" spans="1:5" x14ac:dyDescent="0.25">
      <c r="A2119" s="1">
        <v>45582</v>
      </c>
      <c r="B2119">
        <v>3</v>
      </c>
      <c r="C2119" t="s">
        <v>7</v>
      </c>
      <c r="D2119">
        <v>257</v>
      </c>
      <c r="E2119">
        <v>4572.22</v>
      </c>
    </row>
    <row r="2120" spans="1:5" x14ac:dyDescent="0.25">
      <c r="A2120" s="1">
        <v>45583</v>
      </c>
      <c r="B2120">
        <v>3</v>
      </c>
      <c r="C2120" t="s">
        <v>7</v>
      </c>
      <c r="D2120">
        <v>278</v>
      </c>
      <c r="E2120">
        <v>4767.1400000000003</v>
      </c>
    </row>
    <row r="2121" spans="1:5" x14ac:dyDescent="0.25">
      <c r="A2121" s="1">
        <v>45584</v>
      </c>
      <c r="B2121">
        <v>3</v>
      </c>
      <c r="C2121" t="s">
        <v>7</v>
      </c>
      <c r="D2121">
        <v>274</v>
      </c>
      <c r="E2121">
        <v>4443.2</v>
      </c>
    </row>
    <row r="2122" spans="1:5" x14ac:dyDescent="0.25">
      <c r="A2122" s="1">
        <v>45585</v>
      </c>
      <c r="B2122">
        <v>3</v>
      </c>
      <c r="C2122" t="s">
        <v>7</v>
      </c>
      <c r="D2122">
        <v>306</v>
      </c>
      <c r="E2122">
        <v>4788.2</v>
      </c>
    </row>
    <row r="2123" spans="1:5" x14ac:dyDescent="0.25">
      <c r="A2123" s="1">
        <v>45586</v>
      </c>
      <c r="B2123">
        <v>3</v>
      </c>
      <c r="C2123" t="s">
        <v>7</v>
      </c>
      <c r="D2123">
        <v>270</v>
      </c>
      <c r="E2123">
        <v>4514.95</v>
      </c>
    </row>
    <row r="2124" spans="1:5" x14ac:dyDescent="0.25">
      <c r="A2124" s="1">
        <v>45587</v>
      </c>
      <c r="B2124">
        <v>3</v>
      </c>
      <c r="C2124" t="s">
        <v>7</v>
      </c>
      <c r="D2124">
        <v>235</v>
      </c>
      <c r="E2124">
        <v>3968.27</v>
      </c>
    </row>
    <row r="2125" spans="1:5" x14ac:dyDescent="0.25">
      <c r="A2125" s="1">
        <v>45588</v>
      </c>
      <c r="B2125">
        <v>3</v>
      </c>
      <c r="C2125" t="s">
        <v>7</v>
      </c>
      <c r="D2125">
        <v>264</v>
      </c>
      <c r="E2125">
        <v>4609.9399999999996</v>
      </c>
    </row>
    <row r="2126" spans="1:5" x14ac:dyDescent="0.25">
      <c r="A2126" s="1">
        <v>45589</v>
      </c>
      <c r="B2126">
        <v>3</v>
      </c>
      <c r="C2126" t="s">
        <v>7</v>
      </c>
      <c r="D2126">
        <v>265</v>
      </c>
      <c r="E2126">
        <v>4630.91</v>
      </c>
    </row>
    <row r="2127" spans="1:5" x14ac:dyDescent="0.25">
      <c r="A2127" s="1">
        <v>45590</v>
      </c>
      <c r="B2127">
        <v>3</v>
      </c>
      <c r="C2127" t="s">
        <v>7</v>
      </c>
      <c r="D2127">
        <v>265</v>
      </c>
      <c r="E2127">
        <v>4526.0200000000004</v>
      </c>
    </row>
    <row r="2128" spans="1:5" x14ac:dyDescent="0.25">
      <c r="A2128" s="1">
        <v>45591</v>
      </c>
      <c r="B2128">
        <v>3</v>
      </c>
      <c r="C2128" t="s">
        <v>7</v>
      </c>
      <c r="D2128">
        <v>243</v>
      </c>
      <c r="E2128">
        <v>4180.43</v>
      </c>
    </row>
    <row r="2129" spans="1:5" x14ac:dyDescent="0.25">
      <c r="A2129" s="1">
        <v>45592</v>
      </c>
      <c r="B2129">
        <v>3</v>
      </c>
      <c r="C2129" t="s">
        <v>7</v>
      </c>
      <c r="D2129">
        <v>307</v>
      </c>
      <c r="E2129">
        <v>4897.8500000000004</v>
      </c>
    </row>
    <row r="2130" spans="1:5" x14ac:dyDescent="0.25">
      <c r="A2130" s="1">
        <v>45593</v>
      </c>
      <c r="B2130">
        <v>3</v>
      </c>
      <c r="C2130" t="s">
        <v>7</v>
      </c>
      <c r="D2130">
        <v>257</v>
      </c>
      <c r="E2130">
        <v>3972.98</v>
      </c>
    </row>
    <row r="2131" spans="1:5" x14ac:dyDescent="0.25">
      <c r="A2131" s="1">
        <v>45594</v>
      </c>
      <c r="B2131">
        <v>3</v>
      </c>
      <c r="C2131" t="s">
        <v>7</v>
      </c>
      <c r="D2131">
        <v>253</v>
      </c>
      <c r="E2131">
        <v>3647.07</v>
      </c>
    </row>
    <row r="2132" spans="1:5" x14ac:dyDescent="0.25">
      <c r="A2132" s="1">
        <v>45595</v>
      </c>
      <c r="B2132">
        <v>3</v>
      </c>
      <c r="C2132" t="s">
        <v>7</v>
      </c>
      <c r="D2132">
        <v>247</v>
      </c>
      <c r="E2132">
        <v>4144.3</v>
      </c>
    </row>
    <row r="2133" spans="1:5" x14ac:dyDescent="0.25">
      <c r="A2133" s="1">
        <v>45596</v>
      </c>
      <c r="B2133">
        <v>3</v>
      </c>
      <c r="C2133" t="s">
        <v>7</v>
      </c>
      <c r="D2133">
        <v>256</v>
      </c>
      <c r="E2133">
        <v>4183.53</v>
      </c>
    </row>
    <row r="2134" spans="1:5" x14ac:dyDescent="0.25">
      <c r="A2134" s="1">
        <v>45597</v>
      </c>
      <c r="B2134">
        <v>3</v>
      </c>
      <c r="C2134" t="s">
        <v>7</v>
      </c>
      <c r="D2134">
        <v>259</v>
      </c>
      <c r="E2134">
        <v>3956.05</v>
      </c>
    </row>
    <row r="2135" spans="1:5" x14ac:dyDescent="0.25">
      <c r="A2135" s="1">
        <v>45598</v>
      </c>
      <c r="B2135">
        <v>3</v>
      </c>
      <c r="C2135" t="s">
        <v>7</v>
      </c>
      <c r="D2135">
        <v>289</v>
      </c>
      <c r="E2135">
        <v>4960.4799999999996</v>
      </c>
    </row>
    <row r="2136" spans="1:5" x14ac:dyDescent="0.25">
      <c r="A2136" s="1">
        <v>45599</v>
      </c>
      <c r="B2136">
        <v>3</v>
      </c>
      <c r="C2136" t="s">
        <v>7</v>
      </c>
      <c r="D2136">
        <v>283</v>
      </c>
      <c r="E2136">
        <v>4602.1899999999996</v>
      </c>
    </row>
    <row r="2137" spans="1:5" x14ac:dyDescent="0.25">
      <c r="A2137" s="1">
        <v>45600</v>
      </c>
      <c r="B2137">
        <v>3</v>
      </c>
      <c r="C2137" t="s">
        <v>7</v>
      </c>
      <c r="D2137">
        <v>220</v>
      </c>
      <c r="E2137">
        <v>3597.4</v>
      </c>
    </row>
    <row r="2138" spans="1:5" x14ac:dyDescent="0.25">
      <c r="A2138" s="1">
        <v>45601</v>
      </c>
      <c r="B2138">
        <v>3</v>
      </c>
      <c r="C2138" t="s">
        <v>7</v>
      </c>
      <c r="D2138">
        <v>241</v>
      </c>
      <c r="E2138">
        <v>4183.96</v>
      </c>
    </row>
    <row r="2139" spans="1:5" x14ac:dyDescent="0.25">
      <c r="A2139" s="1">
        <v>45602</v>
      </c>
      <c r="B2139">
        <v>3</v>
      </c>
      <c r="C2139" t="s">
        <v>7</v>
      </c>
      <c r="D2139">
        <v>240</v>
      </c>
      <c r="E2139">
        <v>4246.57</v>
      </c>
    </row>
    <row r="2140" spans="1:5" x14ac:dyDescent="0.25">
      <c r="A2140" s="1">
        <v>45603</v>
      </c>
      <c r="B2140">
        <v>3</v>
      </c>
      <c r="C2140" t="s">
        <v>7</v>
      </c>
      <c r="D2140">
        <v>222</v>
      </c>
      <c r="E2140">
        <v>3921.75</v>
      </c>
    </row>
    <row r="2141" spans="1:5" x14ac:dyDescent="0.25">
      <c r="A2141" s="1">
        <v>45604</v>
      </c>
      <c r="B2141">
        <v>3</v>
      </c>
      <c r="C2141" t="s">
        <v>7</v>
      </c>
      <c r="D2141">
        <v>269</v>
      </c>
      <c r="E2141">
        <v>4249.3599999999997</v>
      </c>
    </row>
    <row r="2142" spans="1:5" x14ac:dyDescent="0.25">
      <c r="A2142" s="1">
        <v>45605</v>
      </c>
      <c r="B2142">
        <v>3</v>
      </c>
      <c r="C2142" t="s">
        <v>7</v>
      </c>
      <c r="D2142">
        <v>295</v>
      </c>
      <c r="E2142">
        <v>4804</v>
      </c>
    </row>
    <row r="2143" spans="1:5" x14ac:dyDescent="0.25">
      <c r="A2143" s="1">
        <v>45606</v>
      </c>
      <c r="B2143">
        <v>3</v>
      </c>
      <c r="C2143" t="s">
        <v>7</v>
      </c>
      <c r="D2143">
        <v>263</v>
      </c>
      <c r="E2143">
        <v>4620.42</v>
      </c>
    </row>
    <row r="2144" spans="1:5" x14ac:dyDescent="0.25">
      <c r="A2144" s="1">
        <v>45607</v>
      </c>
      <c r="B2144">
        <v>3</v>
      </c>
      <c r="C2144" t="s">
        <v>7</v>
      </c>
      <c r="D2144">
        <v>251</v>
      </c>
      <c r="E2144">
        <v>4271.51</v>
      </c>
    </row>
    <row r="2145" spans="1:5" x14ac:dyDescent="0.25">
      <c r="A2145" s="1">
        <v>45608</v>
      </c>
      <c r="B2145">
        <v>3</v>
      </c>
      <c r="C2145" t="s">
        <v>7</v>
      </c>
      <c r="D2145">
        <v>265</v>
      </c>
      <c r="E2145">
        <v>4390.5600000000004</v>
      </c>
    </row>
    <row r="2146" spans="1:5" x14ac:dyDescent="0.25">
      <c r="A2146" s="1">
        <v>45609</v>
      </c>
      <c r="B2146">
        <v>3</v>
      </c>
      <c r="C2146" t="s">
        <v>7</v>
      </c>
      <c r="D2146">
        <v>213</v>
      </c>
      <c r="E2146">
        <v>3134.19</v>
      </c>
    </row>
    <row r="2147" spans="1:5" x14ac:dyDescent="0.25">
      <c r="A2147" s="1">
        <v>45610</v>
      </c>
      <c r="B2147">
        <v>3</v>
      </c>
      <c r="C2147" t="s">
        <v>7</v>
      </c>
      <c r="D2147">
        <v>197</v>
      </c>
      <c r="E2147">
        <v>3296.08</v>
      </c>
    </row>
    <row r="2148" spans="1:5" x14ac:dyDescent="0.25">
      <c r="A2148" s="1">
        <v>45611</v>
      </c>
      <c r="B2148">
        <v>3</v>
      </c>
      <c r="C2148" t="s">
        <v>7</v>
      </c>
      <c r="D2148">
        <v>226</v>
      </c>
      <c r="E2148">
        <v>3727.27</v>
      </c>
    </row>
    <row r="2149" spans="1:5" x14ac:dyDescent="0.25">
      <c r="A2149" s="1">
        <v>45612</v>
      </c>
      <c r="B2149">
        <v>3</v>
      </c>
      <c r="C2149" t="s">
        <v>7</v>
      </c>
      <c r="D2149">
        <v>286</v>
      </c>
      <c r="E2149">
        <v>4236.3999999999996</v>
      </c>
    </row>
    <row r="2150" spans="1:5" x14ac:dyDescent="0.25">
      <c r="A2150" s="1">
        <v>45613</v>
      </c>
      <c r="B2150">
        <v>3</v>
      </c>
      <c r="C2150" t="s">
        <v>7</v>
      </c>
      <c r="D2150">
        <v>280</v>
      </c>
      <c r="E2150">
        <v>4428.24</v>
      </c>
    </row>
    <row r="2151" spans="1:5" x14ac:dyDescent="0.25">
      <c r="A2151" s="1">
        <v>45614</v>
      </c>
      <c r="B2151">
        <v>3</v>
      </c>
      <c r="C2151" t="s">
        <v>7</v>
      </c>
      <c r="D2151">
        <v>194</v>
      </c>
      <c r="E2151">
        <v>3010.88</v>
      </c>
    </row>
    <row r="2152" spans="1:5" x14ac:dyDescent="0.25">
      <c r="A2152" s="1">
        <v>45615</v>
      </c>
      <c r="B2152">
        <v>3</v>
      </c>
      <c r="C2152" t="s">
        <v>7</v>
      </c>
      <c r="D2152">
        <v>222</v>
      </c>
      <c r="E2152">
        <v>3676.97</v>
      </c>
    </row>
    <row r="2153" spans="1:5" x14ac:dyDescent="0.25">
      <c r="A2153" s="1">
        <v>45616</v>
      </c>
      <c r="B2153">
        <v>3</v>
      </c>
      <c r="C2153" t="s">
        <v>7</v>
      </c>
      <c r="D2153">
        <v>269</v>
      </c>
      <c r="E2153">
        <v>4546.46</v>
      </c>
    </row>
    <row r="2154" spans="1:5" x14ac:dyDescent="0.25">
      <c r="A2154" s="1">
        <v>45617</v>
      </c>
      <c r="B2154">
        <v>3</v>
      </c>
      <c r="C2154" t="s">
        <v>7</v>
      </c>
      <c r="D2154">
        <v>251</v>
      </c>
      <c r="E2154">
        <v>4494.05</v>
      </c>
    </row>
    <row r="2155" spans="1:5" x14ac:dyDescent="0.25">
      <c r="A2155" s="1">
        <v>45618</v>
      </c>
      <c r="B2155">
        <v>3</v>
      </c>
      <c r="C2155" t="s">
        <v>7</v>
      </c>
      <c r="D2155">
        <v>212</v>
      </c>
      <c r="E2155">
        <v>3421.48</v>
      </c>
    </row>
    <row r="2156" spans="1:5" x14ac:dyDescent="0.25">
      <c r="A2156" s="1">
        <v>45619</v>
      </c>
      <c r="B2156">
        <v>3</v>
      </c>
      <c r="C2156" t="s">
        <v>7</v>
      </c>
      <c r="D2156">
        <v>292</v>
      </c>
      <c r="E2156">
        <v>4843.9799999999996</v>
      </c>
    </row>
    <row r="2157" spans="1:5" x14ac:dyDescent="0.25">
      <c r="A2157" s="1">
        <v>45620</v>
      </c>
      <c r="B2157">
        <v>3</v>
      </c>
      <c r="C2157" t="s">
        <v>7</v>
      </c>
      <c r="D2157">
        <v>252</v>
      </c>
      <c r="E2157">
        <v>4339.32</v>
      </c>
    </row>
    <row r="2158" spans="1:5" x14ac:dyDescent="0.25">
      <c r="A2158" s="1">
        <v>45621</v>
      </c>
      <c r="B2158">
        <v>3</v>
      </c>
      <c r="C2158" t="s">
        <v>7</v>
      </c>
      <c r="D2158">
        <v>210</v>
      </c>
      <c r="E2158">
        <v>3601.71</v>
      </c>
    </row>
    <row r="2159" spans="1:5" x14ac:dyDescent="0.25">
      <c r="A2159" s="1">
        <v>45622</v>
      </c>
      <c r="B2159">
        <v>3</v>
      </c>
      <c r="C2159" t="s">
        <v>7</v>
      </c>
      <c r="D2159">
        <v>253</v>
      </c>
      <c r="E2159">
        <v>4426.83</v>
      </c>
    </row>
    <row r="2160" spans="1:5" x14ac:dyDescent="0.25">
      <c r="A2160" s="1">
        <v>45623</v>
      </c>
      <c r="B2160">
        <v>3</v>
      </c>
      <c r="C2160" t="s">
        <v>7</v>
      </c>
      <c r="D2160">
        <v>292</v>
      </c>
      <c r="E2160">
        <v>4647.17</v>
      </c>
    </row>
    <row r="2161" spans="1:5" x14ac:dyDescent="0.25">
      <c r="A2161" s="1">
        <v>45624</v>
      </c>
      <c r="B2161">
        <v>3</v>
      </c>
      <c r="C2161" t="s">
        <v>7</v>
      </c>
      <c r="D2161">
        <v>214</v>
      </c>
      <c r="E2161">
        <v>3296.53</v>
      </c>
    </row>
    <row r="2162" spans="1:5" x14ac:dyDescent="0.25">
      <c r="A2162" s="1">
        <v>45625</v>
      </c>
      <c r="B2162">
        <v>3</v>
      </c>
      <c r="C2162" t="s">
        <v>7</v>
      </c>
      <c r="D2162">
        <v>199</v>
      </c>
      <c r="E2162">
        <v>3544.72</v>
      </c>
    </row>
    <row r="2163" spans="1:5" x14ac:dyDescent="0.25">
      <c r="A2163" s="1">
        <v>45626</v>
      </c>
      <c r="B2163">
        <v>3</v>
      </c>
      <c r="C2163" t="s">
        <v>7</v>
      </c>
      <c r="D2163">
        <v>269</v>
      </c>
      <c r="E2163">
        <v>4404.8999999999996</v>
      </c>
    </row>
    <row r="2164" spans="1:5" x14ac:dyDescent="0.25">
      <c r="A2164" s="1">
        <v>45627</v>
      </c>
      <c r="B2164">
        <v>3</v>
      </c>
      <c r="C2164" t="s">
        <v>7</v>
      </c>
      <c r="D2164">
        <v>252</v>
      </c>
      <c r="E2164">
        <v>3663.65</v>
      </c>
    </row>
    <row r="2165" spans="1:5" x14ac:dyDescent="0.25">
      <c r="A2165" s="1">
        <v>45628</v>
      </c>
      <c r="B2165">
        <v>3</v>
      </c>
      <c r="C2165" t="s">
        <v>7</v>
      </c>
      <c r="D2165">
        <v>229</v>
      </c>
      <c r="E2165">
        <v>3513.89</v>
      </c>
    </row>
    <row r="2166" spans="1:5" x14ac:dyDescent="0.25">
      <c r="A2166" s="1">
        <v>45629</v>
      </c>
      <c r="B2166">
        <v>3</v>
      </c>
      <c r="C2166" t="s">
        <v>7</v>
      </c>
      <c r="D2166">
        <v>254</v>
      </c>
      <c r="E2166">
        <v>4695.5600000000004</v>
      </c>
    </row>
    <row r="2167" spans="1:5" x14ac:dyDescent="0.25">
      <c r="A2167" s="1">
        <v>45630</v>
      </c>
      <c r="B2167">
        <v>3</v>
      </c>
      <c r="C2167" t="s">
        <v>7</v>
      </c>
      <c r="D2167">
        <v>229</v>
      </c>
      <c r="E2167">
        <v>3590.07</v>
      </c>
    </row>
    <row r="2168" spans="1:5" x14ac:dyDescent="0.25">
      <c r="A2168" s="1">
        <v>45631</v>
      </c>
      <c r="B2168">
        <v>3</v>
      </c>
      <c r="C2168" t="s">
        <v>7</v>
      </c>
      <c r="D2168">
        <v>221</v>
      </c>
      <c r="E2168">
        <v>3556.27</v>
      </c>
    </row>
    <row r="2169" spans="1:5" x14ac:dyDescent="0.25">
      <c r="A2169" s="1">
        <v>45632</v>
      </c>
      <c r="B2169">
        <v>3</v>
      </c>
      <c r="C2169" t="s">
        <v>7</v>
      </c>
      <c r="D2169">
        <v>212</v>
      </c>
      <c r="E2169">
        <v>3449.15</v>
      </c>
    </row>
    <row r="2170" spans="1:5" x14ac:dyDescent="0.25">
      <c r="A2170" s="1">
        <v>45633</v>
      </c>
      <c r="B2170">
        <v>3</v>
      </c>
      <c r="C2170" t="s">
        <v>7</v>
      </c>
      <c r="D2170">
        <v>209</v>
      </c>
      <c r="E2170">
        <v>3648.02</v>
      </c>
    </row>
    <row r="2171" spans="1:5" x14ac:dyDescent="0.25">
      <c r="A2171" s="1">
        <v>45634</v>
      </c>
      <c r="B2171">
        <v>3</v>
      </c>
      <c r="C2171" t="s">
        <v>7</v>
      </c>
      <c r="D2171">
        <v>206</v>
      </c>
      <c r="E2171">
        <v>3326.34</v>
      </c>
    </row>
    <row r="2172" spans="1:5" x14ac:dyDescent="0.25">
      <c r="A2172" s="1">
        <v>45635</v>
      </c>
      <c r="B2172">
        <v>3</v>
      </c>
      <c r="C2172" t="s">
        <v>7</v>
      </c>
      <c r="D2172">
        <v>242</v>
      </c>
      <c r="E2172">
        <v>4342.34</v>
      </c>
    </row>
    <row r="2173" spans="1:5" x14ac:dyDescent="0.25">
      <c r="A2173" s="1">
        <v>45636</v>
      </c>
      <c r="B2173">
        <v>3</v>
      </c>
      <c r="C2173" t="s">
        <v>7</v>
      </c>
      <c r="D2173">
        <v>217</v>
      </c>
      <c r="E2173">
        <v>3660.51</v>
      </c>
    </row>
    <row r="2174" spans="1:5" x14ac:dyDescent="0.25">
      <c r="A2174" s="1">
        <v>45637</v>
      </c>
      <c r="B2174">
        <v>3</v>
      </c>
      <c r="C2174" t="s">
        <v>7</v>
      </c>
      <c r="D2174">
        <v>202</v>
      </c>
      <c r="E2174">
        <v>3730.7</v>
      </c>
    </row>
    <row r="2175" spans="1:5" x14ac:dyDescent="0.25">
      <c r="A2175" s="1">
        <v>45638</v>
      </c>
      <c r="B2175">
        <v>3</v>
      </c>
      <c r="C2175" t="s">
        <v>7</v>
      </c>
      <c r="D2175">
        <v>177</v>
      </c>
      <c r="E2175">
        <v>2925.38</v>
      </c>
    </row>
    <row r="2176" spans="1:5" x14ac:dyDescent="0.25">
      <c r="A2176" s="1">
        <v>45639</v>
      </c>
      <c r="B2176">
        <v>3</v>
      </c>
      <c r="C2176" t="s">
        <v>7</v>
      </c>
      <c r="D2176">
        <v>186</v>
      </c>
      <c r="E2176">
        <v>2986.53</v>
      </c>
    </row>
    <row r="2177" spans="1:5" x14ac:dyDescent="0.25">
      <c r="A2177" s="1">
        <v>45640</v>
      </c>
      <c r="B2177">
        <v>3</v>
      </c>
      <c r="C2177" t="s">
        <v>7</v>
      </c>
      <c r="D2177">
        <v>249</v>
      </c>
      <c r="E2177">
        <v>4130.05</v>
      </c>
    </row>
    <row r="2178" spans="1:5" x14ac:dyDescent="0.25">
      <c r="A2178" s="1">
        <v>45641</v>
      </c>
      <c r="B2178">
        <v>3</v>
      </c>
      <c r="C2178" t="s">
        <v>7</v>
      </c>
      <c r="D2178">
        <v>247</v>
      </c>
      <c r="E2178">
        <v>3805.85</v>
      </c>
    </row>
    <row r="2179" spans="1:5" x14ac:dyDescent="0.25">
      <c r="A2179" s="1">
        <v>45642</v>
      </c>
      <c r="B2179">
        <v>3</v>
      </c>
      <c r="C2179" t="s">
        <v>7</v>
      </c>
      <c r="D2179">
        <v>249</v>
      </c>
      <c r="E2179">
        <v>4078.72</v>
      </c>
    </row>
    <row r="2180" spans="1:5" x14ac:dyDescent="0.25">
      <c r="A2180" s="1">
        <v>45643</v>
      </c>
      <c r="B2180">
        <v>3</v>
      </c>
      <c r="C2180" t="s">
        <v>7</v>
      </c>
      <c r="D2180">
        <v>201</v>
      </c>
      <c r="E2180">
        <v>3140.34</v>
      </c>
    </row>
    <row r="2181" spans="1:5" x14ac:dyDescent="0.25">
      <c r="A2181" s="1">
        <v>45644</v>
      </c>
      <c r="B2181">
        <v>3</v>
      </c>
      <c r="C2181" t="s">
        <v>7</v>
      </c>
      <c r="D2181">
        <v>214</v>
      </c>
      <c r="E2181">
        <v>3518.55</v>
      </c>
    </row>
    <row r="2182" spans="1:5" x14ac:dyDescent="0.25">
      <c r="A2182" s="1">
        <v>45645</v>
      </c>
      <c r="B2182">
        <v>3</v>
      </c>
      <c r="C2182" t="s">
        <v>7</v>
      </c>
      <c r="D2182">
        <v>206</v>
      </c>
      <c r="E2182">
        <v>3418.26</v>
      </c>
    </row>
    <row r="2183" spans="1:5" x14ac:dyDescent="0.25">
      <c r="A2183" s="1">
        <v>45646</v>
      </c>
      <c r="B2183">
        <v>3</v>
      </c>
      <c r="C2183" t="s">
        <v>7</v>
      </c>
      <c r="D2183">
        <v>200</v>
      </c>
      <c r="E2183">
        <v>3408.04</v>
      </c>
    </row>
    <row r="2184" spans="1:5" x14ac:dyDescent="0.25">
      <c r="A2184" s="1">
        <v>45647</v>
      </c>
      <c r="B2184">
        <v>3</v>
      </c>
      <c r="C2184" t="s">
        <v>7</v>
      </c>
      <c r="D2184">
        <v>254</v>
      </c>
      <c r="E2184">
        <v>4063.16</v>
      </c>
    </row>
    <row r="2185" spans="1:5" x14ac:dyDescent="0.25">
      <c r="A2185" s="1">
        <v>45648</v>
      </c>
      <c r="B2185">
        <v>3</v>
      </c>
      <c r="C2185" t="s">
        <v>7</v>
      </c>
      <c r="D2185">
        <v>262</v>
      </c>
      <c r="E2185">
        <v>4431</v>
      </c>
    </row>
    <row r="2186" spans="1:5" x14ac:dyDescent="0.25">
      <c r="A2186" s="1">
        <v>45649</v>
      </c>
      <c r="B2186">
        <v>3</v>
      </c>
      <c r="C2186" t="s">
        <v>7</v>
      </c>
      <c r="D2186">
        <v>194</v>
      </c>
      <c r="E2186">
        <v>3207.12</v>
      </c>
    </row>
    <row r="2187" spans="1:5" x14ac:dyDescent="0.25">
      <c r="A2187" s="1">
        <v>45650</v>
      </c>
      <c r="B2187">
        <v>3</v>
      </c>
      <c r="C2187" t="s">
        <v>7</v>
      </c>
      <c r="D2187">
        <v>210</v>
      </c>
      <c r="E2187">
        <v>3379.5</v>
      </c>
    </row>
    <row r="2188" spans="1:5" x14ac:dyDescent="0.25">
      <c r="A2188" s="1">
        <v>45651</v>
      </c>
      <c r="B2188">
        <v>3</v>
      </c>
      <c r="C2188" t="s">
        <v>7</v>
      </c>
      <c r="D2188">
        <v>227</v>
      </c>
      <c r="E2188">
        <v>3727.81</v>
      </c>
    </row>
    <row r="2189" spans="1:5" x14ac:dyDescent="0.25">
      <c r="A2189" s="1">
        <v>45652</v>
      </c>
      <c r="B2189">
        <v>3</v>
      </c>
      <c r="C2189" t="s">
        <v>7</v>
      </c>
      <c r="D2189">
        <v>218</v>
      </c>
      <c r="E2189">
        <v>3313.8</v>
      </c>
    </row>
    <row r="2190" spans="1:5" x14ac:dyDescent="0.25">
      <c r="A2190" s="1">
        <v>45653</v>
      </c>
      <c r="B2190">
        <v>3</v>
      </c>
      <c r="C2190" t="s">
        <v>7</v>
      </c>
      <c r="D2190">
        <v>251</v>
      </c>
      <c r="E2190">
        <v>4315.84</v>
      </c>
    </row>
    <row r="2191" spans="1:5" x14ac:dyDescent="0.25">
      <c r="A2191" s="1">
        <v>45654</v>
      </c>
      <c r="B2191">
        <v>3</v>
      </c>
      <c r="C2191" t="s">
        <v>7</v>
      </c>
      <c r="D2191">
        <v>231</v>
      </c>
      <c r="E2191">
        <v>4001.96</v>
      </c>
    </row>
    <row r="2192" spans="1:5" x14ac:dyDescent="0.25">
      <c r="A2192" s="1">
        <v>45655</v>
      </c>
      <c r="B2192">
        <v>3</v>
      </c>
      <c r="C2192" t="s">
        <v>7</v>
      </c>
      <c r="D2192">
        <v>208</v>
      </c>
      <c r="E2192">
        <v>3422.5</v>
      </c>
    </row>
    <row r="2193" spans="1:5" x14ac:dyDescent="0.25">
      <c r="A2193" s="1">
        <v>45656</v>
      </c>
      <c r="B2193">
        <v>3</v>
      </c>
      <c r="C2193" t="s">
        <v>7</v>
      </c>
      <c r="D2193">
        <v>205</v>
      </c>
      <c r="E2193">
        <v>3217.04</v>
      </c>
    </row>
    <row r="2194" spans="1:5" x14ac:dyDescent="0.25">
      <c r="A2194" s="1">
        <v>45657</v>
      </c>
      <c r="B2194">
        <v>3</v>
      </c>
      <c r="C2194" t="s">
        <v>7</v>
      </c>
      <c r="D2194">
        <v>155</v>
      </c>
      <c r="E2194">
        <v>2844.47</v>
      </c>
    </row>
    <row r="2195" spans="1:5" x14ac:dyDescent="0.25">
      <c r="A2195" s="1">
        <v>44927</v>
      </c>
      <c r="B2195">
        <v>4</v>
      </c>
      <c r="C2195" t="s">
        <v>8</v>
      </c>
      <c r="D2195">
        <v>250</v>
      </c>
      <c r="E2195">
        <v>3972.4</v>
      </c>
    </row>
    <row r="2196" spans="1:5" x14ac:dyDescent="0.25">
      <c r="A2196" s="1">
        <v>44928</v>
      </c>
      <c r="B2196">
        <v>4</v>
      </c>
      <c r="C2196" t="s">
        <v>8</v>
      </c>
      <c r="D2196">
        <v>189</v>
      </c>
      <c r="E2196">
        <v>2805.14</v>
      </c>
    </row>
    <row r="2197" spans="1:5" x14ac:dyDescent="0.25">
      <c r="A2197" s="1">
        <v>44929</v>
      </c>
      <c r="B2197">
        <v>4</v>
      </c>
      <c r="C2197" t="s">
        <v>8</v>
      </c>
      <c r="D2197">
        <v>197</v>
      </c>
      <c r="E2197">
        <v>3149.25</v>
      </c>
    </row>
    <row r="2198" spans="1:5" x14ac:dyDescent="0.25">
      <c r="A2198" s="1">
        <v>44930</v>
      </c>
      <c r="B2198">
        <v>4</v>
      </c>
      <c r="C2198" t="s">
        <v>8</v>
      </c>
      <c r="D2198">
        <v>159</v>
      </c>
      <c r="E2198">
        <v>2301.54</v>
      </c>
    </row>
    <row r="2199" spans="1:5" x14ac:dyDescent="0.25">
      <c r="A2199" s="1">
        <v>44931</v>
      </c>
      <c r="B2199">
        <v>4</v>
      </c>
      <c r="C2199" t="s">
        <v>8</v>
      </c>
      <c r="D2199">
        <v>195</v>
      </c>
      <c r="E2199">
        <v>3129.23</v>
      </c>
    </row>
    <row r="2200" spans="1:5" x14ac:dyDescent="0.25">
      <c r="A2200" s="1">
        <v>44932</v>
      </c>
      <c r="B2200">
        <v>4</v>
      </c>
      <c r="C2200" t="s">
        <v>8</v>
      </c>
      <c r="D2200">
        <v>170</v>
      </c>
      <c r="E2200">
        <v>2783.74</v>
      </c>
    </row>
    <row r="2201" spans="1:5" x14ac:dyDescent="0.25">
      <c r="A2201" s="1">
        <v>44933</v>
      </c>
      <c r="B2201">
        <v>4</v>
      </c>
      <c r="C2201" t="s">
        <v>8</v>
      </c>
      <c r="D2201">
        <v>193</v>
      </c>
      <c r="E2201">
        <v>2847.72</v>
      </c>
    </row>
    <row r="2202" spans="1:5" x14ac:dyDescent="0.25">
      <c r="A2202" s="1">
        <v>44934</v>
      </c>
      <c r="B2202">
        <v>4</v>
      </c>
      <c r="C2202" t="s">
        <v>8</v>
      </c>
      <c r="D2202">
        <v>167</v>
      </c>
      <c r="E2202">
        <v>2361.04</v>
      </c>
    </row>
    <row r="2203" spans="1:5" x14ac:dyDescent="0.25">
      <c r="A2203" s="1">
        <v>44935</v>
      </c>
      <c r="B2203">
        <v>4</v>
      </c>
      <c r="C2203" t="s">
        <v>8</v>
      </c>
      <c r="D2203">
        <v>186</v>
      </c>
      <c r="E2203">
        <v>2927.95</v>
      </c>
    </row>
    <row r="2204" spans="1:5" x14ac:dyDescent="0.25">
      <c r="A2204" s="1">
        <v>44936</v>
      </c>
      <c r="B2204">
        <v>4</v>
      </c>
      <c r="C2204" t="s">
        <v>8</v>
      </c>
      <c r="D2204">
        <v>172</v>
      </c>
      <c r="E2204">
        <v>2625.44</v>
      </c>
    </row>
    <row r="2205" spans="1:5" x14ac:dyDescent="0.25">
      <c r="A2205" s="1">
        <v>44937</v>
      </c>
      <c r="B2205">
        <v>4</v>
      </c>
      <c r="C2205" t="s">
        <v>8</v>
      </c>
      <c r="D2205">
        <v>220</v>
      </c>
      <c r="E2205">
        <v>3312.33</v>
      </c>
    </row>
    <row r="2206" spans="1:5" x14ac:dyDescent="0.25">
      <c r="A2206" s="1">
        <v>44938</v>
      </c>
      <c r="B2206">
        <v>4</v>
      </c>
      <c r="C2206" t="s">
        <v>8</v>
      </c>
      <c r="D2206">
        <v>205</v>
      </c>
      <c r="E2206">
        <v>3331.17</v>
      </c>
    </row>
    <row r="2207" spans="1:5" x14ac:dyDescent="0.25">
      <c r="A2207" s="1">
        <v>44939</v>
      </c>
      <c r="B2207">
        <v>4</v>
      </c>
      <c r="C2207" t="s">
        <v>8</v>
      </c>
      <c r="D2207">
        <v>168</v>
      </c>
      <c r="E2207">
        <v>2668.55</v>
      </c>
    </row>
    <row r="2208" spans="1:5" x14ac:dyDescent="0.25">
      <c r="A2208" s="1">
        <v>44940</v>
      </c>
      <c r="B2208">
        <v>4</v>
      </c>
      <c r="C2208" t="s">
        <v>8</v>
      </c>
      <c r="D2208">
        <v>246</v>
      </c>
      <c r="E2208">
        <v>4152.18</v>
      </c>
    </row>
    <row r="2209" spans="1:5" x14ac:dyDescent="0.25">
      <c r="A2209" s="1">
        <v>44941</v>
      </c>
      <c r="B2209">
        <v>4</v>
      </c>
      <c r="C2209" t="s">
        <v>8</v>
      </c>
      <c r="D2209">
        <v>169</v>
      </c>
      <c r="E2209">
        <v>2671.57</v>
      </c>
    </row>
    <row r="2210" spans="1:5" x14ac:dyDescent="0.25">
      <c r="A2210" s="1">
        <v>44942</v>
      </c>
      <c r="B2210">
        <v>4</v>
      </c>
      <c r="C2210" t="s">
        <v>8</v>
      </c>
      <c r="D2210">
        <v>168</v>
      </c>
      <c r="E2210">
        <v>2637.18</v>
      </c>
    </row>
    <row r="2211" spans="1:5" x14ac:dyDescent="0.25">
      <c r="A2211" s="1">
        <v>44943</v>
      </c>
      <c r="B2211">
        <v>4</v>
      </c>
      <c r="C2211" t="s">
        <v>8</v>
      </c>
      <c r="D2211">
        <v>201</v>
      </c>
      <c r="E2211">
        <v>2990.26</v>
      </c>
    </row>
    <row r="2212" spans="1:5" x14ac:dyDescent="0.25">
      <c r="A2212" s="1">
        <v>44944</v>
      </c>
      <c r="B2212">
        <v>4</v>
      </c>
      <c r="C2212" t="s">
        <v>8</v>
      </c>
      <c r="D2212">
        <v>139</v>
      </c>
      <c r="E2212">
        <v>2248.94</v>
      </c>
    </row>
    <row r="2213" spans="1:5" x14ac:dyDescent="0.25">
      <c r="A2213" s="1">
        <v>44945</v>
      </c>
      <c r="B2213">
        <v>4</v>
      </c>
      <c r="C2213" t="s">
        <v>8</v>
      </c>
      <c r="D2213">
        <v>195</v>
      </c>
      <c r="E2213">
        <v>2941.11</v>
      </c>
    </row>
    <row r="2214" spans="1:5" x14ac:dyDescent="0.25">
      <c r="A2214" s="1">
        <v>44946</v>
      </c>
      <c r="B2214">
        <v>4</v>
      </c>
      <c r="C2214" t="s">
        <v>8</v>
      </c>
      <c r="D2214">
        <v>149</v>
      </c>
      <c r="E2214">
        <v>2384.54</v>
      </c>
    </row>
    <row r="2215" spans="1:5" x14ac:dyDescent="0.25">
      <c r="A2215" s="1">
        <v>44947</v>
      </c>
      <c r="B2215">
        <v>4</v>
      </c>
      <c r="C2215" t="s">
        <v>8</v>
      </c>
      <c r="D2215">
        <v>186</v>
      </c>
      <c r="E2215">
        <v>2411.7399999999998</v>
      </c>
    </row>
    <row r="2216" spans="1:5" x14ac:dyDescent="0.25">
      <c r="A2216" s="1">
        <v>44948</v>
      </c>
      <c r="B2216">
        <v>4</v>
      </c>
      <c r="C2216" t="s">
        <v>8</v>
      </c>
      <c r="D2216">
        <v>166</v>
      </c>
      <c r="E2216">
        <v>2619.17</v>
      </c>
    </row>
    <row r="2217" spans="1:5" x14ac:dyDescent="0.25">
      <c r="A2217" s="1">
        <v>44949</v>
      </c>
      <c r="B2217">
        <v>4</v>
      </c>
      <c r="C2217" t="s">
        <v>8</v>
      </c>
      <c r="D2217">
        <v>185</v>
      </c>
      <c r="E2217">
        <v>3032.42</v>
      </c>
    </row>
    <row r="2218" spans="1:5" x14ac:dyDescent="0.25">
      <c r="A2218" s="1">
        <v>44950</v>
      </c>
      <c r="B2218">
        <v>4</v>
      </c>
      <c r="C2218" t="s">
        <v>8</v>
      </c>
      <c r="D2218">
        <v>214</v>
      </c>
      <c r="E2218">
        <v>3116.52</v>
      </c>
    </row>
    <row r="2219" spans="1:5" x14ac:dyDescent="0.25">
      <c r="A2219" s="1">
        <v>44951</v>
      </c>
      <c r="B2219">
        <v>4</v>
      </c>
      <c r="C2219" t="s">
        <v>8</v>
      </c>
      <c r="D2219">
        <v>139</v>
      </c>
      <c r="E2219">
        <v>2302.6799999999998</v>
      </c>
    </row>
    <row r="2220" spans="1:5" x14ac:dyDescent="0.25">
      <c r="A2220" s="1">
        <v>44952</v>
      </c>
      <c r="B2220">
        <v>4</v>
      </c>
      <c r="C2220" t="s">
        <v>8</v>
      </c>
      <c r="D2220">
        <v>141</v>
      </c>
      <c r="E2220">
        <v>2298.0500000000002</v>
      </c>
    </row>
    <row r="2221" spans="1:5" x14ac:dyDescent="0.25">
      <c r="A2221" s="1">
        <v>44953</v>
      </c>
      <c r="B2221">
        <v>4</v>
      </c>
      <c r="C2221" t="s">
        <v>8</v>
      </c>
      <c r="D2221">
        <v>171</v>
      </c>
      <c r="E2221">
        <v>2578.02</v>
      </c>
    </row>
    <row r="2222" spans="1:5" x14ac:dyDescent="0.25">
      <c r="A2222" s="1">
        <v>44954</v>
      </c>
      <c r="B2222">
        <v>4</v>
      </c>
      <c r="C2222" t="s">
        <v>8</v>
      </c>
      <c r="D2222">
        <v>181</v>
      </c>
      <c r="E2222">
        <v>2780.52</v>
      </c>
    </row>
    <row r="2223" spans="1:5" x14ac:dyDescent="0.25">
      <c r="A2223" s="1">
        <v>44955</v>
      </c>
      <c r="B2223">
        <v>4</v>
      </c>
      <c r="C2223" t="s">
        <v>8</v>
      </c>
      <c r="D2223">
        <v>216</v>
      </c>
      <c r="E2223">
        <v>3333.6</v>
      </c>
    </row>
    <row r="2224" spans="1:5" x14ac:dyDescent="0.25">
      <c r="A2224" s="1">
        <v>44956</v>
      </c>
      <c r="B2224">
        <v>4</v>
      </c>
      <c r="C2224" t="s">
        <v>8</v>
      </c>
      <c r="D2224">
        <v>189</v>
      </c>
      <c r="E2224">
        <v>2719.15</v>
      </c>
    </row>
    <row r="2225" spans="1:5" x14ac:dyDescent="0.25">
      <c r="A2225" s="1">
        <v>44957</v>
      </c>
      <c r="B2225">
        <v>4</v>
      </c>
      <c r="C2225" t="s">
        <v>8</v>
      </c>
      <c r="D2225">
        <v>175</v>
      </c>
      <c r="E2225">
        <v>2658.04</v>
      </c>
    </row>
    <row r="2226" spans="1:5" x14ac:dyDescent="0.25">
      <c r="A2226" s="1">
        <v>44958</v>
      </c>
      <c r="B2226">
        <v>4</v>
      </c>
      <c r="C2226" t="s">
        <v>8</v>
      </c>
      <c r="D2226">
        <v>149</v>
      </c>
      <c r="E2226">
        <v>2485.71</v>
      </c>
    </row>
    <row r="2227" spans="1:5" x14ac:dyDescent="0.25">
      <c r="A2227" s="1">
        <v>44959</v>
      </c>
      <c r="B2227">
        <v>4</v>
      </c>
      <c r="C2227" t="s">
        <v>8</v>
      </c>
      <c r="D2227">
        <v>209</v>
      </c>
      <c r="E2227">
        <v>3328.36</v>
      </c>
    </row>
    <row r="2228" spans="1:5" x14ac:dyDescent="0.25">
      <c r="A2228" s="1">
        <v>44960</v>
      </c>
      <c r="B2228">
        <v>4</v>
      </c>
      <c r="C2228" t="s">
        <v>8</v>
      </c>
      <c r="D2228">
        <v>175</v>
      </c>
      <c r="E2228">
        <v>2673.35</v>
      </c>
    </row>
    <row r="2229" spans="1:5" x14ac:dyDescent="0.25">
      <c r="A2229" s="1">
        <v>44961</v>
      </c>
      <c r="B2229">
        <v>4</v>
      </c>
      <c r="C2229" t="s">
        <v>8</v>
      </c>
      <c r="D2229">
        <v>201</v>
      </c>
      <c r="E2229">
        <v>2871.8</v>
      </c>
    </row>
    <row r="2230" spans="1:5" x14ac:dyDescent="0.25">
      <c r="A2230" s="1">
        <v>44962</v>
      </c>
      <c r="B2230">
        <v>4</v>
      </c>
      <c r="C2230" t="s">
        <v>8</v>
      </c>
      <c r="D2230">
        <v>179</v>
      </c>
      <c r="E2230">
        <v>2790.81</v>
      </c>
    </row>
    <row r="2231" spans="1:5" x14ac:dyDescent="0.25">
      <c r="A2231" s="1">
        <v>44963</v>
      </c>
      <c r="B2231">
        <v>4</v>
      </c>
      <c r="C2231" t="s">
        <v>8</v>
      </c>
      <c r="D2231">
        <v>149</v>
      </c>
      <c r="E2231">
        <v>2355.46</v>
      </c>
    </row>
    <row r="2232" spans="1:5" x14ac:dyDescent="0.25">
      <c r="A2232" s="1">
        <v>44964</v>
      </c>
      <c r="B2232">
        <v>4</v>
      </c>
      <c r="C2232" t="s">
        <v>8</v>
      </c>
      <c r="D2232">
        <v>195</v>
      </c>
      <c r="E2232">
        <v>3043.02</v>
      </c>
    </row>
    <row r="2233" spans="1:5" x14ac:dyDescent="0.25">
      <c r="A2233" s="1">
        <v>44965</v>
      </c>
      <c r="B2233">
        <v>4</v>
      </c>
      <c r="C2233" t="s">
        <v>8</v>
      </c>
      <c r="D2233">
        <v>155</v>
      </c>
      <c r="E2233">
        <v>2388.56</v>
      </c>
    </row>
    <row r="2234" spans="1:5" x14ac:dyDescent="0.25">
      <c r="A2234" s="1">
        <v>44966</v>
      </c>
      <c r="B2234">
        <v>4</v>
      </c>
      <c r="C2234" t="s">
        <v>8</v>
      </c>
      <c r="D2234">
        <v>186</v>
      </c>
      <c r="E2234">
        <v>2747.24</v>
      </c>
    </row>
    <row r="2235" spans="1:5" x14ac:dyDescent="0.25">
      <c r="A2235" s="1">
        <v>44967</v>
      </c>
      <c r="B2235">
        <v>4</v>
      </c>
      <c r="C2235" t="s">
        <v>8</v>
      </c>
      <c r="D2235">
        <v>129</v>
      </c>
      <c r="E2235">
        <v>1972.29</v>
      </c>
    </row>
    <row r="2236" spans="1:5" x14ac:dyDescent="0.25">
      <c r="A2236" s="1">
        <v>44968</v>
      </c>
      <c r="B2236">
        <v>4</v>
      </c>
      <c r="C2236" t="s">
        <v>8</v>
      </c>
      <c r="D2236">
        <v>186</v>
      </c>
      <c r="E2236">
        <v>2927.56</v>
      </c>
    </row>
    <row r="2237" spans="1:5" x14ac:dyDescent="0.25">
      <c r="A2237" s="1">
        <v>44969</v>
      </c>
      <c r="B2237">
        <v>4</v>
      </c>
      <c r="C2237" t="s">
        <v>8</v>
      </c>
      <c r="D2237">
        <v>186</v>
      </c>
      <c r="E2237">
        <v>2831.51</v>
      </c>
    </row>
    <row r="2238" spans="1:5" x14ac:dyDescent="0.25">
      <c r="A2238" s="1">
        <v>44970</v>
      </c>
      <c r="B2238">
        <v>4</v>
      </c>
      <c r="C2238" t="s">
        <v>8</v>
      </c>
      <c r="D2238">
        <v>214</v>
      </c>
      <c r="E2238">
        <v>3327.76</v>
      </c>
    </row>
    <row r="2239" spans="1:5" x14ac:dyDescent="0.25">
      <c r="A2239" s="1">
        <v>44971</v>
      </c>
      <c r="B2239">
        <v>4</v>
      </c>
      <c r="C2239" t="s">
        <v>8</v>
      </c>
      <c r="D2239">
        <v>206</v>
      </c>
      <c r="E2239">
        <v>3517.45</v>
      </c>
    </row>
    <row r="2240" spans="1:5" x14ac:dyDescent="0.25">
      <c r="A2240" s="1">
        <v>44972</v>
      </c>
      <c r="B2240">
        <v>4</v>
      </c>
      <c r="C2240" t="s">
        <v>8</v>
      </c>
      <c r="D2240">
        <v>166</v>
      </c>
      <c r="E2240">
        <v>2810.23</v>
      </c>
    </row>
    <row r="2241" spans="1:5" x14ac:dyDescent="0.25">
      <c r="A2241" s="1">
        <v>44973</v>
      </c>
      <c r="B2241">
        <v>4</v>
      </c>
      <c r="C2241" t="s">
        <v>8</v>
      </c>
      <c r="D2241">
        <v>186</v>
      </c>
      <c r="E2241">
        <v>2897.94</v>
      </c>
    </row>
    <row r="2242" spans="1:5" x14ac:dyDescent="0.25">
      <c r="A2242" s="1">
        <v>44974</v>
      </c>
      <c r="B2242">
        <v>4</v>
      </c>
      <c r="C2242" t="s">
        <v>8</v>
      </c>
      <c r="D2242">
        <v>209</v>
      </c>
      <c r="E2242">
        <v>2984.18</v>
      </c>
    </row>
    <row r="2243" spans="1:5" x14ac:dyDescent="0.25">
      <c r="A2243" s="1">
        <v>44975</v>
      </c>
      <c r="B2243">
        <v>4</v>
      </c>
      <c r="C2243" t="s">
        <v>8</v>
      </c>
      <c r="D2243">
        <v>224</v>
      </c>
      <c r="E2243">
        <v>3330</v>
      </c>
    </row>
    <row r="2244" spans="1:5" x14ac:dyDescent="0.25">
      <c r="A2244" s="1">
        <v>44976</v>
      </c>
      <c r="B2244">
        <v>4</v>
      </c>
      <c r="C2244" t="s">
        <v>8</v>
      </c>
      <c r="D2244">
        <v>214</v>
      </c>
      <c r="E2244">
        <v>3131.82</v>
      </c>
    </row>
    <row r="2245" spans="1:5" x14ac:dyDescent="0.25">
      <c r="A2245" s="1">
        <v>44977</v>
      </c>
      <c r="B2245">
        <v>4</v>
      </c>
      <c r="C2245" t="s">
        <v>8</v>
      </c>
      <c r="D2245">
        <v>163</v>
      </c>
      <c r="E2245">
        <v>2668.59</v>
      </c>
    </row>
    <row r="2246" spans="1:5" x14ac:dyDescent="0.25">
      <c r="A2246" s="1">
        <v>44978</v>
      </c>
      <c r="B2246">
        <v>4</v>
      </c>
      <c r="C2246" t="s">
        <v>8</v>
      </c>
      <c r="D2246">
        <v>166</v>
      </c>
      <c r="E2246">
        <v>2582.02</v>
      </c>
    </row>
    <row r="2247" spans="1:5" x14ac:dyDescent="0.25">
      <c r="A2247" s="1">
        <v>44979</v>
      </c>
      <c r="B2247">
        <v>4</v>
      </c>
      <c r="C2247" t="s">
        <v>8</v>
      </c>
      <c r="D2247">
        <v>173</v>
      </c>
      <c r="E2247">
        <v>2465.37</v>
      </c>
    </row>
    <row r="2248" spans="1:5" x14ac:dyDescent="0.25">
      <c r="A2248" s="1">
        <v>44980</v>
      </c>
      <c r="B2248">
        <v>4</v>
      </c>
      <c r="C2248" t="s">
        <v>8</v>
      </c>
      <c r="D2248">
        <v>175</v>
      </c>
      <c r="E2248">
        <v>2749.36</v>
      </c>
    </row>
    <row r="2249" spans="1:5" x14ac:dyDescent="0.25">
      <c r="A2249" s="1">
        <v>44981</v>
      </c>
      <c r="B2249">
        <v>4</v>
      </c>
      <c r="C2249" t="s">
        <v>8</v>
      </c>
      <c r="D2249">
        <v>175</v>
      </c>
      <c r="E2249">
        <v>3036.95</v>
      </c>
    </row>
    <row r="2250" spans="1:5" x14ac:dyDescent="0.25">
      <c r="A2250" s="1">
        <v>44982</v>
      </c>
      <c r="B2250">
        <v>4</v>
      </c>
      <c r="C2250" t="s">
        <v>8</v>
      </c>
      <c r="D2250">
        <v>184</v>
      </c>
      <c r="E2250">
        <v>2776.1</v>
      </c>
    </row>
    <row r="2251" spans="1:5" x14ac:dyDescent="0.25">
      <c r="A2251" s="1">
        <v>44983</v>
      </c>
      <c r="B2251">
        <v>4</v>
      </c>
      <c r="C2251" t="s">
        <v>8</v>
      </c>
      <c r="D2251">
        <v>175</v>
      </c>
      <c r="E2251">
        <v>2895.77</v>
      </c>
    </row>
    <row r="2252" spans="1:5" x14ac:dyDescent="0.25">
      <c r="A2252" s="1">
        <v>44984</v>
      </c>
      <c r="B2252">
        <v>4</v>
      </c>
      <c r="C2252" t="s">
        <v>8</v>
      </c>
      <c r="D2252">
        <v>203</v>
      </c>
      <c r="E2252">
        <v>3385.25</v>
      </c>
    </row>
    <row r="2253" spans="1:5" x14ac:dyDescent="0.25">
      <c r="A2253" s="1">
        <v>44985</v>
      </c>
      <c r="B2253">
        <v>4</v>
      </c>
      <c r="C2253" t="s">
        <v>8</v>
      </c>
      <c r="D2253">
        <v>197</v>
      </c>
      <c r="E2253">
        <v>3092.5</v>
      </c>
    </row>
    <row r="2254" spans="1:5" x14ac:dyDescent="0.25">
      <c r="A2254" s="1">
        <v>44986</v>
      </c>
      <c r="B2254">
        <v>4</v>
      </c>
      <c r="C2254" t="s">
        <v>8</v>
      </c>
      <c r="D2254">
        <v>181</v>
      </c>
      <c r="E2254">
        <v>3142.11</v>
      </c>
    </row>
    <row r="2255" spans="1:5" x14ac:dyDescent="0.25">
      <c r="A2255" s="1">
        <v>44987</v>
      </c>
      <c r="B2255">
        <v>4</v>
      </c>
      <c r="C2255" t="s">
        <v>8</v>
      </c>
      <c r="D2255">
        <v>159</v>
      </c>
      <c r="E2255">
        <v>2496.11</v>
      </c>
    </row>
    <row r="2256" spans="1:5" x14ac:dyDescent="0.25">
      <c r="A2256" s="1">
        <v>44988</v>
      </c>
      <c r="B2256">
        <v>4</v>
      </c>
      <c r="C2256" t="s">
        <v>8</v>
      </c>
      <c r="D2256">
        <v>164</v>
      </c>
      <c r="E2256">
        <v>2663.58</v>
      </c>
    </row>
    <row r="2257" spans="1:5" x14ac:dyDescent="0.25">
      <c r="A2257" s="1">
        <v>44989</v>
      </c>
      <c r="B2257">
        <v>4</v>
      </c>
      <c r="C2257" t="s">
        <v>8</v>
      </c>
      <c r="D2257">
        <v>195</v>
      </c>
      <c r="E2257">
        <v>2942.91</v>
      </c>
    </row>
    <row r="2258" spans="1:5" x14ac:dyDescent="0.25">
      <c r="A2258" s="1">
        <v>44990</v>
      </c>
      <c r="B2258">
        <v>4</v>
      </c>
      <c r="C2258" t="s">
        <v>8</v>
      </c>
      <c r="D2258">
        <v>146</v>
      </c>
      <c r="E2258">
        <v>2286.5300000000002</v>
      </c>
    </row>
    <row r="2259" spans="1:5" x14ac:dyDescent="0.25">
      <c r="A2259" s="1">
        <v>44991</v>
      </c>
      <c r="B2259">
        <v>4</v>
      </c>
      <c r="C2259" t="s">
        <v>8</v>
      </c>
      <c r="D2259">
        <v>212</v>
      </c>
      <c r="E2259">
        <v>3540.72</v>
      </c>
    </row>
    <row r="2260" spans="1:5" x14ac:dyDescent="0.25">
      <c r="A2260" s="1">
        <v>44992</v>
      </c>
      <c r="B2260">
        <v>4</v>
      </c>
      <c r="C2260" t="s">
        <v>8</v>
      </c>
      <c r="D2260">
        <v>176</v>
      </c>
      <c r="E2260">
        <v>2909.55</v>
      </c>
    </row>
    <row r="2261" spans="1:5" x14ac:dyDescent="0.25">
      <c r="A2261" s="1">
        <v>44993</v>
      </c>
      <c r="B2261">
        <v>4</v>
      </c>
      <c r="C2261" t="s">
        <v>8</v>
      </c>
      <c r="D2261">
        <v>176</v>
      </c>
      <c r="E2261">
        <v>2665.6</v>
      </c>
    </row>
    <row r="2262" spans="1:5" x14ac:dyDescent="0.25">
      <c r="A2262" s="1">
        <v>44994</v>
      </c>
      <c r="B2262">
        <v>4</v>
      </c>
      <c r="C2262" t="s">
        <v>8</v>
      </c>
      <c r="D2262">
        <v>170</v>
      </c>
      <c r="E2262">
        <v>2760.7</v>
      </c>
    </row>
    <row r="2263" spans="1:5" x14ac:dyDescent="0.25">
      <c r="A2263" s="1">
        <v>44995</v>
      </c>
      <c r="B2263">
        <v>4</v>
      </c>
      <c r="C2263" t="s">
        <v>8</v>
      </c>
      <c r="D2263">
        <v>167</v>
      </c>
      <c r="E2263">
        <v>2375.5</v>
      </c>
    </row>
    <row r="2264" spans="1:5" x14ac:dyDescent="0.25">
      <c r="A2264" s="1">
        <v>44996</v>
      </c>
      <c r="B2264">
        <v>4</v>
      </c>
      <c r="C2264" t="s">
        <v>8</v>
      </c>
      <c r="D2264">
        <v>203</v>
      </c>
      <c r="E2264">
        <v>3054.32</v>
      </c>
    </row>
    <row r="2265" spans="1:5" x14ac:dyDescent="0.25">
      <c r="A2265" s="1">
        <v>44997</v>
      </c>
      <c r="B2265">
        <v>4</v>
      </c>
      <c r="C2265" t="s">
        <v>8</v>
      </c>
      <c r="D2265">
        <v>201</v>
      </c>
      <c r="E2265">
        <v>2967.05</v>
      </c>
    </row>
    <row r="2266" spans="1:5" x14ac:dyDescent="0.25">
      <c r="A2266" s="1">
        <v>44998</v>
      </c>
      <c r="B2266">
        <v>4</v>
      </c>
      <c r="C2266" t="s">
        <v>8</v>
      </c>
      <c r="D2266">
        <v>175</v>
      </c>
      <c r="E2266">
        <v>2584.52</v>
      </c>
    </row>
    <row r="2267" spans="1:5" x14ac:dyDescent="0.25">
      <c r="A2267" s="1">
        <v>44999</v>
      </c>
      <c r="B2267">
        <v>4</v>
      </c>
      <c r="C2267" t="s">
        <v>8</v>
      </c>
      <c r="D2267">
        <v>177</v>
      </c>
      <c r="E2267">
        <v>2761.39</v>
      </c>
    </row>
    <row r="2268" spans="1:5" x14ac:dyDescent="0.25">
      <c r="A2268" s="1">
        <v>45000</v>
      </c>
      <c r="B2268">
        <v>4</v>
      </c>
      <c r="C2268" t="s">
        <v>8</v>
      </c>
      <c r="D2268">
        <v>168</v>
      </c>
      <c r="E2268">
        <v>2538.21</v>
      </c>
    </row>
    <row r="2269" spans="1:5" x14ac:dyDescent="0.25">
      <c r="A2269" s="1">
        <v>45001</v>
      </c>
      <c r="B2269">
        <v>4</v>
      </c>
      <c r="C2269" t="s">
        <v>8</v>
      </c>
      <c r="D2269">
        <v>168</v>
      </c>
      <c r="E2269">
        <v>2629.34</v>
      </c>
    </row>
    <row r="2270" spans="1:5" x14ac:dyDescent="0.25">
      <c r="A2270" s="1">
        <v>45002</v>
      </c>
      <c r="B2270">
        <v>4</v>
      </c>
      <c r="C2270" t="s">
        <v>8</v>
      </c>
      <c r="D2270">
        <v>191</v>
      </c>
      <c r="E2270">
        <v>2953.97</v>
      </c>
    </row>
    <row r="2271" spans="1:5" x14ac:dyDescent="0.25">
      <c r="A2271" s="1">
        <v>45003</v>
      </c>
      <c r="B2271">
        <v>4</v>
      </c>
      <c r="C2271" t="s">
        <v>8</v>
      </c>
      <c r="D2271">
        <v>178</v>
      </c>
      <c r="E2271">
        <v>2692.24</v>
      </c>
    </row>
    <row r="2272" spans="1:5" x14ac:dyDescent="0.25">
      <c r="A2272" s="1">
        <v>45004</v>
      </c>
      <c r="B2272">
        <v>4</v>
      </c>
      <c r="C2272" t="s">
        <v>8</v>
      </c>
      <c r="D2272">
        <v>197</v>
      </c>
      <c r="E2272">
        <v>2868.1</v>
      </c>
    </row>
    <row r="2273" spans="1:5" x14ac:dyDescent="0.25">
      <c r="A2273" s="1">
        <v>45005</v>
      </c>
      <c r="B2273">
        <v>4</v>
      </c>
      <c r="C2273" t="s">
        <v>8</v>
      </c>
      <c r="D2273">
        <v>175</v>
      </c>
      <c r="E2273">
        <v>2901.6</v>
      </c>
    </row>
    <row r="2274" spans="1:5" x14ac:dyDescent="0.25">
      <c r="A2274" s="1">
        <v>45006</v>
      </c>
      <c r="B2274">
        <v>4</v>
      </c>
      <c r="C2274" t="s">
        <v>8</v>
      </c>
      <c r="D2274">
        <v>138</v>
      </c>
      <c r="E2274">
        <v>2128.66</v>
      </c>
    </row>
    <row r="2275" spans="1:5" x14ac:dyDescent="0.25">
      <c r="A2275" s="1">
        <v>45007</v>
      </c>
      <c r="B2275">
        <v>4</v>
      </c>
      <c r="C2275" t="s">
        <v>8</v>
      </c>
      <c r="D2275">
        <v>158</v>
      </c>
      <c r="E2275">
        <v>2516.33</v>
      </c>
    </row>
    <row r="2276" spans="1:5" x14ac:dyDescent="0.25">
      <c r="A2276" s="1">
        <v>45008</v>
      </c>
      <c r="B2276">
        <v>4</v>
      </c>
      <c r="C2276" t="s">
        <v>8</v>
      </c>
      <c r="D2276">
        <v>156</v>
      </c>
      <c r="E2276">
        <v>2423.88</v>
      </c>
    </row>
    <row r="2277" spans="1:5" x14ac:dyDescent="0.25">
      <c r="A2277" s="1">
        <v>45009</v>
      </c>
      <c r="B2277">
        <v>4</v>
      </c>
      <c r="C2277" t="s">
        <v>8</v>
      </c>
      <c r="D2277">
        <v>143</v>
      </c>
      <c r="E2277">
        <v>2327.87</v>
      </c>
    </row>
    <row r="2278" spans="1:5" x14ac:dyDescent="0.25">
      <c r="A2278" s="1">
        <v>45010</v>
      </c>
      <c r="B2278">
        <v>4</v>
      </c>
      <c r="C2278" t="s">
        <v>8</v>
      </c>
      <c r="D2278">
        <v>167</v>
      </c>
      <c r="E2278">
        <v>2436.91</v>
      </c>
    </row>
    <row r="2279" spans="1:5" x14ac:dyDescent="0.25">
      <c r="A2279" s="1">
        <v>45011</v>
      </c>
      <c r="B2279">
        <v>4</v>
      </c>
      <c r="C2279" t="s">
        <v>8</v>
      </c>
      <c r="D2279">
        <v>199</v>
      </c>
      <c r="E2279">
        <v>3212.74</v>
      </c>
    </row>
    <row r="2280" spans="1:5" x14ac:dyDescent="0.25">
      <c r="A2280" s="1">
        <v>45012</v>
      </c>
      <c r="B2280">
        <v>4</v>
      </c>
      <c r="C2280" t="s">
        <v>8</v>
      </c>
      <c r="D2280">
        <v>136</v>
      </c>
      <c r="E2280">
        <v>2109.86</v>
      </c>
    </row>
    <row r="2281" spans="1:5" x14ac:dyDescent="0.25">
      <c r="A2281" s="1">
        <v>45013</v>
      </c>
      <c r="B2281">
        <v>4</v>
      </c>
      <c r="C2281" t="s">
        <v>8</v>
      </c>
      <c r="D2281">
        <v>149</v>
      </c>
      <c r="E2281">
        <v>2302.79</v>
      </c>
    </row>
    <row r="2282" spans="1:5" x14ac:dyDescent="0.25">
      <c r="A2282" s="1">
        <v>45014</v>
      </c>
      <c r="B2282">
        <v>4</v>
      </c>
      <c r="C2282" t="s">
        <v>8</v>
      </c>
      <c r="D2282">
        <v>181</v>
      </c>
      <c r="E2282">
        <v>2948.08</v>
      </c>
    </row>
    <row r="2283" spans="1:5" x14ac:dyDescent="0.25">
      <c r="A2283" s="1">
        <v>45015</v>
      </c>
      <c r="B2283">
        <v>4</v>
      </c>
      <c r="C2283" t="s">
        <v>8</v>
      </c>
      <c r="D2283">
        <v>161</v>
      </c>
      <c r="E2283">
        <v>2662.72</v>
      </c>
    </row>
    <row r="2284" spans="1:5" x14ac:dyDescent="0.25">
      <c r="A2284" s="1">
        <v>45016</v>
      </c>
      <c r="B2284">
        <v>4</v>
      </c>
      <c r="C2284" t="s">
        <v>8</v>
      </c>
      <c r="D2284">
        <v>159</v>
      </c>
      <c r="E2284">
        <v>2774.07</v>
      </c>
    </row>
    <row r="2285" spans="1:5" x14ac:dyDescent="0.25">
      <c r="A2285" s="1">
        <v>45017</v>
      </c>
      <c r="B2285">
        <v>4</v>
      </c>
      <c r="C2285" t="s">
        <v>8</v>
      </c>
      <c r="D2285">
        <v>218</v>
      </c>
      <c r="E2285">
        <v>3227.26</v>
      </c>
    </row>
    <row r="2286" spans="1:5" x14ac:dyDescent="0.25">
      <c r="A2286" s="1">
        <v>45018</v>
      </c>
      <c r="B2286">
        <v>4</v>
      </c>
      <c r="C2286" t="s">
        <v>8</v>
      </c>
      <c r="D2286">
        <v>172</v>
      </c>
      <c r="E2286">
        <v>2804.81</v>
      </c>
    </row>
    <row r="2287" spans="1:5" x14ac:dyDescent="0.25">
      <c r="A2287" s="1">
        <v>45019</v>
      </c>
      <c r="B2287">
        <v>4</v>
      </c>
      <c r="C2287" t="s">
        <v>8</v>
      </c>
      <c r="D2287">
        <v>164</v>
      </c>
      <c r="E2287">
        <v>2374.7199999999998</v>
      </c>
    </row>
    <row r="2288" spans="1:5" x14ac:dyDescent="0.25">
      <c r="A2288" s="1">
        <v>45020</v>
      </c>
      <c r="B2288">
        <v>4</v>
      </c>
      <c r="C2288" t="s">
        <v>8</v>
      </c>
      <c r="D2288">
        <v>161</v>
      </c>
      <c r="E2288">
        <v>2324.92</v>
      </c>
    </row>
    <row r="2289" spans="1:5" x14ac:dyDescent="0.25">
      <c r="A2289" s="1">
        <v>45021</v>
      </c>
      <c r="B2289">
        <v>4</v>
      </c>
      <c r="C2289" t="s">
        <v>8</v>
      </c>
      <c r="D2289">
        <v>136</v>
      </c>
      <c r="E2289">
        <v>2247.9</v>
      </c>
    </row>
    <row r="2290" spans="1:5" x14ac:dyDescent="0.25">
      <c r="A2290" s="1">
        <v>45022</v>
      </c>
      <c r="B2290">
        <v>4</v>
      </c>
      <c r="C2290" t="s">
        <v>8</v>
      </c>
      <c r="D2290">
        <v>148</v>
      </c>
      <c r="E2290">
        <v>2046.18</v>
      </c>
    </row>
    <row r="2291" spans="1:5" x14ac:dyDescent="0.25">
      <c r="A2291" s="1">
        <v>45023</v>
      </c>
      <c r="B2291">
        <v>4</v>
      </c>
      <c r="C2291" t="s">
        <v>8</v>
      </c>
      <c r="D2291">
        <v>185</v>
      </c>
      <c r="E2291">
        <v>2881.94</v>
      </c>
    </row>
    <row r="2292" spans="1:5" x14ac:dyDescent="0.25">
      <c r="A2292" s="1">
        <v>45024</v>
      </c>
      <c r="B2292">
        <v>4</v>
      </c>
      <c r="C2292" t="s">
        <v>8</v>
      </c>
      <c r="D2292">
        <v>206</v>
      </c>
      <c r="E2292">
        <v>2931.53</v>
      </c>
    </row>
    <row r="2293" spans="1:5" x14ac:dyDescent="0.25">
      <c r="A2293" s="1">
        <v>45025</v>
      </c>
      <c r="B2293">
        <v>4</v>
      </c>
      <c r="C2293" t="s">
        <v>8</v>
      </c>
      <c r="D2293">
        <v>203</v>
      </c>
      <c r="E2293">
        <v>2962.05</v>
      </c>
    </row>
    <row r="2294" spans="1:5" x14ac:dyDescent="0.25">
      <c r="A2294" s="1">
        <v>45026</v>
      </c>
      <c r="B2294">
        <v>4</v>
      </c>
      <c r="C2294" t="s">
        <v>8</v>
      </c>
      <c r="D2294">
        <v>164</v>
      </c>
      <c r="E2294">
        <v>2701.26</v>
      </c>
    </row>
    <row r="2295" spans="1:5" x14ac:dyDescent="0.25">
      <c r="A2295" s="1">
        <v>45027</v>
      </c>
      <c r="B2295">
        <v>4</v>
      </c>
      <c r="C2295" t="s">
        <v>8</v>
      </c>
      <c r="D2295">
        <v>139</v>
      </c>
      <c r="E2295">
        <v>2207.46</v>
      </c>
    </row>
    <row r="2296" spans="1:5" x14ac:dyDescent="0.25">
      <c r="A2296" s="1">
        <v>45028</v>
      </c>
      <c r="B2296">
        <v>4</v>
      </c>
      <c r="C2296" t="s">
        <v>8</v>
      </c>
      <c r="D2296">
        <v>179</v>
      </c>
      <c r="E2296">
        <v>2676.78</v>
      </c>
    </row>
    <row r="2297" spans="1:5" x14ac:dyDescent="0.25">
      <c r="A2297" s="1">
        <v>45029</v>
      </c>
      <c r="B2297">
        <v>4</v>
      </c>
      <c r="C2297" t="s">
        <v>8</v>
      </c>
      <c r="D2297">
        <v>199</v>
      </c>
      <c r="E2297">
        <v>3181.8</v>
      </c>
    </row>
    <row r="2298" spans="1:5" x14ac:dyDescent="0.25">
      <c r="A2298" s="1">
        <v>45030</v>
      </c>
      <c r="B2298">
        <v>4</v>
      </c>
      <c r="C2298" t="s">
        <v>8</v>
      </c>
      <c r="D2298">
        <v>163</v>
      </c>
      <c r="E2298">
        <v>2407.7399999999998</v>
      </c>
    </row>
    <row r="2299" spans="1:5" x14ac:dyDescent="0.25">
      <c r="A2299" s="1">
        <v>45031</v>
      </c>
      <c r="B2299">
        <v>4</v>
      </c>
      <c r="C2299" t="s">
        <v>8</v>
      </c>
      <c r="D2299">
        <v>197</v>
      </c>
      <c r="E2299">
        <v>2956.31</v>
      </c>
    </row>
    <row r="2300" spans="1:5" x14ac:dyDescent="0.25">
      <c r="A2300" s="1">
        <v>45032</v>
      </c>
      <c r="B2300">
        <v>4</v>
      </c>
      <c r="C2300" t="s">
        <v>8</v>
      </c>
      <c r="D2300">
        <v>166</v>
      </c>
      <c r="E2300">
        <v>2346.4699999999998</v>
      </c>
    </row>
    <row r="2301" spans="1:5" x14ac:dyDescent="0.25">
      <c r="A2301" s="1">
        <v>45033</v>
      </c>
      <c r="B2301">
        <v>4</v>
      </c>
      <c r="C2301" t="s">
        <v>8</v>
      </c>
      <c r="D2301">
        <v>142</v>
      </c>
      <c r="E2301">
        <v>2252.2399999999998</v>
      </c>
    </row>
    <row r="2302" spans="1:5" x14ac:dyDescent="0.25">
      <c r="A2302" s="1">
        <v>45034</v>
      </c>
      <c r="B2302">
        <v>4</v>
      </c>
      <c r="C2302" t="s">
        <v>8</v>
      </c>
      <c r="D2302">
        <v>165</v>
      </c>
      <c r="E2302">
        <v>2652.25</v>
      </c>
    </row>
    <row r="2303" spans="1:5" x14ac:dyDescent="0.25">
      <c r="A2303" s="1">
        <v>45035</v>
      </c>
      <c r="B2303">
        <v>4</v>
      </c>
      <c r="C2303" t="s">
        <v>8</v>
      </c>
      <c r="D2303">
        <v>152</v>
      </c>
      <c r="E2303">
        <v>2400.9899999999998</v>
      </c>
    </row>
    <row r="2304" spans="1:5" x14ac:dyDescent="0.25">
      <c r="A2304" s="1">
        <v>45036</v>
      </c>
      <c r="B2304">
        <v>4</v>
      </c>
      <c r="C2304" t="s">
        <v>8</v>
      </c>
      <c r="D2304">
        <v>192</v>
      </c>
      <c r="E2304">
        <v>2934.7</v>
      </c>
    </row>
    <row r="2305" spans="1:5" x14ac:dyDescent="0.25">
      <c r="A2305" s="1">
        <v>45037</v>
      </c>
      <c r="B2305">
        <v>4</v>
      </c>
      <c r="C2305" t="s">
        <v>8</v>
      </c>
      <c r="D2305">
        <v>168</v>
      </c>
      <c r="E2305">
        <v>2717.76</v>
      </c>
    </row>
    <row r="2306" spans="1:5" x14ac:dyDescent="0.25">
      <c r="A2306" s="1">
        <v>45038</v>
      </c>
      <c r="B2306">
        <v>4</v>
      </c>
      <c r="C2306" t="s">
        <v>8</v>
      </c>
      <c r="D2306">
        <v>177</v>
      </c>
      <c r="E2306">
        <v>2839.86</v>
      </c>
    </row>
    <row r="2307" spans="1:5" x14ac:dyDescent="0.25">
      <c r="A2307" s="1">
        <v>45039</v>
      </c>
      <c r="B2307">
        <v>4</v>
      </c>
      <c r="C2307" t="s">
        <v>8</v>
      </c>
      <c r="D2307">
        <v>192</v>
      </c>
      <c r="E2307">
        <v>2693.95</v>
      </c>
    </row>
    <row r="2308" spans="1:5" x14ac:dyDescent="0.25">
      <c r="A2308" s="1">
        <v>45040</v>
      </c>
      <c r="B2308">
        <v>4</v>
      </c>
      <c r="C2308" t="s">
        <v>8</v>
      </c>
      <c r="D2308">
        <v>159</v>
      </c>
      <c r="E2308">
        <v>2370.6</v>
      </c>
    </row>
    <row r="2309" spans="1:5" x14ac:dyDescent="0.25">
      <c r="A2309" s="1">
        <v>45041</v>
      </c>
      <c r="B2309">
        <v>4</v>
      </c>
      <c r="C2309" t="s">
        <v>8</v>
      </c>
      <c r="D2309">
        <v>167</v>
      </c>
      <c r="E2309">
        <v>2628.95</v>
      </c>
    </row>
    <row r="2310" spans="1:5" x14ac:dyDescent="0.25">
      <c r="A2310" s="1">
        <v>45042</v>
      </c>
      <c r="B2310">
        <v>4</v>
      </c>
      <c r="C2310" t="s">
        <v>8</v>
      </c>
      <c r="D2310">
        <v>178</v>
      </c>
      <c r="E2310">
        <v>2829.46</v>
      </c>
    </row>
    <row r="2311" spans="1:5" x14ac:dyDescent="0.25">
      <c r="A2311" s="1">
        <v>45043</v>
      </c>
      <c r="B2311">
        <v>4</v>
      </c>
      <c r="C2311" t="s">
        <v>8</v>
      </c>
      <c r="D2311">
        <v>168</v>
      </c>
      <c r="E2311">
        <v>2614.19</v>
      </c>
    </row>
    <row r="2312" spans="1:5" x14ac:dyDescent="0.25">
      <c r="A2312" s="1">
        <v>45044</v>
      </c>
      <c r="B2312">
        <v>4</v>
      </c>
      <c r="C2312" t="s">
        <v>8</v>
      </c>
      <c r="D2312">
        <v>191</v>
      </c>
      <c r="E2312">
        <v>2945.47</v>
      </c>
    </row>
    <row r="2313" spans="1:5" x14ac:dyDescent="0.25">
      <c r="A2313" s="1">
        <v>45045</v>
      </c>
      <c r="B2313">
        <v>4</v>
      </c>
      <c r="C2313" t="s">
        <v>8</v>
      </c>
      <c r="D2313">
        <v>222</v>
      </c>
      <c r="E2313">
        <v>3332.62</v>
      </c>
    </row>
    <row r="2314" spans="1:5" x14ac:dyDescent="0.25">
      <c r="A2314" s="1">
        <v>45046</v>
      </c>
      <c r="B2314">
        <v>4</v>
      </c>
      <c r="C2314" t="s">
        <v>8</v>
      </c>
      <c r="D2314">
        <v>186</v>
      </c>
      <c r="E2314">
        <v>2854.02</v>
      </c>
    </row>
    <row r="2315" spans="1:5" x14ac:dyDescent="0.25">
      <c r="A2315" s="1">
        <v>45047</v>
      </c>
      <c r="B2315">
        <v>4</v>
      </c>
      <c r="C2315" t="s">
        <v>8</v>
      </c>
      <c r="D2315">
        <v>175</v>
      </c>
      <c r="E2315">
        <v>2949.04</v>
      </c>
    </row>
    <row r="2316" spans="1:5" x14ac:dyDescent="0.25">
      <c r="A2316" s="1">
        <v>45048</v>
      </c>
      <c r="B2316">
        <v>4</v>
      </c>
      <c r="C2316" t="s">
        <v>8</v>
      </c>
      <c r="D2316">
        <v>131</v>
      </c>
      <c r="E2316">
        <v>2299.8200000000002</v>
      </c>
    </row>
    <row r="2317" spans="1:5" x14ac:dyDescent="0.25">
      <c r="A2317" s="1">
        <v>45049</v>
      </c>
      <c r="B2317">
        <v>4</v>
      </c>
      <c r="C2317" t="s">
        <v>8</v>
      </c>
      <c r="D2317">
        <v>129</v>
      </c>
      <c r="E2317">
        <v>1935.94</v>
      </c>
    </row>
    <row r="2318" spans="1:5" x14ac:dyDescent="0.25">
      <c r="A2318" s="1">
        <v>45050</v>
      </c>
      <c r="B2318">
        <v>4</v>
      </c>
      <c r="C2318" t="s">
        <v>8</v>
      </c>
      <c r="D2318">
        <v>159</v>
      </c>
      <c r="E2318">
        <v>2488.08</v>
      </c>
    </row>
    <row r="2319" spans="1:5" x14ac:dyDescent="0.25">
      <c r="A2319" s="1">
        <v>45051</v>
      </c>
      <c r="B2319">
        <v>4</v>
      </c>
      <c r="C2319" t="s">
        <v>8</v>
      </c>
      <c r="D2319">
        <v>178</v>
      </c>
      <c r="E2319">
        <v>2950.12</v>
      </c>
    </row>
    <row r="2320" spans="1:5" x14ac:dyDescent="0.25">
      <c r="A2320" s="1">
        <v>45052</v>
      </c>
      <c r="B2320">
        <v>4</v>
      </c>
      <c r="C2320" t="s">
        <v>8</v>
      </c>
      <c r="D2320">
        <v>176</v>
      </c>
      <c r="E2320">
        <v>2692.35</v>
      </c>
    </row>
    <row r="2321" spans="1:5" x14ac:dyDescent="0.25">
      <c r="A2321" s="1">
        <v>45053</v>
      </c>
      <c r="B2321">
        <v>4</v>
      </c>
      <c r="C2321" t="s">
        <v>8</v>
      </c>
      <c r="D2321">
        <v>207</v>
      </c>
      <c r="E2321">
        <v>3094.46</v>
      </c>
    </row>
    <row r="2322" spans="1:5" x14ac:dyDescent="0.25">
      <c r="A2322" s="1">
        <v>45054</v>
      </c>
      <c r="B2322">
        <v>4</v>
      </c>
      <c r="C2322" t="s">
        <v>8</v>
      </c>
      <c r="D2322">
        <v>180</v>
      </c>
      <c r="E2322">
        <v>2703.94</v>
      </c>
    </row>
    <row r="2323" spans="1:5" x14ac:dyDescent="0.25">
      <c r="A2323" s="1">
        <v>45055</v>
      </c>
      <c r="B2323">
        <v>4</v>
      </c>
      <c r="C2323" t="s">
        <v>8</v>
      </c>
      <c r="D2323">
        <v>183</v>
      </c>
      <c r="E2323">
        <v>2771.65</v>
      </c>
    </row>
    <row r="2324" spans="1:5" x14ac:dyDescent="0.25">
      <c r="A2324" s="1">
        <v>45056</v>
      </c>
      <c r="B2324">
        <v>4</v>
      </c>
      <c r="C2324" t="s">
        <v>8</v>
      </c>
      <c r="D2324">
        <v>159</v>
      </c>
      <c r="E2324">
        <v>2572.65</v>
      </c>
    </row>
    <row r="2325" spans="1:5" x14ac:dyDescent="0.25">
      <c r="A2325" s="1">
        <v>45057</v>
      </c>
      <c r="B2325">
        <v>4</v>
      </c>
      <c r="C2325" t="s">
        <v>8</v>
      </c>
      <c r="D2325">
        <v>162</v>
      </c>
      <c r="E2325">
        <v>2634.5</v>
      </c>
    </row>
    <row r="2326" spans="1:5" x14ac:dyDescent="0.25">
      <c r="A2326" s="1">
        <v>45058</v>
      </c>
      <c r="B2326">
        <v>4</v>
      </c>
      <c r="C2326" t="s">
        <v>8</v>
      </c>
      <c r="D2326">
        <v>164</v>
      </c>
      <c r="E2326">
        <v>2384.7600000000002</v>
      </c>
    </row>
    <row r="2327" spans="1:5" x14ac:dyDescent="0.25">
      <c r="A2327" s="1">
        <v>45059</v>
      </c>
      <c r="B2327">
        <v>4</v>
      </c>
      <c r="C2327" t="s">
        <v>8</v>
      </c>
      <c r="D2327">
        <v>195</v>
      </c>
      <c r="E2327">
        <v>2708.78</v>
      </c>
    </row>
    <row r="2328" spans="1:5" x14ac:dyDescent="0.25">
      <c r="A2328" s="1">
        <v>45060</v>
      </c>
      <c r="B2328">
        <v>4</v>
      </c>
      <c r="C2328" t="s">
        <v>8</v>
      </c>
      <c r="D2328">
        <v>195</v>
      </c>
      <c r="E2328">
        <v>2880.94</v>
      </c>
    </row>
    <row r="2329" spans="1:5" x14ac:dyDescent="0.25">
      <c r="A2329" s="1">
        <v>45061</v>
      </c>
      <c r="B2329">
        <v>4</v>
      </c>
      <c r="C2329" t="s">
        <v>8</v>
      </c>
      <c r="D2329">
        <v>193</v>
      </c>
      <c r="E2329">
        <v>3066.24</v>
      </c>
    </row>
    <row r="2330" spans="1:5" x14ac:dyDescent="0.25">
      <c r="A2330" s="1">
        <v>45062</v>
      </c>
      <c r="B2330">
        <v>4</v>
      </c>
      <c r="C2330" t="s">
        <v>8</v>
      </c>
      <c r="D2330">
        <v>160</v>
      </c>
      <c r="E2330">
        <v>2572.11</v>
      </c>
    </row>
    <row r="2331" spans="1:5" x14ac:dyDescent="0.25">
      <c r="A2331" s="1">
        <v>45063</v>
      </c>
      <c r="B2331">
        <v>4</v>
      </c>
      <c r="C2331" t="s">
        <v>8</v>
      </c>
      <c r="D2331">
        <v>190</v>
      </c>
      <c r="E2331">
        <v>2933.6</v>
      </c>
    </row>
    <row r="2332" spans="1:5" x14ac:dyDescent="0.25">
      <c r="A2332" s="1">
        <v>45064</v>
      </c>
      <c r="B2332">
        <v>4</v>
      </c>
      <c r="C2332" t="s">
        <v>8</v>
      </c>
      <c r="D2332">
        <v>167</v>
      </c>
      <c r="E2332">
        <v>2453.61</v>
      </c>
    </row>
    <row r="2333" spans="1:5" x14ac:dyDescent="0.25">
      <c r="A2333" s="1">
        <v>45065</v>
      </c>
      <c r="B2333">
        <v>4</v>
      </c>
      <c r="C2333" t="s">
        <v>8</v>
      </c>
      <c r="D2333">
        <v>189</v>
      </c>
      <c r="E2333">
        <v>3210.62</v>
      </c>
    </row>
    <row r="2334" spans="1:5" x14ac:dyDescent="0.25">
      <c r="A2334" s="1">
        <v>45066</v>
      </c>
      <c r="B2334">
        <v>4</v>
      </c>
      <c r="C2334" t="s">
        <v>8</v>
      </c>
      <c r="D2334">
        <v>192</v>
      </c>
      <c r="E2334">
        <v>3153.92</v>
      </c>
    </row>
    <row r="2335" spans="1:5" x14ac:dyDescent="0.25">
      <c r="A2335" s="1">
        <v>45067</v>
      </c>
      <c r="B2335">
        <v>4</v>
      </c>
      <c r="C2335" t="s">
        <v>8</v>
      </c>
      <c r="D2335">
        <v>190</v>
      </c>
      <c r="E2335">
        <v>2829.28</v>
      </c>
    </row>
    <row r="2336" spans="1:5" x14ac:dyDescent="0.25">
      <c r="A2336" s="1">
        <v>45068</v>
      </c>
      <c r="B2336">
        <v>4</v>
      </c>
      <c r="C2336" t="s">
        <v>8</v>
      </c>
      <c r="D2336">
        <v>146</v>
      </c>
      <c r="E2336">
        <v>2172.59</v>
      </c>
    </row>
    <row r="2337" spans="1:5" x14ac:dyDescent="0.25">
      <c r="A2337" s="1">
        <v>45069</v>
      </c>
      <c r="B2337">
        <v>4</v>
      </c>
      <c r="C2337" t="s">
        <v>8</v>
      </c>
      <c r="D2337">
        <v>202</v>
      </c>
      <c r="E2337">
        <v>3199.67</v>
      </c>
    </row>
    <row r="2338" spans="1:5" x14ac:dyDescent="0.25">
      <c r="A2338" s="1">
        <v>45070</v>
      </c>
      <c r="B2338">
        <v>4</v>
      </c>
      <c r="C2338" t="s">
        <v>8</v>
      </c>
      <c r="D2338">
        <v>197</v>
      </c>
      <c r="E2338">
        <v>3140.41</v>
      </c>
    </row>
    <row r="2339" spans="1:5" x14ac:dyDescent="0.25">
      <c r="A2339" s="1">
        <v>45071</v>
      </c>
      <c r="B2339">
        <v>4</v>
      </c>
      <c r="C2339" t="s">
        <v>8</v>
      </c>
      <c r="D2339">
        <v>177</v>
      </c>
      <c r="E2339">
        <v>2819.56</v>
      </c>
    </row>
    <row r="2340" spans="1:5" x14ac:dyDescent="0.25">
      <c r="A2340" s="1">
        <v>45072</v>
      </c>
      <c r="B2340">
        <v>4</v>
      </c>
      <c r="C2340" t="s">
        <v>8</v>
      </c>
      <c r="D2340">
        <v>160</v>
      </c>
      <c r="E2340">
        <v>2450.23</v>
      </c>
    </row>
    <row r="2341" spans="1:5" x14ac:dyDescent="0.25">
      <c r="A2341" s="1">
        <v>45073</v>
      </c>
      <c r="B2341">
        <v>4</v>
      </c>
      <c r="C2341" t="s">
        <v>8</v>
      </c>
      <c r="D2341">
        <v>187</v>
      </c>
      <c r="E2341">
        <v>2888.8</v>
      </c>
    </row>
    <row r="2342" spans="1:5" x14ac:dyDescent="0.25">
      <c r="A2342" s="1">
        <v>45074</v>
      </c>
      <c r="B2342">
        <v>4</v>
      </c>
      <c r="C2342" t="s">
        <v>8</v>
      </c>
      <c r="D2342">
        <v>198</v>
      </c>
      <c r="E2342">
        <v>2854.49</v>
      </c>
    </row>
    <row r="2343" spans="1:5" x14ac:dyDescent="0.25">
      <c r="A2343" s="1">
        <v>45075</v>
      </c>
      <c r="B2343">
        <v>4</v>
      </c>
      <c r="C2343" t="s">
        <v>8</v>
      </c>
      <c r="D2343">
        <v>182</v>
      </c>
      <c r="E2343">
        <v>2973.51</v>
      </c>
    </row>
    <row r="2344" spans="1:5" x14ac:dyDescent="0.25">
      <c r="A2344" s="1">
        <v>45076</v>
      </c>
      <c r="B2344">
        <v>4</v>
      </c>
      <c r="C2344" t="s">
        <v>8</v>
      </c>
      <c r="D2344">
        <v>168</v>
      </c>
      <c r="E2344">
        <v>2762.16</v>
      </c>
    </row>
    <row r="2345" spans="1:5" x14ac:dyDescent="0.25">
      <c r="A2345" s="1">
        <v>45077</v>
      </c>
      <c r="B2345">
        <v>4</v>
      </c>
      <c r="C2345" t="s">
        <v>8</v>
      </c>
      <c r="D2345">
        <v>169</v>
      </c>
      <c r="E2345">
        <v>2359.9499999999998</v>
      </c>
    </row>
    <row r="2346" spans="1:5" x14ac:dyDescent="0.25">
      <c r="A2346" s="1">
        <v>45078</v>
      </c>
      <c r="B2346">
        <v>4</v>
      </c>
      <c r="C2346" t="s">
        <v>8</v>
      </c>
      <c r="D2346">
        <v>181</v>
      </c>
      <c r="E2346">
        <v>2905.45</v>
      </c>
    </row>
    <row r="2347" spans="1:5" x14ac:dyDescent="0.25">
      <c r="A2347" s="1">
        <v>45079</v>
      </c>
      <c r="B2347">
        <v>4</v>
      </c>
      <c r="C2347" t="s">
        <v>8</v>
      </c>
      <c r="D2347">
        <v>204</v>
      </c>
      <c r="E2347">
        <v>3159.79</v>
      </c>
    </row>
    <row r="2348" spans="1:5" x14ac:dyDescent="0.25">
      <c r="A2348" s="1">
        <v>45080</v>
      </c>
      <c r="B2348">
        <v>4</v>
      </c>
      <c r="C2348" t="s">
        <v>8</v>
      </c>
      <c r="D2348">
        <v>200</v>
      </c>
      <c r="E2348">
        <v>2995.87</v>
      </c>
    </row>
    <row r="2349" spans="1:5" x14ac:dyDescent="0.25">
      <c r="A2349" s="1">
        <v>45081</v>
      </c>
      <c r="B2349">
        <v>4</v>
      </c>
      <c r="C2349" t="s">
        <v>8</v>
      </c>
      <c r="D2349">
        <v>223</v>
      </c>
      <c r="E2349">
        <v>3617.27</v>
      </c>
    </row>
    <row r="2350" spans="1:5" x14ac:dyDescent="0.25">
      <c r="A2350" s="1">
        <v>45082</v>
      </c>
      <c r="B2350">
        <v>4</v>
      </c>
      <c r="C2350" t="s">
        <v>8</v>
      </c>
      <c r="D2350">
        <v>175</v>
      </c>
      <c r="E2350">
        <v>2664.73</v>
      </c>
    </row>
    <row r="2351" spans="1:5" x14ac:dyDescent="0.25">
      <c r="A2351" s="1">
        <v>45083</v>
      </c>
      <c r="B2351">
        <v>4</v>
      </c>
      <c r="C2351" t="s">
        <v>8</v>
      </c>
      <c r="D2351">
        <v>179</v>
      </c>
      <c r="E2351">
        <v>2880.31</v>
      </c>
    </row>
    <row r="2352" spans="1:5" x14ac:dyDescent="0.25">
      <c r="A2352" s="1">
        <v>45084</v>
      </c>
      <c r="B2352">
        <v>4</v>
      </c>
      <c r="C2352" t="s">
        <v>8</v>
      </c>
      <c r="D2352">
        <v>164</v>
      </c>
      <c r="E2352">
        <v>2658.23</v>
      </c>
    </row>
    <row r="2353" spans="1:5" x14ac:dyDescent="0.25">
      <c r="A2353" s="1">
        <v>45085</v>
      </c>
      <c r="B2353">
        <v>4</v>
      </c>
      <c r="C2353" t="s">
        <v>8</v>
      </c>
      <c r="D2353">
        <v>213</v>
      </c>
      <c r="E2353">
        <v>3170.61</v>
      </c>
    </row>
    <row r="2354" spans="1:5" x14ac:dyDescent="0.25">
      <c r="A2354" s="1">
        <v>45086</v>
      </c>
      <c r="B2354">
        <v>4</v>
      </c>
      <c r="C2354" t="s">
        <v>8</v>
      </c>
      <c r="D2354">
        <v>180</v>
      </c>
      <c r="E2354">
        <v>2741.52</v>
      </c>
    </row>
    <row r="2355" spans="1:5" x14ac:dyDescent="0.25">
      <c r="A2355" s="1">
        <v>45087</v>
      </c>
      <c r="B2355">
        <v>4</v>
      </c>
      <c r="C2355" t="s">
        <v>8</v>
      </c>
      <c r="D2355">
        <v>234</v>
      </c>
      <c r="E2355">
        <v>3896.41</v>
      </c>
    </row>
    <row r="2356" spans="1:5" x14ac:dyDescent="0.25">
      <c r="A2356" s="1">
        <v>45088</v>
      </c>
      <c r="B2356">
        <v>4</v>
      </c>
      <c r="C2356" t="s">
        <v>8</v>
      </c>
      <c r="D2356">
        <v>245</v>
      </c>
      <c r="E2356">
        <v>4123</v>
      </c>
    </row>
    <row r="2357" spans="1:5" x14ac:dyDescent="0.25">
      <c r="A2357" s="1">
        <v>45089</v>
      </c>
      <c r="B2357">
        <v>4</v>
      </c>
      <c r="C2357" t="s">
        <v>8</v>
      </c>
      <c r="D2357">
        <v>188</v>
      </c>
      <c r="E2357">
        <v>2835.16</v>
      </c>
    </row>
    <row r="2358" spans="1:5" x14ac:dyDescent="0.25">
      <c r="A2358" s="1">
        <v>45090</v>
      </c>
      <c r="B2358">
        <v>4</v>
      </c>
      <c r="C2358" t="s">
        <v>8</v>
      </c>
      <c r="D2358">
        <v>218</v>
      </c>
      <c r="E2358">
        <v>3271.91</v>
      </c>
    </row>
    <row r="2359" spans="1:5" x14ac:dyDescent="0.25">
      <c r="A2359" s="1">
        <v>45091</v>
      </c>
      <c r="B2359">
        <v>4</v>
      </c>
      <c r="C2359" t="s">
        <v>8</v>
      </c>
      <c r="D2359">
        <v>186</v>
      </c>
      <c r="E2359">
        <v>2712.57</v>
      </c>
    </row>
    <row r="2360" spans="1:5" x14ac:dyDescent="0.25">
      <c r="A2360" s="1">
        <v>45092</v>
      </c>
      <c r="B2360">
        <v>4</v>
      </c>
      <c r="C2360" t="s">
        <v>8</v>
      </c>
      <c r="D2360">
        <v>192</v>
      </c>
      <c r="E2360">
        <v>2910.52</v>
      </c>
    </row>
    <row r="2361" spans="1:5" x14ac:dyDescent="0.25">
      <c r="A2361" s="1">
        <v>45093</v>
      </c>
      <c r="B2361">
        <v>4</v>
      </c>
      <c r="C2361" t="s">
        <v>8</v>
      </c>
      <c r="D2361">
        <v>252</v>
      </c>
      <c r="E2361">
        <v>3537.06</v>
      </c>
    </row>
    <row r="2362" spans="1:5" x14ac:dyDescent="0.25">
      <c r="A2362" s="1">
        <v>45094</v>
      </c>
      <c r="B2362">
        <v>4</v>
      </c>
      <c r="C2362" t="s">
        <v>8</v>
      </c>
      <c r="D2362">
        <v>249</v>
      </c>
      <c r="E2362">
        <v>3707.53</v>
      </c>
    </row>
    <row r="2363" spans="1:5" x14ac:dyDescent="0.25">
      <c r="A2363" s="1">
        <v>45095</v>
      </c>
      <c r="B2363">
        <v>4</v>
      </c>
      <c r="C2363" t="s">
        <v>8</v>
      </c>
      <c r="D2363">
        <v>239</v>
      </c>
      <c r="E2363">
        <v>3571.75</v>
      </c>
    </row>
    <row r="2364" spans="1:5" x14ac:dyDescent="0.25">
      <c r="A2364" s="1">
        <v>45096</v>
      </c>
      <c r="B2364">
        <v>4</v>
      </c>
      <c r="C2364" t="s">
        <v>8</v>
      </c>
      <c r="D2364">
        <v>202</v>
      </c>
      <c r="E2364">
        <v>3373.04</v>
      </c>
    </row>
    <row r="2365" spans="1:5" x14ac:dyDescent="0.25">
      <c r="A2365" s="1">
        <v>45097</v>
      </c>
      <c r="B2365">
        <v>4</v>
      </c>
      <c r="C2365" t="s">
        <v>8</v>
      </c>
      <c r="D2365">
        <v>202</v>
      </c>
      <c r="E2365">
        <v>3022.72</v>
      </c>
    </row>
    <row r="2366" spans="1:5" x14ac:dyDescent="0.25">
      <c r="A2366" s="1">
        <v>45098</v>
      </c>
      <c r="B2366">
        <v>4</v>
      </c>
      <c r="C2366" t="s">
        <v>8</v>
      </c>
      <c r="D2366">
        <v>196</v>
      </c>
      <c r="E2366">
        <v>3018.36</v>
      </c>
    </row>
    <row r="2367" spans="1:5" x14ac:dyDescent="0.25">
      <c r="A2367" s="1">
        <v>45099</v>
      </c>
      <c r="B2367">
        <v>4</v>
      </c>
      <c r="C2367" t="s">
        <v>8</v>
      </c>
      <c r="D2367">
        <v>198</v>
      </c>
      <c r="E2367">
        <v>2849.99</v>
      </c>
    </row>
    <row r="2368" spans="1:5" x14ac:dyDescent="0.25">
      <c r="A2368" s="1">
        <v>45100</v>
      </c>
      <c r="B2368">
        <v>4</v>
      </c>
      <c r="C2368" t="s">
        <v>8</v>
      </c>
      <c r="D2368">
        <v>199</v>
      </c>
      <c r="E2368">
        <v>3007.16</v>
      </c>
    </row>
    <row r="2369" spans="1:5" x14ac:dyDescent="0.25">
      <c r="A2369" s="1">
        <v>45101</v>
      </c>
      <c r="B2369">
        <v>4</v>
      </c>
      <c r="C2369" t="s">
        <v>8</v>
      </c>
      <c r="D2369">
        <v>232</v>
      </c>
      <c r="E2369">
        <v>3793.42</v>
      </c>
    </row>
    <row r="2370" spans="1:5" x14ac:dyDescent="0.25">
      <c r="A2370" s="1">
        <v>45102</v>
      </c>
      <c r="B2370">
        <v>4</v>
      </c>
      <c r="C2370" t="s">
        <v>8</v>
      </c>
      <c r="D2370">
        <v>207</v>
      </c>
      <c r="E2370">
        <v>3357.73</v>
      </c>
    </row>
    <row r="2371" spans="1:5" x14ac:dyDescent="0.25">
      <c r="A2371" s="1">
        <v>45103</v>
      </c>
      <c r="B2371">
        <v>4</v>
      </c>
      <c r="C2371" t="s">
        <v>8</v>
      </c>
      <c r="D2371">
        <v>242</v>
      </c>
      <c r="E2371">
        <v>3650.04</v>
      </c>
    </row>
    <row r="2372" spans="1:5" x14ac:dyDescent="0.25">
      <c r="A2372" s="1">
        <v>45104</v>
      </c>
      <c r="B2372">
        <v>4</v>
      </c>
      <c r="C2372" t="s">
        <v>8</v>
      </c>
      <c r="D2372">
        <v>158</v>
      </c>
      <c r="E2372">
        <v>2253.64</v>
      </c>
    </row>
    <row r="2373" spans="1:5" x14ac:dyDescent="0.25">
      <c r="A2373" s="1">
        <v>45105</v>
      </c>
      <c r="B2373">
        <v>4</v>
      </c>
      <c r="C2373" t="s">
        <v>8</v>
      </c>
      <c r="D2373">
        <v>211</v>
      </c>
      <c r="E2373">
        <v>3451.21</v>
      </c>
    </row>
    <row r="2374" spans="1:5" x14ac:dyDescent="0.25">
      <c r="A2374" s="1">
        <v>45106</v>
      </c>
      <c r="B2374">
        <v>4</v>
      </c>
      <c r="C2374" t="s">
        <v>8</v>
      </c>
      <c r="D2374">
        <v>231</v>
      </c>
      <c r="E2374">
        <v>3383.09</v>
      </c>
    </row>
    <row r="2375" spans="1:5" x14ac:dyDescent="0.25">
      <c r="A2375" s="1">
        <v>45107</v>
      </c>
      <c r="B2375">
        <v>4</v>
      </c>
      <c r="C2375" t="s">
        <v>8</v>
      </c>
      <c r="D2375">
        <v>196</v>
      </c>
      <c r="E2375">
        <v>3035.71</v>
      </c>
    </row>
    <row r="2376" spans="1:5" x14ac:dyDescent="0.25">
      <c r="A2376" s="1">
        <v>45108</v>
      </c>
      <c r="B2376">
        <v>4</v>
      </c>
      <c r="C2376" t="s">
        <v>8</v>
      </c>
      <c r="D2376">
        <v>232</v>
      </c>
      <c r="E2376">
        <v>3629.28</v>
      </c>
    </row>
    <row r="2377" spans="1:5" x14ac:dyDescent="0.25">
      <c r="A2377" s="1">
        <v>45109</v>
      </c>
      <c r="B2377">
        <v>4</v>
      </c>
      <c r="C2377" t="s">
        <v>8</v>
      </c>
      <c r="D2377">
        <v>198</v>
      </c>
      <c r="E2377">
        <v>2940.63</v>
      </c>
    </row>
    <row r="2378" spans="1:5" x14ac:dyDescent="0.25">
      <c r="A2378" s="1">
        <v>45110</v>
      </c>
      <c r="B2378">
        <v>4</v>
      </c>
      <c r="C2378" t="s">
        <v>8</v>
      </c>
      <c r="D2378">
        <v>216</v>
      </c>
      <c r="E2378">
        <v>3405.29</v>
      </c>
    </row>
    <row r="2379" spans="1:5" x14ac:dyDescent="0.25">
      <c r="A2379" s="1">
        <v>45111</v>
      </c>
      <c r="B2379">
        <v>4</v>
      </c>
      <c r="C2379" t="s">
        <v>8</v>
      </c>
      <c r="D2379">
        <v>241</v>
      </c>
      <c r="E2379">
        <v>4005.52</v>
      </c>
    </row>
    <row r="2380" spans="1:5" x14ac:dyDescent="0.25">
      <c r="A2380" s="1">
        <v>45112</v>
      </c>
      <c r="B2380">
        <v>4</v>
      </c>
      <c r="C2380" t="s">
        <v>8</v>
      </c>
      <c r="D2380">
        <v>193</v>
      </c>
      <c r="E2380">
        <v>2932.23</v>
      </c>
    </row>
    <row r="2381" spans="1:5" x14ac:dyDescent="0.25">
      <c r="A2381" s="1">
        <v>45113</v>
      </c>
      <c r="B2381">
        <v>4</v>
      </c>
      <c r="C2381" t="s">
        <v>8</v>
      </c>
      <c r="D2381">
        <v>158</v>
      </c>
      <c r="E2381">
        <v>2642.06</v>
      </c>
    </row>
    <row r="2382" spans="1:5" x14ac:dyDescent="0.25">
      <c r="A2382" s="1">
        <v>45114</v>
      </c>
      <c r="B2382">
        <v>4</v>
      </c>
      <c r="C2382" t="s">
        <v>8</v>
      </c>
      <c r="D2382">
        <v>181</v>
      </c>
      <c r="E2382">
        <v>2879.1</v>
      </c>
    </row>
    <row r="2383" spans="1:5" x14ac:dyDescent="0.25">
      <c r="A2383" s="1">
        <v>45115</v>
      </c>
      <c r="B2383">
        <v>4</v>
      </c>
      <c r="C2383" t="s">
        <v>8</v>
      </c>
      <c r="D2383">
        <v>238</v>
      </c>
      <c r="E2383">
        <v>3552.52</v>
      </c>
    </row>
    <row r="2384" spans="1:5" x14ac:dyDescent="0.25">
      <c r="A2384" s="1">
        <v>45116</v>
      </c>
      <c r="B2384">
        <v>4</v>
      </c>
      <c r="C2384" t="s">
        <v>8</v>
      </c>
      <c r="D2384">
        <v>224</v>
      </c>
      <c r="E2384">
        <v>3739.6</v>
      </c>
    </row>
    <row r="2385" spans="1:5" x14ac:dyDescent="0.25">
      <c r="A2385" s="1">
        <v>45117</v>
      </c>
      <c r="B2385">
        <v>4</v>
      </c>
      <c r="C2385" t="s">
        <v>8</v>
      </c>
      <c r="D2385">
        <v>211</v>
      </c>
      <c r="E2385">
        <v>3244.55</v>
      </c>
    </row>
    <row r="2386" spans="1:5" x14ac:dyDescent="0.25">
      <c r="A2386" s="1">
        <v>45118</v>
      </c>
      <c r="B2386">
        <v>4</v>
      </c>
      <c r="C2386" t="s">
        <v>8</v>
      </c>
      <c r="D2386">
        <v>248</v>
      </c>
      <c r="E2386">
        <v>3909.34</v>
      </c>
    </row>
    <row r="2387" spans="1:5" x14ac:dyDescent="0.25">
      <c r="A2387" s="1">
        <v>45119</v>
      </c>
      <c r="B2387">
        <v>4</v>
      </c>
      <c r="C2387" t="s">
        <v>8</v>
      </c>
      <c r="D2387">
        <v>238</v>
      </c>
      <c r="E2387">
        <v>3824.83</v>
      </c>
    </row>
    <row r="2388" spans="1:5" x14ac:dyDescent="0.25">
      <c r="A2388" s="1">
        <v>45120</v>
      </c>
      <c r="B2388">
        <v>4</v>
      </c>
      <c r="C2388" t="s">
        <v>8</v>
      </c>
      <c r="D2388">
        <v>210</v>
      </c>
      <c r="E2388">
        <v>3324.25</v>
      </c>
    </row>
    <row r="2389" spans="1:5" x14ac:dyDescent="0.25">
      <c r="A2389" s="1">
        <v>45121</v>
      </c>
      <c r="B2389">
        <v>4</v>
      </c>
      <c r="C2389" t="s">
        <v>8</v>
      </c>
      <c r="D2389">
        <v>197</v>
      </c>
      <c r="E2389">
        <v>3175.83</v>
      </c>
    </row>
    <row r="2390" spans="1:5" x14ac:dyDescent="0.25">
      <c r="A2390" s="1">
        <v>45122</v>
      </c>
      <c r="B2390">
        <v>4</v>
      </c>
      <c r="C2390" t="s">
        <v>8</v>
      </c>
      <c r="D2390">
        <v>220</v>
      </c>
      <c r="E2390">
        <v>3676.34</v>
      </c>
    </row>
    <row r="2391" spans="1:5" x14ac:dyDescent="0.25">
      <c r="A2391" s="1">
        <v>45123</v>
      </c>
      <c r="B2391">
        <v>4</v>
      </c>
      <c r="C2391" t="s">
        <v>8</v>
      </c>
      <c r="D2391">
        <v>229</v>
      </c>
      <c r="E2391">
        <v>3960.15</v>
      </c>
    </row>
    <row r="2392" spans="1:5" x14ac:dyDescent="0.25">
      <c r="A2392" s="1">
        <v>45124</v>
      </c>
      <c r="B2392">
        <v>4</v>
      </c>
      <c r="C2392" t="s">
        <v>8</v>
      </c>
      <c r="D2392">
        <v>256</v>
      </c>
      <c r="E2392">
        <v>4178.58</v>
      </c>
    </row>
    <row r="2393" spans="1:5" x14ac:dyDescent="0.25">
      <c r="A2393" s="1">
        <v>45125</v>
      </c>
      <c r="B2393">
        <v>4</v>
      </c>
      <c r="C2393" t="s">
        <v>8</v>
      </c>
      <c r="D2393">
        <v>263</v>
      </c>
      <c r="E2393">
        <v>4066.02</v>
      </c>
    </row>
    <row r="2394" spans="1:5" x14ac:dyDescent="0.25">
      <c r="A2394" s="1">
        <v>45126</v>
      </c>
      <c r="B2394">
        <v>4</v>
      </c>
      <c r="C2394" t="s">
        <v>8</v>
      </c>
      <c r="D2394">
        <v>245</v>
      </c>
      <c r="E2394">
        <v>3435.01</v>
      </c>
    </row>
    <row r="2395" spans="1:5" x14ac:dyDescent="0.25">
      <c r="A2395" s="1">
        <v>45127</v>
      </c>
      <c r="B2395">
        <v>4</v>
      </c>
      <c r="C2395" t="s">
        <v>8</v>
      </c>
      <c r="D2395">
        <v>230</v>
      </c>
      <c r="E2395">
        <v>3923.13</v>
      </c>
    </row>
    <row r="2396" spans="1:5" x14ac:dyDescent="0.25">
      <c r="A2396" s="1">
        <v>45128</v>
      </c>
      <c r="B2396">
        <v>4</v>
      </c>
      <c r="C2396" t="s">
        <v>8</v>
      </c>
      <c r="D2396">
        <v>232</v>
      </c>
      <c r="E2396">
        <v>3588.78</v>
      </c>
    </row>
    <row r="2397" spans="1:5" x14ac:dyDescent="0.25">
      <c r="A2397" s="1">
        <v>45129</v>
      </c>
      <c r="B2397">
        <v>4</v>
      </c>
      <c r="C2397" t="s">
        <v>8</v>
      </c>
      <c r="D2397">
        <v>219</v>
      </c>
      <c r="E2397">
        <v>3456.84</v>
      </c>
    </row>
    <row r="2398" spans="1:5" x14ac:dyDescent="0.25">
      <c r="A2398" s="1">
        <v>45130</v>
      </c>
      <c r="B2398">
        <v>4</v>
      </c>
      <c r="C2398" t="s">
        <v>8</v>
      </c>
      <c r="D2398">
        <v>272</v>
      </c>
      <c r="E2398">
        <v>4020.32</v>
      </c>
    </row>
    <row r="2399" spans="1:5" x14ac:dyDescent="0.25">
      <c r="A2399" s="1">
        <v>45131</v>
      </c>
      <c r="B2399">
        <v>4</v>
      </c>
      <c r="C2399" t="s">
        <v>8</v>
      </c>
      <c r="D2399">
        <v>224</v>
      </c>
      <c r="E2399">
        <v>3498.33</v>
      </c>
    </row>
    <row r="2400" spans="1:5" x14ac:dyDescent="0.25">
      <c r="A2400" s="1">
        <v>45132</v>
      </c>
      <c r="B2400">
        <v>4</v>
      </c>
      <c r="C2400" t="s">
        <v>8</v>
      </c>
      <c r="D2400">
        <v>230</v>
      </c>
      <c r="E2400">
        <v>3622.17</v>
      </c>
    </row>
    <row r="2401" spans="1:5" x14ac:dyDescent="0.25">
      <c r="A2401" s="1">
        <v>45133</v>
      </c>
      <c r="B2401">
        <v>4</v>
      </c>
      <c r="C2401" t="s">
        <v>8</v>
      </c>
      <c r="D2401">
        <v>218</v>
      </c>
      <c r="E2401">
        <v>3531.9</v>
      </c>
    </row>
    <row r="2402" spans="1:5" x14ac:dyDescent="0.25">
      <c r="A2402" s="1">
        <v>45134</v>
      </c>
      <c r="B2402">
        <v>4</v>
      </c>
      <c r="C2402" t="s">
        <v>8</v>
      </c>
      <c r="D2402">
        <v>224</v>
      </c>
      <c r="E2402">
        <v>3832.6</v>
      </c>
    </row>
    <row r="2403" spans="1:5" x14ac:dyDescent="0.25">
      <c r="A2403" s="1">
        <v>45135</v>
      </c>
      <c r="B2403">
        <v>4</v>
      </c>
      <c r="C2403" t="s">
        <v>8</v>
      </c>
      <c r="D2403">
        <v>199</v>
      </c>
      <c r="E2403">
        <v>2955.29</v>
      </c>
    </row>
    <row r="2404" spans="1:5" x14ac:dyDescent="0.25">
      <c r="A2404" s="1">
        <v>45136</v>
      </c>
      <c r="B2404">
        <v>4</v>
      </c>
      <c r="C2404" t="s">
        <v>8</v>
      </c>
      <c r="D2404">
        <v>228</v>
      </c>
      <c r="E2404">
        <v>3259.99</v>
      </c>
    </row>
    <row r="2405" spans="1:5" x14ac:dyDescent="0.25">
      <c r="A2405" s="1">
        <v>45137</v>
      </c>
      <c r="B2405">
        <v>4</v>
      </c>
      <c r="C2405" t="s">
        <v>8</v>
      </c>
      <c r="D2405">
        <v>260</v>
      </c>
      <c r="E2405">
        <v>3979.42</v>
      </c>
    </row>
    <row r="2406" spans="1:5" x14ac:dyDescent="0.25">
      <c r="A2406" s="1">
        <v>45138</v>
      </c>
      <c r="B2406">
        <v>4</v>
      </c>
      <c r="C2406" t="s">
        <v>8</v>
      </c>
      <c r="D2406">
        <v>223</v>
      </c>
      <c r="E2406">
        <v>3452.59</v>
      </c>
    </row>
    <row r="2407" spans="1:5" x14ac:dyDescent="0.25">
      <c r="A2407" s="1">
        <v>45139</v>
      </c>
      <c r="B2407">
        <v>4</v>
      </c>
      <c r="C2407" t="s">
        <v>8</v>
      </c>
      <c r="D2407">
        <v>226</v>
      </c>
      <c r="E2407">
        <v>3573.21</v>
      </c>
    </row>
    <row r="2408" spans="1:5" x14ac:dyDescent="0.25">
      <c r="A2408" s="1">
        <v>45140</v>
      </c>
      <c r="B2408">
        <v>4</v>
      </c>
      <c r="C2408" t="s">
        <v>8</v>
      </c>
      <c r="D2408">
        <v>248</v>
      </c>
      <c r="E2408">
        <v>3696.6</v>
      </c>
    </row>
    <row r="2409" spans="1:5" x14ac:dyDescent="0.25">
      <c r="A2409" s="1">
        <v>45141</v>
      </c>
      <c r="B2409">
        <v>4</v>
      </c>
      <c r="C2409" t="s">
        <v>8</v>
      </c>
      <c r="D2409">
        <v>230</v>
      </c>
      <c r="E2409">
        <v>3562.95</v>
      </c>
    </row>
    <row r="2410" spans="1:5" x14ac:dyDescent="0.25">
      <c r="A2410" s="1">
        <v>45142</v>
      </c>
      <c r="B2410">
        <v>4</v>
      </c>
      <c r="C2410" t="s">
        <v>8</v>
      </c>
      <c r="D2410">
        <v>235</v>
      </c>
      <c r="E2410">
        <v>3762.21</v>
      </c>
    </row>
    <row r="2411" spans="1:5" x14ac:dyDescent="0.25">
      <c r="A2411" s="1">
        <v>45143</v>
      </c>
      <c r="B2411">
        <v>4</v>
      </c>
      <c r="C2411" t="s">
        <v>8</v>
      </c>
      <c r="D2411">
        <v>240</v>
      </c>
      <c r="E2411">
        <v>3615.71</v>
      </c>
    </row>
    <row r="2412" spans="1:5" x14ac:dyDescent="0.25">
      <c r="A2412" s="1">
        <v>45144</v>
      </c>
      <c r="B2412">
        <v>4</v>
      </c>
      <c r="C2412" t="s">
        <v>8</v>
      </c>
      <c r="D2412">
        <v>267</v>
      </c>
      <c r="E2412">
        <v>4025.07</v>
      </c>
    </row>
    <row r="2413" spans="1:5" x14ac:dyDescent="0.25">
      <c r="A2413" s="1">
        <v>45145</v>
      </c>
      <c r="B2413">
        <v>4</v>
      </c>
      <c r="C2413" t="s">
        <v>8</v>
      </c>
      <c r="D2413">
        <v>261</v>
      </c>
      <c r="E2413">
        <v>4159.87</v>
      </c>
    </row>
    <row r="2414" spans="1:5" x14ac:dyDescent="0.25">
      <c r="A2414" s="1">
        <v>45146</v>
      </c>
      <c r="B2414">
        <v>4</v>
      </c>
      <c r="C2414" t="s">
        <v>8</v>
      </c>
      <c r="D2414">
        <v>226</v>
      </c>
      <c r="E2414">
        <v>3529.36</v>
      </c>
    </row>
    <row r="2415" spans="1:5" x14ac:dyDescent="0.25">
      <c r="A2415" s="1">
        <v>45147</v>
      </c>
      <c r="B2415">
        <v>4</v>
      </c>
      <c r="C2415" t="s">
        <v>8</v>
      </c>
      <c r="D2415">
        <v>226</v>
      </c>
      <c r="E2415">
        <v>3682.19</v>
      </c>
    </row>
    <row r="2416" spans="1:5" x14ac:dyDescent="0.25">
      <c r="A2416" s="1">
        <v>45148</v>
      </c>
      <c r="B2416">
        <v>4</v>
      </c>
      <c r="C2416" t="s">
        <v>8</v>
      </c>
      <c r="D2416">
        <v>222</v>
      </c>
      <c r="E2416">
        <v>3463.22</v>
      </c>
    </row>
    <row r="2417" spans="1:5" x14ac:dyDescent="0.25">
      <c r="A2417" s="1">
        <v>45149</v>
      </c>
      <c r="B2417">
        <v>4</v>
      </c>
      <c r="C2417" t="s">
        <v>8</v>
      </c>
      <c r="D2417">
        <v>220</v>
      </c>
      <c r="E2417">
        <v>3798.71</v>
      </c>
    </row>
    <row r="2418" spans="1:5" x14ac:dyDescent="0.25">
      <c r="A2418" s="1">
        <v>45150</v>
      </c>
      <c r="B2418">
        <v>4</v>
      </c>
      <c r="C2418" t="s">
        <v>8</v>
      </c>
      <c r="D2418">
        <v>182</v>
      </c>
      <c r="E2418">
        <v>2592.62</v>
      </c>
    </row>
    <row r="2419" spans="1:5" x14ac:dyDescent="0.25">
      <c r="A2419" s="1">
        <v>45151</v>
      </c>
      <c r="B2419">
        <v>4</v>
      </c>
      <c r="C2419" t="s">
        <v>8</v>
      </c>
      <c r="D2419">
        <v>289</v>
      </c>
      <c r="E2419">
        <v>4724.9399999999996</v>
      </c>
    </row>
    <row r="2420" spans="1:5" x14ac:dyDescent="0.25">
      <c r="A2420" s="1">
        <v>45152</v>
      </c>
      <c r="B2420">
        <v>4</v>
      </c>
      <c r="C2420" t="s">
        <v>8</v>
      </c>
      <c r="D2420">
        <v>217</v>
      </c>
      <c r="E2420">
        <v>3432.69</v>
      </c>
    </row>
    <row r="2421" spans="1:5" x14ac:dyDescent="0.25">
      <c r="A2421" s="1">
        <v>45153</v>
      </c>
      <c r="B2421">
        <v>4</v>
      </c>
      <c r="C2421" t="s">
        <v>8</v>
      </c>
      <c r="D2421">
        <v>226</v>
      </c>
      <c r="E2421">
        <v>3431.57</v>
      </c>
    </row>
    <row r="2422" spans="1:5" x14ac:dyDescent="0.25">
      <c r="A2422" s="1">
        <v>45154</v>
      </c>
      <c r="B2422">
        <v>4</v>
      </c>
      <c r="C2422" t="s">
        <v>8</v>
      </c>
      <c r="D2422">
        <v>227</v>
      </c>
      <c r="E2422">
        <v>3511.2</v>
      </c>
    </row>
    <row r="2423" spans="1:5" x14ac:dyDescent="0.25">
      <c r="A2423" s="1">
        <v>45155</v>
      </c>
      <c r="B2423">
        <v>4</v>
      </c>
      <c r="C2423" t="s">
        <v>8</v>
      </c>
      <c r="D2423">
        <v>240</v>
      </c>
      <c r="E2423">
        <v>3663.37</v>
      </c>
    </row>
    <row r="2424" spans="1:5" x14ac:dyDescent="0.25">
      <c r="A2424" s="1">
        <v>45156</v>
      </c>
      <c r="B2424">
        <v>4</v>
      </c>
      <c r="C2424" t="s">
        <v>8</v>
      </c>
      <c r="D2424">
        <v>200</v>
      </c>
      <c r="E2424">
        <v>3122.6</v>
      </c>
    </row>
    <row r="2425" spans="1:5" x14ac:dyDescent="0.25">
      <c r="A2425" s="1">
        <v>45157</v>
      </c>
      <c r="B2425">
        <v>4</v>
      </c>
      <c r="C2425" t="s">
        <v>8</v>
      </c>
      <c r="D2425">
        <v>268</v>
      </c>
      <c r="E2425">
        <v>4435.2700000000004</v>
      </c>
    </row>
    <row r="2426" spans="1:5" x14ac:dyDescent="0.25">
      <c r="A2426" s="1">
        <v>45158</v>
      </c>
      <c r="B2426">
        <v>4</v>
      </c>
      <c r="C2426" t="s">
        <v>8</v>
      </c>
      <c r="D2426">
        <v>267</v>
      </c>
      <c r="E2426">
        <v>3912.5</v>
      </c>
    </row>
    <row r="2427" spans="1:5" x14ac:dyDescent="0.25">
      <c r="A2427" s="1">
        <v>45159</v>
      </c>
      <c r="B2427">
        <v>4</v>
      </c>
      <c r="C2427" t="s">
        <v>8</v>
      </c>
      <c r="D2427">
        <v>250</v>
      </c>
      <c r="E2427">
        <v>3373.39</v>
      </c>
    </row>
    <row r="2428" spans="1:5" x14ac:dyDescent="0.25">
      <c r="A2428" s="1">
        <v>45160</v>
      </c>
      <c r="B2428">
        <v>4</v>
      </c>
      <c r="C2428" t="s">
        <v>8</v>
      </c>
      <c r="D2428">
        <v>239</v>
      </c>
      <c r="E2428">
        <v>3868.78</v>
      </c>
    </row>
    <row r="2429" spans="1:5" x14ac:dyDescent="0.25">
      <c r="A2429" s="1">
        <v>45161</v>
      </c>
      <c r="B2429">
        <v>4</v>
      </c>
      <c r="C2429" t="s">
        <v>8</v>
      </c>
      <c r="D2429">
        <v>248</v>
      </c>
      <c r="E2429">
        <v>3877.72</v>
      </c>
    </row>
    <row r="2430" spans="1:5" x14ac:dyDescent="0.25">
      <c r="A2430" s="1">
        <v>45162</v>
      </c>
      <c r="B2430">
        <v>4</v>
      </c>
      <c r="C2430" t="s">
        <v>8</v>
      </c>
      <c r="D2430">
        <v>253</v>
      </c>
      <c r="E2430">
        <v>4087.48</v>
      </c>
    </row>
    <row r="2431" spans="1:5" x14ac:dyDescent="0.25">
      <c r="A2431" s="1">
        <v>45163</v>
      </c>
      <c r="B2431">
        <v>4</v>
      </c>
      <c r="C2431" t="s">
        <v>8</v>
      </c>
      <c r="D2431">
        <v>232</v>
      </c>
      <c r="E2431">
        <v>3785.63</v>
      </c>
    </row>
    <row r="2432" spans="1:5" x14ac:dyDescent="0.25">
      <c r="A2432" s="1">
        <v>45164</v>
      </c>
      <c r="B2432">
        <v>4</v>
      </c>
      <c r="C2432" t="s">
        <v>8</v>
      </c>
      <c r="D2432">
        <v>258</v>
      </c>
      <c r="E2432">
        <v>3853.74</v>
      </c>
    </row>
    <row r="2433" spans="1:5" x14ac:dyDescent="0.25">
      <c r="A2433" s="1">
        <v>45165</v>
      </c>
      <c r="B2433">
        <v>4</v>
      </c>
      <c r="C2433" t="s">
        <v>8</v>
      </c>
      <c r="D2433">
        <v>261</v>
      </c>
      <c r="E2433">
        <v>4027.87</v>
      </c>
    </row>
    <row r="2434" spans="1:5" x14ac:dyDescent="0.25">
      <c r="A2434" s="1">
        <v>45166</v>
      </c>
      <c r="B2434">
        <v>4</v>
      </c>
      <c r="C2434" t="s">
        <v>8</v>
      </c>
      <c r="D2434">
        <v>237</v>
      </c>
      <c r="E2434">
        <v>3574.88</v>
      </c>
    </row>
    <row r="2435" spans="1:5" x14ac:dyDescent="0.25">
      <c r="A2435" s="1">
        <v>45167</v>
      </c>
      <c r="B2435">
        <v>4</v>
      </c>
      <c r="C2435" t="s">
        <v>8</v>
      </c>
      <c r="D2435">
        <v>238</v>
      </c>
      <c r="E2435">
        <v>3594.96</v>
      </c>
    </row>
    <row r="2436" spans="1:5" x14ac:dyDescent="0.25">
      <c r="A2436" s="1">
        <v>45168</v>
      </c>
      <c r="B2436">
        <v>4</v>
      </c>
      <c r="C2436" t="s">
        <v>8</v>
      </c>
      <c r="D2436">
        <v>224</v>
      </c>
      <c r="E2436">
        <v>3438.39</v>
      </c>
    </row>
    <row r="2437" spans="1:5" x14ac:dyDescent="0.25">
      <c r="A2437" s="1">
        <v>45169</v>
      </c>
      <c r="B2437">
        <v>4</v>
      </c>
      <c r="C2437" t="s">
        <v>8</v>
      </c>
      <c r="D2437">
        <v>218</v>
      </c>
      <c r="E2437">
        <v>3284.54</v>
      </c>
    </row>
    <row r="2438" spans="1:5" x14ac:dyDescent="0.25">
      <c r="A2438" s="1">
        <v>45170</v>
      </c>
      <c r="B2438">
        <v>4</v>
      </c>
      <c r="C2438" t="s">
        <v>8</v>
      </c>
      <c r="D2438">
        <v>263</v>
      </c>
      <c r="E2438">
        <v>4264.95</v>
      </c>
    </row>
    <row r="2439" spans="1:5" x14ac:dyDescent="0.25">
      <c r="A2439" s="1">
        <v>45171</v>
      </c>
      <c r="B2439">
        <v>4</v>
      </c>
      <c r="C2439" t="s">
        <v>8</v>
      </c>
      <c r="D2439">
        <v>235</v>
      </c>
      <c r="E2439">
        <v>3605.01</v>
      </c>
    </row>
    <row r="2440" spans="1:5" x14ac:dyDescent="0.25">
      <c r="A2440" s="1">
        <v>45172</v>
      </c>
      <c r="B2440">
        <v>4</v>
      </c>
      <c r="C2440" t="s">
        <v>8</v>
      </c>
      <c r="D2440">
        <v>240</v>
      </c>
      <c r="E2440">
        <v>3911.4</v>
      </c>
    </row>
    <row r="2441" spans="1:5" x14ac:dyDescent="0.25">
      <c r="A2441" s="1">
        <v>45173</v>
      </c>
      <c r="B2441">
        <v>4</v>
      </c>
      <c r="C2441" t="s">
        <v>8</v>
      </c>
      <c r="D2441">
        <v>248</v>
      </c>
      <c r="E2441">
        <v>3881.09</v>
      </c>
    </row>
    <row r="2442" spans="1:5" x14ac:dyDescent="0.25">
      <c r="A2442" s="1">
        <v>45174</v>
      </c>
      <c r="B2442">
        <v>4</v>
      </c>
      <c r="C2442" t="s">
        <v>8</v>
      </c>
      <c r="D2442">
        <v>211</v>
      </c>
      <c r="E2442">
        <v>3625.84</v>
      </c>
    </row>
    <row r="2443" spans="1:5" x14ac:dyDescent="0.25">
      <c r="A2443" s="1">
        <v>45175</v>
      </c>
      <c r="B2443">
        <v>4</v>
      </c>
      <c r="C2443" t="s">
        <v>8</v>
      </c>
      <c r="D2443">
        <v>229</v>
      </c>
      <c r="E2443">
        <v>3281.96</v>
      </c>
    </row>
    <row r="2444" spans="1:5" x14ac:dyDescent="0.25">
      <c r="A2444" s="1">
        <v>45176</v>
      </c>
      <c r="B2444">
        <v>4</v>
      </c>
      <c r="C2444" t="s">
        <v>8</v>
      </c>
      <c r="D2444">
        <v>262</v>
      </c>
      <c r="E2444">
        <v>3798.04</v>
      </c>
    </row>
    <row r="2445" spans="1:5" x14ac:dyDescent="0.25">
      <c r="A2445" s="1">
        <v>45177</v>
      </c>
      <c r="B2445">
        <v>4</v>
      </c>
      <c r="C2445" t="s">
        <v>8</v>
      </c>
      <c r="D2445">
        <v>259</v>
      </c>
      <c r="E2445">
        <v>4172.51</v>
      </c>
    </row>
    <row r="2446" spans="1:5" x14ac:dyDescent="0.25">
      <c r="A2446" s="1">
        <v>45178</v>
      </c>
      <c r="B2446">
        <v>4</v>
      </c>
      <c r="C2446" t="s">
        <v>8</v>
      </c>
      <c r="D2446">
        <v>234</v>
      </c>
      <c r="E2446">
        <v>3904.91</v>
      </c>
    </row>
    <row r="2447" spans="1:5" x14ac:dyDescent="0.25">
      <c r="A2447" s="1">
        <v>45179</v>
      </c>
      <c r="B2447">
        <v>4</v>
      </c>
      <c r="C2447" t="s">
        <v>8</v>
      </c>
      <c r="D2447">
        <v>257</v>
      </c>
      <c r="E2447">
        <v>3772.01</v>
      </c>
    </row>
    <row r="2448" spans="1:5" x14ac:dyDescent="0.25">
      <c r="A2448" s="1">
        <v>45180</v>
      </c>
      <c r="B2448">
        <v>4</v>
      </c>
      <c r="C2448" t="s">
        <v>8</v>
      </c>
      <c r="D2448">
        <v>240</v>
      </c>
      <c r="E2448">
        <v>3485.9</v>
      </c>
    </row>
    <row r="2449" spans="1:5" x14ac:dyDescent="0.25">
      <c r="A2449" s="1">
        <v>45181</v>
      </c>
      <c r="B2449">
        <v>4</v>
      </c>
      <c r="C2449" t="s">
        <v>8</v>
      </c>
      <c r="D2449">
        <v>252</v>
      </c>
      <c r="E2449">
        <v>3762.86</v>
      </c>
    </row>
    <row r="2450" spans="1:5" x14ac:dyDescent="0.25">
      <c r="A2450" s="1">
        <v>45182</v>
      </c>
      <c r="B2450">
        <v>4</v>
      </c>
      <c r="C2450" t="s">
        <v>8</v>
      </c>
      <c r="D2450">
        <v>236</v>
      </c>
      <c r="E2450">
        <v>3556.68</v>
      </c>
    </row>
    <row r="2451" spans="1:5" x14ac:dyDescent="0.25">
      <c r="A2451" s="1">
        <v>45183</v>
      </c>
      <c r="B2451">
        <v>4</v>
      </c>
      <c r="C2451" t="s">
        <v>8</v>
      </c>
      <c r="D2451">
        <v>206</v>
      </c>
      <c r="E2451">
        <v>3279.29</v>
      </c>
    </row>
    <row r="2452" spans="1:5" x14ac:dyDescent="0.25">
      <c r="A2452" s="1">
        <v>45184</v>
      </c>
      <c r="B2452">
        <v>4</v>
      </c>
      <c r="C2452" t="s">
        <v>8</v>
      </c>
      <c r="D2452">
        <v>217</v>
      </c>
      <c r="E2452">
        <v>3077.88</v>
      </c>
    </row>
    <row r="2453" spans="1:5" x14ac:dyDescent="0.25">
      <c r="A2453" s="1">
        <v>45185</v>
      </c>
      <c r="B2453">
        <v>4</v>
      </c>
      <c r="C2453" t="s">
        <v>8</v>
      </c>
      <c r="D2453">
        <v>261</v>
      </c>
      <c r="E2453">
        <v>4086.2</v>
      </c>
    </row>
    <row r="2454" spans="1:5" x14ac:dyDescent="0.25">
      <c r="A2454" s="1">
        <v>45186</v>
      </c>
      <c r="B2454">
        <v>4</v>
      </c>
      <c r="C2454" t="s">
        <v>8</v>
      </c>
      <c r="D2454">
        <v>255</v>
      </c>
      <c r="E2454">
        <v>3968.87</v>
      </c>
    </row>
    <row r="2455" spans="1:5" x14ac:dyDescent="0.25">
      <c r="A2455" s="1">
        <v>45187</v>
      </c>
      <c r="B2455">
        <v>4</v>
      </c>
      <c r="C2455" t="s">
        <v>8</v>
      </c>
      <c r="D2455">
        <v>231</v>
      </c>
      <c r="E2455">
        <v>3475.29</v>
      </c>
    </row>
    <row r="2456" spans="1:5" x14ac:dyDescent="0.25">
      <c r="A2456" s="1">
        <v>45188</v>
      </c>
      <c r="B2456">
        <v>4</v>
      </c>
      <c r="C2456" t="s">
        <v>8</v>
      </c>
      <c r="D2456">
        <v>232</v>
      </c>
      <c r="E2456">
        <v>3622.59</v>
      </c>
    </row>
    <row r="2457" spans="1:5" x14ac:dyDescent="0.25">
      <c r="A2457" s="1">
        <v>45189</v>
      </c>
      <c r="B2457">
        <v>4</v>
      </c>
      <c r="C2457" t="s">
        <v>8</v>
      </c>
      <c r="D2457">
        <v>228</v>
      </c>
      <c r="E2457">
        <v>3325.93</v>
      </c>
    </row>
    <row r="2458" spans="1:5" x14ac:dyDescent="0.25">
      <c r="A2458" s="1">
        <v>45190</v>
      </c>
      <c r="B2458">
        <v>4</v>
      </c>
      <c r="C2458" t="s">
        <v>8</v>
      </c>
      <c r="D2458">
        <v>259</v>
      </c>
      <c r="E2458">
        <v>3921.82</v>
      </c>
    </row>
    <row r="2459" spans="1:5" x14ac:dyDescent="0.25">
      <c r="A2459" s="1">
        <v>45191</v>
      </c>
      <c r="B2459">
        <v>4</v>
      </c>
      <c r="C2459" t="s">
        <v>8</v>
      </c>
      <c r="D2459">
        <v>221</v>
      </c>
      <c r="E2459">
        <v>3290.87</v>
      </c>
    </row>
    <row r="2460" spans="1:5" x14ac:dyDescent="0.25">
      <c r="A2460" s="1">
        <v>45192</v>
      </c>
      <c r="B2460">
        <v>4</v>
      </c>
      <c r="C2460" t="s">
        <v>8</v>
      </c>
      <c r="D2460">
        <v>228</v>
      </c>
      <c r="E2460">
        <v>3818.34</v>
      </c>
    </row>
    <row r="2461" spans="1:5" x14ac:dyDescent="0.25">
      <c r="A2461" s="1">
        <v>45193</v>
      </c>
      <c r="B2461">
        <v>4</v>
      </c>
      <c r="C2461" t="s">
        <v>8</v>
      </c>
      <c r="D2461">
        <v>228</v>
      </c>
      <c r="E2461">
        <v>3480.11</v>
      </c>
    </row>
    <row r="2462" spans="1:5" x14ac:dyDescent="0.25">
      <c r="A2462" s="1">
        <v>45194</v>
      </c>
      <c r="B2462">
        <v>4</v>
      </c>
      <c r="C2462" t="s">
        <v>8</v>
      </c>
      <c r="D2462">
        <v>228</v>
      </c>
      <c r="E2462">
        <v>3895.47</v>
      </c>
    </row>
    <row r="2463" spans="1:5" x14ac:dyDescent="0.25">
      <c r="A2463" s="1">
        <v>45195</v>
      </c>
      <c r="B2463">
        <v>4</v>
      </c>
      <c r="C2463" t="s">
        <v>8</v>
      </c>
      <c r="D2463">
        <v>281</v>
      </c>
      <c r="E2463">
        <v>4104.7700000000004</v>
      </c>
    </row>
    <row r="2464" spans="1:5" x14ac:dyDescent="0.25">
      <c r="A2464" s="1">
        <v>45196</v>
      </c>
      <c r="B2464">
        <v>4</v>
      </c>
      <c r="C2464" t="s">
        <v>8</v>
      </c>
      <c r="D2464">
        <v>205</v>
      </c>
      <c r="E2464">
        <v>2985.15</v>
      </c>
    </row>
    <row r="2465" spans="1:5" x14ac:dyDescent="0.25">
      <c r="A2465" s="1">
        <v>45197</v>
      </c>
      <c r="B2465">
        <v>4</v>
      </c>
      <c r="C2465" t="s">
        <v>8</v>
      </c>
      <c r="D2465">
        <v>225</v>
      </c>
      <c r="E2465">
        <v>3503.03</v>
      </c>
    </row>
    <row r="2466" spans="1:5" x14ac:dyDescent="0.25">
      <c r="A2466" s="1">
        <v>45198</v>
      </c>
      <c r="B2466">
        <v>4</v>
      </c>
      <c r="C2466" t="s">
        <v>8</v>
      </c>
      <c r="D2466">
        <v>221</v>
      </c>
      <c r="E2466">
        <v>3488.75</v>
      </c>
    </row>
    <row r="2467" spans="1:5" x14ac:dyDescent="0.25">
      <c r="A2467" s="1">
        <v>45199</v>
      </c>
      <c r="B2467">
        <v>4</v>
      </c>
      <c r="C2467" t="s">
        <v>8</v>
      </c>
      <c r="D2467">
        <v>235</v>
      </c>
      <c r="E2467">
        <v>3475.57</v>
      </c>
    </row>
    <row r="2468" spans="1:5" x14ac:dyDescent="0.25">
      <c r="A2468" s="1">
        <v>45200</v>
      </c>
      <c r="B2468">
        <v>4</v>
      </c>
      <c r="C2468" t="s">
        <v>8</v>
      </c>
      <c r="D2468">
        <v>284</v>
      </c>
      <c r="E2468">
        <v>4241.68</v>
      </c>
    </row>
    <row r="2469" spans="1:5" x14ac:dyDescent="0.25">
      <c r="A2469" s="1">
        <v>45201</v>
      </c>
      <c r="B2469">
        <v>4</v>
      </c>
      <c r="C2469" t="s">
        <v>8</v>
      </c>
      <c r="D2469">
        <v>188</v>
      </c>
      <c r="E2469">
        <v>2771.16</v>
      </c>
    </row>
    <row r="2470" spans="1:5" x14ac:dyDescent="0.25">
      <c r="A2470" s="1">
        <v>45202</v>
      </c>
      <c r="B2470">
        <v>4</v>
      </c>
      <c r="C2470" t="s">
        <v>8</v>
      </c>
      <c r="D2470">
        <v>210</v>
      </c>
      <c r="E2470">
        <v>3085.81</v>
      </c>
    </row>
    <row r="2471" spans="1:5" x14ac:dyDescent="0.25">
      <c r="A2471" s="1">
        <v>45203</v>
      </c>
      <c r="B2471">
        <v>4</v>
      </c>
      <c r="C2471" t="s">
        <v>8</v>
      </c>
      <c r="D2471">
        <v>214</v>
      </c>
      <c r="E2471">
        <v>3636.23</v>
      </c>
    </row>
    <row r="2472" spans="1:5" x14ac:dyDescent="0.25">
      <c r="A2472" s="1">
        <v>45204</v>
      </c>
      <c r="B2472">
        <v>4</v>
      </c>
      <c r="C2472" t="s">
        <v>8</v>
      </c>
      <c r="D2472">
        <v>230</v>
      </c>
      <c r="E2472">
        <v>3945.98</v>
      </c>
    </row>
    <row r="2473" spans="1:5" x14ac:dyDescent="0.25">
      <c r="A2473" s="1">
        <v>45205</v>
      </c>
      <c r="B2473">
        <v>4</v>
      </c>
      <c r="C2473" t="s">
        <v>8</v>
      </c>
      <c r="D2473">
        <v>229</v>
      </c>
      <c r="E2473">
        <v>3880.85</v>
      </c>
    </row>
    <row r="2474" spans="1:5" x14ac:dyDescent="0.25">
      <c r="A2474" s="1">
        <v>45206</v>
      </c>
      <c r="B2474">
        <v>4</v>
      </c>
      <c r="C2474" t="s">
        <v>8</v>
      </c>
      <c r="D2474">
        <v>254</v>
      </c>
      <c r="E2474">
        <v>3898</v>
      </c>
    </row>
    <row r="2475" spans="1:5" x14ac:dyDescent="0.25">
      <c r="A2475" s="1">
        <v>45207</v>
      </c>
      <c r="B2475">
        <v>4</v>
      </c>
      <c r="C2475" t="s">
        <v>8</v>
      </c>
      <c r="D2475">
        <v>234</v>
      </c>
      <c r="E2475">
        <v>3716.42</v>
      </c>
    </row>
    <row r="2476" spans="1:5" x14ac:dyDescent="0.25">
      <c r="A2476" s="1">
        <v>45208</v>
      </c>
      <c r="B2476">
        <v>4</v>
      </c>
      <c r="C2476" t="s">
        <v>8</v>
      </c>
      <c r="D2476">
        <v>232</v>
      </c>
      <c r="E2476">
        <v>3683.56</v>
      </c>
    </row>
    <row r="2477" spans="1:5" x14ac:dyDescent="0.25">
      <c r="A2477" s="1">
        <v>45209</v>
      </c>
      <c r="B2477">
        <v>4</v>
      </c>
      <c r="C2477" t="s">
        <v>8</v>
      </c>
      <c r="D2477">
        <v>238</v>
      </c>
      <c r="E2477">
        <v>3756.3</v>
      </c>
    </row>
    <row r="2478" spans="1:5" x14ac:dyDescent="0.25">
      <c r="A2478" s="1">
        <v>45210</v>
      </c>
      <c r="B2478">
        <v>4</v>
      </c>
      <c r="C2478" t="s">
        <v>8</v>
      </c>
      <c r="D2478">
        <v>227</v>
      </c>
      <c r="E2478">
        <v>3713.29</v>
      </c>
    </row>
    <row r="2479" spans="1:5" x14ac:dyDescent="0.25">
      <c r="A2479" s="1">
        <v>45211</v>
      </c>
      <c r="B2479">
        <v>4</v>
      </c>
      <c r="C2479" t="s">
        <v>8</v>
      </c>
      <c r="D2479">
        <v>206</v>
      </c>
      <c r="E2479">
        <v>3257.88</v>
      </c>
    </row>
    <row r="2480" spans="1:5" x14ac:dyDescent="0.25">
      <c r="A2480" s="1">
        <v>45212</v>
      </c>
      <c r="B2480">
        <v>4</v>
      </c>
      <c r="C2480" t="s">
        <v>8</v>
      </c>
      <c r="D2480">
        <v>229</v>
      </c>
      <c r="E2480">
        <v>3491.87</v>
      </c>
    </row>
    <row r="2481" spans="1:5" x14ac:dyDescent="0.25">
      <c r="A2481" s="1">
        <v>45213</v>
      </c>
      <c r="B2481">
        <v>4</v>
      </c>
      <c r="C2481" t="s">
        <v>8</v>
      </c>
      <c r="D2481">
        <v>260</v>
      </c>
      <c r="E2481">
        <v>3984.62</v>
      </c>
    </row>
    <row r="2482" spans="1:5" x14ac:dyDescent="0.25">
      <c r="A2482" s="1">
        <v>45214</v>
      </c>
      <c r="B2482">
        <v>4</v>
      </c>
      <c r="C2482" t="s">
        <v>8</v>
      </c>
      <c r="D2482">
        <v>249</v>
      </c>
      <c r="E2482">
        <v>4121.95</v>
      </c>
    </row>
    <row r="2483" spans="1:5" x14ac:dyDescent="0.25">
      <c r="A2483" s="1">
        <v>45215</v>
      </c>
      <c r="B2483">
        <v>4</v>
      </c>
      <c r="C2483" t="s">
        <v>8</v>
      </c>
      <c r="D2483">
        <v>203</v>
      </c>
      <c r="E2483">
        <v>3152.77</v>
      </c>
    </row>
    <row r="2484" spans="1:5" x14ac:dyDescent="0.25">
      <c r="A2484" s="1">
        <v>45216</v>
      </c>
      <c r="B2484">
        <v>4</v>
      </c>
      <c r="C2484" t="s">
        <v>8</v>
      </c>
      <c r="D2484">
        <v>244</v>
      </c>
      <c r="E2484">
        <v>3517.86</v>
      </c>
    </row>
    <row r="2485" spans="1:5" x14ac:dyDescent="0.25">
      <c r="A2485" s="1">
        <v>45217</v>
      </c>
      <c r="B2485">
        <v>4</v>
      </c>
      <c r="C2485" t="s">
        <v>8</v>
      </c>
      <c r="D2485">
        <v>241</v>
      </c>
      <c r="E2485">
        <v>3811.88</v>
      </c>
    </row>
    <row r="2486" spans="1:5" x14ac:dyDescent="0.25">
      <c r="A2486" s="1">
        <v>45218</v>
      </c>
      <c r="B2486">
        <v>4</v>
      </c>
      <c r="C2486" t="s">
        <v>8</v>
      </c>
      <c r="D2486">
        <v>244</v>
      </c>
      <c r="E2486">
        <v>3692.75</v>
      </c>
    </row>
    <row r="2487" spans="1:5" x14ac:dyDescent="0.25">
      <c r="A2487" s="1">
        <v>45219</v>
      </c>
      <c r="B2487">
        <v>4</v>
      </c>
      <c r="C2487" t="s">
        <v>8</v>
      </c>
      <c r="D2487">
        <v>242</v>
      </c>
      <c r="E2487">
        <v>3785.56</v>
      </c>
    </row>
    <row r="2488" spans="1:5" x14ac:dyDescent="0.25">
      <c r="A2488" s="1">
        <v>45220</v>
      </c>
      <c r="B2488">
        <v>4</v>
      </c>
      <c r="C2488" t="s">
        <v>8</v>
      </c>
      <c r="D2488">
        <v>233</v>
      </c>
      <c r="E2488">
        <v>3959.89</v>
      </c>
    </row>
    <row r="2489" spans="1:5" x14ac:dyDescent="0.25">
      <c r="A2489" s="1">
        <v>45221</v>
      </c>
      <c r="B2489">
        <v>4</v>
      </c>
      <c r="C2489" t="s">
        <v>8</v>
      </c>
      <c r="D2489">
        <v>215</v>
      </c>
      <c r="E2489">
        <v>3507.45</v>
      </c>
    </row>
    <row r="2490" spans="1:5" x14ac:dyDescent="0.25">
      <c r="A2490" s="1">
        <v>45222</v>
      </c>
      <c r="B2490">
        <v>4</v>
      </c>
      <c r="C2490" t="s">
        <v>8</v>
      </c>
      <c r="D2490">
        <v>237</v>
      </c>
      <c r="E2490">
        <v>3484.46</v>
      </c>
    </row>
    <row r="2491" spans="1:5" x14ac:dyDescent="0.25">
      <c r="A2491" s="1">
        <v>45223</v>
      </c>
      <c r="B2491">
        <v>4</v>
      </c>
      <c r="C2491" t="s">
        <v>8</v>
      </c>
      <c r="D2491">
        <v>187</v>
      </c>
      <c r="E2491">
        <v>2905.54</v>
      </c>
    </row>
    <row r="2492" spans="1:5" x14ac:dyDescent="0.25">
      <c r="A2492" s="1">
        <v>45224</v>
      </c>
      <c r="B2492">
        <v>4</v>
      </c>
      <c r="C2492" t="s">
        <v>8</v>
      </c>
      <c r="D2492">
        <v>201</v>
      </c>
      <c r="E2492">
        <v>3179.51</v>
      </c>
    </row>
    <row r="2493" spans="1:5" x14ac:dyDescent="0.25">
      <c r="A2493" s="1">
        <v>45225</v>
      </c>
      <c r="B2493">
        <v>4</v>
      </c>
      <c r="C2493" t="s">
        <v>8</v>
      </c>
      <c r="D2493">
        <v>205</v>
      </c>
      <c r="E2493">
        <v>2929.24</v>
      </c>
    </row>
    <row r="2494" spans="1:5" x14ac:dyDescent="0.25">
      <c r="A2494" s="1">
        <v>45226</v>
      </c>
      <c r="B2494">
        <v>4</v>
      </c>
      <c r="C2494" t="s">
        <v>8</v>
      </c>
      <c r="D2494">
        <v>229</v>
      </c>
      <c r="E2494">
        <v>3740.85</v>
      </c>
    </row>
    <row r="2495" spans="1:5" x14ac:dyDescent="0.25">
      <c r="A2495" s="1">
        <v>45227</v>
      </c>
      <c r="B2495">
        <v>4</v>
      </c>
      <c r="C2495" t="s">
        <v>8</v>
      </c>
      <c r="D2495">
        <v>235</v>
      </c>
      <c r="E2495">
        <v>3753.58</v>
      </c>
    </row>
    <row r="2496" spans="1:5" x14ac:dyDescent="0.25">
      <c r="A2496" s="1">
        <v>45228</v>
      </c>
      <c r="B2496">
        <v>4</v>
      </c>
      <c r="C2496" t="s">
        <v>8</v>
      </c>
      <c r="D2496">
        <v>261</v>
      </c>
      <c r="E2496">
        <v>4181.3999999999996</v>
      </c>
    </row>
    <row r="2497" spans="1:5" x14ac:dyDescent="0.25">
      <c r="A2497" s="1">
        <v>45229</v>
      </c>
      <c r="B2497">
        <v>4</v>
      </c>
      <c r="C2497" t="s">
        <v>8</v>
      </c>
      <c r="D2497">
        <v>259</v>
      </c>
      <c r="E2497">
        <v>4038.18</v>
      </c>
    </row>
    <row r="2498" spans="1:5" x14ac:dyDescent="0.25">
      <c r="A2498" s="1">
        <v>45230</v>
      </c>
      <c r="B2498">
        <v>4</v>
      </c>
      <c r="C2498" t="s">
        <v>8</v>
      </c>
      <c r="D2498">
        <v>267</v>
      </c>
      <c r="E2498">
        <v>3781.16</v>
      </c>
    </row>
    <row r="2499" spans="1:5" x14ac:dyDescent="0.25">
      <c r="A2499" s="1">
        <v>45231</v>
      </c>
      <c r="B2499">
        <v>4</v>
      </c>
      <c r="C2499" t="s">
        <v>8</v>
      </c>
      <c r="D2499">
        <v>231</v>
      </c>
      <c r="E2499">
        <v>3449.89</v>
      </c>
    </row>
    <row r="2500" spans="1:5" x14ac:dyDescent="0.25">
      <c r="A2500" s="1">
        <v>45232</v>
      </c>
      <c r="B2500">
        <v>4</v>
      </c>
      <c r="C2500" t="s">
        <v>8</v>
      </c>
      <c r="D2500">
        <v>187</v>
      </c>
      <c r="E2500">
        <v>2978.54</v>
      </c>
    </row>
    <row r="2501" spans="1:5" x14ac:dyDescent="0.25">
      <c r="A2501" s="1">
        <v>45233</v>
      </c>
      <c r="B2501">
        <v>4</v>
      </c>
      <c r="C2501" t="s">
        <v>8</v>
      </c>
      <c r="D2501">
        <v>247</v>
      </c>
      <c r="E2501">
        <v>3645.98</v>
      </c>
    </row>
    <row r="2502" spans="1:5" x14ac:dyDescent="0.25">
      <c r="A2502" s="1">
        <v>45234</v>
      </c>
      <c r="B2502">
        <v>4</v>
      </c>
      <c r="C2502" t="s">
        <v>8</v>
      </c>
      <c r="D2502">
        <v>249</v>
      </c>
      <c r="E2502">
        <v>3719.09</v>
      </c>
    </row>
    <row r="2503" spans="1:5" x14ac:dyDescent="0.25">
      <c r="A2503" s="1">
        <v>45235</v>
      </c>
      <c r="B2503">
        <v>4</v>
      </c>
      <c r="C2503" t="s">
        <v>8</v>
      </c>
      <c r="D2503">
        <v>246</v>
      </c>
      <c r="E2503">
        <v>3750.25</v>
      </c>
    </row>
    <row r="2504" spans="1:5" x14ac:dyDescent="0.25">
      <c r="A2504" s="1">
        <v>45236</v>
      </c>
      <c r="B2504">
        <v>4</v>
      </c>
      <c r="C2504" t="s">
        <v>8</v>
      </c>
      <c r="D2504">
        <v>193</v>
      </c>
      <c r="E2504">
        <v>3060.56</v>
      </c>
    </row>
    <row r="2505" spans="1:5" x14ac:dyDescent="0.25">
      <c r="A2505" s="1">
        <v>45237</v>
      </c>
      <c r="B2505">
        <v>4</v>
      </c>
      <c r="C2505" t="s">
        <v>8</v>
      </c>
      <c r="D2505">
        <v>197</v>
      </c>
      <c r="E2505">
        <v>3136.82</v>
      </c>
    </row>
    <row r="2506" spans="1:5" x14ac:dyDescent="0.25">
      <c r="A2506" s="1">
        <v>45238</v>
      </c>
      <c r="B2506">
        <v>4</v>
      </c>
      <c r="C2506" t="s">
        <v>8</v>
      </c>
      <c r="D2506">
        <v>217</v>
      </c>
      <c r="E2506">
        <v>3333.43</v>
      </c>
    </row>
    <row r="2507" spans="1:5" x14ac:dyDescent="0.25">
      <c r="A2507" s="1">
        <v>45239</v>
      </c>
      <c r="B2507">
        <v>4</v>
      </c>
      <c r="C2507" t="s">
        <v>8</v>
      </c>
      <c r="D2507">
        <v>238</v>
      </c>
      <c r="E2507">
        <v>3755.19</v>
      </c>
    </row>
    <row r="2508" spans="1:5" x14ac:dyDescent="0.25">
      <c r="A2508" s="1">
        <v>45240</v>
      </c>
      <c r="B2508">
        <v>4</v>
      </c>
      <c r="C2508" t="s">
        <v>8</v>
      </c>
      <c r="D2508">
        <v>205</v>
      </c>
      <c r="E2508">
        <v>3178.99</v>
      </c>
    </row>
    <row r="2509" spans="1:5" x14ac:dyDescent="0.25">
      <c r="A2509" s="1">
        <v>45241</v>
      </c>
      <c r="B2509">
        <v>4</v>
      </c>
      <c r="C2509" t="s">
        <v>8</v>
      </c>
      <c r="D2509">
        <v>274</v>
      </c>
      <c r="E2509">
        <v>4085.01</v>
      </c>
    </row>
    <row r="2510" spans="1:5" x14ac:dyDescent="0.25">
      <c r="A2510" s="1">
        <v>45242</v>
      </c>
      <c r="B2510">
        <v>4</v>
      </c>
      <c r="C2510" t="s">
        <v>8</v>
      </c>
      <c r="D2510">
        <v>246</v>
      </c>
      <c r="E2510">
        <v>3925.83</v>
      </c>
    </row>
    <row r="2511" spans="1:5" x14ac:dyDescent="0.25">
      <c r="A2511" s="1">
        <v>45243</v>
      </c>
      <c r="B2511">
        <v>4</v>
      </c>
      <c r="C2511" t="s">
        <v>8</v>
      </c>
      <c r="D2511">
        <v>190</v>
      </c>
      <c r="E2511">
        <v>2824.28</v>
      </c>
    </row>
    <row r="2512" spans="1:5" x14ac:dyDescent="0.25">
      <c r="A2512" s="1">
        <v>45244</v>
      </c>
      <c r="B2512">
        <v>4</v>
      </c>
      <c r="C2512" t="s">
        <v>8</v>
      </c>
      <c r="D2512">
        <v>229</v>
      </c>
      <c r="E2512">
        <v>3675.57</v>
      </c>
    </row>
    <row r="2513" spans="1:5" x14ac:dyDescent="0.25">
      <c r="A2513" s="1">
        <v>45245</v>
      </c>
      <c r="B2513">
        <v>4</v>
      </c>
      <c r="C2513" t="s">
        <v>8</v>
      </c>
      <c r="D2513">
        <v>225</v>
      </c>
      <c r="E2513">
        <v>3794.04</v>
      </c>
    </row>
    <row r="2514" spans="1:5" x14ac:dyDescent="0.25">
      <c r="A2514" s="1">
        <v>45246</v>
      </c>
      <c r="B2514">
        <v>4</v>
      </c>
      <c r="C2514" t="s">
        <v>8</v>
      </c>
      <c r="D2514">
        <v>207</v>
      </c>
      <c r="E2514">
        <v>2882.02</v>
      </c>
    </row>
    <row r="2515" spans="1:5" x14ac:dyDescent="0.25">
      <c r="A2515" s="1">
        <v>45247</v>
      </c>
      <c r="B2515">
        <v>4</v>
      </c>
      <c r="C2515" t="s">
        <v>8</v>
      </c>
      <c r="D2515">
        <v>198</v>
      </c>
      <c r="E2515">
        <v>3350.62</v>
      </c>
    </row>
    <row r="2516" spans="1:5" x14ac:dyDescent="0.25">
      <c r="A2516" s="1">
        <v>45248</v>
      </c>
      <c r="B2516">
        <v>4</v>
      </c>
      <c r="C2516" t="s">
        <v>8</v>
      </c>
      <c r="D2516">
        <v>242</v>
      </c>
      <c r="E2516">
        <v>4043.6</v>
      </c>
    </row>
    <row r="2517" spans="1:5" x14ac:dyDescent="0.25">
      <c r="A2517" s="1">
        <v>45249</v>
      </c>
      <c r="B2517">
        <v>4</v>
      </c>
      <c r="C2517" t="s">
        <v>8</v>
      </c>
      <c r="D2517">
        <v>235</v>
      </c>
      <c r="E2517">
        <v>3242.32</v>
      </c>
    </row>
    <row r="2518" spans="1:5" x14ac:dyDescent="0.25">
      <c r="A2518" s="1">
        <v>45250</v>
      </c>
      <c r="B2518">
        <v>4</v>
      </c>
      <c r="C2518" t="s">
        <v>8</v>
      </c>
      <c r="D2518">
        <v>206</v>
      </c>
      <c r="E2518">
        <v>3358.62</v>
      </c>
    </row>
    <row r="2519" spans="1:5" x14ac:dyDescent="0.25">
      <c r="A2519" s="1">
        <v>45251</v>
      </c>
      <c r="B2519">
        <v>4</v>
      </c>
      <c r="C2519" t="s">
        <v>8</v>
      </c>
      <c r="D2519">
        <v>188</v>
      </c>
      <c r="E2519">
        <v>2949.73</v>
      </c>
    </row>
    <row r="2520" spans="1:5" x14ac:dyDescent="0.25">
      <c r="A2520" s="1">
        <v>45252</v>
      </c>
      <c r="B2520">
        <v>4</v>
      </c>
      <c r="C2520" t="s">
        <v>8</v>
      </c>
      <c r="D2520">
        <v>203</v>
      </c>
      <c r="E2520">
        <v>2835.58</v>
      </c>
    </row>
    <row r="2521" spans="1:5" x14ac:dyDescent="0.25">
      <c r="A2521" s="1">
        <v>45253</v>
      </c>
      <c r="B2521">
        <v>4</v>
      </c>
      <c r="C2521" t="s">
        <v>8</v>
      </c>
      <c r="D2521">
        <v>207</v>
      </c>
      <c r="E2521">
        <v>3172.98</v>
      </c>
    </row>
    <row r="2522" spans="1:5" x14ac:dyDescent="0.25">
      <c r="A2522" s="1">
        <v>45254</v>
      </c>
      <c r="B2522">
        <v>4</v>
      </c>
      <c r="C2522" t="s">
        <v>8</v>
      </c>
      <c r="D2522">
        <v>205</v>
      </c>
      <c r="E2522">
        <v>3322.02</v>
      </c>
    </row>
    <row r="2523" spans="1:5" x14ac:dyDescent="0.25">
      <c r="A2523" s="1">
        <v>45255</v>
      </c>
      <c r="B2523">
        <v>4</v>
      </c>
      <c r="C2523" t="s">
        <v>8</v>
      </c>
      <c r="D2523">
        <v>231</v>
      </c>
      <c r="E2523">
        <v>3858.58</v>
      </c>
    </row>
    <row r="2524" spans="1:5" x14ac:dyDescent="0.25">
      <c r="A2524" s="1">
        <v>45256</v>
      </c>
      <c r="B2524">
        <v>4</v>
      </c>
      <c r="C2524" t="s">
        <v>8</v>
      </c>
      <c r="D2524">
        <v>232</v>
      </c>
      <c r="E2524">
        <v>3695.62</v>
      </c>
    </row>
    <row r="2525" spans="1:5" x14ac:dyDescent="0.25">
      <c r="A2525" s="1">
        <v>45257</v>
      </c>
      <c r="B2525">
        <v>4</v>
      </c>
      <c r="C2525" t="s">
        <v>8</v>
      </c>
      <c r="D2525">
        <v>203</v>
      </c>
      <c r="E2525">
        <v>3213.52</v>
      </c>
    </row>
    <row r="2526" spans="1:5" x14ac:dyDescent="0.25">
      <c r="A2526" s="1">
        <v>45258</v>
      </c>
      <c r="B2526">
        <v>4</v>
      </c>
      <c r="C2526" t="s">
        <v>8</v>
      </c>
      <c r="D2526">
        <v>229</v>
      </c>
      <c r="E2526">
        <v>3671.61</v>
      </c>
    </row>
    <row r="2527" spans="1:5" x14ac:dyDescent="0.25">
      <c r="A2527" s="1">
        <v>45259</v>
      </c>
      <c r="B2527">
        <v>4</v>
      </c>
      <c r="C2527" t="s">
        <v>8</v>
      </c>
      <c r="D2527">
        <v>221</v>
      </c>
      <c r="E2527">
        <v>3637.52</v>
      </c>
    </row>
    <row r="2528" spans="1:5" x14ac:dyDescent="0.25">
      <c r="A2528" s="1">
        <v>45260</v>
      </c>
      <c r="B2528">
        <v>4</v>
      </c>
      <c r="C2528" t="s">
        <v>8</v>
      </c>
      <c r="D2528">
        <v>180</v>
      </c>
      <c r="E2528">
        <v>2633.3</v>
      </c>
    </row>
    <row r="2529" spans="1:5" x14ac:dyDescent="0.25">
      <c r="A2529" s="1">
        <v>45261</v>
      </c>
      <c r="B2529">
        <v>4</v>
      </c>
      <c r="C2529" t="s">
        <v>8</v>
      </c>
      <c r="D2529">
        <v>176</v>
      </c>
      <c r="E2529">
        <v>2801.02</v>
      </c>
    </row>
    <row r="2530" spans="1:5" x14ac:dyDescent="0.25">
      <c r="A2530" s="1">
        <v>45262</v>
      </c>
      <c r="B2530">
        <v>4</v>
      </c>
      <c r="C2530" t="s">
        <v>8</v>
      </c>
      <c r="D2530">
        <v>248</v>
      </c>
      <c r="E2530">
        <v>4101.1400000000003</v>
      </c>
    </row>
    <row r="2531" spans="1:5" x14ac:dyDescent="0.25">
      <c r="A2531" s="1">
        <v>45263</v>
      </c>
      <c r="B2531">
        <v>4</v>
      </c>
      <c r="C2531" t="s">
        <v>8</v>
      </c>
      <c r="D2531">
        <v>230</v>
      </c>
      <c r="E2531">
        <v>3682.72</v>
      </c>
    </row>
    <row r="2532" spans="1:5" x14ac:dyDescent="0.25">
      <c r="A2532" s="1">
        <v>45264</v>
      </c>
      <c r="B2532">
        <v>4</v>
      </c>
      <c r="C2532" t="s">
        <v>8</v>
      </c>
      <c r="D2532">
        <v>184</v>
      </c>
      <c r="E2532">
        <v>2848.73</v>
      </c>
    </row>
    <row r="2533" spans="1:5" x14ac:dyDescent="0.25">
      <c r="A2533" s="1">
        <v>45265</v>
      </c>
      <c r="B2533">
        <v>4</v>
      </c>
      <c r="C2533" t="s">
        <v>8</v>
      </c>
      <c r="D2533">
        <v>217</v>
      </c>
      <c r="E2533">
        <v>3233.29</v>
      </c>
    </row>
    <row r="2534" spans="1:5" x14ac:dyDescent="0.25">
      <c r="A2534" s="1">
        <v>45266</v>
      </c>
      <c r="B2534">
        <v>4</v>
      </c>
      <c r="C2534" t="s">
        <v>8</v>
      </c>
      <c r="D2534">
        <v>189</v>
      </c>
      <c r="E2534">
        <v>3343.9</v>
      </c>
    </row>
    <row r="2535" spans="1:5" x14ac:dyDescent="0.25">
      <c r="A2535" s="1">
        <v>45267</v>
      </c>
      <c r="B2535">
        <v>4</v>
      </c>
      <c r="C2535" t="s">
        <v>8</v>
      </c>
      <c r="D2535">
        <v>192</v>
      </c>
      <c r="E2535">
        <v>2971.39</v>
      </c>
    </row>
    <row r="2536" spans="1:5" x14ac:dyDescent="0.25">
      <c r="A2536" s="1">
        <v>45268</v>
      </c>
      <c r="B2536">
        <v>4</v>
      </c>
      <c r="C2536" t="s">
        <v>8</v>
      </c>
      <c r="D2536">
        <v>198</v>
      </c>
      <c r="E2536">
        <v>3001.76</v>
      </c>
    </row>
    <row r="2537" spans="1:5" x14ac:dyDescent="0.25">
      <c r="A2537" s="1">
        <v>45269</v>
      </c>
      <c r="B2537">
        <v>4</v>
      </c>
      <c r="C2537" t="s">
        <v>8</v>
      </c>
      <c r="D2537">
        <v>205</v>
      </c>
      <c r="E2537">
        <v>2964.89</v>
      </c>
    </row>
    <row r="2538" spans="1:5" x14ac:dyDescent="0.25">
      <c r="A2538" s="1">
        <v>45270</v>
      </c>
      <c r="B2538">
        <v>4</v>
      </c>
      <c r="C2538" t="s">
        <v>8</v>
      </c>
      <c r="D2538">
        <v>237</v>
      </c>
      <c r="E2538">
        <v>3633.92</v>
      </c>
    </row>
    <row r="2539" spans="1:5" x14ac:dyDescent="0.25">
      <c r="A2539" s="1">
        <v>45271</v>
      </c>
      <c r="B2539">
        <v>4</v>
      </c>
      <c r="C2539" t="s">
        <v>8</v>
      </c>
      <c r="D2539">
        <v>197</v>
      </c>
      <c r="E2539">
        <v>3033.97</v>
      </c>
    </row>
    <row r="2540" spans="1:5" x14ac:dyDescent="0.25">
      <c r="A2540" s="1">
        <v>45272</v>
      </c>
      <c r="B2540">
        <v>4</v>
      </c>
      <c r="C2540" t="s">
        <v>8</v>
      </c>
      <c r="D2540">
        <v>197</v>
      </c>
      <c r="E2540">
        <v>3074.6</v>
      </c>
    </row>
    <row r="2541" spans="1:5" x14ac:dyDescent="0.25">
      <c r="A2541" s="1">
        <v>45273</v>
      </c>
      <c r="B2541">
        <v>4</v>
      </c>
      <c r="C2541" t="s">
        <v>8</v>
      </c>
      <c r="D2541">
        <v>195</v>
      </c>
      <c r="E2541">
        <v>3147.09</v>
      </c>
    </row>
    <row r="2542" spans="1:5" x14ac:dyDescent="0.25">
      <c r="A2542" s="1">
        <v>45274</v>
      </c>
      <c r="B2542">
        <v>4</v>
      </c>
      <c r="C2542" t="s">
        <v>8</v>
      </c>
      <c r="D2542">
        <v>204</v>
      </c>
      <c r="E2542">
        <v>3467.11</v>
      </c>
    </row>
    <row r="2543" spans="1:5" x14ac:dyDescent="0.25">
      <c r="A2543" s="1">
        <v>45275</v>
      </c>
      <c r="B2543">
        <v>4</v>
      </c>
      <c r="C2543" t="s">
        <v>8</v>
      </c>
      <c r="D2543">
        <v>172</v>
      </c>
      <c r="E2543">
        <v>2518.88</v>
      </c>
    </row>
    <row r="2544" spans="1:5" x14ac:dyDescent="0.25">
      <c r="A2544" s="1">
        <v>45276</v>
      </c>
      <c r="B2544">
        <v>4</v>
      </c>
      <c r="C2544" t="s">
        <v>8</v>
      </c>
      <c r="D2544">
        <v>223</v>
      </c>
      <c r="E2544">
        <v>3440.79</v>
      </c>
    </row>
    <row r="2545" spans="1:5" x14ac:dyDescent="0.25">
      <c r="A2545" s="1">
        <v>45277</v>
      </c>
      <c r="B2545">
        <v>4</v>
      </c>
      <c r="C2545" t="s">
        <v>8</v>
      </c>
      <c r="D2545">
        <v>189</v>
      </c>
      <c r="E2545">
        <v>2958.51</v>
      </c>
    </row>
    <row r="2546" spans="1:5" x14ac:dyDescent="0.25">
      <c r="A2546" s="1">
        <v>45278</v>
      </c>
      <c r="B2546">
        <v>4</v>
      </c>
      <c r="C2546" t="s">
        <v>8</v>
      </c>
      <c r="D2546">
        <v>170</v>
      </c>
      <c r="E2546">
        <v>2638.63</v>
      </c>
    </row>
    <row r="2547" spans="1:5" x14ac:dyDescent="0.25">
      <c r="A2547" s="1">
        <v>45279</v>
      </c>
      <c r="B2547">
        <v>4</v>
      </c>
      <c r="C2547" t="s">
        <v>8</v>
      </c>
      <c r="D2547">
        <v>180</v>
      </c>
      <c r="E2547">
        <v>2460.9899999999998</v>
      </c>
    </row>
    <row r="2548" spans="1:5" x14ac:dyDescent="0.25">
      <c r="A2548" s="1">
        <v>45280</v>
      </c>
      <c r="B2548">
        <v>4</v>
      </c>
      <c r="C2548" t="s">
        <v>8</v>
      </c>
      <c r="D2548">
        <v>203</v>
      </c>
      <c r="E2548">
        <v>3235.99</v>
      </c>
    </row>
    <row r="2549" spans="1:5" x14ac:dyDescent="0.25">
      <c r="A2549" s="1">
        <v>45281</v>
      </c>
      <c r="B2549">
        <v>4</v>
      </c>
      <c r="C2549" t="s">
        <v>8</v>
      </c>
      <c r="D2549">
        <v>196</v>
      </c>
      <c r="E2549">
        <v>3259.17</v>
      </c>
    </row>
    <row r="2550" spans="1:5" x14ac:dyDescent="0.25">
      <c r="A2550" s="1">
        <v>45282</v>
      </c>
      <c r="B2550">
        <v>4</v>
      </c>
      <c r="C2550" t="s">
        <v>8</v>
      </c>
      <c r="D2550">
        <v>182</v>
      </c>
      <c r="E2550">
        <v>2817.04</v>
      </c>
    </row>
    <row r="2551" spans="1:5" x14ac:dyDescent="0.25">
      <c r="A2551" s="1">
        <v>45283</v>
      </c>
      <c r="B2551">
        <v>4</v>
      </c>
      <c r="C2551" t="s">
        <v>8</v>
      </c>
      <c r="D2551">
        <v>232</v>
      </c>
      <c r="E2551">
        <v>3240.33</v>
      </c>
    </row>
    <row r="2552" spans="1:5" x14ac:dyDescent="0.25">
      <c r="A2552" s="1">
        <v>45284</v>
      </c>
      <c r="B2552">
        <v>4</v>
      </c>
      <c r="C2552" t="s">
        <v>8</v>
      </c>
      <c r="D2552">
        <v>206</v>
      </c>
      <c r="E2552">
        <v>3391.43</v>
      </c>
    </row>
    <row r="2553" spans="1:5" x14ac:dyDescent="0.25">
      <c r="A2553" s="1">
        <v>45285</v>
      </c>
      <c r="B2553">
        <v>4</v>
      </c>
      <c r="C2553" t="s">
        <v>8</v>
      </c>
      <c r="D2553">
        <v>187</v>
      </c>
      <c r="E2553">
        <v>2881.98</v>
      </c>
    </row>
    <row r="2554" spans="1:5" x14ac:dyDescent="0.25">
      <c r="A2554" s="1">
        <v>45286</v>
      </c>
      <c r="B2554">
        <v>4</v>
      </c>
      <c r="C2554" t="s">
        <v>8</v>
      </c>
      <c r="D2554">
        <v>153</v>
      </c>
      <c r="E2554">
        <v>2249.65</v>
      </c>
    </row>
    <row r="2555" spans="1:5" x14ac:dyDescent="0.25">
      <c r="A2555" s="1">
        <v>45287</v>
      </c>
      <c r="B2555">
        <v>4</v>
      </c>
      <c r="C2555" t="s">
        <v>8</v>
      </c>
      <c r="D2555">
        <v>220</v>
      </c>
      <c r="E2555">
        <v>3418.68</v>
      </c>
    </row>
    <row r="2556" spans="1:5" x14ac:dyDescent="0.25">
      <c r="A2556" s="1">
        <v>45288</v>
      </c>
      <c r="B2556">
        <v>4</v>
      </c>
      <c r="C2556" t="s">
        <v>8</v>
      </c>
      <c r="D2556">
        <v>164</v>
      </c>
      <c r="E2556">
        <v>2467.6999999999998</v>
      </c>
    </row>
    <row r="2557" spans="1:5" x14ac:dyDescent="0.25">
      <c r="A2557" s="1">
        <v>45289</v>
      </c>
      <c r="B2557">
        <v>4</v>
      </c>
      <c r="C2557" t="s">
        <v>8</v>
      </c>
      <c r="D2557">
        <v>207</v>
      </c>
      <c r="E2557">
        <v>3136.81</v>
      </c>
    </row>
    <row r="2558" spans="1:5" x14ac:dyDescent="0.25">
      <c r="A2558" s="1">
        <v>45290</v>
      </c>
      <c r="B2558">
        <v>4</v>
      </c>
      <c r="C2558" t="s">
        <v>8</v>
      </c>
      <c r="D2558">
        <v>161</v>
      </c>
      <c r="E2558">
        <v>2783.26</v>
      </c>
    </row>
    <row r="2559" spans="1:5" x14ac:dyDescent="0.25">
      <c r="A2559" s="1">
        <v>45291</v>
      </c>
      <c r="B2559">
        <v>4</v>
      </c>
      <c r="C2559" t="s">
        <v>8</v>
      </c>
      <c r="D2559">
        <v>229</v>
      </c>
      <c r="E2559">
        <v>3734.14</v>
      </c>
    </row>
    <row r="2560" spans="1:5" x14ac:dyDescent="0.25">
      <c r="A2560" s="1">
        <v>45292</v>
      </c>
      <c r="B2560">
        <v>4</v>
      </c>
      <c r="C2560" t="s">
        <v>8</v>
      </c>
      <c r="D2560">
        <v>170</v>
      </c>
      <c r="E2560">
        <v>2557.33</v>
      </c>
    </row>
    <row r="2561" spans="1:5" x14ac:dyDescent="0.25">
      <c r="A2561" s="1">
        <v>45293</v>
      </c>
      <c r="B2561">
        <v>4</v>
      </c>
      <c r="C2561" t="s">
        <v>8</v>
      </c>
      <c r="D2561">
        <v>170</v>
      </c>
      <c r="E2561">
        <v>2640.27</v>
      </c>
    </row>
    <row r="2562" spans="1:5" x14ac:dyDescent="0.25">
      <c r="A2562" s="1">
        <v>45294</v>
      </c>
      <c r="B2562">
        <v>4</v>
      </c>
      <c r="C2562" t="s">
        <v>8</v>
      </c>
      <c r="D2562">
        <v>186</v>
      </c>
      <c r="E2562">
        <v>2941.56</v>
      </c>
    </row>
    <row r="2563" spans="1:5" x14ac:dyDescent="0.25">
      <c r="A2563" s="1">
        <v>45295</v>
      </c>
      <c r="B2563">
        <v>4</v>
      </c>
      <c r="C2563" t="s">
        <v>8</v>
      </c>
      <c r="D2563">
        <v>173</v>
      </c>
      <c r="E2563">
        <v>2875.97</v>
      </c>
    </row>
    <row r="2564" spans="1:5" x14ac:dyDescent="0.25">
      <c r="A2564" s="1">
        <v>45296</v>
      </c>
      <c r="B2564">
        <v>4</v>
      </c>
      <c r="C2564" t="s">
        <v>8</v>
      </c>
      <c r="D2564">
        <v>149</v>
      </c>
      <c r="E2564">
        <v>2481.15</v>
      </c>
    </row>
    <row r="2565" spans="1:5" x14ac:dyDescent="0.25">
      <c r="A2565" s="1">
        <v>45297</v>
      </c>
      <c r="B2565">
        <v>4</v>
      </c>
      <c r="C2565" t="s">
        <v>8</v>
      </c>
      <c r="D2565">
        <v>226</v>
      </c>
      <c r="E2565">
        <v>3331.8</v>
      </c>
    </row>
    <row r="2566" spans="1:5" x14ac:dyDescent="0.25">
      <c r="A2566" s="1">
        <v>45298</v>
      </c>
      <c r="B2566">
        <v>4</v>
      </c>
      <c r="C2566" t="s">
        <v>8</v>
      </c>
      <c r="D2566">
        <v>270</v>
      </c>
      <c r="E2566">
        <v>4007.03</v>
      </c>
    </row>
    <row r="2567" spans="1:5" x14ac:dyDescent="0.25">
      <c r="A2567" s="1">
        <v>45299</v>
      </c>
      <c r="B2567">
        <v>4</v>
      </c>
      <c r="C2567" t="s">
        <v>8</v>
      </c>
      <c r="D2567">
        <v>186</v>
      </c>
      <c r="E2567">
        <v>3067.31</v>
      </c>
    </row>
    <row r="2568" spans="1:5" x14ac:dyDescent="0.25">
      <c r="A2568" s="1">
        <v>45300</v>
      </c>
      <c r="B2568">
        <v>4</v>
      </c>
      <c r="C2568" t="s">
        <v>8</v>
      </c>
      <c r="D2568">
        <v>161</v>
      </c>
      <c r="E2568">
        <v>2334.86</v>
      </c>
    </row>
    <row r="2569" spans="1:5" x14ac:dyDescent="0.25">
      <c r="A2569" s="1">
        <v>45301</v>
      </c>
      <c r="B2569">
        <v>4</v>
      </c>
      <c r="C2569" t="s">
        <v>8</v>
      </c>
      <c r="D2569">
        <v>181</v>
      </c>
      <c r="E2569">
        <v>2949.78</v>
      </c>
    </row>
    <row r="2570" spans="1:5" x14ac:dyDescent="0.25">
      <c r="A2570" s="1">
        <v>45302</v>
      </c>
      <c r="B2570">
        <v>4</v>
      </c>
      <c r="C2570" t="s">
        <v>8</v>
      </c>
      <c r="D2570">
        <v>175</v>
      </c>
      <c r="E2570">
        <v>2797.88</v>
      </c>
    </row>
    <row r="2571" spans="1:5" x14ac:dyDescent="0.25">
      <c r="A2571" s="1">
        <v>45303</v>
      </c>
      <c r="B2571">
        <v>4</v>
      </c>
      <c r="C2571" t="s">
        <v>8</v>
      </c>
      <c r="D2571">
        <v>193</v>
      </c>
      <c r="E2571">
        <v>3062.77</v>
      </c>
    </row>
    <row r="2572" spans="1:5" x14ac:dyDescent="0.25">
      <c r="A2572" s="1">
        <v>45304</v>
      </c>
      <c r="B2572">
        <v>4</v>
      </c>
      <c r="C2572" t="s">
        <v>8</v>
      </c>
      <c r="D2572">
        <v>185</v>
      </c>
      <c r="E2572">
        <v>2908.26</v>
      </c>
    </row>
    <row r="2573" spans="1:5" x14ac:dyDescent="0.25">
      <c r="A2573" s="1">
        <v>45305</v>
      </c>
      <c r="B2573">
        <v>4</v>
      </c>
      <c r="C2573" t="s">
        <v>8</v>
      </c>
      <c r="D2573">
        <v>190</v>
      </c>
      <c r="E2573">
        <v>2930.7</v>
      </c>
    </row>
    <row r="2574" spans="1:5" x14ac:dyDescent="0.25">
      <c r="A2574" s="1">
        <v>45306</v>
      </c>
      <c r="B2574">
        <v>4</v>
      </c>
      <c r="C2574" t="s">
        <v>8</v>
      </c>
      <c r="D2574">
        <v>182</v>
      </c>
      <c r="E2574">
        <v>2728.43</v>
      </c>
    </row>
    <row r="2575" spans="1:5" x14ac:dyDescent="0.25">
      <c r="A2575" s="1">
        <v>45307</v>
      </c>
      <c r="B2575">
        <v>4</v>
      </c>
      <c r="C2575" t="s">
        <v>8</v>
      </c>
      <c r="D2575">
        <v>183</v>
      </c>
      <c r="E2575">
        <v>2630.55</v>
      </c>
    </row>
    <row r="2576" spans="1:5" x14ac:dyDescent="0.25">
      <c r="A2576" s="1">
        <v>45308</v>
      </c>
      <c r="B2576">
        <v>4</v>
      </c>
      <c r="C2576" t="s">
        <v>8</v>
      </c>
      <c r="D2576">
        <v>201</v>
      </c>
      <c r="E2576">
        <v>3106.97</v>
      </c>
    </row>
    <row r="2577" spans="1:5" x14ac:dyDescent="0.25">
      <c r="A2577" s="1">
        <v>45309</v>
      </c>
      <c r="B2577">
        <v>4</v>
      </c>
      <c r="C2577" t="s">
        <v>8</v>
      </c>
      <c r="D2577">
        <v>180</v>
      </c>
      <c r="E2577">
        <v>2737.94</v>
      </c>
    </row>
    <row r="2578" spans="1:5" x14ac:dyDescent="0.25">
      <c r="A2578" s="1">
        <v>45310</v>
      </c>
      <c r="B2578">
        <v>4</v>
      </c>
      <c r="C2578" t="s">
        <v>8</v>
      </c>
      <c r="D2578">
        <v>154</v>
      </c>
      <c r="E2578">
        <v>2105.2600000000002</v>
      </c>
    </row>
    <row r="2579" spans="1:5" x14ac:dyDescent="0.25">
      <c r="A2579" s="1">
        <v>45311</v>
      </c>
      <c r="B2579">
        <v>4</v>
      </c>
      <c r="C2579" t="s">
        <v>8</v>
      </c>
      <c r="D2579">
        <v>221</v>
      </c>
      <c r="E2579">
        <v>3312.03</v>
      </c>
    </row>
    <row r="2580" spans="1:5" x14ac:dyDescent="0.25">
      <c r="A2580" s="1">
        <v>45312</v>
      </c>
      <c r="B2580">
        <v>4</v>
      </c>
      <c r="C2580" t="s">
        <v>8</v>
      </c>
      <c r="D2580">
        <v>235</v>
      </c>
      <c r="E2580">
        <v>3514.07</v>
      </c>
    </row>
    <row r="2581" spans="1:5" x14ac:dyDescent="0.25">
      <c r="A2581" s="1">
        <v>45313</v>
      </c>
      <c r="B2581">
        <v>4</v>
      </c>
      <c r="C2581" t="s">
        <v>8</v>
      </c>
      <c r="D2581">
        <v>170</v>
      </c>
      <c r="E2581">
        <v>2489.48</v>
      </c>
    </row>
    <row r="2582" spans="1:5" x14ac:dyDescent="0.25">
      <c r="A2582" s="1">
        <v>45314</v>
      </c>
      <c r="B2582">
        <v>4</v>
      </c>
      <c r="C2582" t="s">
        <v>8</v>
      </c>
      <c r="D2582">
        <v>162</v>
      </c>
      <c r="E2582">
        <v>2538.5</v>
      </c>
    </row>
    <row r="2583" spans="1:5" x14ac:dyDescent="0.25">
      <c r="A2583" s="1">
        <v>45315</v>
      </c>
      <c r="B2583">
        <v>4</v>
      </c>
      <c r="C2583" t="s">
        <v>8</v>
      </c>
      <c r="D2583">
        <v>160</v>
      </c>
      <c r="E2583">
        <v>2381.7800000000002</v>
      </c>
    </row>
    <row r="2584" spans="1:5" x14ac:dyDescent="0.25">
      <c r="A2584" s="1">
        <v>45316</v>
      </c>
      <c r="B2584">
        <v>4</v>
      </c>
      <c r="C2584" t="s">
        <v>8</v>
      </c>
      <c r="D2584">
        <v>203</v>
      </c>
      <c r="E2584">
        <v>3269.15</v>
      </c>
    </row>
    <row r="2585" spans="1:5" x14ac:dyDescent="0.25">
      <c r="A2585" s="1">
        <v>45317</v>
      </c>
      <c r="B2585">
        <v>4</v>
      </c>
      <c r="C2585" t="s">
        <v>8</v>
      </c>
      <c r="D2585">
        <v>186</v>
      </c>
      <c r="E2585">
        <v>3016.15</v>
      </c>
    </row>
    <row r="2586" spans="1:5" x14ac:dyDescent="0.25">
      <c r="A2586" s="1">
        <v>45318</v>
      </c>
      <c r="B2586">
        <v>4</v>
      </c>
      <c r="C2586" t="s">
        <v>8</v>
      </c>
      <c r="D2586">
        <v>187</v>
      </c>
      <c r="E2586">
        <v>2905.79</v>
      </c>
    </row>
    <row r="2587" spans="1:5" x14ac:dyDescent="0.25">
      <c r="A2587" s="1">
        <v>45319</v>
      </c>
      <c r="B2587">
        <v>4</v>
      </c>
      <c r="C2587" t="s">
        <v>8</v>
      </c>
      <c r="D2587">
        <v>188</v>
      </c>
      <c r="E2587">
        <v>2931.37</v>
      </c>
    </row>
    <row r="2588" spans="1:5" x14ac:dyDescent="0.25">
      <c r="A2588" s="1">
        <v>45320</v>
      </c>
      <c r="B2588">
        <v>4</v>
      </c>
      <c r="C2588" t="s">
        <v>8</v>
      </c>
      <c r="D2588">
        <v>208</v>
      </c>
      <c r="E2588">
        <v>2906.94</v>
      </c>
    </row>
    <row r="2589" spans="1:5" x14ac:dyDescent="0.25">
      <c r="A2589" s="1">
        <v>45321</v>
      </c>
      <c r="B2589">
        <v>4</v>
      </c>
      <c r="C2589" t="s">
        <v>8</v>
      </c>
      <c r="D2589">
        <v>170</v>
      </c>
      <c r="E2589">
        <v>2539.56</v>
      </c>
    </row>
    <row r="2590" spans="1:5" x14ac:dyDescent="0.25">
      <c r="A2590" s="1">
        <v>45322</v>
      </c>
      <c r="B2590">
        <v>4</v>
      </c>
      <c r="C2590" t="s">
        <v>8</v>
      </c>
      <c r="D2590">
        <v>157</v>
      </c>
      <c r="E2590">
        <v>2312.59</v>
      </c>
    </row>
    <row r="2591" spans="1:5" x14ac:dyDescent="0.25">
      <c r="A2591" s="1">
        <v>45323</v>
      </c>
      <c r="B2591">
        <v>4</v>
      </c>
      <c r="C2591" t="s">
        <v>8</v>
      </c>
      <c r="D2591">
        <v>139</v>
      </c>
      <c r="E2591">
        <v>2173.7199999999998</v>
      </c>
    </row>
    <row r="2592" spans="1:5" x14ac:dyDescent="0.25">
      <c r="A2592" s="1">
        <v>45324</v>
      </c>
      <c r="B2592">
        <v>4</v>
      </c>
      <c r="C2592" t="s">
        <v>8</v>
      </c>
      <c r="D2592">
        <v>221</v>
      </c>
      <c r="E2592">
        <v>3378.75</v>
      </c>
    </row>
    <row r="2593" spans="1:5" x14ac:dyDescent="0.25">
      <c r="A2593" s="1">
        <v>45325</v>
      </c>
      <c r="B2593">
        <v>4</v>
      </c>
      <c r="C2593" t="s">
        <v>8</v>
      </c>
      <c r="D2593">
        <v>177</v>
      </c>
      <c r="E2593">
        <v>2647.05</v>
      </c>
    </row>
    <row r="2594" spans="1:5" x14ac:dyDescent="0.25">
      <c r="A2594" s="1">
        <v>45326</v>
      </c>
      <c r="B2594">
        <v>4</v>
      </c>
      <c r="C2594" t="s">
        <v>8</v>
      </c>
      <c r="D2594">
        <v>184</v>
      </c>
      <c r="E2594">
        <v>2839.83</v>
      </c>
    </row>
    <row r="2595" spans="1:5" x14ac:dyDescent="0.25">
      <c r="A2595" s="1">
        <v>45327</v>
      </c>
      <c r="B2595">
        <v>4</v>
      </c>
      <c r="C2595" t="s">
        <v>8</v>
      </c>
      <c r="D2595">
        <v>166</v>
      </c>
      <c r="E2595">
        <v>2659.57</v>
      </c>
    </row>
    <row r="2596" spans="1:5" x14ac:dyDescent="0.25">
      <c r="A2596" s="1">
        <v>45328</v>
      </c>
      <c r="B2596">
        <v>4</v>
      </c>
      <c r="C2596" t="s">
        <v>8</v>
      </c>
      <c r="D2596">
        <v>189</v>
      </c>
      <c r="E2596">
        <v>2884.51</v>
      </c>
    </row>
    <row r="2597" spans="1:5" x14ac:dyDescent="0.25">
      <c r="A2597" s="1">
        <v>45329</v>
      </c>
      <c r="B2597">
        <v>4</v>
      </c>
      <c r="C2597" t="s">
        <v>8</v>
      </c>
      <c r="D2597">
        <v>172</v>
      </c>
      <c r="E2597">
        <v>2647.36</v>
      </c>
    </row>
    <row r="2598" spans="1:5" x14ac:dyDescent="0.25">
      <c r="A2598" s="1">
        <v>45330</v>
      </c>
      <c r="B2598">
        <v>4</v>
      </c>
      <c r="C2598" t="s">
        <v>8</v>
      </c>
      <c r="D2598">
        <v>191</v>
      </c>
      <c r="E2598">
        <v>2961.74</v>
      </c>
    </row>
    <row r="2599" spans="1:5" x14ac:dyDescent="0.25">
      <c r="A2599" s="1">
        <v>45331</v>
      </c>
      <c r="B2599">
        <v>4</v>
      </c>
      <c r="C2599" t="s">
        <v>8</v>
      </c>
      <c r="D2599">
        <v>175</v>
      </c>
      <c r="E2599">
        <v>2403.89</v>
      </c>
    </row>
    <row r="2600" spans="1:5" x14ac:dyDescent="0.25">
      <c r="A2600" s="1">
        <v>45332</v>
      </c>
      <c r="B2600">
        <v>4</v>
      </c>
      <c r="C2600" t="s">
        <v>8</v>
      </c>
      <c r="D2600">
        <v>214</v>
      </c>
      <c r="E2600">
        <v>3210.63</v>
      </c>
    </row>
    <row r="2601" spans="1:5" x14ac:dyDescent="0.25">
      <c r="A2601" s="1">
        <v>45333</v>
      </c>
      <c r="B2601">
        <v>4</v>
      </c>
      <c r="C2601" t="s">
        <v>8</v>
      </c>
      <c r="D2601">
        <v>208</v>
      </c>
      <c r="E2601">
        <v>3220.57</v>
      </c>
    </row>
    <row r="2602" spans="1:5" x14ac:dyDescent="0.25">
      <c r="A2602" s="1">
        <v>45334</v>
      </c>
      <c r="B2602">
        <v>4</v>
      </c>
      <c r="C2602" t="s">
        <v>8</v>
      </c>
      <c r="D2602">
        <v>147</v>
      </c>
      <c r="E2602">
        <v>2254.44</v>
      </c>
    </row>
    <row r="2603" spans="1:5" x14ac:dyDescent="0.25">
      <c r="A2603" s="1">
        <v>45335</v>
      </c>
      <c r="B2603">
        <v>4</v>
      </c>
      <c r="C2603" t="s">
        <v>8</v>
      </c>
      <c r="D2603">
        <v>179</v>
      </c>
      <c r="E2603">
        <v>2720.73</v>
      </c>
    </row>
    <row r="2604" spans="1:5" x14ac:dyDescent="0.25">
      <c r="A2604" s="1">
        <v>45336</v>
      </c>
      <c r="B2604">
        <v>4</v>
      </c>
      <c r="C2604" t="s">
        <v>8</v>
      </c>
      <c r="D2604">
        <v>140</v>
      </c>
      <c r="E2604">
        <v>2101.0100000000002</v>
      </c>
    </row>
    <row r="2605" spans="1:5" x14ac:dyDescent="0.25">
      <c r="A2605" s="1">
        <v>45337</v>
      </c>
      <c r="B2605">
        <v>4</v>
      </c>
      <c r="C2605" t="s">
        <v>8</v>
      </c>
      <c r="D2605">
        <v>177</v>
      </c>
      <c r="E2605">
        <v>2707.9</v>
      </c>
    </row>
    <row r="2606" spans="1:5" x14ac:dyDescent="0.25">
      <c r="A2606" s="1">
        <v>45338</v>
      </c>
      <c r="B2606">
        <v>4</v>
      </c>
      <c r="C2606" t="s">
        <v>8</v>
      </c>
      <c r="D2606">
        <v>179</v>
      </c>
      <c r="E2606">
        <v>2760.01</v>
      </c>
    </row>
    <row r="2607" spans="1:5" x14ac:dyDescent="0.25">
      <c r="A2607" s="1">
        <v>45339</v>
      </c>
      <c r="B2607">
        <v>4</v>
      </c>
      <c r="C2607" t="s">
        <v>8</v>
      </c>
      <c r="D2607">
        <v>213</v>
      </c>
      <c r="E2607">
        <v>3468</v>
      </c>
    </row>
    <row r="2608" spans="1:5" x14ac:dyDescent="0.25">
      <c r="A2608" s="1">
        <v>45340</v>
      </c>
      <c r="B2608">
        <v>4</v>
      </c>
      <c r="C2608" t="s">
        <v>8</v>
      </c>
      <c r="D2608">
        <v>180</v>
      </c>
      <c r="E2608">
        <v>2723.3</v>
      </c>
    </row>
    <row r="2609" spans="1:5" x14ac:dyDescent="0.25">
      <c r="A2609" s="1">
        <v>45341</v>
      </c>
      <c r="B2609">
        <v>4</v>
      </c>
      <c r="C2609" t="s">
        <v>8</v>
      </c>
      <c r="D2609">
        <v>152</v>
      </c>
      <c r="E2609">
        <v>2388.77</v>
      </c>
    </row>
    <row r="2610" spans="1:5" x14ac:dyDescent="0.25">
      <c r="A2610" s="1">
        <v>45342</v>
      </c>
      <c r="B2610">
        <v>4</v>
      </c>
      <c r="C2610" t="s">
        <v>8</v>
      </c>
      <c r="D2610">
        <v>185</v>
      </c>
      <c r="E2610">
        <v>2769.95</v>
      </c>
    </row>
    <row r="2611" spans="1:5" x14ac:dyDescent="0.25">
      <c r="A2611" s="1">
        <v>45343</v>
      </c>
      <c r="B2611">
        <v>4</v>
      </c>
      <c r="C2611" t="s">
        <v>8</v>
      </c>
      <c r="D2611">
        <v>158</v>
      </c>
      <c r="E2611">
        <v>2535.4699999999998</v>
      </c>
    </row>
    <row r="2612" spans="1:5" x14ac:dyDescent="0.25">
      <c r="A2612" s="1">
        <v>45344</v>
      </c>
      <c r="B2612">
        <v>4</v>
      </c>
      <c r="C2612" t="s">
        <v>8</v>
      </c>
      <c r="D2612">
        <v>186</v>
      </c>
      <c r="E2612">
        <v>2823.1</v>
      </c>
    </row>
    <row r="2613" spans="1:5" x14ac:dyDescent="0.25">
      <c r="A2613" s="1">
        <v>45345</v>
      </c>
      <c r="B2613">
        <v>4</v>
      </c>
      <c r="C2613" t="s">
        <v>8</v>
      </c>
      <c r="D2613">
        <v>171</v>
      </c>
      <c r="E2613">
        <v>2787.33</v>
      </c>
    </row>
    <row r="2614" spans="1:5" x14ac:dyDescent="0.25">
      <c r="A2614" s="1">
        <v>45346</v>
      </c>
      <c r="B2614">
        <v>4</v>
      </c>
      <c r="C2614" t="s">
        <v>8</v>
      </c>
      <c r="D2614">
        <v>209</v>
      </c>
      <c r="E2614">
        <v>3211.03</v>
      </c>
    </row>
    <row r="2615" spans="1:5" x14ac:dyDescent="0.25">
      <c r="A2615" s="1">
        <v>45347</v>
      </c>
      <c r="B2615">
        <v>4</v>
      </c>
      <c r="C2615" t="s">
        <v>8</v>
      </c>
      <c r="D2615">
        <v>195</v>
      </c>
      <c r="E2615">
        <v>3074.35</v>
      </c>
    </row>
    <row r="2616" spans="1:5" x14ac:dyDescent="0.25">
      <c r="A2616" s="1">
        <v>45348</v>
      </c>
      <c r="B2616">
        <v>4</v>
      </c>
      <c r="C2616" t="s">
        <v>8</v>
      </c>
      <c r="D2616">
        <v>158</v>
      </c>
      <c r="E2616">
        <v>2366.23</v>
      </c>
    </row>
    <row r="2617" spans="1:5" x14ac:dyDescent="0.25">
      <c r="A2617" s="1">
        <v>45349</v>
      </c>
      <c r="B2617">
        <v>4</v>
      </c>
      <c r="C2617" t="s">
        <v>8</v>
      </c>
      <c r="D2617">
        <v>168</v>
      </c>
      <c r="E2617">
        <v>2802.95</v>
      </c>
    </row>
    <row r="2618" spans="1:5" x14ac:dyDescent="0.25">
      <c r="A2618" s="1">
        <v>45350</v>
      </c>
      <c r="B2618">
        <v>4</v>
      </c>
      <c r="C2618" t="s">
        <v>8</v>
      </c>
      <c r="D2618">
        <v>171</v>
      </c>
      <c r="E2618">
        <v>2547.37</v>
      </c>
    </row>
    <row r="2619" spans="1:5" x14ac:dyDescent="0.25">
      <c r="A2619" s="1">
        <v>45351</v>
      </c>
      <c r="B2619">
        <v>4</v>
      </c>
      <c r="C2619" t="s">
        <v>8</v>
      </c>
      <c r="D2619">
        <v>171</v>
      </c>
      <c r="E2619">
        <v>2555.7800000000002</v>
      </c>
    </row>
    <row r="2620" spans="1:5" x14ac:dyDescent="0.25">
      <c r="A2620" s="1">
        <v>45352</v>
      </c>
      <c r="B2620">
        <v>4</v>
      </c>
      <c r="C2620" t="s">
        <v>8</v>
      </c>
      <c r="D2620">
        <v>180</v>
      </c>
      <c r="E2620">
        <v>2893.6</v>
      </c>
    </row>
    <row r="2621" spans="1:5" x14ac:dyDescent="0.25">
      <c r="A2621" s="1">
        <v>45353</v>
      </c>
      <c r="B2621">
        <v>4</v>
      </c>
      <c r="C2621" t="s">
        <v>8</v>
      </c>
      <c r="D2621">
        <v>217</v>
      </c>
      <c r="E2621">
        <v>3291.68</v>
      </c>
    </row>
    <row r="2622" spans="1:5" x14ac:dyDescent="0.25">
      <c r="A2622" s="1">
        <v>45354</v>
      </c>
      <c r="B2622">
        <v>4</v>
      </c>
      <c r="C2622" t="s">
        <v>8</v>
      </c>
      <c r="D2622">
        <v>183</v>
      </c>
      <c r="E2622">
        <v>2577.48</v>
      </c>
    </row>
    <row r="2623" spans="1:5" x14ac:dyDescent="0.25">
      <c r="A2623" s="1">
        <v>45355</v>
      </c>
      <c r="B2623">
        <v>4</v>
      </c>
      <c r="C2623" t="s">
        <v>8</v>
      </c>
      <c r="D2623">
        <v>167</v>
      </c>
      <c r="E2623">
        <v>2605.16</v>
      </c>
    </row>
    <row r="2624" spans="1:5" x14ac:dyDescent="0.25">
      <c r="A2624" s="1">
        <v>45356</v>
      </c>
      <c r="B2624">
        <v>4</v>
      </c>
      <c r="C2624" t="s">
        <v>8</v>
      </c>
      <c r="D2624">
        <v>131</v>
      </c>
      <c r="E2624">
        <v>2065.83</v>
      </c>
    </row>
    <row r="2625" spans="1:5" x14ac:dyDescent="0.25">
      <c r="A2625" s="1">
        <v>45357</v>
      </c>
      <c r="B2625">
        <v>4</v>
      </c>
      <c r="C2625" t="s">
        <v>8</v>
      </c>
      <c r="D2625">
        <v>152</v>
      </c>
      <c r="E2625">
        <v>2275</v>
      </c>
    </row>
    <row r="2626" spans="1:5" x14ac:dyDescent="0.25">
      <c r="A2626" s="1">
        <v>45358</v>
      </c>
      <c r="B2626">
        <v>4</v>
      </c>
      <c r="C2626" t="s">
        <v>8</v>
      </c>
      <c r="D2626">
        <v>165</v>
      </c>
      <c r="E2626">
        <v>2576.9699999999998</v>
      </c>
    </row>
    <row r="2627" spans="1:5" x14ac:dyDescent="0.25">
      <c r="A2627" s="1">
        <v>45359</v>
      </c>
      <c r="B2627">
        <v>4</v>
      </c>
      <c r="C2627" t="s">
        <v>8</v>
      </c>
      <c r="D2627">
        <v>152</v>
      </c>
      <c r="E2627">
        <v>2409.48</v>
      </c>
    </row>
    <row r="2628" spans="1:5" x14ac:dyDescent="0.25">
      <c r="A2628" s="1">
        <v>45360</v>
      </c>
      <c r="B2628">
        <v>4</v>
      </c>
      <c r="C2628" t="s">
        <v>8</v>
      </c>
      <c r="D2628">
        <v>172</v>
      </c>
      <c r="E2628">
        <v>2878.49</v>
      </c>
    </row>
    <row r="2629" spans="1:5" x14ac:dyDescent="0.25">
      <c r="A2629" s="1">
        <v>45361</v>
      </c>
      <c r="B2629">
        <v>4</v>
      </c>
      <c r="C2629" t="s">
        <v>8</v>
      </c>
      <c r="D2629">
        <v>200</v>
      </c>
      <c r="E2629">
        <v>3319.02</v>
      </c>
    </row>
    <row r="2630" spans="1:5" x14ac:dyDescent="0.25">
      <c r="A2630" s="1">
        <v>45362</v>
      </c>
      <c r="B2630">
        <v>4</v>
      </c>
      <c r="C2630" t="s">
        <v>8</v>
      </c>
      <c r="D2630">
        <v>205</v>
      </c>
      <c r="E2630">
        <v>2933.94</v>
      </c>
    </row>
    <row r="2631" spans="1:5" x14ac:dyDescent="0.25">
      <c r="A2631" s="1">
        <v>45363</v>
      </c>
      <c r="B2631">
        <v>4</v>
      </c>
      <c r="C2631" t="s">
        <v>8</v>
      </c>
      <c r="D2631">
        <v>150</v>
      </c>
      <c r="E2631">
        <v>2270.96</v>
      </c>
    </row>
    <row r="2632" spans="1:5" x14ac:dyDescent="0.25">
      <c r="A2632" s="1">
        <v>45364</v>
      </c>
      <c r="B2632">
        <v>4</v>
      </c>
      <c r="C2632" t="s">
        <v>8</v>
      </c>
      <c r="D2632">
        <v>173</v>
      </c>
      <c r="E2632">
        <v>2675.82</v>
      </c>
    </row>
    <row r="2633" spans="1:5" x14ac:dyDescent="0.25">
      <c r="A2633" s="1">
        <v>45365</v>
      </c>
      <c r="B2633">
        <v>4</v>
      </c>
      <c r="C2633" t="s">
        <v>8</v>
      </c>
      <c r="D2633">
        <v>143</v>
      </c>
      <c r="E2633">
        <v>2271.41</v>
      </c>
    </row>
    <row r="2634" spans="1:5" x14ac:dyDescent="0.25">
      <c r="A2634" s="1">
        <v>45366</v>
      </c>
      <c r="B2634">
        <v>4</v>
      </c>
      <c r="C2634" t="s">
        <v>8</v>
      </c>
      <c r="D2634">
        <v>178</v>
      </c>
      <c r="E2634">
        <v>2686.62</v>
      </c>
    </row>
    <row r="2635" spans="1:5" x14ac:dyDescent="0.25">
      <c r="A2635" s="1">
        <v>45367</v>
      </c>
      <c r="B2635">
        <v>4</v>
      </c>
      <c r="C2635" t="s">
        <v>8</v>
      </c>
      <c r="D2635">
        <v>187</v>
      </c>
      <c r="E2635">
        <v>3038.56</v>
      </c>
    </row>
    <row r="2636" spans="1:5" x14ac:dyDescent="0.25">
      <c r="A2636" s="1">
        <v>45368</v>
      </c>
      <c r="B2636">
        <v>4</v>
      </c>
      <c r="C2636" t="s">
        <v>8</v>
      </c>
      <c r="D2636">
        <v>205</v>
      </c>
      <c r="E2636">
        <v>2843.18</v>
      </c>
    </row>
    <row r="2637" spans="1:5" x14ac:dyDescent="0.25">
      <c r="A2637" s="1">
        <v>45369</v>
      </c>
      <c r="B2637">
        <v>4</v>
      </c>
      <c r="C2637" t="s">
        <v>8</v>
      </c>
      <c r="D2637">
        <v>164</v>
      </c>
      <c r="E2637">
        <v>2576.69</v>
      </c>
    </row>
    <row r="2638" spans="1:5" x14ac:dyDescent="0.25">
      <c r="A2638" s="1">
        <v>45370</v>
      </c>
      <c r="B2638">
        <v>4</v>
      </c>
      <c r="C2638" t="s">
        <v>8</v>
      </c>
      <c r="D2638">
        <v>170</v>
      </c>
      <c r="E2638">
        <v>2710.89</v>
      </c>
    </row>
    <row r="2639" spans="1:5" x14ac:dyDescent="0.25">
      <c r="A2639" s="1">
        <v>45371</v>
      </c>
      <c r="B2639">
        <v>4</v>
      </c>
      <c r="C2639" t="s">
        <v>8</v>
      </c>
      <c r="D2639">
        <v>147</v>
      </c>
      <c r="E2639">
        <v>2310.66</v>
      </c>
    </row>
    <row r="2640" spans="1:5" x14ac:dyDescent="0.25">
      <c r="A2640" s="1">
        <v>45372</v>
      </c>
      <c r="B2640">
        <v>4</v>
      </c>
      <c r="C2640" t="s">
        <v>8</v>
      </c>
      <c r="D2640">
        <v>179</v>
      </c>
      <c r="E2640">
        <v>2810.81</v>
      </c>
    </row>
    <row r="2641" spans="1:5" x14ac:dyDescent="0.25">
      <c r="A2641" s="1">
        <v>45373</v>
      </c>
      <c r="B2641">
        <v>4</v>
      </c>
      <c r="C2641" t="s">
        <v>8</v>
      </c>
      <c r="D2641">
        <v>169</v>
      </c>
      <c r="E2641">
        <v>2752.87</v>
      </c>
    </row>
    <row r="2642" spans="1:5" x14ac:dyDescent="0.25">
      <c r="A2642" s="1">
        <v>45374</v>
      </c>
      <c r="B2642">
        <v>4</v>
      </c>
      <c r="C2642" t="s">
        <v>8</v>
      </c>
      <c r="D2642">
        <v>210</v>
      </c>
      <c r="E2642">
        <v>3407.22</v>
      </c>
    </row>
    <row r="2643" spans="1:5" x14ac:dyDescent="0.25">
      <c r="A2643" s="1">
        <v>45375</v>
      </c>
      <c r="B2643">
        <v>4</v>
      </c>
      <c r="C2643" t="s">
        <v>8</v>
      </c>
      <c r="D2643">
        <v>209</v>
      </c>
      <c r="E2643">
        <v>3269.63</v>
      </c>
    </row>
    <row r="2644" spans="1:5" x14ac:dyDescent="0.25">
      <c r="A2644" s="1">
        <v>45376</v>
      </c>
      <c r="B2644">
        <v>4</v>
      </c>
      <c r="C2644" t="s">
        <v>8</v>
      </c>
      <c r="D2644">
        <v>161</v>
      </c>
      <c r="E2644">
        <v>2774.55</v>
      </c>
    </row>
    <row r="2645" spans="1:5" x14ac:dyDescent="0.25">
      <c r="A2645" s="1">
        <v>45377</v>
      </c>
      <c r="B2645">
        <v>4</v>
      </c>
      <c r="C2645" t="s">
        <v>8</v>
      </c>
      <c r="D2645">
        <v>180</v>
      </c>
      <c r="E2645">
        <v>2709.8</v>
      </c>
    </row>
    <row r="2646" spans="1:5" x14ac:dyDescent="0.25">
      <c r="A2646" s="1">
        <v>45378</v>
      </c>
      <c r="B2646">
        <v>4</v>
      </c>
      <c r="C2646" t="s">
        <v>8</v>
      </c>
      <c r="D2646">
        <v>162</v>
      </c>
      <c r="E2646">
        <v>2506.77</v>
      </c>
    </row>
    <row r="2647" spans="1:5" x14ac:dyDescent="0.25">
      <c r="A2647" s="1">
        <v>45379</v>
      </c>
      <c r="B2647">
        <v>4</v>
      </c>
      <c r="C2647" t="s">
        <v>8</v>
      </c>
      <c r="D2647">
        <v>179</v>
      </c>
      <c r="E2647">
        <v>2509.27</v>
      </c>
    </row>
    <row r="2648" spans="1:5" x14ac:dyDescent="0.25">
      <c r="A2648" s="1">
        <v>45380</v>
      </c>
      <c r="B2648">
        <v>4</v>
      </c>
      <c r="C2648" t="s">
        <v>8</v>
      </c>
      <c r="D2648">
        <v>191</v>
      </c>
      <c r="E2648">
        <v>3044.19</v>
      </c>
    </row>
    <row r="2649" spans="1:5" x14ac:dyDescent="0.25">
      <c r="A2649" s="1">
        <v>45381</v>
      </c>
      <c r="B2649">
        <v>4</v>
      </c>
      <c r="C2649" t="s">
        <v>8</v>
      </c>
      <c r="D2649">
        <v>173</v>
      </c>
      <c r="E2649">
        <v>2916.21</v>
      </c>
    </row>
    <row r="2650" spans="1:5" x14ac:dyDescent="0.25">
      <c r="A2650" s="1">
        <v>45382</v>
      </c>
      <c r="B2650">
        <v>4</v>
      </c>
      <c r="C2650" t="s">
        <v>8</v>
      </c>
      <c r="D2650">
        <v>172</v>
      </c>
      <c r="E2650">
        <v>2805.49</v>
      </c>
    </row>
    <row r="2651" spans="1:5" x14ac:dyDescent="0.25">
      <c r="A2651" s="1">
        <v>45383</v>
      </c>
      <c r="B2651">
        <v>4</v>
      </c>
      <c r="C2651" t="s">
        <v>8</v>
      </c>
      <c r="D2651">
        <v>165</v>
      </c>
      <c r="E2651">
        <v>2512.87</v>
      </c>
    </row>
    <row r="2652" spans="1:5" x14ac:dyDescent="0.25">
      <c r="A2652" s="1">
        <v>45384</v>
      </c>
      <c r="B2652">
        <v>4</v>
      </c>
      <c r="C2652" t="s">
        <v>8</v>
      </c>
      <c r="D2652">
        <v>167</v>
      </c>
      <c r="E2652">
        <v>2687.3</v>
      </c>
    </row>
    <row r="2653" spans="1:5" x14ac:dyDescent="0.25">
      <c r="A2653" s="1">
        <v>45385</v>
      </c>
      <c r="B2653">
        <v>4</v>
      </c>
      <c r="C2653" t="s">
        <v>8</v>
      </c>
      <c r="D2653">
        <v>181</v>
      </c>
      <c r="E2653">
        <v>3010.01</v>
      </c>
    </row>
    <row r="2654" spans="1:5" x14ac:dyDescent="0.25">
      <c r="A2654" s="1">
        <v>45386</v>
      </c>
      <c r="B2654">
        <v>4</v>
      </c>
      <c r="C2654" t="s">
        <v>8</v>
      </c>
      <c r="D2654">
        <v>188</v>
      </c>
      <c r="E2654">
        <v>3092.99</v>
      </c>
    </row>
    <row r="2655" spans="1:5" x14ac:dyDescent="0.25">
      <c r="A2655" s="1">
        <v>45387</v>
      </c>
      <c r="B2655">
        <v>4</v>
      </c>
      <c r="C2655" t="s">
        <v>8</v>
      </c>
      <c r="D2655">
        <v>162</v>
      </c>
      <c r="E2655">
        <v>2413.6999999999998</v>
      </c>
    </row>
    <row r="2656" spans="1:5" x14ac:dyDescent="0.25">
      <c r="A2656" s="1">
        <v>45388</v>
      </c>
      <c r="B2656">
        <v>4</v>
      </c>
      <c r="C2656" t="s">
        <v>8</v>
      </c>
      <c r="D2656">
        <v>189</v>
      </c>
      <c r="E2656">
        <v>2947.45</v>
      </c>
    </row>
    <row r="2657" spans="1:5" x14ac:dyDescent="0.25">
      <c r="A2657" s="1">
        <v>45389</v>
      </c>
      <c r="B2657">
        <v>4</v>
      </c>
      <c r="C2657" t="s">
        <v>8</v>
      </c>
      <c r="D2657">
        <v>190</v>
      </c>
      <c r="E2657">
        <v>2923.16</v>
      </c>
    </row>
    <row r="2658" spans="1:5" x14ac:dyDescent="0.25">
      <c r="A2658" s="1">
        <v>45390</v>
      </c>
      <c r="B2658">
        <v>4</v>
      </c>
      <c r="C2658" t="s">
        <v>8</v>
      </c>
      <c r="D2658">
        <v>169</v>
      </c>
      <c r="E2658">
        <v>2677.2</v>
      </c>
    </row>
    <row r="2659" spans="1:5" x14ac:dyDescent="0.25">
      <c r="A2659" s="1">
        <v>45391</v>
      </c>
      <c r="B2659">
        <v>4</v>
      </c>
      <c r="C2659" t="s">
        <v>8</v>
      </c>
      <c r="D2659">
        <v>169</v>
      </c>
      <c r="E2659">
        <v>2488.16</v>
      </c>
    </row>
    <row r="2660" spans="1:5" x14ac:dyDescent="0.25">
      <c r="A2660" s="1">
        <v>45392</v>
      </c>
      <c r="B2660">
        <v>4</v>
      </c>
      <c r="C2660" t="s">
        <v>8</v>
      </c>
      <c r="D2660">
        <v>161</v>
      </c>
      <c r="E2660">
        <v>2465.7800000000002</v>
      </c>
    </row>
    <row r="2661" spans="1:5" x14ac:dyDescent="0.25">
      <c r="A2661" s="1">
        <v>45393</v>
      </c>
      <c r="B2661">
        <v>4</v>
      </c>
      <c r="C2661" t="s">
        <v>8</v>
      </c>
      <c r="D2661">
        <v>170</v>
      </c>
      <c r="E2661">
        <v>2540.8000000000002</v>
      </c>
    </row>
    <row r="2662" spans="1:5" x14ac:dyDescent="0.25">
      <c r="A2662" s="1">
        <v>45394</v>
      </c>
      <c r="B2662">
        <v>4</v>
      </c>
      <c r="C2662" t="s">
        <v>8</v>
      </c>
      <c r="D2662">
        <v>168</v>
      </c>
      <c r="E2662">
        <v>2617.7399999999998</v>
      </c>
    </row>
    <row r="2663" spans="1:5" x14ac:dyDescent="0.25">
      <c r="A2663" s="1">
        <v>45395</v>
      </c>
      <c r="B2663">
        <v>4</v>
      </c>
      <c r="C2663" t="s">
        <v>8</v>
      </c>
      <c r="D2663">
        <v>224</v>
      </c>
      <c r="E2663">
        <v>3238.45</v>
      </c>
    </row>
    <row r="2664" spans="1:5" x14ac:dyDescent="0.25">
      <c r="A2664" s="1">
        <v>45396</v>
      </c>
      <c r="B2664">
        <v>4</v>
      </c>
      <c r="C2664" t="s">
        <v>8</v>
      </c>
      <c r="D2664">
        <v>186</v>
      </c>
      <c r="E2664">
        <v>2594.17</v>
      </c>
    </row>
    <row r="2665" spans="1:5" x14ac:dyDescent="0.25">
      <c r="A2665" s="1">
        <v>45397</v>
      </c>
      <c r="B2665">
        <v>4</v>
      </c>
      <c r="C2665" t="s">
        <v>8</v>
      </c>
      <c r="D2665">
        <v>158</v>
      </c>
      <c r="E2665">
        <v>2377.42</v>
      </c>
    </row>
    <row r="2666" spans="1:5" x14ac:dyDescent="0.25">
      <c r="A2666" s="1">
        <v>45398</v>
      </c>
      <c r="B2666">
        <v>4</v>
      </c>
      <c r="C2666" t="s">
        <v>8</v>
      </c>
      <c r="D2666">
        <v>175</v>
      </c>
      <c r="E2666">
        <v>2754.98</v>
      </c>
    </row>
    <row r="2667" spans="1:5" x14ac:dyDescent="0.25">
      <c r="A2667" s="1">
        <v>45399</v>
      </c>
      <c r="B2667">
        <v>4</v>
      </c>
      <c r="C2667" t="s">
        <v>8</v>
      </c>
      <c r="D2667">
        <v>149</v>
      </c>
      <c r="E2667">
        <v>2273.19</v>
      </c>
    </row>
    <row r="2668" spans="1:5" x14ac:dyDescent="0.25">
      <c r="A2668" s="1">
        <v>45400</v>
      </c>
      <c r="B2668">
        <v>4</v>
      </c>
      <c r="C2668" t="s">
        <v>8</v>
      </c>
      <c r="D2668">
        <v>169</v>
      </c>
      <c r="E2668">
        <v>2778.83</v>
      </c>
    </row>
    <row r="2669" spans="1:5" x14ac:dyDescent="0.25">
      <c r="A2669" s="1">
        <v>45401</v>
      </c>
      <c r="B2669">
        <v>4</v>
      </c>
      <c r="C2669" t="s">
        <v>8</v>
      </c>
      <c r="D2669">
        <v>150</v>
      </c>
      <c r="E2669">
        <v>2463.4</v>
      </c>
    </row>
    <row r="2670" spans="1:5" x14ac:dyDescent="0.25">
      <c r="A2670" s="1">
        <v>45402</v>
      </c>
      <c r="B2670">
        <v>4</v>
      </c>
      <c r="C2670" t="s">
        <v>8</v>
      </c>
      <c r="D2670">
        <v>202</v>
      </c>
      <c r="E2670">
        <v>3193.84</v>
      </c>
    </row>
    <row r="2671" spans="1:5" x14ac:dyDescent="0.25">
      <c r="A2671" s="1">
        <v>45403</v>
      </c>
      <c r="B2671">
        <v>4</v>
      </c>
      <c r="C2671" t="s">
        <v>8</v>
      </c>
      <c r="D2671">
        <v>180</v>
      </c>
      <c r="E2671">
        <v>3026.81</v>
      </c>
    </row>
    <row r="2672" spans="1:5" x14ac:dyDescent="0.25">
      <c r="A2672" s="1">
        <v>45404</v>
      </c>
      <c r="B2672">
        <v>4</v>
      </c>
      <c r="C2672" t="s">
        <v>8</v>
      </c>
      <c r="D2672">
        <v>138</v>
      </c>
      <c r="E2672">
        <v>1891.19</v>
      </c>
    </row>
    <row r="2673" spans="1:5" x14ac:dyDescent="0.25">
      <c r="A2673" s="1">
        <v>45405</v>
      </c>
      <c r="B2673">
        <v>4</v>
      </c>
      <c r="C2673" t="s">
        <v>8</v>
      </c>
      <c r="D2673">
        <v>159</v>
      </c>
      <c r="E2673">
        <v>2662.11</v>
      </c>
    </row>
    <row r="2674" spans="1:5" x14ac:dyDescent="0.25">
      <c r="A2674" s="1">
        <v>45406</v>
      </c>
      <c r="B2674">
        <v>4</v>
      </c>
      <c r="C2674" t="s">
        <v>8</v>
      </c>
      <c r="D2674">
        <v>160</v>
      </c>
      <c r="E2674">
        <v>2616.46</v>
      </c>
    </row>
    <row r="2675" spans="1:5" x14ac:dyDescent="0.25">
      <c r="A2675" s="1">
        <v>45407</v>
      </c>
      <c r="B2675">
        <v>4</v>
      </c>
      <c r="C2675" t="s">
        <v>8</v>
      </c>
      <c r="D2675">
        <v>104</v>
      </c>
      <c r="E2675">
        <v>1588.04</v>
      </c>
    </row>
    <row r="2676" spans="1:5" x14ac:dyDescent="0.25">
      <c r="A2676" s="1">
        <v>45408</v>
      </c>
      <c r="B2676">
        <v>4</v>
      </c>
      <c r="C2676" t="s">
        <v>8</v>
      </c>
      <c r="D2676">
        <v>136</v>
      </c>
      <c r="E2676">
        <v>2269.69</v>
      </c>
    </row>
    <row r="2677" spans="1:5" x14ac:dyDescent="0.25">
      <c r="A2677" s="1">
        <v>45409</v>
      </c>
      <c r="B2677">
        <v>4</v>
      </c>
      <c r="C2677" t="s">
        <v>8</v>
      </c>
      <c r="D2677">
        <v>161</v>
      </c>
      <c r="E2677">
        <v>2485.64</v>
      </c>
    </row>
    <row r="2678" spans="1:5" x14ac:dyDescent="0.25">
      <c r="A2678" s="1">
        <v>45410</v>
      </c>
      <c r="B2678">
        <v>4</v>
      </c>
      <c r="C2678" t="s">
        <v>8</v>
      </c>
      <c r="D2678">
        <v>205</v>
      </c>
      <c r="E2678">
        <v>3214.82</v>
      </c>
    </row>
    <row r="2679" spans="1:5" x14ac:dyDescent="0.25">
      <c r="A2679" s="1">
        <v>45411</v>
      </c>
      <c r="B2679">
        <v>4</v>
      </c>
      <c r="C2679" t="s">
        <v>8</v>
      </c>
      <c r="D2679">
        <v>194</v>
      </c>
      <c r="E2679">
        <v>2818.37</v>
      </c>
    </row>
    <row r="2680" spans="1:5" x14ac:dyDescent="0.25">
      <c r="A2680" s="1">
        <v>45412</v>
      </c>
      <c r="B2680">
        <v>4</v>
      </c>
      <c r="C2680" t="s">
        <v>8</v>
      </c>
      <c r="D2680">
        <v>165</v>
      </c>
      <c r="E2680">
        <v>2362.7199999999998</v>
      </c>
    </row>
    <row r="2681" spans="1:5" x14ac:dyDescent="0.25">
      <c r="A2681" s="1">
        <v>45413</v>
      </c>
      <c r="B2681">
        <v>4</v>
      </c>
      <c r="C2681" t="s">
        <v>8</v>
      </c>
      <c r="D2681">
        <v>169</v>
      </c>
      <c r="E2681">
        <v>2745.64</v>
      </c>
    </row>
    <row r="2682" spans="1:5" x14ac:dyDescent="0.25">
      <c r="A2682" s="1">
        <v>45414</v>
      </c>
      <c r="B2682">
        <v>4</v>
      </c>
      <c r="C2682" t="s">
        <v>8</v>
      </c>
      <c r="D2682">
        <v>177</v>
      </c>
      <c r="E2682">
        <v>2960.49</v>
      </c>
    </row>
    <row r="2683" spans="1:5" x14ac:dyDescent="0.25">
      <c r="A2683" s="1">
        <v>45415</v>
      </c>
      <c r="B2683">
        <v>4</v>
      </c>
      <c r="C2683" t="s">
        <v>8</v>
      </c>
      <c r="D2683">
        <v>153</v>
      </c>
      <c r="E2683">
        <v>2272.6</v>
      </c>
    </row>
    <row r="2684" spans="1:5" x14ac:dyDescent="0.25">
      <c r="A2684" s="1">
        <v>45416</v>
      </c>
      <c r="B2684">
        <v>4</v>
      </c>
      <c r="C2684" t="s">
        <v>8</v>
      </c>
      <c r="D2684">
        <v>199</v>
      </c>
      <c r="E2684">
        <v>3166.55</v>
      </c>
    </row>
    <row r="2685" spans="1:5" x14ac:dyDescent="0.25">
      <c r="A2685" s="1">
        <v>45417</v>
      </c>
      <c r="B2685">
        <v>4</v>
      </c>
      <c r="C2685" t="s">
        <v>8</v>
      </c>
      <c r="D2685">
        <v>191</v>
      </c>
      <c r="E2685">
        <v>2794.36</v>
      </c>
    </row>
    <row r="2686" spans="1:5" x14ac:dyDescent="0.25">
      <c r="A2686" s="1">
        <v>45418</v>
      </c>
      <c r="B2686">
        <v>4</v>
      </c>
      <c r="C2686" t="s">
        <v>8</v>
      </c>
      <c r="D2686">
        <v>155</v>
      </c>
      <c r="E2686">
        <v>2513.67</v>
      </c>
    </row>
    <row r="2687" spans="1:5" x14ac:dyDescent="0.25">
      <c r="A2687" s="1">
        <v>45419</v>
      </c>
      <c r="B2687">
        <v>4</v>
      </c>
      <c r="C2687" t="s">
        <v>8</v>
      </c>
      <c r="D2687">
        <v>171</v>
      </c>
      <c r="E2687">
        <v>2730.66</v>
      </c>
    </row>
    <row r="2688" spans="1:5" x14ac:dyDescent="0.25">
      <c r="A2688" s="1">
        <v>45420</v>
      </c>
      <c r="B2688">
        <v>4</v>
      </c>
      <c r="C2688" t="s">
        <v>8</v>
      </c>
      <c r="D2688">
        <v>146</v>
      </c>
      <c r="E2688">
        <v>2271.4</v>
      </c>
    </row>
    <row r="2689" spans="1:5" x14ac:dyDescent="0.25">
      <c r="A2689" s="1">
        <v>45421</v>
      </c>
      <c r="B2689">
        <v>4</v>
      </c>
      <c r="C2689" t="s">
        <v>8</v>
      </c>
      <c r="D2689">
        <v>197</v>
      </c>
      <c r="E2689">
        <v>3054.54</v>
      </c>
    </row>
    <row r="2690" spans="1:5" x14ac:dyDescent="0.25">
      <c r="A2690" s="1">
        <v>45422</v>
      </c>
      <c r="B2690">
        <v>4</v>
      </c>
      <c r="C2690" t="s">
        <v>8</v>
      </c>
      <c r="D2690">
        <v>164</v>
      </c>
      <c r="E2690">
        <v>2755.86</v>
      </c>
    </row>
    <row r="2691" spans="1:5" x14ac:dyDescent="0.25">
      <c r="A2691" s="1">
        <v>45423</v>
      </c>
      <c r="B2691">
        <v>4</v>
      </c>
      <c r="C2691" t="s">
        <v>8</v>
      </c>
      <c r="D2691">
        <v>193</v>
      </c>
      <c r="E2691">
        <v>3069.17</v>
      </c>
    </row>
    <row r="2692" spans="1:5" x14ac:dyDescent="0.25">
      <c r="A2692" s="1">
        <v>45424</v>
      </c>
      <c r="B2692">
        <v>4</v>
      </c>
      <c r="C2692" t="s">
        <v>8</v>
      </c>
      <c r="D2692">
        <v>174</v>
      </c>
      <c r="E2692">
        <v>2976.39</v>
      </c>
    </row>
    <row r="2693" spans="1:5" x14ac:dyDescent="0.25">
      <c r="A2693" s="1">
        <v>45425</v>
      </c>
      <c r="B2693">
        <v>4</v>
      </c>
      <c r="C2693" t="s">
        <v>8</v>
      </c>
      <c r="D2693">
        <v>135</v>
      </c>
      <c r="E2693">
        <v>2285.64</v>
      </c>
    </row>
    <row r="2694" spans="1:5" x14ac:dyDescent="0.25">
      <c r="A2694" s="1">
        <v>45426</v>
      </c>
      <c r="B2694">
        <v>4</v>
      </c>
      <c r="C2694" t="s">
        <v>8</v>
      </c>
      <c r="D2694">
        <v>216</v>
      </c>
      <c r="E2694">
        <v>3455.55</v>
      </c>
    </row>
    <row r="2695" spans="1:5" x14ac:dyDescent="0.25">
      <c r="A2695" s="1">
        <v>45427</v>
      </c>
      <c r="B2695">
        <v>4</v>
      </c>
      <c r="C2695" t="s">
        <v>8</v>
      </c>
      <c r="D2695">
        <v>163</v>
      </c>
      <c r="E2695">
        <v>2689.45</v>
      </c>
    </row>
    <row r="2696" spans="1:5" x14ac:dyDescent="0.25">
      <c r="A2696" s="1">
        <v>45428</v>
      </c>
      <c r="B2696">
        <v>4</v>
      </c>
      <c r="C2696" t="s">
        <v>8</v>
      </c>
      <c r="D2696">
        <v>201</v>
      </c>
      <c r="E2696">
        <v>3189.06</v>
      </c>
    </row>
    <row r="2697" spans="1:5" x14ac:dyDescent="0.25">
      <c r="A2697" s="1">
        <v>45429</v>
      </c>
      <c r="B2697">
        <v>4</v>
      </c>
      <c r="C2697" t="s">
        <v>8</v>
      </c>
      <c r="D2697">
        <v>184</v>
      </c>
      <c r="E2697">
        <v>2895.38</v>
      </c>
    </row>
    <row r="2698" spans="1:5" x14ac:dyDescent="0.25">
      <c r="A2698" s="1">
        <v>45430</v>
      </c>
      <c r="B2698">
        <v>4</v>
      </c>
      <c r="C2698" t="s">
        <v>8</v>
      </c>
      <c r="D2698">
        <v>183</v>
      </c>
      <c r="E2698">
        <v>2614.5500000000002</v>
      </c>
    </row>
    <row r="2699" spans="1:5" x14ac:dyDescent="0.25">
      <c r="A2699" s="1">
        <v>45431</v>
      </c>
      <c r="B2699">
        <v>4</v>
      </c>
      <c r="C2699" t="s">
        <v>8</v>
      </c>
      <c r="D2699">
        <v>209</v>
      </c>
      <c r="E2699">
        <v>2969.64</v>
      </c>
    </row>
    <row r="2700" spans="1:5" x14ac:dyDescent="0.25">
      <c r="A2700" s="1">
        <v>45432</v>
      </c>
      <c r="B2700">
        <v>4</v>
      </c>
      <c r="C2700" t="s">
        <v>8</v>
      </c>
      <c r="D2700">
        <v>149</v>
      </c>
      <c r="E2700">
        <v>2036.06</v>
      </c>
    </row>
    <row r="2701" spans="1:5" x14ac:dyDescent="0.25">
      <c r="A2701" s="1">
        <v>45433</v>
      </c>
      <c r="B2701">
        <v>4</v>
      </c>
      <c r="C2701" t="s">
        <v>8</v>
      </c>
      <c r="D2701">
        <v>168</v>
      </c>
      <c r="E2701">
        <v>2701.03</v>
      </c>
    </row>
    <row r="2702" spans="1:5" x14ac:dyDescent="0.25">
      <c r="A2702" s="1">
        <v>45434</v>
      </c>
      <c r="B2702">
        <v>4</v>
      </c>
      <c r="C2702" t="s">
        <v>8</v>
      </c>
      <c r="D2702">
        <v>185</v>
      </c>
      <c r="E2702">
        <v>3019.43</v>
      </c>
    </row>
    <row r="2703" spans="1:5" x14ac:dyDescent="0.25">
      <c r="A2703" s="1">
        <v>45435</v>
      </c>
      <c r="B2703">
        <v>4</v>
      </c>
      <c r="C2703" t="s">
        <v>8</v>
      </c>
      <c r="D2703">
        <v>171</v>
      </c>
      <c r="E2703">
        <v>2570</v>
      </c>
    </row>
    <row r="2704" spans="1:5" x14ac:dyDescent="0.25">
      <c r="A2704" s="1">
        <v>45436</v>
      </c>
      <c r="B2704">
        <v>4</v>
      </c>
      <c r="C2704" t="s">
        <v>8</v>
      </c>
      <c r="D2704">
        <v>168</v>
      </c>
      <c r="E2704">
        <v>2509.08</v>
      </c>
    </row>
    <row r="2705" spans="1:5" x14ac:dyDescent="0.25">
      <c r="A2705" s="1">
        <v>45437</v>
      </c>
      <c r="B2705">
        <v>4</v>
      </c>
      <c r="C2705" t="s">
        <v>8</v>
      </c>
      <c r="D2705">
        <v>219</v>
      </c>
      <c r="E2705">
        <v>3181.14</v>
      </c>
    </row>
    <row r="2706" spans="1:5" x14ac:dyDescent="0.25">
      <c r="A2706" s="1">
        <v>45438</v>
      </c>
      <c r="B2706">
        <v>4</v>
      </c>
      <c r="C2706" t="s">
        <v>8</v>
      </c>
      <c r="D2706">
        <v>192</v>
      </c>
      <c r="E2706">
        <v>2954.14</v>
      </c>
    </row>
    <row r="2707" spans="1:5" x14ac:dyDescent="0.25">
      <c r="A2707" s="1">
        <v>45439</v>
      </c>
      <c r="B2707">
        <v>4</v>
      </c>
      <c r="C2707" t="s">
        <v>8</v>
      </c>
      <c r="D2707">
        <v>202</v>
      </c>
      <c r="E2707">
        <v>3353.43</v>
      </c>
    </row>
    <row r="2708" spans="1:5" x14ac:dyDescent="0.25">
      <c r="A2708" s="1">
        <v>45440</v>
      </c>
      <c r="B2708">
        <v>4</v>
      </c>
      <c r="C2708" t="s">
        <v>8</v>
      </c>
      <c r="D2708">
        <v>169</v>
      </c>
      <c r="E2708">
        <v>2515.9899999999998</v>
      </c>
    </row>
    <row r="2709" spans="1:5" x14ac:dyDescent="0.25">
      <c r="A2709" s="1">
        <v>45441</v>
      </c>
      <c r="B2709">
        <v>4</v>
      </c>
      <c r="C2709" t="s">
        <v>8</v>
      </c>
      <c r="D2709">
        <v>172</v>
      </c>
      <c r="E2709">
        <v>2502.13</v>
      </c>
    </row>
    <row r="2710" spans="1:5" x14ac:dyDescent="0.25">
      <c r="A2710" s="1">
        <v>45442</v>
      </c>
      <c r="B2710">
        <v>4</v>
      </c>
      <c r="C2710" t="s">
        <v>8</v>
      </c>
      <c r="D2710">
        <v>224</v>
      </c>
      <c r="E2710">
        <v>3426.7</v>
      </c>
    </row>
    <row r="2711" spans="1:5" x14ac:dyDescent="0.25">
      <c r="A2711" s="1">
        <v>45443</v>
      </c>
      <c r="B2711">
        <v>4</v>
      </c>
      <c r="C2711" t="s">
        <v>8</v>
      </c>
      <c r="D2711">
        <v>230</v>
      </c>
      <c r="E2711">
        <v>2950.94</v>
      </c>
    </row>
    <row r="2712" spans="1:5" x14ac:dyDescent="0.25">
      <c r="A2712" s="1">
        <v>45444</v>
      </c>
      <c r="B2712">
        <v>4</v>
      </c>
      <c r="C2712" t="s">
        <v>8</v>
      </c>
      <c r="D2712">
        <v>201</v>
      </c>
      <c r="E2712">
        <v>3179.91</v>
      </c>
    </row>
    <row r="2713" spans="1:5" x14ac:dyDescent="0.25">
      <c r="A2713" s="1">
        <v>45445</v>
      </c>
      <c r="B2713">
        <v>4</v>
      </c>
      <c r="C2713" t="s">
        <v>8</v>
      </c>
      <c r="D2713">
        <v>156</v>
      </c>
      <c r="E2713">
        <v>2295.64</v>
      </c>
    </row>
    <row r="2714" spans="1:5" x14ac:dyDescent="0.25">
      <c r="A2714" s="1">
        <v>45446</v>
      </c>
      <c r="B2714">
        <v>4</v>
      </c>
      <c r="C2714" t="s">
        <v>8</v>
      </c>
      <c r="D2714">
        <v>230</v>
      </c>
      <c r="E2714">
        <v>3232.09</v>
      </c>
    </row>
    <row r="2715" spans="1:5" x14ac:dyDescent="0.25">
      <c r="A2715" s="1">
        <v>45447</v>
      </c>
      <c r="B2715">
        <v>4</v>
      </c>
      <c r="C2715" t="s">
        <v>8</v>
      </c>
      <c r="D2715">
        <v>188</v>
      </c>
      <c r="E2715">
        <v>2756.1</v>
      </c>
    </row>
    <row r="2716" spans="1:5" x14ac:dyDescent="0.25">
      <c r="A2716" s="1">
        <v>45448</v>
      </c>
      <c r="B2716">
        <v>4</v>
      </c>
      <c r="C2716" t="s">
        <v>8</v>
      </c>
      <c r="D2716">
        <v>176</v>
      </c>
      <c r="E2716">
        <v>2656.95</v>
      </c>
    </row>
    <row r="2717" spans="1:5" x14ac:dyDescent="0.25">
      <c r="A2717" s="1">
        <v>45449</v>
      </c>
      <c r="B2717">
        <v>4</v>
      </c>
      <c r="C2717" t="s">
        <v>8</v>
      </c>
      <c r="D2717">
        <v>236</v>
      </c>
      <c r="E2717">
        <v>3759.48</v>
      </c>
    </row>
    <row r="2718" spans="1:5" x14ac:dyDescent="0.25">
      <c r="A2718" s="1">
        <v>45450</v>
      </c>
      <c r="B2718">
        <v>4</v>
      </c>
      <c r="C2718" t="s">
        <v>8</v>
      </c>
      <c r="D2718">
        <v>141</v>
      </c>
      <c r="E2718">
        <v>2258.84</v>
      </c>
    </row>
    <row r="2719" spans="1:5" x14ac:dyDescent="0.25">
      <c r="A2719" s="1">
        <v>45451</v>
      </c>
      <c r="B2719">
        <v>4</v>
      </c>
      <c r="C2719" t="s">
        <v>8</v>
      </c>
      <c r="D2719">
        <v>206</v>
      </c>
      <c r="E2719">
        <v>3094.46</v>
      </c>
    </row>
    <row r="2720" spans="1:5" x14ac:dyDescent="0.25">
      <c r="A2720" s="1">
        <v>45452</v>
      </c>
      <c r="B2720">
        <v>4</v>
      </c>
      <c r="C2720" t="s">
        <v>8</v>
      </c>
      <c r="D2720">
        <v>200</v>
      </c>
      <c r="E2720">
        <v>2970.2</v>
      </c>
    </row>
    <row r="2721" spans="1:5" x14ac:dyDescent="0.25">
      <c r="A2721" s="1">
        <v>45453</v>
      </c>
      <c r="B2721">
        <v>4</v>
      </c>
      <c r="C2721" t="s">
        <v>8</v>
      </c>
      <c r="D2721">
        <v>190</v>
      </c>
      <c r="E2721">
        <v>2977.65</v>
      </c>
    </row>
    <row r="2722" spans="1:5" x14ac:dyDescent="0.25">
      <c r="A2722" s="1">
        <v>45454</v>
      </c>
      <c r="B2722">
        <v>4</v>
      </c>
      <c r="C2722" t="s">
        <v>8</v>
      </c>
      <c r="D2722">
        <v>181</v>
      </c>
      <c r="E2722">
        <v>2975.62</v>
      </c>
    </row>
    <row r="2723" spans="1:5" x14ac:dyDescent="0.25">
      <c r="A2723" s="1">
        <v>45455</v>
      </c>
      <c r="B2723">
        <v>4</v>
      </c>
      <c r="C2723" t="s">
        <v>8</v>
      </c>
      <c r="D2723">
        <v>208</v>
      </c>
      <c r="E2723">
        <v>3143.96</v>
      </c>
    </row>
    <row r="2724" spans="1:5" x14ac:dyDescent="0.25">
      <c r="A2724" s="1">
        <v>45456</v>
      </c>
      <c r="B2724">
        <v>4</v>
      </c>
      <c r="C2724" t="s">
        <v>8</v>
      </c>
      <c r="D2724">
        <v>194</v>
      </c>
      <c r="E2724">
        <v>3065.33</v>
      </c>
    </row>
    <row r="2725" spans="1:5" x14ac:dyDescent="0.25">
      <c r="A2725" s="1">
        <v>45457</v>
      </c>
      <c r="B2725">
        <v>4</v>
      </c>
      <c r="C2725" t="s">
        <v>8</v>
      </c>
      <c r="D2725">
        <v>211</v>
      </c>
      <c r="E2725">
        <v>3283.04</v>
      </c>
    </row>
    <row r="2726" spans="1:5" x14ac:dyDescent="0.25">
      <c r="A2726" s="1">
        <v>45458</v>
      </c>
      <c r="B2726">
        <v>4</v>
      </c>
      <c r="C2726" t="s">
        <v>8</v>
      </c>
      <c r="D2726">
        <v>238</v>
      </c>
      <c r="E2726">
        <v>3799.64</v>
      </c>
    </row>
    <row r="2727" spans="1:5" x14ac:dyDescent="0.25">
      <c r="A2727" s="1">
        <v>45459</v>
      </c>
      <c r="B2727">
        <v>4</v>
      </c>
      <c r="C2727" t="s">
        <v>8</v>
      </c>
      <c r="D2727">
        <v>210</v>
      </c>
      <c r="E2727">
        <v>3221.27</v>
      </c>
    </row>
    <row r="2728" spans="1:5" x14ac:dyDescent="0.25">
      <c r="A2728" s="1">
        <v>45460</v>
      </c>
      <c r="B2728">
        <v>4</v>
      </c>
      <c r="C2728" t="s">
        <v>8</v>
      </c>
      <c r="D2728">
        <v>247</v>
      </c>
      <c r="E2728">
        <v>4072</v>
      </c>
    </row>
    <row r="2729" spans="1:5" x14ac:dyDescent="0.25">
      <c r="A2729" s="1">
        <v>45461</v>
      </c>
      <c r="B2729">
        <v>4</v>
      </c>
      <c r="C2729" t="s">
        <v>8</v>
      </c>
      <c r="D2729">
        <v>181</v>
      </c>
      <c r="E2729">
        <v>2863.2</v>
      </c>
    </row>
    <row r="2730" spans="1:5" x14ac:dyDescent="0.25">
      <c r="A2730" s="1">
        <v>45462</v>
      </c>
      <c r="B2730">
        <v>4</v>
      </c>
      <c r="C2730" t="s">
        <v>8</v>
      </c>
      <c r="D2730">
        <v>197</v>
      </c>
      <c r="E2730">
        <v>2905.75</v>
      </c>
    </row>
    <row r="2731" spans="1:5" x14ac:dyDescent="0.25">
      <c r="A2731" s="1">
        <v>45463</v>
      </c>
      <c r="B2731">
        <v>4</v>
      </c>
      <c r="C2731" t="s">
        <v>8</v>
      </c>
      <c r="D2731">
        <v>149</v>
      </c>
      <c r="E2731">
        <v>2396.9899999999998</v>
      </c>
    </row>
    <row r="2732" spans="1:5" x14ac:dyDescent="0.25">
      <c r="A2732" s="1">
        <v>45464</v>
      </c>
      <c r="B2732">
        <v>4</v>
      </c>
      <c r="C2732" t="s">
        <v>8</v>
      </c>
      <c r="D2732">
        <v>191</v>
      </c>
      <c r="E2732">
        <v>3043.28</v>
      </c>
    </row>
    <row r="2733" spans="1:5" x14ac:dyDescent="0.25">
      <c r="A2733" s="1">
        <v>45465</v>
      </c>
      <c r="B2733">
        <v>4</v>
      </c>
      <c r="C2733" t="s">
        <v>8</v>
      </c>
      <c r="D2733">
        <v>227</v>
      </c>
      <c r="E2733">
        <v>3402.42</v>
      </c>
    </row>
    <row r="2734" spans="1:5" x14ac:dyDescent="0.25">
      <c r="A2734" s="1">
        <v>45466</v>
      </c>
      <c r="B2734">
        <v>4</v>
      </c>
      <c r="C2734" t="s">
        <v>8</v>
      </c>
      <c r="D2734">
        <v>203</v>
      </c>
      <c r="E2734">
        <v>3216.51</v>
      </c>
    </row>
    <row r="2735" spans="1:5" x14ac:dyDescent="0.25">
      <c r="A2735" s="1">
        <v>45467</v>
      </c>
      <c r="B2735">
        <v>4</v>
      </c>
      <c r="C2735" t="s">
        <v>8</v>
      </c>
      <c r="D2735">
        <v>219</v>
      </c>
      <c r="E2735">
        <v>3107.94</v>
      </c>
    </row>
    <row r="2736" spans="1:5" x14ac:dyDescent="0.25">
      <c r="A2736" s="1">
        <v>45468</v>
      </c>
      <c r="B2736">
        <v>4</v>
      </c>
      <c r="C2736" t="s">
        <v>8</v>
      </c>
      <c r="D2736">
        <v>220</v>
      </c>
      <c r="E2736">
        <v>3271.47</v>
      </c>
    </row>
    <row r="2737" spans="1:5" x14ac:dyDescent="0.25">
      <c r="A2737" s="1">
        <v>45469</v>
      </c>
      <c r="B2737">
        <v>4</v>
      </c>
      <c r="C2737" t="s">
        <v>8</v>
      </c>
      <c r="D2737">
        <v>212</v>
      </c>
      <c r="E2737">
        <v>3339.75</v>
      </c>
    </row>
    <row r="2738" spans="1:5" x14ac:dyDescent="0.25">
      <c r="A2738" s="1">
        <v>45470</v>
      </c>
      <c r="B2738">
        <v>4</v>
      </c>
      <c r="C2738" t="s">
        <v>8</v>
      </c>
      <c r="D2738">
        <v>212</v>
      </c>
      <c r="E2738">
        <v>3409.59</v>
      </c>
    </row>
    <row r="2739" spans="1:5" x14ac:dyDescent="0.25">
      <c r="A2739" s="1">
        <v>45471</v>
      </c>
      <c r="B2739">
        <v>4</v>
      </c>
      <c r="C2739" t="s">
        <v>8</v>
      </c>
      <c r="D2739">
        <v>197</v>
      </c>
      <c r="E2739">
        <v>2957.67</v>
      </c>
    </row>
    <row r="2740" spans="1:5" x14ac:dyDescent="0.25">
      <c r="A2740" s="1">
        <v>45472</v>
      </c>
      <c r="B2740">
        <v>4</v>
      </c>
      <c r="C2740" t="s">
        <v>8</v>
      </c>
      <c r="D2740">
        <v>248</v>
      </c>
      <c r="E2740">
        <v>4167.33</v>
      </c>
    </row>
    <row r="2741" spans="1:5" x14ac:dyDescent="0.25">
      <c r="A2741" s="1">
        <v>45473</v>
      </c>
      <c r="B2741">
        <v>4</v>
      </c>
      <c r="C2741" t="s">
        <v>8</v>
      </c>
      <c r="D2741">
        <v>259</v>
      </c>
      <c r="E2741">
        <v>4172.3599999999997</v>
      </c>
    </row>
    <row r="2742" spans="1:5" x14ac:dyDescent="0.25">
      <c r="A2742" s="1">
        <v>45474</v>
      </c>
      <c r="B2742">
        <v>4</v>
      </c>
      <c r="C2742" t="s">
        <v>8</v>
      </c>
      <c r="D2742">
        <v>201</v>
      </c>
      <c r="E2742">
        <v>3177.12</v>
      </c>
    </row>
    <row r="2743" spans="1:5" x14ac:dyDescent="0.25">
      <c r="A2743" s="1">
        <v>45475</v>
      </c>
      <c r="B2743">
        <v>4</v>
      </c>
      <c r="C2743" t="s">
        <v>8</v>
      </c>
      <c r="D2743">
        <v>232</v>
      </c>
      <c r="E2743">
        <v>3570.94</v>
      </c>
    </row>
    <row r="2744" spans="1:5" x14ac:dyDescent="0.25">
      <c r="A2744" s="1">
        <v>45476</v>
      </c>
      <c r="B2744">
        <v>4</v>
      </c>
      <c r="C2744" t="s">
        <v>8</v>
      </c>
      <c r="D2744">
        <v>258</v>
      </c>
      <c r="E2744">
        <v>4156.83</v>
      </c>
    </row>
    <row r="2745" spans="1:5" x14ac:dyDescent="0.25">
      <c r="A2745" s="1">
        <v>45477</v>
      </c>
      <c r="B2745">
        <v>4</v>
      </c>
      <c r="C2745" t="s">
        <v>8</v>
      </c>
      <c r="D2745">
        <v>222</v>
      </c>
      <c r="E2745">
        <v>3053.27</v>
      </c>
    </row>
    <row r="2746" spans="1:5" x14ac:dyDescent="0.25">
      <c r="A2746" s="1">
        <v>45478</v>
      </c>
      <c r="B2746">
        <v>4</v>
      </c>
      <c r="C2746" t="s">
        <v>8</v>
      </c>
      <c r="D2746">
        <v>183</v>
      </c>
      <c r="E2746">
        <v>2800.87</v>
      </c>
    </row>
    <row r="2747" spans="1:5" x14ac:dyDescent="0.25">
      <c r="A2747" s="1">
        <v>45479</v>
      </c>
      <c r="B2747">
        <v>4</v>
      </c>
      <c r="C2747" t="s">
        <v>8</v>
      </c>
      <c r="D2747">
        <v>247</v>
      </c>
      <c r="E2747">
        <v>3572.71</v>
      </c>
    </row>
    <row r="2748" spans="1:5" x14ac:dyDescent="0.25">
      <c r="A2748" s="1">
        <v>45480</v>
      </c>
      <c r="B2748">
        <v>4</v>
      </c>
      <c r="C2748" t="s">
        <v>8</v>
      </c>
      <c r="D2748">
        <v>237</v>
      </c>
      <c r="E2748">
        <v>4194.51</v>
      </c>
    </row>
    <row r="2749" spans="1:5" x14ac:dyDescent="0.25">
      <c r="A2749" s="1">
        <v>45481</v>
      </c>
      <c r="B2749">
        <v>4</v>
      </c>
      <c r="C2749" t="s">
        <v>8</v>
      </c>
      <c r="D2749">
        <v>197</v>
      </c>
      <c r="E2749">
        <v>2860.84</v>
      </c>
    </row>
    <row r="2750" spans="1:5" x14ac:dyDescent="0.25">
      <c r="A2750" s="1">
        <v>45482</v>
      </c>
      <c r="B2750">
        <v>4</v>
      </c>
      <c r="C2750" t="s">
        <v>8</v>
      </c>
      <c r="D2750">
        <v>231</v>
      </c>
      <c r="E2750">
        <v>3416.97</v>
      </c>
    </row>
    <row r="2751" spans="1:5" x14ac:dyDescent="0.25">
      <c r="A2751" s="1">
        <v>45483</v>
      </c>
      <c r="B2751">
        <v>4</v>
      </c>
      <c r="C2751" t="s">
        <v>8</v>
      </c>
      <c r="D2751">
        <v>202</v>
      </c>
      <c r="E2751">
        <v>3214.86</v>
      </c>
    </row>
    <row r="2752" spans="1:5" x14ac:dyDescent="0.25">
      <c r="A2752" s="1">
        <v>45484</v>
      </c>
      <c r="B2752">
        <v>4</v>
      </c>
      <c r="C2752" t="s">
        <v>8</v>
      </c>
      <c r="D2752">
        <v>208</v>
      </c>
      <c r="E2752">
        <v>3052.85</v>
      </c>
    </row>
    <row r="2753" spans="1:5" x14ac:dyDescent="0.25">
      <c r="A2753" s="1">
        <v>45485</v>
      </c>
      <c r="B2753">
        <v>4</v>
      </c>
      <c r="C2753" t="s">
        <v>8</v>
      </c>
      <c r="D2753">
        <v>196</v>
      </c>
      <c r="E2753">
        <v>2911.26</v>
      </c>
    </row>
    <row r="2754" spans="1:5" x14ac:dyDescent="0.25">
      <c r="A2754" s="1">
        <v>45486</v>
      </c>
      <c r="B2754">
        <v>4</v>
      </c>
      <c r="C2754" t="s">
        <v>8</v>
      </c>
      <c r="D2754">
        <v>254</v>
      </c>
      <c r="E2754">
        <v>3906.51</v>
      </c>
    </row>
    <row r="2755" spans="1:5" x14ac:dyDescent="0.25">
      <c r="A2755" s="1">
        <v>45487</v>
      </c>
      <c r="B2755">
        <v>4</v>
      </c>
      <c r="C2755" t="s">
        <v>8</v>
      </c>
      <c r="D2755">
        <v>229</v>
      </c>
      <c r="E2755">
        <v>3628.47</v>
      </c>
    </row>
    <row r="2756" spans="1:5" x14ac:dyDescent="0.25">
      <c r="A2756" s="1">
        <v>45488</v>
      </c>
      <c r="B2756">
        <v>4</v>
      </c>
      <c r="C2756" t="s">
        <v>8</v>
      </c>
      <c r="D2756">
        <v>223</v>
      </c>
      <c r="E2756">
        <v>3462.08</v>
      </c>
    </row>
    <row r="2757" spans="1:5" x14ac:dyDescent="0.25">
      <c r="A2757" s="1">
        <v>45489</v>
      </c>
      <c r="B2757">
        <v>4</v>
      </c>
      <c r="C2757" t="s">
        <v>8</v>
      </c>
      <c r="D2757">
        <v>222</v>
      </c>
      <c r="E2757">
        <v>3351.84</v>
      </c>
    </row>
    <row r="2758" spans="1:5" x14ac:dyDescent="0.25">
      <c r="A2758" s="1">
        <v>45490</v>
      </c>
      <c r="B2758">
        <v>4</v>
      </c>
      <c r="C2758" t="s">
        <v>8</v>
      </c>
      <c r="D2758">
        <v>195</v>
      </c>
      <c r="E2758">
        <v>2936.38</v>
      </c>
    </row>
    <row r="2759" spans="1:5" x14ac:dyDescent="0.25">
      <c r="A2759" s="1">
        <v>45491</v>
      </c>
      <c r="B2759">
        <v>4</v>
      </c>
      <c r="C2759" t="s">
        <v>8</v>
      </c>
      <c r="D2759">
        <v>213</v>
      </c>
      <c r="E2759">
        <v>3519.13</v>
      </c>
    </row>
    <row r="2760" spans="1:5" x14ac:dyDescent="0.25">
      <c r="A2760" s="1">
        <v>45492</v>
      </c>
      <c r="B2760">
        <v>4</v>
      </c>
      <c r="C2760" t="s">
        <v>8</v>
      </c>
      <c r="D2760">
        <v>229</v>
      </c>
      <c r="E2760">
        <v>3614.43</v>
      </c>
    </row>
    <row r="2761" spans="1:5" x14ac:dyDescent="0.25">
      <c r="A2761" s="1">
        <v>45493</v>
      </c>
      <c r="B2761">
        <v>4</v>
      </c>
      <c r="C2761" t="s">
        <v>8</v>
      </c>
      <c r="D2761">
        <v>249</v>
      </c>
      <c r="E2761">
        <v>3735.42</v>
      </c>
    </row>
    <row r="2762" spans="1:5" x14ac:dyDescent="0.25">
      <c r="A2762" s="1">
        <v>45494</v>
      </c>
      <c r="B2762">
        <v>4</v>
      </c>
      <c r="C2762" t="s">
        <v>8</v>
      </c>
      <c r="D2762">
        <v>205</v>
      </c>
      <c r="E2762">
        <v>3108.54</v>
      </c>
    </row>
    <row r="2763" spans="1:5" x14ac:dyDescent="0.25">
      <c r="A2763" s="1">
        <v>45495</v>
      </c>
      <c r="B2763">
        <v>4</v>
      </c>
      <c r="C2763" t="s">
        <v>8</v>
      </c>
      <c r="D2763">
        <v>248</v>
      </c>
      <c r="E2763">
        <v>3895.44</v>
      </c>
    </row>
    <row r="2764" spans="1:5" x14ac:dyDescent="0.25">
      <c r="A2764" s="1">
        <v>45496</v>
      </c>
      <c r="B2764">
        <v>4</v>
      </c>
      <c r="C2764" t="s">
        <v>8</v>
      </c>
      <c r="D2764">
        <v>242</v>
      </c>
      <c r="E2764">
        <v>3514.65</v>
      </c>
    </row>
    <row r="2765" spans="1:5" x14ac:dyDescent="0.25">
      <c r="A2765" s="1">
        <v>45497</v>
      </c>
      <c r="B2765">
        <v>4</v>
      </c>
      <c r="C2765" t="s">
        <v>8</v>
      </c>
      <c r="D2765">
        <v>217</v>
      </c>
      <c r="E2765">
        <v>3474.93</v>
      </c>
    </row>
    <row r="2766" spans="1:5" x14ac:dyDescent="0.25">
      <c r="A2766" s="1">
        <v>45498</v>
      </c>
      <c r="B2766">
        <v>4</v>
      </c>
      <c r="C2766" t="s">
        <v>8</v>
      </c>
      <c r="D2766">
        <v>244</v>
      </c>
      <c r="E2766">
        <v>3599.98</v>
      </c>
    </row>
    <row r="2767" spans="1:5" x14ac:dyDescent="0.25">
      <c r="A2767" s="1">
        <v>45499</v>
      </c>
      <c r="B2767">
        <v>4</v>
      </c>
      <c r="C2767" t="s">
        <v>8</v>
      </c>
      <c r="D2767">
        <v>217</v>
      </c>
      <c r="E2767">
        <v>3467.06</v>
      </c>
    </row>
    <row r="2768" spans="1:5" x14ac:dyDescent="0.25">
      <c r="A2768" s="1">
        <v>45500</v>
      </c>
      <c r="B2768">
        <v>4</v>
      </c>
      <c r="C2768" t="s">
        <v>8</v>
      </c>
      <c r="D2768">
        <v>195</v>
      </c>
      <c r="E2768">
        <v>3165.78</v>
      </c>
    </row>
    <row r="2769" spans="1:5" x14ac:dyDescent="0.25">
      <c r="A2769" s="1">
        <v>45501</v>
      </c>
      <c r="B2769">
        <v>4</v>
      </c>
      <c r="C2769" t="s">
        <v>8</v>
      </c>
      <c r="D2769">
        <v>244</v>
      </c>
      <c r="E2769">
        <v>3730.61</v>
      </c>
    </row>
    <row r="2770" spans="1:5" x14ac:dyDescent="0.25">
      <c r="A2770" s="1">
        <v>45502</v>
      </c>
      <c r="B2770">
        <v>4</v>
      </c>
      <c r="C2770" t="s">
        <v>8</v>
      </c>
      <c r="D2770">
        <v>244</v>
      </c>
      <c r="E2770">
        <v>3572.41</v>
      </c>
    </row>
    <row r="2771" spans="1:5" x14ac:dyDescent="0.25">
      <c r="A2771" s="1">
        <v>45503</v>
      </c>
      <c r="B2771">
        <v>4</v>
      </c>
      <c r="C2771" t="s">
        <v>8</v>
      </c>
      <c r="D2771">
        <v>221</v>
      </c>
      <c r="E2771">
        <v>4058.86</v>
      </c>
    </row>
    <row r="2772" spans="1:5" x14ac:dyDescent="0.25">
      <c r="A2772" s="1">
        <v>45504</v>
      </c>
      <c r="B2772">
        <v>4</v>
      </c>
      <c r="C2772" t="s">
        <v>8</v>
      </c>
      <c r="D2772">
        <v>226</v>
      </c>
      <c r="E2772">
        <v>3272.65</v>
      </c>
    </row>
    <row r="2773" spans="1:5" x14ac:dyDescent="0.25">
      <c r="A2773" s="1">
        <v>45505</v>
      </c>
      <c r="B2773">
        <v>4</v>
      </c>
      <c r="C2773" t="s">
        <v>8</v>
      </c>
      <c r="D2773">
        <v>221</v>
      </c>
      <c r="E2773">
        <v>3684.14</v>
      </c>
    </row>
    <row r="2774" spans="1:5" x14ac:dyDescent="0.25">
      <c r="A2774" s="1">
        <v>45506</v>
      </c>
      <c r="B2774">
        <v>4</v>
      </c>
      <c r="C2774" t="s">
        <v>8</v>
      </c>
      <c r="D2774">
        <v>234</v>
      </c>
      <c r="E2774">
        <v>3849.57</v>
      </c>
    </row>
    <row r="2775" spans="1:5" x14ac:dyDescent="0.25">
      <c r="A2775" s="1">
        <v>45507</v>
      </c>
      <c r="B2775">
        <v>4</v>
      </c>
      <c r="C2775" t="s">
        <v>8</v>
      </c>
      <c r="D2775">
        <v>292</v>
      </c>
      <c r="E2775">
        <v>4124.17</v>
      </c>
    </row>
    <row r="2776" spans="1:5" x14ac:dyDescent="0.25">
      <c r="A2776" s="1">
        <v>45508</v>
      </c>
      <c r="B2776">
        <v>4</v>
      </c>
      <c r="C2776" t="s">
        <v>8</v>
      </c>
      <c r="D2776">
        <v>269</v>
      </c>
      <c r="E2776">
        <v>4282.8</v>
      </c>
    </row>
    <row r="2777" spans="1:5" x14ac:dyDescent="0.25">
      <c r="A2777" s="1">
        <v>45509</v>
      </c>
      <c r="B2777">
        <v>4</v>
      </c>
      <c r="C2777" t="s">
        <v>8</v>
      </c>
      <c r="D2777">
        <v>268</v>
      </c>
      <c r="E2777">
        <v>4085.02</v>
      </c>
    </row>
    <row r="2778" spans="1:5" x14ac:dyDescent="0.25">
      <c r="A2778" s="1">
        <v>45510</v>
      </c>
      <c r="B2778">
        <v>4</v>
      </c>
      <c r="C2778" t="s">
        <v>8</v>
      </c>
      <c r="D2778">
        <v>214</v>
      </c>
      <c r="E2778">
        <v>3368.49</v>
      </c>
    </row>
    <row r="2779" spans="1:5" x14ac:dyDescent="0.25">
      <c r="A2779" s="1">
        <v>45511</v>
      </c>
      <c r="B2779">
        <v>4</v>
      </c>
      <c r="C2779" t="s">
        <v>8</v>
      </c>
      <c r="D2779">
        <v>208</v>
      </c>
      <c r="E2779">
        <v>3471.68</v>
      </c>
    </row>
    <row r="2780" spans="1:5" x14ac:dyDescent="0.25">
      <c r="A2780" s="1">
        <v>45512</v>
      </c>
      <c r="B2780">
        <v>4</v>
      </c>
      <c r="C2780" t="s">
        <v>8</v>
      </c>
      <c r="D2780">
        <v>231</v>
      </c>
      <c r="E2780">
        <v>3504.26</v>
      </c>
    </row>
    <row r="2781" spans="1:5" x14ac:dyDescent="0.25">
      <c r="A2781" s="1">
        <v>45513</v>
      </c>
      <c r="B2781">
        <v>4</v>
      </c>
      <c r="C2781" t="s">
        <v>8</v>
      </c>
      <c r="D2781">
        <v>217</v>
      </c>
      <c r="E2781">
        <v>3015.08</v>
      </c>
    </row>
    <row r="2782" spans="1:5" x14ac:dyDescent="0.25">
      <c r="A2782" s="1">
        <v>45514</v>
      </c>
      <c r="B2782">
        <v>4</v>
      </c>
      <c r="C2782" t="s">
        <v>8</v>
      </c>
      <c r="D2782">
        <v>258</v>
      </c>
      <c r="E2782">
        <v>3902.42</v>
      </c>
    </row>
    <row r="2783" spans="1:5" x14ac:dyDescent="0.25">
      <c r="A2783" s="1">
        <v>45515</v>
      </c>
      <c r="B2783">
        <v>4</v>
      </c>
      <c r="C2783" t="s">
        <v>8</v>
      </c>
      <c r="D2783">
        <v>261</v>
      </c>
      <c r="E2783">
        <v>4313.7700000000004</v>
      </c>
    </row>
    <row r="2784" spans="1:5" x14ac:dyDescent="0.25">
      <c r="A2784" s="1">
        <v>45516</v>
      </c>
      <c r="B2784">
        <v>4</v>
      </c>
      <c r="C2784" t="s">
        <v>8</v>
      </c>
      <c r="D2784">
        <v>262</v>
      </c>
      <c r="E2784">
        <v>4108.53</v>
      </c>
    </row>
    <row r="2785" spans="1:5" x14ac:dyDescent="0.25">
      <c r="A2785" s="1">
        <v>45517</v>
      </c>
      <c r="B2785">
        <v>4</v>
      </c>
      <c r="C2785" t="s">
        <v>8</v>
      </c>
      <c r="D2785">
        <v>197</v>
      </c>
      <c r="E2785">
        <v>3094.25</v>
      </c>
    </row>
    <row r="2786" spans="1:5" x14ac:dyDescent="0.25">
      <c r="A2786" s="1">
        <v>45518</v>
      </c>
      <c r="B2786">
        <v>4</v>
      </c>
      <c r="C2786" t="s">
        <v>8</v>
      </c>
      <c r="D2786">
        <v>209</v>
      </c>
      <c r="E2786">
        <v>3305.4</v>
      </c>
    </row>
    <row r="2787" spans="1:5" x14ac:dyDescent="0.25">
      <c r="A2787" s="1">
        <v>45519</v>
      </c>
      <c r="B2787">
        <v>4</v>
      </c>
      <c r="C2787" t="s">
        <v>8</v>
      </c>
      <c r="D2787">
        <v>241</v>
      </c>
      <c r="E2787">
        <v>3711</v>
      </c>
    </row>
    <row r="2788" spans="1:5" x14ac:dyDescent="0.25">
      <c r="A2788" s="1">
        <v>45520</v>
      </c>
      <c r="B2788">
        <v>4</v>
      </c>
      <c r="C2788" t="s">
        <v>8</v>
      </c>
      <c r="D2788">
        <v>243</v>
      </c>
      <c r="E2788">
        <v>3949.06</v>
      </c>
    </row>
    <row r="2789" spans="1:5" x14ac:dyDescent="0.25">
      <c r="A2789" s="1">
        <v>45521</v>
      </c>
      <c r="B2789">
        <v>4</v>
      </c>
      <c r="C2789" t="s">
        <v>8</v>
      </c>
      <c r="D2789">
        <v>221</v>
      </c>
      <c r="E2789">
        <v>3987.23</v>
      </c>
    </row>
    <row r="2790" spans="1:5" x14ac:dyDescent="0.25">
      <c r="A2790" s="1">
        <v>45522</v>
      </c>
      <c r="B2790">
        <v>4</v>
      </c>
      <c r="C2790" t="s">
        <v>8</v>
      </c>
      <c r="D2790">
        <v>252</v>
      </c>
      <c r="E2790">
        <v>3879.64</v>
      </c>
    </row>
    <row r="2791" spans="1:5" x14ac:dyDescent="0.25">
      <c r="A2791" s="1">
        <v>45523</v>
      </c>
      <c r="B2791">
        <v>4</v>
      </c>
      <c r="C2791" t="s">
        <v>8</v>
      </c>
      <c r="D2791">
        <v>217</v>
      </c>
      <c r="E2791">
        <v>3295.25</v>
      </c>
    </row>
    <row r="2792" spans="1:5" x14ac:dyDescent="0.25">
      <c r="A2792" s="1">
        <v>45524</v>
      </c>
      <c r="B2792">
        <v>4</v>
      </c>
      <c r="C2792" t="s">
        <v>8</v>
      </c>
      <c r="D2792">
        <v>245</v>
      </c>
      <c r="E2792">
        <v>3902.57</v>
      </c>
    </row>
    <row r="2793" spans="1:5" x14ac:dyDescent="0.25">
      <c r="A2793" s="1">
        <v>45525</v>
      </c>
      <c r="B2793">
        <v>4</v>
      </c>
      <c r="C2793" t="s">
        <v>8</v>
      </c>
      <c r="D2793">
        <v>228</v>
      </c>
      <c r="E2793">
        <v>3673.13</v>
      </c>
    </row>
    <row r="2794" spans="1:5" x14ac:dyDescent="0.25">
      <c r="A2794" s="1">
        <v>45526</v>
      </c>
      <c r="B2794">
        <v>4</v>
      </c>
      <c r="C2794" t="s">
        <v>8</v>
      </c>
      <c r="D2794">
        <v>241</v>
      </c>
      <c r="E2794">
        <v>3582.58</v>
      </c>
    </row>
    <row r="2795" spans="1:5" x14ac:dyDescent="0.25">
      <c r="A2795" s="1">
        <v>45527</v>
      </c>
      <c r="B2795">
        <v>4</v>
      </c>
      <c r="C2795" t="s">
        <v>8</v>
      </c>
      <c r="D2795">
        <v>235</v>
      </c>
      <c r="E2795">
        <v>3808.17</v>
      </c>
    </row>
    <row r="2796" spans="1:5" x14ac:dyDescent="0.25">
      <c r="A2796" s="1">
        <v>45528</v>
      </c>
      <c r="B2796">
        <v>4</v>
      </c>
      <c r="C2796" t="s">
        <v>8</v>
      </c>
      <c r="D2796">
        <v>269</v>
      </c>
      <c r="E2796">
        <v>4121.41</v>
      </c>
    </row>
    <row r="2797" spans="1:5" x14ac:dyDescent="0.25">
      <c r="A2797" s="1">
        <v>45529</v>
      </c>
      <c r="B2797">
        <v>4</v>
      </c>
      <c r="C2797" t="s">
        <v>8</v>
      </c>
      <c r="D2797">
        <v>263</v>
      </c>
      <c r="E2797">
        <v>3708.43</v>
      </c>
    </row>
    <row r="2798" spans="1:5" x14ac:dyDescent="0.25">
      <c r="A2798" s="1">
        <v>45530</v>
      </c>
      <c r="B2798">
        <v>4</v>
      </c>
      <c r="C2798" t="s">
        <v>8</v>
      </c>
      <c r="D2798">
        <v>271</v>
      </c>
      <c r="E2798">
        <v>3887.52</v>
      </c>
    </row>
    <row r="2799" spans="1:5" x14ac:dyDescent="0.25">
      <c r="A2799" s="1">
        <v>45531</v>
      </c>
      <c r="B2799">
        <v>4</v>
      </c>
      <c r="C2799" t="s">
        <v>8</v>
      </c>
      <c r="D2799">
        <v>231</v>
      </c>
      <c r="E2799">
        <v>3517.04</v>
      </c>
    </row>
    <row r="2800" spans="1:5" x14ac:dyDescent="0.25">
      <c r="A2800" s="1">
        <v>45532</v>
      </c>
      <c r="B2800">
        <v>4</v>
      </c>
      <c r="C2800" t="s">
        <v>8</v>
      </c>
      <c r="D2800">
        <v>221</v>
      </c>
      <c r="E2800">
        <v>3225.02</v>
      </c>
    </row>
    <row r="2801" spans="1:5" x14ac:dyDescent="0.25">
      <c r="A2801" s="1">
        <v>45533</v>
      </c>
      <c r="B2801">
        <v>4</v>
      </c>
      <c r="C2801" t="s">
        <v>8</v>
      </c>
      <c r="D2801">
        <v>231</v>
      </c>
      <c r="E2801">
        <v>3827.55</v>
      </c>
    </row>
    <row r="2802" spans="1:5" x14ac:dyDescent="0.25">
      <c r="A2802" s="1">
        <v>45534</v>
      </c>
      <c r="B2802">
        <v>4</v>
      </c>
      <c r="C2802" t="s">
        <v>8</v>
      </c>
      <c r="D2802">
        <v>259</v>
      </c>
      <c r="E2802">
        <v>4069.09</v>
      </c>
    </row>
    <row r="2803" spans="1:5" x14ac:dyDescent="0.25">
      <c r="A2803" s="1">
        <v>45535</v>
      </c>
      <c r="B2803">
        <v>4</v>
      </c>
      <c r="C2803" t="s">
        <v>8</v>
      </c>
      <c r="D2803">
        <v>249</v>
      </c>
      <c r="E2803">
        <v>3849.58</v>
      </c>
    </row>
    <row r="2804" spans="1:5" x14ac:dyDescent="0.25">
      <c r="A2804" s="1">
        <v>45536</v>
      </c>
      <c r="B2804">
        <v>4</v>
      </c>
      <c r="C2804" t="s">
        <v>8</v>
      </c>
      <c r="D2804">
        <v>270</v>
      </c>
      <c r="E2804">
        <v>4020.87</v>
      </c>
    </row>
    <row r="2805" spans="1:5" x14ac:dyDescent="0.25">
      <c r="A2805" s="1">
        <v>45537</v>
      </c>
      <c r="B2805">
        <v>4</v>
      </c>
      <c r="C2805" t="s">
        <v>8</v>
      </c>
      <c r="D2805">
        <v>213</v>
      </c>
      <c r="E2805">
        <v>3152.58</v>
      </c>
    </row>
    <row r="2806" spans="1:5" x14ac:dyDescent="0.25">
      <c r="A2806" s="1">
        <v>45538</v>
      </c>
      <c r="B2806">
        <v>4</v>
      </c>
      <c r="C2806" t="s">
        <v>8</v>
      </c>
      <c r="D2806">
        <v>219</v>
      </c>
      <c r="E2806">
        <v>3361.69</v>
      </c>
    </row>
    <row r="2807" spans="1:5" x14ac:dyDescent="0.25">
      <c r="A2807" s="1">
        <v>45539</v>
      </c>
      <c r="B2807">
        <v>4</v>
      </c>
      <c r="C2807" t="s">
        <v>8</v>
      </c>
      <c r="D2807">
        <v>232</v>
      </c>
      <c r="E2807">
        <v>3341.3</v>
      </c>
    </row>
    <row r="2808" spans="1:5" x14ac:dyDescent="0.25">
      <c r="A2808" s="1">
        <v>45540</v>
      </c>
      <c r="B2808">
        <v>4</v>
      </c>
      <c r="C2808" t="s">
        <v>8</v>
      </c>
      <c r="D2808">
        <v>203</v>
      </c>
      <c r="E2808">
        <v>3025.16</v>
      </c>
    </row>
    <row r="2809" spans="1:5" x14ac:dyDescent="0.25">
      <c r="A2809" s="1">
        <v>45541</v>
      </c>
      <c r="B2809">
        <v>4</v>
      </c>
      <c r="C2809" t="s">
        <v>8</v>
      </c>
      <c r="D2809">
        <v>278</v>
      </c>
      <c r="E2809">
        <v>4478.22</v>
      </c>
    </row>
    <row r="2810" spans="1:5" x14ac:dyDescent="0.25">
      <c r="A2810" s="1">
        <v>45542</v>
      </c>
      <c r="B2810">
        <v>4</v>
      </c>
      <c r="C2810" t="s">
        <v>8</v>
      </c>
      <c r="D2810">
        <v>262</v>
      </c>
      <c r="E2810">
        <v>3882.74</v>
      </c>
    </row>
    <row r="2811" spans="1:5" x14ac:dyDescent="0.25">
      <c r="A2811" s="1">
        <v>45543</v>
      </c>
      <c r="B2811">
        <v>4</v>
      </c>
      <c r="C2811" t="s">
        <v>8</v>
      </c>
      <c r="D2811">
        <v>242</v>
      </c>
      <c r="E2811">
        <v>3738.75</v>
      </c>
    </row>
    <row r="2812" spans="1:5" x14ac:dyDescent="0.25">
      <c r="A2812" s="1">
        <v>45544</v>
      </c>
      <c r="B2812">
        <v>4</v>
      </c>
      <c r="C2812" t="s">
        <v>8</v>
      </c>
      <c r="D2812">
        <v>246</v>
      </c>
      <c r="E2812">
        <v>3837.94</v>
      </c>
    </row>
    <row r="2813" spans="1:5" x14ac:dyDescent="0.25">
      <c r="A2813" s="1">
        <v>45545</v>
      </c>
      <c r="B2813">
        <v>4</v>
      </c>
      <c r="C2813" t="s">
        <v>8</v>
      </c>
      <c r="D2813">
        <v>234</v>
      </c>
      <c r="E2813">
        <v>3464.3</v>
      </c>
    </row>
    <row r="2814" spans="1:5" x14ac:dyDescent="0.25">
      <c r="A2814" s="1">
        <v>45546</v>
      </c>
      <c r="B2814">
        <v>4</v>
      </c>
      <c r="C2814" t="s">
        <v>8</v>
      </c>
      <c r="D2814">
        <v>180</v>
      </c>
      <c r="E2814">
        <v>2969.03</v>
      </c>
    </row>
    <row r="2815" spans="1:5" x14ac:dyDescent="0.25">
      <c r="A2815" s="1">
        <v>45547</v>
      </c>
      <c r="B2815">
        <v>4</v>
      </c>
      <c r="C2815" t="s">
        <v>8</v>
      </c>
      <c r="D2815">
        <v>250</v>
      </c>
      <c r="E2815">
        <v>3718.41</v>
      </c>
    </row>
    <row r="2816" spans="1:5" x14ac:dyDescent="0.25">
      <c r="A2816" s="1">
        <v>45548</v>
      </c>
      <c r="B2816">
        <v>4</v>
      </c>
      <c r="C2816" t="s">
        <v>8</v>
      </c>
      <c r="D2816">
        <v>217</v>
      </c>
      <c r="E2816">
        <v>3534.9</v>
      </c>
    </row>
    <row r="2817" spans="1:5" x14ac:dyDescent="0.25">
      <c r="A2817" s="1">
        <v>45549</v>
      </c>
      <c r="B2817">
        <v>4</v>
      </c>
      <c r="C2817" t="s">
        <v>8</v>
      </c>
      <c r="D2817">
        <v>276</v>
      </c>
      <c r="E2817">
        <v>4239.9399999999996</v>
      </c>
    </row>
    <row r="2818" spans="1:5" x14ac:dyDescent="0.25">
      <c r="A2818" s="1">
        <v>45550</v>
      </c>
      <c r="B2818">
        <v>4</v>
      </c>
      <c r="C2818" t="s">
        <v>8</v>
      </c>
      <c r="D2818">
        <v>278</v>
      </c>
      <c r="E2818">
        <v>4326.9799999999996</v>
      </c>
    </row>
    <row r="2819" spans="1:5" x14ac:dyDescent="0.25">
      <c r="A2819" s="1">
        <v>45551</v>
      </c>
      <c r="B2819">
        <v>4</v>
      </c>
      <c r="C2819" t="s">
        <v>8</v>
      </c>
      <c r="D2819">
        <v>231</v>
      </c>
      <c r="E2819">
        <v>3426.64</v>
      </c>
    </row>
    <row r="2820" spans="1:5" x14ac:dyDescent="0.25">
      <c r="A2820" s="1">
        <v>45552</v>
      </c>
      <c r="B2820">
        <v>4</v>
      </c>
      <c r="C2820" t="s">
        <v>8</v>
      </c>
      <c r="D2820">
        <v>232</v>
      </c>
      <c r="E2820">
        <v>3279.61</v>
      </c>
    </row>
    <row r="2821" spans="1:5" x14ac:dyDescent="0.25">
      <c r="A2821" s="1">
        <v>45553</v>
      </c>
      <c r="B2821">
        <v>4</v>
      </c>
      <c r="C2821" t="s">
        <v>8</v>
      </c>
      <c r="D2821">
        <v>214</v>
      </c>
      <c r="E2821">
        <v>3238.37</v>
      </c>
    </row>
    <row r="2822" spans="1:5" x14ac:dyDescent="0.25">
      <c r="A2822" s="1">
        <v>45554</v>
      </c>
      <c r="B2822">
        <v>4</v>
      </c>
      <c r="C2822" t="s">
        <v>8</v>
      </c>
      <c r="D2822">
        <v>232</v>
      </c>
      <c r="E2822">
        <v>3759.66</v>
      </c>
    </row>
    <row r="2823" spans="1:5" x14ac:dyDescent="0.25">
      <c r="A2823" s="1">
        <v>45555</v>
      </c>
      <c r="B2823">
        <v>4</v>
      </c>
      <c r="C2823" t="s">
        <v>8</v>
      </c>
      <c r="D2823">
        <v>193</v>
      </c>
      <c r="E2823">
        <v>3075.93</v>
      </c>
    </row>
    <row r="2824" spans="1:5" x14ac:dyDescent="0.25">
      <c r="A2824" s="1">
        <v>45556</v>
      </c>
      <c r="B2824">
        <v>4</v>
      </c>
      <c r="C2824" t="s">
        <v>8</v>
      </c>
      <c r="D2824">
        <v>220</v>
      </c>
      <c r="E2824">
        <v>3268.12</v>
      </c>
    </row>
    <row r="2825" spans="1:5" x14ac:dyDescent="0.25">
      <c r="A2825" s="1">
        <v>45557</v>
      </c>
      <c r="B2825">
        <v>4</v>
      </c>
      <c r="C2825" t="s">
        <v>8</v>
      </c>
      <c r="D2825">
        <v>247</v>
      </c>
      <c r="E2825">
        <v>3952.16</v>
      </c>
    </row>
    <row r="2826" spans="1:5" x14ac:dyDescent="0.25">
      <c r="A2826" s="1">
        <v>45558</v>
      </c>
      <c r="B2826">
        <v>4</v>
      </c>
      <c r="C2826" t="s">
        <v>8</v>
      </c>
      <c r="D2826">
        <v>193</v>
      </c>
      <c r="E2826">
        <v>2907.8</v>
      </c>
    </row>
    <row r="2827" spans="1:5" x14ac:dyDescent="0.25">
      <c r="A2827" s="1">
        <v>45559</v>
      </c>
      <c r="B2827">
        <v>4</v>
      </c>
      <c r="C2827" t="s">
        <v>8</v>
      </c>
      <c r="D2827">
        <v>223</v>
      </c>
      <c r="E2827">
        <v>3808.73</v>
      </c>
    </row>
    <row r="2828" spans="1:5" x14ac:dyDescent="0.25">
      <c r="A2828" s="1">
        <v>45560</v>
      </c>
      <c r="B2828">
        <v>4</v>
      </c>
      <c r="C2828" t="s">
        <v>8</v>
      </c>
      <c r="D2828">
        <v>222</v>
      </c>
      <c r="E2828">
        <v>3200.93</v>
      </c>
    </row>
    <row r="2829" spans="1:5" x14ac:dyDescent="0.25">
      <c r="A2829" s="1">
        <v>45561</v>
      </c>
      <c r="B2829">
        <v>4</v>
      </c>
      <c r="C2829" t="s">
        <v>8</v>
      </c>
      <c r="D2829">
        <v>228</v>
      </c>
      <c r="E2829">
        <v>3246.07</v>
      </c>
    </row>
    <row r="2830" spans="1:5" x14ac:dyDescent="0.25">
      <c r="A2830" s="1">
        <v>45562</v>
      </c>
      <c r="B2830">
        <v>4</v>
      </c>
      <c r="C2830" t="s">
        <v>8</v>
      </c>
      <c r="D2830">
        <v>215</v>
      </c>
      <c r="E2830">
        <v>3326.94</v>
      </c>
    </row>
    <row r="2831" spans="1:5" x14ac:dyDescent="0.25">
      <c r="A2831" s="1">
        <v>45563</v>
      </c>
      <c r="B2831">
        <v>4</v>
      </c>
      <c r="C2831" t="s">
        <v>8</v>
      </c>
      <c r="D2831">
        <v>282</v>
      </c>
      <c r="E2831">
        <v>4265.09</v>
      </c>
    </row>
    <row r="2832" spans="1:5" x14ac:dyDescent="0.25">
      <c r="A2832" s="1">
        <v>45564</v>
      </c>
      <c r="B2832">
        <v>4</v>
      </c>
      <c r="C2832" t="s">
        <v>8</v>
      </c>
      <c r="D2832">
        <v>249</v>
      </c>
      <c r="E2832">
        <v>3796.5</v>
      </c>
    </row>
    <row r="2833" spans="1:5" x14ac:dyDescent="0.25">
      <c r="A2833" s="1">
        <v>45565</v>
      </c>
      <c r="B2833">
        <v>4</v>
      </c>
      <c r="C2833" t="s">
        <v>8</v>
      </c>
      <c r="D2833">
        <v>246</v>
      </c>
      <c r="E2833">
        <v>3745.83</v>
      </c>
    </row>
    <row r="2834" spans="1:5" x14ac:dyDescent="0.25">
      <c r="A2834" s="1">
        <v>45566</v>
      </c>
      <c r="B2834">
        <v>4</v>
      </c>
      <c r="C2834" t="s">
        <v>8</v>
      </c>
      <c r="D2834">
        <v>248</v>
      </c>
      <c r="E2834">
        <v>3992.59</v>
      </c>
    </row>
    <row r="2835" spans="1:5" x14ac:dyDescent="0.25">
      <c r="A2835" s="1">
        <v>45567</v>
      </c>
      <c r="B2835">
        <v>4</v>
      </c>
      <c r="C2835" t="s">
        <v>8</v>
      </c>
      <c r="D2835">
        <v>202</v>
      </c>
      <c r="E2835">
        <v>3327.75</v>
      </c>
    </row>
    <row r="2836" spans="1:5" x14ac:dyDescent="0.25">
      <c r="A2836" s="1">
        <v>45568</v>
      </c>
      <c r="B2836">
        <v>4</v>
      </c>
      <c r="C2836" t="s">
        <v>8</v>
      </c>
      <c r="D2836">
        <v>262</v>
      </c>
      <c r="E2836">
        <v>4045.15</v>
      </c>
    </row>
    <row r="2837" spans="1:5" x14ac:dyDescent="0.25">
      <c r="A2837" s="1">
        <v>45569</v>
      </c>
      <c r="B2837">
        <v>4</v>
      </c>
      <c r="C2837" t="s">
        <v>8</v>
      </c>
      <c r="D2837">
        <v>212</v>
      </c>
      <c r="E2837">
        <v>3199.39</v>
      </c>
    </row>
    <row r="2838" spans="1:5" x14ac:dyDescent="0.25">
      <c r="A2838" s="1">
        <v>45570</v>
      </c>
      <c r="B2838">
        <v>4</v>
      </c>
      <c r="C2838" t="s">
        <v>8</v>
      </c>
      <c r="D2838">
        <v>269</v>
      </c>
      <c r="E2838">
        <v>4017.98</v>
      </c>
    </row>
    <row r="2839" spans="1:5" x14ac:dyDescent="0.25">
      <c r="A2839" s="1">
        <v>45571</v>
      </c>
      <c r="B2839">
        <v>4</v>
      </c>
      <c r="C2839" t="s">
        <v>8</v>
      </c>
      <c r="D2839">
        <v>267</v>
      </c>
      <c r="E2839">
        <v>3996.86</v>
      </c>
    </row>
    <row r="2840" spans="1:5" x14ac:dyDescent="0.25">
      <c r="A2840" s="1">
        <v>45572</v>
      </c>
      <c r="B2840">
        <v>4</v>
      </c>
      <c r="C2840" t="s">
        <v>8</v>
      </c>
      <c r="D2840">
        <v>214</v>
      </c>
      <c r="E2840">
        <v>3546.35</v>
      </c>
    </row>
    <row r="2841" spans="1:5" x14ac:dyDescent="0.25">
      <c r="A2841" s="1">
        <v>45573</v>
      </c>
      <c r="B2841">
        <v>4</v>
      </c>
      <c r="C2841" t="s">
        <v>8</v>
      </c>
      <c r="D2841">
        <v>204</v>
      </c>
      <c r="E2841">
        <v>3302.48</v>
      </c>
    </row>
    <row r="2842" spans="1:5" x14ac:dyDescent="0.25">
      <c r="A2842" s="1">
        <v>45574</v>
      </c>
      <c r="B2842">
        <v>4</v>
      </c>
      <c r="C2842" t="s">
        <v>8</v>
      </c>
      <c r="D2842">
        <v>213</v>
      </c>
      <c r="E2842">
        <v>3238.89</v>
      </c>
    </row>
    <row r="2843" spans="1:5" x14ac:dyDescent="0.25">
      <c r="A2843" s="1">
        <v>45575</v>
      </c>
      <c r="B2843">
        <v>4</v>
      </c>
      <c r="C2843" t="s">
        <v>8</v>
      </c>
      <c r="D2843">
        <v>238</v>
      </c>
      <c r="E2843">
        <v>3819.84</v>
      </c>
    </row>
    <row r="2844" spans="1:5" x14ac:dyDescent="0.25">
      <c r="A2844" s="1">
        <v>45576</v>
      </c>
      <c r="B2844">
        <v>4</v>
      </c>
      <c r="C2844" t="s">
        <v>8</v>
      </c>
      <c r="D2844">
        <v>193</v>
      </c>
      <c r="E2844">
        <v>2851.83</v>
      </c>
    </row>
    <row r="2845" spans="1:5" x14ac:dyDescent="0.25">
      <c r="A2845" s="1">
        <v>45577</v>
      </c>
      <c r="B2845">
        <v>4</v>
      </c>
      <c r="C2845" t="s">
        <v>8</v>
      </c>
      <c r="D2845">
        <v>229</v>
      </c>
      <c r="E2845">
        <v>3541.23</v>
      </c>
    </row>
    <row r="2846" spans="1:5" x14ac:dyDescent="0.25">
      <c r="A2846" s="1">
        <v>45578</v>
      </c>
      <c r="B2846">
        <v>4</v>
      </c>
      <c r="C2846" t="s">
        <v>8</v>
      </c>
      <c r="D2846">
        <v>226</v>
      </c>
      <c r="E2846">
        <v>3490.94</v>
      </c>
    </row>
    <row r="2847" spans="1:5" x14ac:dyDescent="0.25">
      <c r="A2847" s="1">
        <v>45579</v>
      </c>
      <c r="B2847">
        <v>4</v>
      </c>
      <c r="C2847" t="s">
        <v>8</v>
      </c>
      <c r="D2847">
        <v>227</v>
      </c>
      <c r="E2847">
        <v>3594.81</v>
      </c>
    </row>
    <row r="2848" spans="1:5" x14ac:dyDescent="0.25">
      <c r="A2848" s="1">
        <v>45580</v>
      </c>
      <c r="B2848">
        <v>4</v>
      </c>
      <c r="C2848" t="s">
        <v>8</v>
      </c>
      <c r="D2848">
        <v>241</v>
      </c>
      <c r="E2848">
        <v>4091.29</v>
      </c>
    </row>
    <row r="2849" spans="1:5" x14ac:dyDescent="0.25">
      <c r="A2849" s="1">
        <v>45581</v>
      </c>
      <c r="B2849">
        <v>4</v>
      </c>
      <c r="C2849" t="s">
        <v>8</v>
      </c>
      <c r="D2849">
        <v>264</v>
      </c>
      <c r="E2849">
        <v>4280.8999999999996</v>
      </c>
    </row>
    <row r="2850" spans="1:5" x14ac:dyDescent="0.25">
      <c r="A2850" s="1">
        <v>45582</v>
      </c>
      <c r="B2850">
        <v>4</v>
      </c>
      <c r="C2850" t="s">
        <v>8</v>
      </c>
      <c r="D2850">
        <v>234</v>
      </c>
      <c r="E2850">
        <v>3683.26</v>
      </c>
    </row>
    <row r="2851" spans="1:5" x14ac:dyDescent="0.25">
      <c r="A2851" s="1">
        <v>45583</v>
      </c>
      <c r="B2851">
        <v>4</v>
      </c>
      <c r="C2851" t="s">
        <v>8</v>
      </c>
      <c r="D2851">
        <v>233</v>
      </c>
      <c r="E2851">
        <v>3837.42</v>
      </c>
    </row>
    <row r="2852" spans="1:5" x14ac:dyDescent="0.25">
      <c r="A2852" s="1">
        <v>45584</v>
      </c>
      <c r="B2852">
        <v>4</v>
      </c>
      <c r="C2852" t="s">
        <v>8</v>
      </c>
      <c r="D2852">
        <v>244</v>
      </c>
      <c r="E2852">
        <v>3868.96</v>
      </c>
    </row>
    <row r="2853" spans="1:5" x14ac:dyDescent="0.25">
      <c r="A2853" s="1">
        <v>45585</v>
      </c>
      <c r="B2853">
        <v>4</v>
      </c>
      <c r="C2853" t="s">
        <v>8</v>
      </c>
      <c r="D2853">
        <v>256</v>
      </c>
      <c r="E2853">
        <v>3761.86</v>
      </c>
    </row>
    <row r="2854" spans="1:5" x14ac:dyDescent="0.25">
      <c r="A2854" s="1">
        <v>45586</v>
      </c>
      <c r="B2854">
        <v>4</v>
      </c>
      <c r="C2854" t="s">
        <v>8</v>
      </c>
      <c r="D2854">
        <v>235</v>
      </c>
      <c r="E2854">
        <v>3484.11</v>
      </c>
    </row>
    <row r="2855" spans="1:5" x14ac:dyDescent="0.25">
      <c r="A2855" s="1">
        <v>45587</v>
      </c>
      <c r="B2855">
        <v>4</v>
      </c>
      <c r="C2855" t="s">
        <v>8</v>
      </c>
      <c r="D2855">
        <v>215</v>
      </c>
      <c r="E2855">
        <v>3430.67</v>
      </c>
    </row>
    <row r="2856" spans="1:5" x14ac:dyDescent="0.25">
      <c r="A2856" s="1">
        <v>45588</v>
      </c>
      <c r="B2856">
        <v>4</v>
      </c>
      <c r="C2856" t="s">
        <v>8</v>
      </c>
      <c r="D2856">
        <v>224</v>
      </c>
      <c r="E2856">
        <v>3726.19</v>
      </c>
    </row>
    <row r="2857" spans="1:5" x14ac:dyDescent="0.25">
      <c r="A2857" s="1">
        <v>45589</v>
      </c>
      <c r="B2857">
        <v>4</v>
      </c>
      <c r="C2857" t="s">
        <v>8</v>
      </c>
      <c r="D2857">
        <v>246</v>
      </c>
      <c r="E2857">
        <v>3934.19</v>
      </c>
    </row>
    <row r="2858" spans="1:5" x14ac:dyDescent="0.25">
      <c r="A2858" s="1">
        <v>45590</v>
      </c>
      <c r="B2858">
        <v>4</v>
      </c>
      <c r="C2858" t="s">
        <v>8</v>
      </c>
      <c r="D2858">
        <v>254</v>
      </c>
      <c r="E2858">
        <v>4014.75</v>
      </c>
    </row>
    <row r="2859" spans="1:5" x14ac:dyDescent="0.25">
      <c r="A2859" s="1">
        <v>45591</v>
      </c>
      <c r="B2859">
        <v>4</v>
      </c>
      <c r="C2859" t="s">
        <v>8</v>
      </c>
      <c r="D2859">
        <v>248</v>
      </c>
      <c r="E2859">
        <v>4342.1899999999996</v>
      </c>
    </row>
    <row r="2860" spans="1:5" x14ac:dyDescent="0.25">
      <c r="A2860" s="1">
        <v>45592</v>
      </c>
      <c r="B2860">
        <v>4</v>
      </c>
      <c r="C2860" t="s">
        <v>8</v>
      </c>
      <c r="D2860">
        <v>250</v>
      </c>
      <c r="E2860">
        <v>3625.22</v>
      </c>
    </row>
    <row r="2861" spans="1:5" x14ac:dyDescent="0.25">
      <c r="A2861" s="1">
        <v>45593</v>
      </c>
      <c r="B2861">
        <v>4</v>
      </c>
      <c r="C2861" t="s">
        <v>8</v>
      </c>
      <c r="D2861">
        <v>205</v>
      </c>
      <c r="E2861">
        <v>3119.47</v>
      </c>
    </row>
    <row r="2862" spans="1:5" x14ac:dyDescent="0.25">
      <c r="A2862" s="1">
        <v>45594</v>
      </c>
      <c r="B2862">
        <v>4</v>
      </c>
      <c r="C2862" t="s">
        <v>8</v>
      </c>
      <c r="D2862">
        <v>268</v>
      </c>
      <c r="E2862">
        <v>3897.11</v>
      </c>
    </row>
    <row r="2863" spans="1:5" x14ac:dyDescent="0.25">
      <c r="A2863" s="1">
        <v>45595</v>
      </c>
      <c r="B2863">
        <v>4</v>
      </c>
      <c r="C2863" t="s">
        <v>8</v>
      </c>
      <c r="D2863">
        <v>179</v>
      </c>
      <c r="E2863">
        <v>2911.85</v>
      </c>
    </row>
    <row r="2864" spans="1:5" x14ac:dyDescent="0.25">
      <c r="A2864" s="1">
        <v>45596</v>
      </c>
      <c r="B2864">
        <v>4</v>
      </c>
      <c r="C2864" t="s">
        <v>8</v>
      </c>
      <c r="D2864">
        <v>237</v>
      </c>
      <c r="E2864">
        <v>3883.98</v>
      </c>
    </row>
    <row r="2865" spans="1:5" x14ac:dyDescent="0.25">
      <c r="A2865" s="1">
        <v>45597</v>
      </c>
      <c r="B2865">
        <v>4</v>
      </c>
      <c r="C2865" t="s">
        <v>8</v>
      </c>
      <c r="D2865">
        <v>178</v>
      </c>
      <c r="E2865">
        <v>2925.46</v>
      </c>
    </row>
    <row r="2866" spans="1:5" x14ac:dyDescent="0.25">
      <c r="A2866" s="1">
        <v>45598</v>
      </c>
      <c r="B2866">
        <v>4</v>
      </c>
      <c r="C2866" t="s">
        <v>8</v>
      </c>
      <c r="D2866">
        <v>243</v>
      </c>
      <c r="E2866">
        <v>3886.57</v>
      </c>
    </row>
    <row r="2867" spans="1:5" x14ac:dyDescent="0.25">
      <c r="A2867" s="1">
        <v>45599</v>
      </c>
      <c r="B2867">
        <v>4</v>
      </c>
      <c r="C2867" t="s">
        <v>8</v>
      </c>
      <c r="D2867">
        <v>234</v>
      </c>
      <c r="E2867">
        <v>3508.02</v>
      </c>
    </row>
    <row r="2868" spans="1:5" x14ac:dyDescent="0.25">
      <c r="A2868" s="1">
        <v>45600</v>
      </c>
      <c r="B2868">
        <v>4</v>
      </c>
      <c r="C2868" t="s">
        <v>8</v>
      </c>
      <c r="D2868">
        <v>223</v>
      </c>
      <c r="E2868">
        <v>3627.73</v>
      </c>
    </row>
    <row r="2869" spans="1:5" x14ac:dyDescent="0.25">
      <c r="A2869" s="1">
        <v>45601</v>
      </c>
      <c r="B2869">
        <v>4</v>
      </c>
      <c r="C2869" t="s">
        <v>8</v>
      </c>
      <c r="D2869">
        <v>220</v>
      </c>
      <c r="E2869">
        <v>3288.58</v>
      </c>
    </row>
    <row r="2870" spans="1:5" x14ac:dyDescent="0.25">
      <c r="A2870" s="1">
        <v>45602</v>
      </c>
      <c r="B2870">
        <v>4</v>
      </c>
      <c r="C2870" t="s">
        <v>8</v>
      </c>
      <c r="D2870">
        <v>228</v>
      </c>
      <c r="E2870">
        <v>3351.66</v>
      </c>
    </row>
    <row r="2871" spans="1:5" x14ac:dyDescent="0.25">
      <c r="A2871" s="1">
        <v>45603</v>
      </c>
      <c r="B2871">
        <v>4</v>
      </c>
      <c r="C2871" t="s">
        <v>8</v>
      </c>
      <c r="D2871">
        <v>209</v>
      </c>
      <c r="E2871">
        <v>3113.24</v>
      </c>
    </row>
    <row r="2872" spans="1:5" x14ac:dyDescent="0.25">
      <c r="A2872" s="1">
        <v>45604</v>
      </c>
      <c r="B2872">
        <v>4</v>
      </c>
      <c r="C2872" t="s">
        <v>8</v>
      </c>
      <c r="D2872">
        <v>172</v>
      </c>
      <c r="E2872">
        <v>2766.72</v>
      </c>
    </row>
    <row r="2873" spans="1:5" x14ac:dyDescent="0.25">
      <c r="A2873" s="1">
        <v>45605</v>
      </c>
      <c r="B2873">
        <v>4</v>
      </c>
      <c r="C2873" t="s">
        <v>8</v>
      </c>
      <c r="D2873">
        <v>262</v>
      </c>
      <c r="E2873">
        <v>4182.63</v>
      </c>
    </row>
    <row r="2874" spans="1:5" x14ac:dyDescent="0.25">
      <c r="A2874" s="1">
        <v>45606</v>
      </c>
      <c r="B2874">
        <v>4</v>
      </c>
      <c r="C2874" t="s">
        <v>8</v>
      </c>
      <c r="D2874">
        <v>226</v>
      </c>
      <c r="E2874">
        <v>3538.14</v>
      </c>
    </row>
    <row r="2875" spans="1:5" x14ac:dyDescent="0.25">
      <c r="A2875" s="1">
        <v>45607</v>
      </c>
      <c r="B2875">
        <v>4</v>
      </c>
      <c r="C2875" t="s">
        <v>8</v>
      </c>
      <c r="D2875">
        <v>225</v>
      </c>
      <c r="E2875">
        <v>3815.35</v>
      </c>
    </row>
    <row r="2876" spans="1:5" x14ac:dyDescent="0.25">
      <c r="A2876" s="1">
        <v>45608</v>
      </c>
      <c r="B2876">
        <v>4</v>
      </c>
      <c r="C2876" t="s">
        <v>8</v>
      </c>
      <c r="D2876">
        <v>230</v>
      </c>
      <c r="E2876">
        <v>3527.8</v>
      </c>
    </row>
    <row r="2877" spans="1:5" x14ac:dyDescent="0.25">
      <c r="A2877" s="1">
        <v>45609</v>
      </c>
      <c r="B2877">
        <v>4</v>
      </c>
      <c r="C2877" t="s">
        <v>8</v>
      </c>
      <c r="D2877">
        <v>207</v>
      </c>
      <c r="E2877">
        <v>3519.92</v>
      </c>
    </row>
    <row r="2878" spans="1:5" x14ac:dyDescent="0.25">
      <c r="A2878" s="1">
        <v>45610</v>
      </c>
      <c r="B2878">
        <v>4</v>
      </c>
      <c r="C2878" t="s">
        <v>8</v>
      </c>
      <c r="D2878">
        <v>216</v>
      </c>
      <c r="E2878">
        <v>3298.72</v>
      </c>
    </row>
    <row r="2879" spans="1:5" x14ac:dyDescent="0.25">
      <c r="A2879" s="1">
        <v>45611</v>
      </c>
      <c r="B2879">
        <v>4</v>
      </c>
      <c r="C2879" t="s">
        <v>8</v>
      </c>
      <c r="D2879">
        <v>200</v>
      </c>
      <c r="E2879">
        <v>2733.75</v>
      </c>
    </row>
    <row r="2880" spans="1:5" x14ac:dyDescent="0.25">
      <c r="A2880" s="1">
        <v>45612</v>
      </c>
      <c r="B2880">
        <v>4</v>
      </c>
      <c r="C2880" t="s">
        <v>8</v>
      </c>
      <c r="D2880">
        <v>256</v>
      </c>
      <c r="E2880">
        <v>3753.53</v>
      </c>
    </row>
    <row r="2881" spans="1:5" x14ac:dyDescent="0.25">
      <c r="A2881" s="1">
        <v>45613</v>
      </c>
      <c r="B2881">
        <v>4</v>
      </c>
      <c r="C2881" t="s">
        <v>8</v>
      </c>
      <c r="D2881">
        <v>235</v>
      </c>
      <c r="E2881">
        <v>3515.25</v>
      </c>
    </row>
    <row r="2882" spans="1:5" x14ac:dyDescent="0.25">
      <c r="A2882" s="1">
        <v>45614</v>
      </c>
      <c r="B2882">
        <v>4</v>
      </c>
      <c r="C2882" t="s">
        <v>8</v>
      </c>
      <c r="D2882">
        <v>221</v>
      </c>
      <c r="E2882">
        <v>3221.39</v>
      </c>
    </row>
    <row r="2883" spans="1:5" x14ac:dyDescent="0.25">
      <c r="A2883" s="1">
        <v>45615</v>
      </c>
      <c r="B2883">
        <v>4</v>
      </c>
      <c r="C2883" t="s">
        <v>8</v>
      </c>
      <c r="D2883">
        <v>227</v>
      </c>
      <c r="E2883">
        <v>3526.62</v>
      </c>
    </row>
    <row r="2884" spans="1:5" x14ac:dyDescent="0.25">
      <c r="A2884" s="1">
        <v>45616</v>
      </c>
      <c r="B2884">
        <v>4</v>
      </c>
      <c r="C2884" t="s">
        <v>8</v>
      </c>
      <c r="D2884">
        <v>233</v>
      </c>
      <c r="E2884">
        <v>3734.02</v>
      </c>
    </row>
    <row r="2885" spans="1:5" x14ac:dyDescent="0.25">
      <c r="A2885" s="1">
        <v>45617</v>
      </c>
      <c r="B2885">
        <v>4</v>
      </c>
      <c r="C2885" t="s">
        <v>8</v>
      </c>
      <c r="D2885">
        <v>198</v>
      </c>
      <c r="E2885">
        <v>3155.35</v>
      </c>
    </row>
    <row r="2886" spans="1:5" x14ac:dyDescent="0.25">
      <c r="A2886" s="1">
        <v>45618</v>
      </c>
      <c r="B2886">
        <v>4</v>
      </c>
      <c r="C2886" t="s">
        <v>8</v>
      </c>
      <c r="D2886">
        <v>174</v>
      </c>
      <c r="E2886">
        <v>2676.17</v>
      </c>
    </row>
    <row r="2887" spans="1:5" x14ac:dyDescent="0.25">
      <c r="A2887" s="1">
        <v>45619</v>
      </c>
      <c r="B2887">
        <v>4</v>
      </c>
      <c r="C2887" t="s">
        <v>8</v>
      </c>
      <c r="D2887">
        <v>242</v>
      </c>
      <c r="E2887">
        <v>4151.97</v>
      </c>
    </row>
    <row r="2888" spans="1:5" x14ac:dyDescent="0.25">
      <c r="A2888" s="1">
        <v>45620</v>
      </c>
      <c r="B2888">
        <v>4</v>
      </c>
      <c r="C2888" t="s">
        <v>8</v>
      </c>
      <c r="D2888">
        <v>250</v>
      </c>
      <c r="E2888">
        <v>4110.51</v>
      </c>
    </row>
    <row r="2889" spans="1:5" x14ac:dyDescent="0.25">
      <c r="A2889" s="1">
        <v>45621</v>
      </c>
      <c r="B2889">
        <v>4</v>
      </c>
      <c r="C2889" t="s">
        <v>8</v>
      </c>
      <c r="D2889">
        <v>190</v>
      </c>
      <c r="E2889">
        <v>2757.07</v>
      </c>
    </row>
    <row r="2890" spans="1:5" x14ac:dyDescent="0.25">
      <c r="A2890" s="1">
        <v>45622</v>
      </c>
      <c r="B2890">
        <v>4</v>
      </c>
      <c r="C2890" t="s">
        <v>8</v>
      </c>
      <c r="D2890">
        <v>223</v>
      </c>
      <c r="E2890">
        <v>3549.07</v>
      </c>
    </row>
    <row r="2891" spans="1:5" x14ac:dyDescent="0.25">
      <c r="A2891" s="1">
        <v>45623</v>
      </c>
      <c r="B2891">
        <v>4</v>
      </c>
      <c r="C2891" t="s">
        <v>8</v>
      </c>
      <c r="D2891">
        <v>243</v>
      </c>
      <c r="E2891">
        <v>4139.92</v>
      </c>
    </row>
    <row r="2892" spans="1:5" x14ac:dyDescent="0.25">
      <c r="A2892" s="1">
        <v>45624</v>
      </c>
      <c r="B2892">
        <v>4</v>
      </c>
      <c r="C2892" t="s">
        <v>8</v>
      </c>
      <c r="D2892">
        <v>186</v>
      </c>
      <c r="E2892">
        <v>2949.49</v>
      </c>
    </row>
    <row r="2893" spans="1:5" x14ac:dyDescent="0.25">
      <c r="A2893" s="1">
        <v>45625</v>
      </c>
      <c r="B2893">
        <v>4</v>
      </c>
      <c r="C2893" t="s">
        <v>8</v>
      </c>
      <c r="D2893">
        <v>181</v>
      </c>
      <c r="E2893">
        <v>3029.73</v>
      </c>
    </row>
    <row r="2894" spans="1:5" x14ac:dyDescent="0.25">
      <c r="A2894" s="1">
        <v>45626</v>
      </c>
      <c r="B2894">
        <v>4</v>
      </c>
      <c r="C2894" t="s">
        <v>8</v>
      </c>
      <c r="D2894">
        <v>251</v>
      </c>
      <c r="E2894">
        <v>3912.49</v>
      </c>
    </row>
    <row r="2895" spans="1:5" x14ac:dyDescent="0.25">
      <c r="A2895" s="1">
        <v>45627</v>
      </c>
      <c r="B2895">
        <v>4</v>
      </c>
      <c r="C2895" t="s">
        <v>8</v>
      </c>
      <c r="D2895">
        <v>235</v>
      </c>
      <c r="E2895">
        <v>3723.93</v>
      </c>
    </row>
    <row r="2896" spans="1:5" x14ac:dyDescent="0.25">
      <c r="A2896" s="1">
        <v>45628</v>
      </c>
      <c r="B2896">
        <v>4</v>
      </c>
      <c r="C2896" t="s">
        <v>8</v>
      </c>
      <c r="D2896">
        <v>235</v>
      </c>
      <c r="E2896">
        <v>3835.02</v>
      </c>
    </row>
    <row r="2897" spans="1:5" x14ac:dyDescent="0.25">
      <c r="A2897" s="1">
        <v>45629</v>
      </c>
      <c r="B2897">
        <v>4</v>
      </c>
      <c r="C2897" t="s">
        <v>8</v>
      </c>
      <c r="D2897">
        <v>200</v>
      </c>
      <c r="E2897">
        <v>2903.98</v>
      </c>
    </row>
    <row r="2898" spans="1:5" x14ac:dyDescent="0.25">
      <c r="A2898" s="1">
        <v>45630</v>
      </c>
      <c r="B2898">
        <v>4</v>
      </c>
      <c r="C2898" t="s">
        <v>8</v>
      </c>
      <c r="D2898">
        <v>191</v>
      </c>
      <c r="E2898">
        <v>3143.49</v>
      </c>
    </row>
    <row r="2899" spans="1:5" x14ac:dyDescent="0.25">
      <c r="A2899" s="1">
        <v>45631</v>
      </c>
      <c r="B2899">
        <v>4</v>
      </c>
      <c r="C2899" t="s">
        <v>8</v>
      </c>
      <c r="D2899">
        <v>198</v>
      </c>
      <c r="E2899">
        <v>3172.05</v>
      </c>
    </row>
    <row r="2900" spans="1:5" x14ac:dyDescent="0.25">
      <c r="A2900" s="1">
        <v>45632</v>
      </c>
      <c r="B2900">
        <v>4</v>
      </c>
      <c r="C2900" t="s">
        <v>8</v>
      </c>
      <c r="D2900">
        <v>167</v>
      </c>
      <c r="E2900">
        <v>2456.38</v>
      </c>
    </row>
    <row r="2901" spans="1:5" x14ac:dyDescent="0.25">
      <c r="A2901" s="1">
        <v>45633</v>
      </c>
      <c r="B2901">
        <v>4</v>
      </c>
      <c r="C2901" t="s">
        <v>8</v>
      </c>
      <c r="D2901">
        <v>230</v>
      </c>
      <c r="E2901">
        <v>3289.28</v>
      </c>
    </row>
    <row r="2902" spans="1:5" x14ac:dyDescent="0.25">
      <c r="A2902" s="1">
        <v>45634</v>
      </c>
      <c r="B2902">
        <v>4</v>
      </c>
      <c r="C2902" t="s">
        <v>8</v>
      </c>
      <c r="D2902">
        <v>217</v>
      </c>
      <c r="E2902">
        <v>3414.91</v>
      </c>
    </row>
    <row r="2903" spans="1:5" x14ac:dyDescent="0.25">
      <c r="A2903" s="1">
        <v>45635</v>
      </c>
      <c r="B2903">
        <v>4</v>
      </c>
      <c r="C2903" t="s">
        <v>8</v>
      </c>
      <c r="D2903">
        <v>213</v>
      </c>
      <c r="E2903">
        <v>3153.48</v>
      </c>
    </row>
    <row r="2904" spans="1:5" x14ac:dyDescent="0.25">
      <c r="A2904" s="1">
        <v>45636</v>
      </c>
      <c r="B2904">
        <v>4</v>
      </c>
      <c r="C2904" t="s">
        <v>8</v>
      </c>
      <c r="D2904">
        <v>181</v>
      </c>
      <c r="E2904">
        <v>2958.83</v>
      </c>
    </row>
    <row r="2905" spans="1:5" x14ac:dyDescent="0.25">
      <c r="A2905" s="1">
        <v>45637</v>
      </c>
      <c r="B2905">
        <v>4</v>
      </c>
      <c r="C2905" t="s">
        <v>8</v>
      </c>
      <c r="D2905">
        <v>211</v>
      </c>
      <c r="E2905">
        <v>3174.62</v>
      </c>
    </row>
    <row r="2906" spans="1:5" x14ac:dyDescent="0.25">
      <c r="A2906" s="1">
        <v>45638</v>
      </c>
      <c r="B2906">
        <v>4</v>
      </c>
      <c r="C2906" t="s">
        <v>8</v>
      </c>
      <c r="D2906">
        <v>213</v>
      </c>
      <c r="E2906">
        <v>3283.98</v>
      </c>
    </row>
    <row r="2907" spans="1:5" x14ac:dyDescent="0.25">
      <c r="A2907" s="1">
        <v>45639</v>
      </c>
      <c r="B2907">
        <v>4</v>
      </c>
      <c r="C2907" t="s">
        <v>8</v>
      </c>
      <c r="D2907">
        <v>188</v>
      </c>
      <c r="E2907">
        <v>2828.17</v>
      </c>
    </row>
    <row r="2908" spans="1:5" x14ac:dyDescent="0.25">
      <c r="A2908" s="1">
        <v>45640</v>
      </c>
      <c r="B2908">
        <v>4</v>
      </c>
      <c r="C2908" t="s">
        <v>8</v>
      </c>
      <c r="D2908">
        <v>231</v>
      </c>
      <c r="E2908">
        <v>3725.25</v>
      </c>
    </row>
    <row r="2909" spans="1:5" x14ac:dyDescent="0.25">
      <c r="A2909" s="1">
        <v>45641</v>
      </c>
      <c r="B2909">
        <v>4</v>
      </c>
      <c r="C2909" t="s">
        <v>8</v>
      </c>
      <c r="D2909">
        <v>175</v>
      </c>
      <c r="E2909">
        <v>2654.25</v>
      </c>
    </row>
    <row r="2910" spans="1:5" x14ac:dyDescent="0.25">
      <c r="A2910" s="1">
        <v>45642</v>
      </c>
      <c r="B2910">
        <v>4</v>
      </c>
      <c r="C2910" t="s">
        <v>8</v>
      </c>
      <c r="D2910">
        <v>221</v>
      </c>
      <c r="E2910">
        <v>3220.29</v>
      </c>
    </row>
    <row r="2911" spans="1:5" x14ac:dyDescent="0.25">
      <c r="A2911" s="1">
        <v>45643</v>
      </c>
      <c r="B2911">
        <v>4</v>
      </c>
      <c r="C2911" t="s">
        <v>8</v>
      </c>
      <c r="D2911">
        <v>185</v>
      </c>
      <c r="E2911">
        <v>2637.3</v>
      </c>
    </row>
    <row r="2912" spans="1:5" x14ac:dyDescent="0.25">
      <c r="A2912" s="1">
        <v>45644</v>
      </c>
      <c r="B2912">
        <v>4</v>
      </c>
      <c r="C2912" t="s">
        <v>8</v>
      </c>
      <c r="D2912">
        <v>184</v>
      </c>
      <c r="E2912">
        <v>2788.88</v>
      </c>
    </row>
    <row r="2913" spans="1:5" x14ac:dyDescent="0.25">
      <c r="A2913" s="1">
        <v>45645</v>
      </c>
      <c r="B2913">
        <v>4</v>
      </c>
      <c r="C2913" t="s">
        <v>8</v>
      </c>
      <c r="D2913">
        <v>152</v>
      </c>
      <c r="E2913">
        <v>2236.36</v>
      </c>
    </row>
    <row r="2914" spans="1:5" x14ac:dyDescent="0.25">
      <c r="A2914" s="1">
        <v>45646</v>
      </c>
      <c r="B2914">
        <v>4</v>
      </c>
      <c r="C2914" t="s">
        <v>8</v>
      </c>
      <c r="D2914">
        <v>174</v>
      </c>
      <c r="E2914">
        <v>2736.11</v>
      </c>
    </row>
    <row r="2915" spans="1:5" x14ac:dyDescent="0.25">
      <c r="A2915" s="1">
        <v>45647</v>
      </c>
      <c r="B2915">
        <v>4</v>
      </c>
      <c r="C2915" t="s">
        <v>8</v>
      </c>
      <c r="D2915">
        <v>191</v>
      </c>
      <c r="E2915">
        <v>2898.94</v>
      </c>
    </row>
    <row r="2916" spans="1:5" x14ac:dyDescent="0.25">
      <c r="A2916" s="1">
        <v>45648</v>
      </c>
      <c r="B2916">
        <v>4</v>
      </c>
      <c r="C2916" t="s">
        <v>8</v>
      </c>
      <c r="D2916">
        <v>204</v>
      </c>
      <c r="E2916">
        <v>3019.52</v>
      </c>
    </row>
    <row r="2917" spans="1:5" x14ac:dyDescent="0.25">
      <c r="A2917" s="1">
        <v>45649</v>
      </c>
      <c r="B2917">
        <v>4</v>
      </c>
      <c r="C2917" t="s">
        <v>8</v>
      </c>
      <c r="D2917">
        <v>172</v>
      </c>
      <c r="E2917">
        <v>2631.35</v>
      </c>
    </row>
    <row r="2918" spans="1:5" x14ac:dyDescent="0.25">
      <c r="A2918" s="1">
        <v>45650</v>
      </c>
      <c r="B2918">
        <v>4</v>
      </c>
      <c r="C2918" t="s">
        <v>8</v>
      </c>
      <c r="D2918">
        <v>205</v>
      </c>
      <c r="E2918">
        <v>3173.03</v>
      </c>
    </row>
    <row r="2919" spans="1:5" x14ac:dyDescent="0.25">
      <c r="A2919" s="1">
        <v>45651</v>
      </c>
      <c r="B2919">
        <v>4</v>
      </c>
      <c r="C2919" t="s">
        <v>8</v>
      </c>
      <c r="D2919">
        <v>178</v>
      </c>
      <c r="E2919">
        <v>2752.92</v>
      </c>
    </row>
    <row r="2920" spans="1:5" x14ac:dyDescent="0.25">
      <c r="A2920" s="1">
        <v>45652</v>
      </c>
      <c r="B2920">
        <v>4</v>
      </c>
      <c r="C2920" t="s">
        <v>8</v>
      </c>
      <c r="D2920">
        <v>179</v>
      </c>
      <c r="E2920">
        <v>2607.4499999999998</v>
      </c>
    </row>
    <row r="2921" spans="1:5" x14ac:dyDescent="0.25">
      <c r="A2921" s="1">
        <v>45653</v>
      </c>
      <c r="B2921">
        <v>4</v>
      </c>
      <c r="C2921" t="s">
        <v>8</v>
      </c>
      <c r="D2921">
        <v>212</v>
      </c>
      <c r="E2921">
        <v>3213.08</v>
      </c>
    </row>
    <row r="2922" spans="1:5" x14ac:dyDescent="0.25">
      <c r="A2922" s="1">
        <v>45654</v>
      </c>
      <c r="B2922">
        <v>4</v>
      </c>
      <c r="C2922" t="s">
        <v>8</v>
      </c>
      <c r="D2922">
        <v>231</v>
      </c>
      <c r="E2922">
        <v>3509.83</v>
      </c>
    </row>
    <row r="2923" spans="1:5" x14ac:dyDescent="0.25">
      <c r="A2923" s="1">
        <v>45655</v>
      </c>
      <c r="B2923">
        <v>4</v>
      </c>
      <c r="C2923" t="s">
        <v>8</v>
      </c>
      <c r="D2923">
        <v>232</v>
      </c>
      <c r="E2923">
        <v>3794.38</v>
      </c>
    </row>
    <row r="2924" spans="1:5" x14ac:dyDescent="0.25">
      <c r="A2924" s="1">
        <v>45656</v>
      </c>
      <c r="B2924">
        <v>4</v>
      </c>
      <c r="C2924" t="s">
        <v>8</v>
      </c>
      <c r="D2924">
        <v>184</v>
      </c>
      <c r="E2924">
        <v>2818.5</v>
      </c>
    </row>
    <row r="2925" spans="1:5" x14ac:dyDescent="0.25">
      <c r="A2925" s="1">
        <v>45657</v>
      </c>
      <c r="B2925">
        <v>4</v>
      </c>
      <c r="C2925" t="s">
        <v>8</v>
      </c>
      <c r="D2925">
        <v>166</v>
      </c>
      <c r="E2925">
        <v>2603.5500000000002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8E5D-AC24-40FE-8F94-676C7C74E478}">
  <dimension ref="A1:E732"/>
  <sheetViews>
    <sheetView workbookViewId="0"/>
  </sheetViews>
  <sheetFormatPr defaultRowHeight="15" x14ac:dyDescent="0.25"/>
  <cols>
    <col min="1" max="1" width="10.42578125" bestFit="1" customWidth="1"/>
    <col min="2" max="2" width="11.42578125" bestFit="1" customWidth="1"/>
    <col min="3" max="3" width="13.28515625" bestFit="1" customWidth="1"/>
    <col min="4" max="4" width="12.5703125" bestFit="1" customWidth="1"/>
    <col min="5" max="5" width="12.42578125" bestFit="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s="1">
        <v>44927</v>
      </c>
      <c r="B2">
        <v>47.9</v>
      </c>
      <c r="C2">
        <v>52.1</v>
      </c>
      <c r="D2">
        <v>49.4</v>
      </c>
      <c r="E2">
        <v>50.6</v>
      </c>
    </row>
    <row r="3" spans="1:5" x14ac:dyDescent="0.25">
      <c r="A3" s="1">
        <v>44928</v>
      </c>
      <c r="B3">
        <v>47.4</v>
      </c>
      <c r="C3">
        <v>52.6</v>
      </c>
      <c r="D3">
        <v>45.6</v>
      </c>
      <c r="E3">
        <v>54.4</v>
      </c>
    </row>
    <row r="4" spans="1:5" x14ac:dyDescent="0.25">
      <c r="A4" s="1">
        <v>44929</v>
      </c>
      <c r="B4">
        <v>50.3</v>
      </c>
      <c r="C4">
        <v>49.7</v>
      </c>
      <c r="D4">
        <v>43.9</v>
      </c>
      <c r="E4">
        <v>56.1</v>
      </c>
    </row>
    <row r="5" spans="1:5" x14ac:dyDescent="0.25">
      <c r="A5" s="1">
        <v>44930</v>
      </c>
      <c r="B5">
        <v>48.6</v>
      </c>
      <c r="C5">
        <v>51.4</v>
      </c>
      <c r="D5">
        <v>44.8</v>
      </c>
      <c r="E5">
        <v>55.2</v>
      </c>
    </row>
    <row r="6" spans="1:5" x14ac:dyDescent="0.25">
      <c r="A6" s="1">
        <v>44931</v>
      </c>
      <c r="B6">
        <v>50.4</v>
      </c>
      <c r="C6">
        <v>49.6</v>
      </c>
      <c r="D6">
        <v>43.6</v>
      </c>
      <c r="E6">
        <v>56.4</v>
      </c>
    </row>
    <row r="7" spans="1:5" x14ac:dyDescent="0.25">
      <c r="A7" s="1">
        <v>44932</v>
      </c>
      <c r="B7">
        <v>50.7</v>
      </c>
      <c r="C7">
        <v>49.3</v>
      </c>
      <c r="D7">
        <v>45.3</v>
      </c>
      <c r="E7">
        <v>54.7</v>
      </c>
    </row>
    <row r="8" spans="1:5" x14ac:dyDescent="0.25">
      <c r="A8" s="1">
        <v>44933</v>
      </c>
      <c r="B8">
        <v>49</v>
      </c>
      <c r="C8">
        <v>51</v>
      </c>
      <c r="D8">
        <v>52.5</v>
      </c>
      <c r="E8">
        <v>47.5</v>
      </c>
    </row>
    <row r="9" spans="1:5" x14ac:dyDescent="0.25">
      <c r="A9" s="1">
        <v>44934</v>
      </c>
      <c r="B9">
        <v>49.1</v>
      </c>
      <c r="C9">
        <v>50.9</v>
      </c>
      <c r="D9">
        <v>50.9</v>
      </c>
      <c r="E9">
        <v>49.1</v>
      </c>
    </row>
    <row r="10" spans="1:5" x14ac:dyDescent="0.25">
      <c r="A10" s="1">
        <v>44935</v>
      </c>
      <c r="B10">
        <v>49.2</v>
      </c>
      <c r="C10">
        <v>50.8</v>
      </c>
      <c r="D10">
        <v>45.9</v>
      </c>
      <c r="E10">
        <v>54.1</v>
      </c>
    </row>
    <row r="11" spans="1:5" x14ac:dyDescent="0.25">
      <c r="A11" s="1">
        <v>44936</v>
      </c>
      <c r="B11">
        <v>48.5</v>
      </c>
      <c r="C11">
        <v>51.5</v>
      </c>
      <c r="D11">
        <v>42.5</v>
      </c>
      <c r="E11">
        <v>57.5</v>
      </c>
    </row>
    <row r="12" spans="1:5" x14ac:dyDescent="0.25">
      <c r="A12" s="1">
        <v>44937</v>
      </c>
      <c r="B12">
        <v>50.6</v>
      </c>
      <c r="C12">
        <v>49.4</v>
      </c>
      <c r="D12">
        <v>44.1</v>
      </c>
      <c r="E12">
        <v>55.9</v>
      </c>
    </row>
    <row r="13" spans="1:5" x14ac:dyDescent="0.25">
      <c r="A13" s="1">
        <v>44938</v>
      </c>
      <c r="B13">
        <v>49.7</v>
      </c>
      <c r="C13">
        <v>50.3</v>
      </c>
      <c r="D13">
        <v>45.6</v>
      </c>
      <c r="E13">
        <v>54.4</v>
      </c>
    </row>
    <row r="14" spans="1:5" x14ac:dyDescent="0.25">
      <c r="A14" s="1">
        <v>44939</v>
      </c>
      <c r="B14">
        <v>49.5</v>
      </c>
      <c r="C14">
        <v>50.5</v>
      </c>
      <c r="D14">
        <v>47.3</v>
      </c>
      <c r="E14">
        <v>52.7</v>
      </c>
    </row>
    <row r="15" spans="1:5" x14ac:dyDescent="0.25">
      <c r="A15" s="1">
        <v>44940</v>
      </c>
      <c r="B15">
        <v>50.4</v>
      </c>
      <c r="C15">
        <v>49.6</v>
      </c>
      <c r="D15">
        <v>50.6</v>
      </c>
      <c r="E15">
        <v>49.4</v>
      </c>
    </row>
    <row r="16" spans="1:5" x14ac:dyDescent="0.25">
      <c r="A16" s="1">
        <v>44941</v>
      </c>
      <c r="B16">
        <v>49</v>
      </c>
      <c r="C16">
        <v>51</v>
      </c>
      <c r="D16">
        <v>51.5</v>
      </c>
      <c r="E16">
        <v>48.5</v>
      </c>
    </row>
    <row r="17" spans="1:5" x14ac:dyDescent="0.25">
      <c r="A17" s="1">
        <v>44942</v>
      </c>
      <c r="B17">
        <v>50.9</v>
      </c>
      <c r="C17">
        <v>49.1</v>
      </c>
      <c r="D17">
        <v>45.1</v>
      </c>
      <c r="E17">
        <v>54.9</v>
      </c>
    </row>
    <row r="18" spans="1:5" x14ac:dyDescent="0.25">
      <c r="A18" s="1">
        <v>44943</v>
      </c>
      <c r="B18">
        <v>48.3</v>
      </c>
      <c r="C18">
        <v>51.7</v>
      </c>
      <c r="D18">
        <v>43</v>
      </c>
      <c r="E18">
        <v>57</v>
      </c>
    </row>
    <row r="19" spans="1:5" x14ac:dyDescent="0.25">
      <c r="A19" s="1">
        <v>44944</v>
      </c>
      <c r="B19">
        <v>49.7</v>
      </c>
      <c r="C19">
        <v>50.3</v>
      </c>
      <c r="D19">
        <v>44.7</v>
      </c>
      <c r="E19">
        <v>55.3</v>
      </c>
    </row>
    <row r="20" spans="1:5" x14ac:dyDescent="0.25">
      <c r="A20" s="1">
        <v>44945</v>
      </c>
      <c r="B20">
        <v>49.4</v>
      </c>
      <c r="C20">
        <v>50.6</v>
      </c>
      <c r="D20">
        <v>45.5</v>
      </c>
      <c r="E20">
        <v>54.5</v>
      </c>
    </row>
    <row r="21" spans="1:5" x14ac:dyDescent="0.25">
      <c r="A21" s="1">
        <v>44946</v>
      </c>
      <c r="B21">
        <v>50.2</v>
      </c>
      <c r="C21">
        <v>49.8</v>
      </c>
      <c r="D21">
        <v>43.6</v>
      </c>
      <c r="E21">
        <v>56.4</v>
      </c>
    </row>
    <row r="22" spans="1:5" x14ac:dyDescent="0.25">
      <c r="A22" s="1">
        <v>44947</v>
      </c>
      <c r="B22">
        <v>51.2</v>
      </c>
      <c r="C22">
        <v>48.8</v>
      </c>
      <c r="D22">
        <v>50.4</v>
      </c>
      <c r="E22">
        <v>49.6</v>
      </c>
    </row>
    <row r="23" spans="1:5" x14ac:dyDescent="0.25">
      <c r="A23" s="1">
        <v>44948</v>
      </c>
      <c r="B23">
        <v>49.7</v>
      </c>
      <c r="C23">
        <v>50.3</v>
      </c>
      <c r="D23">
        <v>50.7</v>
      </c>
      <c r="E23">
        <v>49.3</v>
      </c>
    </row>
    <row r="24" spans="1:5" x14ac:dyDescent="0.25">
      <c r="A24" s="1">
        <v>44949</v>
      </c>
      <c r="B24">
        <v>49.9</v>
      </c>
      <c r="C24">
        <v>50.1</v>
      </c>
      <c r="D24">
        <v>44.1</v>
      </c>
      <c r="E24">
        <v>55.9</v>
      </c>
    </row>
    <row r="25" spans="1:5" x14ac:dyDescent="0.25">
      <c r="A25" s="1">
        <v>44950</v>
      </c>
      <c r="B25">
        <v>49.9</v>
      </c>
      <c r="C25">
        <v>50.1</v>
      </c>
      <c r="D25">
        <v>45.2</v>
      </c>
      <c r="E25">
        <v>54.8</v>
      </c>
    </row>
    <row r="26" spans="1:5" x14ac:dyDescent="0.25">
      <c r="A26" s="1">
        <v>44951</v>
      </c>
      <c r="B26">
        <v>48.7</v>
      </c>
      <c r="C26">
        <v>51.3</v>
      </c>
      <c r="D26">
        <v>46</v>
      </c>
      <c r="E26">
        <v>54</v>
      </c>
    </row>
    <row r="27" spans="1:5" x14ac:dyDescent="0.25">
      <c r="A27" s="1">
        <v>44952</v>
      </c>
      <c r="B27">
        <v>51</v>
      </c>
      <c r="C27">
        <v>49</v>
      </c>
      <c r="D27">
        <v>46.8</v>
      </c>
      <c r="E27">
        <v>53.2</v>
      </c>
    </row>
    <row r="28" spans="1:5" x14ac:dyDescent="0.25">
      <c r="A28" s="1">
        <v>44953</v>
      </c>
      <c r="B28">
        <v>50.2</v>
      </c>
      <c r="C28">
        <v>49.8</v>
      </c>
      <c r="D28">
        <v>46.3</v>
      </c>
      <c r="E28">
        <v>53.7</v>
      </c>
    </row>
    <row r="29" spans="1:5" x14ac:dyDescent="0.25">
      <c r="A29" s="1">
        <v>44954</v>
      </c>
      <c r="B29">
        <v>51.1</v>
      </c>
      <c r="C29">
        <v>48.9</v>
      </c>
      <c r="D29">
        <v>51.5</v>
      </c>
      <c r="E29">
        <v>48.5</v>
      </c>
    </row>
    <row r="30" spans="1:5" x14ac:dyDescent="0.25">
      <c r="A30" s="1">
        <v>44955</v>
      </c>
      <c r="B30">
        <v>51.1</v>
      </c>
      <c r="C30">
        <v>48.9</v>
      </c>
      <c r="D30">
        <v>52.8</v>
      </c>
      <c r="E30">
        <v>47.2</v>
      </c>
    </row>
    <row r="31" spans="1:5" x14ac:dyDescent="0.25">
      <c r="A31" s="1">
        <v>44956</v>
      </c>
      <c r="B31">
        <v>49.6</v>
      </c>
      <c r="C31">
        <v>50.4</v>
      </c>
      <c r="D31">
        <v>45.8</v>
      </c>
      <c r="E31">
        <v>54.2</v>
      </c>
    </row>
    <row r="32" spans="1:5" x14ac:dyDescent="0.25">
      <c r="A32" s="1">
        <v>44957</v>
      </c>
      <c r="B32">
        <v>49.5</v>
      </c>
      <c r="C32">
        <v>50.5</v>
      </c>
      <c r="D32">
        <v>45.4</v>
      </c>
      <c r="E32">
        <v>54.6</v>
      </c>
    </row>
    <row r="33" spans="1:5" x14ac:dyDescent="0.25">
      <c r="A33" s="1">
        <v>44958</v>
      </c>
      <c r="B33">
        <v>50.5</v>
      </c>
      <c r="C33">
        <v>49.5</v>
      </c>
      <c r="D33">
        <v>46.4</v>
      </c>
      <c r="E33">
        <v>53.6</v>
      </c>
    </row>
    <row r="34" spans="1:5" x14ac:dyDescent="0.25">
      <c r="A34" s="1">
        <v>44959</v>
      </c>
      <c r="B34">
        <v>50.3</v>
      </c>
      <c r="C34">
        <v>49.7</v>
      </c>
      <c r="D34">
        <v>45.2</v>
      </c>
      <c r="E34">
        <v>54.8</v>
      </c>
    </row>
    <row r="35" spans="1:5" x14ac:dyDescent="0.25">
      <c r="A35" s="1">
        <v>44960</v>
      </c>
      <c r="B35">
        <v>51</v>
      </c>
      <c r="C35">
        <v>49</v>
      </c>
      <c r="D35">
        <v>46</v>
      </c>
      <c r="E35">
        <v>54</v>
      </c>
    </row>
    <row r="36" spans="1:5" x14ac:dyDescent="0.25">
      <c r="A36" s="1">
        <v>44961</v>
      </c>
      <c r="B36">
        <v>49.4</v>
      </c>
      <c r="C36">
        <v>50.6</v>
      </c>
      <c r="D36">
        <v>52.9</v>
      </c>
      <c r="E36">
        <v>47.1</v>
      </c>
    </row>
    <row r="37" spans="1:5" x14ac:dyDescent="0.25">
      <c r="A37" s="1">
        <v>44962</v>
      </c>
      <c r="B37">
        <v>50.2</v>
      </c>
      <c r="C37">
        <v>49.8</v>
      </c>
      <c r="D37">
        <v>51.7</v>
      </c>
      <c r="E37">
        <v>48.3</v>
      </c>
    </row>
    <row r="38" spans="1:5" x14ac:dyDescent="0.25">
      <c r="A38" s="1">
        <v>44963</v>
      </c>
      <c r="B38">
        <v>51.2</v>
      </c>
      <c r="C38">
        <v>48.8</v>
      </c>
      <c r="D38">
        <v>44.9</v>
      </c>
      <c r="E38">
        <v>55.1</v>
      </c>
    </row>
    <row r="39" spans="1:5" x14ac:dyDescent="0.25">
      <c r="A39" s="1">
        <v>44964</v>
      </c>
      <c r="B39">
        <v>50.6</v>
      </c>
      <c r="C39">
        <v>49.4</v>
      </c>
      <c r="D39">
        <v>46.9</v>
      </c>
      <c r="E39">
        <v>53.1</v>
      </c>
    </row>
    <row r="40" spans="1:5" x14ac:dyDescent="0.25">
      <c r="A40" s="1">
        <v>44965</v>
      </c>
      <c r="B40">
        <v>51.8</v>
      </c>
      <c r="C40">
        <v>48.2</v>
      </c>
      <c r="D40">
        <v>45.3</v>
      </c>
      <c r="E40">
        <v>54.7</v>
      </c>
    </row>
    <row r="41" spans="1:5" x14ac:dyDescent="0.25">
      <c r="A41" s="1">
        <v>44966</v>
      </c>
      <c r="B41">
        <v>49.7</v>
      </c>
      <c r="C41">
        <v>50.3</v>
      </c>
      <c r="D41">
        <v>43.9</v>
      </c>
      <c r="E41">
        <v>56.1</v>
      </c>
    </row>
    <row r="42" spans="1:5" x14ac:dyDescent="0.25">
      <c r="A42" s="1">
        <v>44967</v>
      </c>
      <c r="B42">
        <v>51.7</v>
      </c>
      <c r="C42">
        <v>48.3</v>
      </c>
      <c r="D42">
        <v>45.9</v>
      </c>
      <c r="E42">
        <v>54.1</v>
      </c>
    </row>
    <row r="43" spans="1:5" x14ac:dyDescent="0.25">
      <c r="A43" s="1">
        <v>44968</v>
      </c>
      <c r="B43">
        <v>50.1</v>
      </c>
      <c r="C43">
        <v>49.9</v>
      </c>
      <c r="D43">
        <v>50.7</v>
      </c>
      <c r="E43">
        <v>49.3</v>
      </c>
    </row>
    <row r="44" spans="1:5" x14ac:dyDescent="0.25">
      <c r="A44" s="1">
        <v>44969</v>
      </c>
      <c r="B44">
        <v>51.2</v>
      </c>
      <c r="C44">
        <v>48.8</v>
      </c>
      <c r="D44">
        <v>52.1</v>
      </c>
      <c r="E44">
        <v>47.9</v>
      </c>
    </row>
    <row r="45" spans="1:5" x14ac:dyDescent="0.25">
      <c r="A45" s="1">
        <v>44970</v>
      </c>
      <c r="B45">
        <v>52</v>
      </c>
      <c r="C45">
        <v>48</v>
      </c>
      <c r="D45">
        <v>47.6</v>
      </c>
      <c r="E45">
        <v>52.4</v>
      </c>
    </row>
    <row r="46" spans="1:5" x14ac:dyDescent="0.25">
      <c r="A46" s="1">
        <v>44971</v>
      </c>
      <c r="B46">
        <v>51.4</v>
      </c>
      <c r="C46">
        <v>48.6</v>
      </c>
      <c r="D46">
        <v>45.8</v>
      </c>
      <c r="E46">
        <v>54.2</v>
      </c>
    </row>
    <row r="47" spans="1:5" x14ac:dyDescent="0.25">
      <c r="A47" s="1">
        <v>44972</v>
      </c>
      <c r="B47">
        <v>52.4</v>
      </c>
      <c r="C47">
        <v>47.6</v>
      </c>
      <c r="D47">
        <v>47.6</v>
      </c>
      <c r="E47">
        <v>52.4</v>
      </c>
    </row>
    <row r="48" spans="1:5" x14ac:dyDescent="0.25">
      <c r="A48" s="1">
        <v>44973</v>
      </c>
      <c r="B48">
        <v>50.9</v>
      </c>
      <c r="C48">
        <v>49.1</v>
      </c>
      <c r="D48">
        <v>45.8</v>
      </c>
      <c r="E48">
        <v>54.2</v>
      </c>
    </row>
    <row r="49" spans="1:5" x14ac:dyDescent="0.25">
      <c r="A49" s="1">
        <v>44974</v>
      </c>
      <c r="B49">
        <v>52.5</v>
      </c>
      <c r="C49">
        <v>47.5</v>
      </c>
      <c r="D49">
        <v>45.9</v>
      </c>
      <c r="E49">
        <v>54.1</v>
      </c>
    </row>
    <row r="50" spans="1:5" x14ac:dyDescent="0.25">
      <c r="A50" s="1">
        <v>44975</v>
      </c>
      <c r="B50">
        <v>52.4</v>
      </c>
      <c r="C50">
        <v>47.6</v>
      </c>
      <c r="D50">
        <v>52</v>
      </c>
      <c r="E50">
        <v>48</v>
      </c>
    </row>
    <row r="51" spans="1:5" x14ac:dyDescent="0.25">
      <c r="A51" s="1">
        <v>44976</v>
      </c>
      <c r="B51">
        <v>52.1</v>
      </c>
      <c r="C51">
        <v>47.9</v>
      </c>
      <c r="D51">
        <v>53.8</v>
      </c>
      <c r="E51">
        <v>46.2</v>
      </c>
    </row>
    <row r="52" spans="1:5" x14ac:dyDescent="0.25">
      <c r="A52" s="1">
        <v>44977</v>
      </c>
      <c r="B52">
        <v>51.8</v>
      </c>
      <c r="C52">
        <v>48.2</v>
      </c>
      <c r="D52">
        <v>47.9</v>
      </c>
      <c r="E52">
        <v>52.1</v>
      </c>
    </row>
    <row r="53" spans="1:5" x14ac:dyDescent="0.25">
      <c r="A53" s="1">
        <v>44978</v>
      </c>
      <c r="B53">
        <v>50.7</v>
      </c>
      <c r="C53">
        <v>49.3</v>
      </c>
      <c r="D53">
        <v>46.5</v>
      </c>
      <c r="E53">
        <v>53.5</v>
      </c>
    </row>
    <row r="54" spans="1:5" x14ac:dyDescent="0.25">
      <c r="A54" s="1">
        <v>44979</v>
      </c>
      <c r="B54">
        <v>50.3</v>
      </c>
      <c r="C54">
        <v>49.7</v>
      </c>
      <c r="D54">
        <v>46.2</v>
      </c>
      <c r="E54">
        <v>53.8</v>
      </c>
    </row>
    <row r="55" spans="1:5" x14ac:dyDescent="0.25">
      <c r="A55" s="1">
        <v>44980</v>
      </c>
      <c r="B55">
        <v>50.8</v>
      </c>
      <c r="C55">
        <v>49.2</v>
      </c>
      <c r="D55">
        <v>46.6</v>
      </c>
      <c r="E55">
        <v>53.4</v>
      </c>
    </row>
    <row r="56" spans="1:5" x14ac:dyDescent="0.25">
      <c r="A56" s="1">
        <v>44981</v>
      </c>
      <c r="B56">
        <v>52.5</v>
      </c>
      <c r="C56">
        <v>47.5</v>
      </c>
      <c r="D56">
        <v>46.6</v>
      </c>
      <c r="E56">
        <v>53.4</v>
      </c>
    </row>
    <row r="57" spans="1:5" x14ac:dyDescent="0.25">
      <c r="A57" s="1">
        <v>44982</v>
      </c>
      <c r="B57">
        <v>50.5</v>
      </c>
      <c r="C57">
        <v>49.5</v>
      </c>
      <c r="D57">
        <v>54.2</v>
      </c>
      <c r="E57">
        <v>45.8</v>
      </c>
    </row>
    <row r="58" spans="1:5" x14ac:dyDescent="0.25">
      <c r="A58" s="1">
        <v>44983</v>
      </c>
      <c r="B58">
        <v>50.6</v>
      </c>
      <c r="C58">
        <v>49.4</v>
      </c>
      <c r="D58">
        <v>51.7</v>
      </c>
      <c r="E58">
        <v>48.3</v>
      </c>
    </row>
    <row r="59" spans="1:5" x14ac:dyDescent="0.25">
      <c r="A59" s="1">
        <v>44984</v>
      </c>
      <c r="B59">
        <v>53.1</v>
      </c>
      <c r="C59">
        <v>46.9</v>
      </c>
      <c r="D59">
        <v>48.7</v>
      </c>
      <c r="E59">
        <v>51.3</v>
      </c>
    </row>
    <row r="60" spans="1:5" x14ac:dyDescent="0.25">
      <c r="A60" s="1">
        <v>44985</v>
      </c>
      <c r="B60">
        <v>50.3</v>
      </c>
      <c r="C60">
        <v>49.7</v>
      </c>
      <c r="D60">
        <v>47.1</v>
      </c>
      <c r="E60">
        <v>52.9</v>
      </c>
    </row>
    <row r="61" spans="1:5" x14ac:dyDescent="0.25">
      <c r="A61" s="1">
        <v>44986</v>
      </c>
      <c r="B61">
        <v>52.8</v>
      </c>
      <c r="C61">
        <v>47.2</v>
      </c>
      <c r="D61">
        <v>45.3</v>
      </c>
      <c r="E61">
        <v>54.7</v>
      </c>
    </row>
    <row r="62" spans="1:5" x14ac:dyDescent="0.25">
      <c r="A62" s="1">
        <v>44987</v>
      </c>
      <c r="B62">
        <v>50.9</v>
      </c>
      <c r="C62">
        <v>49.1</v>
      </c>
      <c r="D62">
        <v>46.8</v>
      </c>
      <c r="E62">
        <v>53.2</v>
      </c>
    </row>
    <row r="63" spans="1:5" x14ac:dyDescent="0.25">
      <c r="A63" s="1">
        <v>44988</v>
      </c>
      <c r="B63">
        <v>51</v>
      </c>
      <c r="C63">
        <v>49</v>
      </c>
      <c r="D63">
        <v>46.8</v>
      </c>
      <c r="E63">
        <v>53.2</v>
      </c>
    </row>
    <row r="64" spans="1:5" x14ac:dyDescent="0.25">
      <c r="A64" s="1">
        <v>44989</v>
      </c>
      <c r="B64">
        <v>51.1</v>
      </c>
      <c r="C64">
        <v>48.9</v>
      </c>
      <c r="D64">
        <v>51.9</v>
      </c>
      <c r="E64">
        <v>48.1</v>
      </c>
    </row>
    <row r="65" spans="1:5" x14ac:dyDescent="0.25">
      <c r="A65" s="1">
        <v>44990</v>
      </c>
      <c r="B65">
        <v>50.8</v>
      </c>
      <c r="C65">
        <v>49.2</v>
      </c>
      <c r="D65">
        <v>53.6</v>
      </c>
      <c r="E65">
        <v>46.4</v>
      </c>
    </row>
    <row r="66" spans="1:5" x14ac:dyDescent="0.25">
      <c r="A66" s="1">
        <v>44991</v>
      </c>
      <c r="B66">
        <v>51.3</v>
      </c>
      <c r="C66">
        <v>48.7</v>
      </c>
      <c r="D66">
        <v>46.9</v>
      </c>
      <c r="E66">
        <v>53.1</v>
      </c>
    </row>
    <row r="67" spans="1:5" x14ac:dyDescent="0.25">
      <c r="A67" s="1">
        <v>44992</v>
      </c>
      <c r="B67">
        <v>51.4</v>
      </c>
      <c r="C67">
        <v>48.6</v>
      </c>
      <c r="D67">
        <v>46.6</v>
      </c>
      <c r="E67">
        <v>53.4</v>
      </c>
    </row>
    <row r="68" spans="1:5" x14ac:dyDescent="0.25">
      <c r="A68" s="1">
        <v>44993</v>
      </c>
      <c r="B68">
        <v>51.7</v>
      </c>
      <c r="C68">
        <v>48.3</v>
      </c>
      <c r="D68">
        <v>45.4</v>
      </c>
      <c r="E68">
        <v>54.6</v>
      </c>
    </row>
    <row r="69" spans="1:5" x14ac:dyDescent="0.25">
      <c r="A69" s="1">
        <v>44994</v>
      </c>
      <c r="B69">
        <v>53.2</v>
      </c>
      <c r="C69">
        <v>46.8</v>
      </c>
      <c r="D69">
        <v>47.9</v>
      </c>
      <c r="E69">
        <v>52.1</v>
      </c>
    </row>
    <row r="70" spans="1:5" x14ac:dyDescent="0.25">
      <c r="A70" s="1">
        <v>44995</v>
      </c>
      <c r="B70">
        <v>50.5</v>
      </c>
      <c r="C70">
        <v>49.5</v>
      </c>
      <c r="D70">
        <v>47.2</v>
      </c>
      <c r="E70">
        <v>52.8</v>
      </c>
    </row>
    <row r="71" spans="1:5" x14ac:dyDescent="0.25">
      <c r="A71" s="1">
        <v>44996</v>
      </c>
      <c r="B71">
        <v>50.4</v>
      </c>
      <c r="C71">
        <v>49.6</v>
      </c>
      <c r="D71">
        <v>53.2</v>
      </c>
      <c r="E71">
        <v>46.8</v>
      </c>
    </row>
    <row r="72" spans="1:5" x14ac:dyDescent="0.25">
      <c r="A72" s="1">
        <v>44997</v>
      </c>
      <c r="B72">
        <v>51.7</v>
      </c>
      <c r="C72">
        <v>48.3</v>
      </c>
      <c r="D72">
        <v>53.2</v>
      </c>
      <c r="E72">
        <v>46.8</v>
      </c>
    </row>
    <row r="73" spans="1:5" x14ac:dyDescent="0.25">
      <c r="A73" s="1">
        <v>44998</v>
      </c>
      <c r="B73">
        <v>52.4</v>
      </c>
      <c r="C73">
        <v>47.6</v>
      </c>
      <c r="D73">
        <v>49.2</v>
      </c>
      <c r="E73">
        <v>50.8</v>
      </c>
    </row>
    <row r="74" spans="1:5" x14ac:dyDescent="0.25">
      <c r="A74" s="1">
        <v>44999</v>
      </c>
      <c r="B74">
        <v>52.5</v>
      </c>
      <c r="C74">
        <v>47.5</v>
      </c>
      <c r="D74">
        <v>46.5</v>
      </c>
      <c r="E74">
        <v>53.5</v>
      </c>
    </row>
    <row r="75" spans="1:5" x14ac:dyDescent="0.25">
      <c r="A75" s="1">
        <v>45000</v>
      </c>
      <c r="B75">
        <v>50.5</v>
      </c>
      <c r="C75">
        <v>49.5</v>
      </c>
      <c r="D75">
        <v>47.9</v>
      </c>
      <c r="E75">
        <v>52.1</v>
      </c>
    </row>
    <row r="76" spans="1:5" x14ac:dyDescent="0.25">
      <c r="A76" s="1">
        <v>45001</v>
      </c>
      <c r="B76">
        <v>51.4</v>
      </c>
      <c r="C76">
        <v>48.6</v>
      </c>
      <c r="D76">
        <v>47.1</v>
      </c>
      <c r="E76">
        <v>52.9</v>
      </c>
    </row>
    <row r="77" spans="1:5" x14ac:dyDescent="0.25">
      <c r="A77" s="1">
        <v>45002</v>
      </c>
      <c r="B77">
        <v>51.9</v>
      </c>
      <c r="C77">
        <v>48.1</v>
      </c>
      <c r="D77">
        <v>47.6</v>
      </c>
      <c r="E77">
        <v>52.4</v>
      </c>
    </row>
    <row r="78" spans="1:5" x14ac:dyDescent="0.25">
      <c r="A78" s="1">
        <v>45003</v>
      </c>
      <c r="B78">
        <v>53.2</v>
      </c>
      <c r="C78">
        <v>46.8</v>
      </c>
      <c r="D78">
        <v>52.2</v>
      </c>
      <c r="E78">
        <v>47.8</v>
      </c>
    </row>
    <row r="79" spans="1:5" x14ac:dyDescent="0.25">
      <c r="A79" s="1">
        <v>45004</v>
      </c>
      <c r="B79">
        <v>51.9</v>
      </c>
      <c r="C79">
        <v>48.1</v>
      </c>
      <c r="D79">
        <v>52.8</v>
      </c>
      <c r="E79">
        <v>47.2</v>
      </c>
    </row>
    <row r="80" spans="1:5" x14ac:dyDescent="0.25">
      <c r="A80" s="1">
        <v>45005</v>
      </c>
      <c r="B80">
        <v>52.6</v>
      </c>
      <c r="C80">
        <v>47.4</v>
      </c>
      <c r="D80">
        <v>47.3</v>
      </c>
      <c r="E80">
        <v>52.7</v>
      </c>
    </row>
    <row r="81" spans="1:5" x14ac:dyDescent="0.25">
      <c r="A81" s="1">
        <v>45006</v>
      </c>
      <c r="B81">
        <v>53.8</v>
      </c>
      <c r="C81">
        <v>46.2</v>
      </c>
      <c r="D81">
        <v>48.2</v>
      </c>
      <c r="E81">
        <v>51.8</v>
      </c>
    </row>
    <row r="82" spans="1:5" x14ac:dyDescent="0.25">
      <c r="A82" s="1">
        <v>45007</v>
      </c>
      <c r="B82">
        <v>53.6</v>
      </c>
      <c r="C82">
        <v>46.4</v>
      </c>
      <c r="D82">
        <v>46.4</v>
      </c>
      <c r="E82">
        <v>53.6</v>
      </c>
    </row>
    <row r="83" spans="1:5" x14ac:dyDescent="0.25">
      <c r="A83" s="1">
        <v>45008</v>
      </c>
      <c r="B83">
        <v>52.9</v>
      </c>
      <c r="C83">
        <v>47.1</v>
      </c>
      <c r="D83">
        <v>48.6</v>
      </c>
      <c r="E83">
        <v>51.4</v>
      </c>
    </row>
    <row r="84" spans="1:5" x14ac:dyDescent="0.25">
      <c r="A84" s="1">
        <v>45009</v>
      </c>
      <c r="B84">
        <v>53.2</v>
      </c>
      <c r="C84">
        <v>46.8</v>
      </c>
      <c r="D84">
        <v>47</v>
      </c>
      <c r="E84">
        <v>53</v>
      </c>
    </row>
    <row r="85" spans="1:5" x14ac:dyDescent="0.25">
      <c r="A85" s="1">
        <v>45010</v>
      </c>
      <c r="B85">
        <v>51</v>
      </c>
      <c r="C85">
        <v>49</v>
      </c>
      <c r="D85">
        <v>52.7</v>
      </c>
      <c r="E85">
        <v>47.3</v>
      </c>
    </row>
    <row r="86" spans="1:5" x14ac:dyDescent="0.25">
      <c r="A86" s="1">
        <v>45011</v>
      </c>
      <c r="B86">
        <v>52.6</v>
      </c>
      <c r="C86">
        <v>47.4</v>
      </c>
      <c r="D86">
        <v>53.1</v>
      </c>
      <c r="E86">
        <v>46.9</v>
      </c>
    </row>
    <row r="87" spans="1:5" x14ac:dyDescent="0.25">
      <c r="A87" s="1">
        <v>45012</v>
      </c>
      <c r="B87">
        <v>53.3</v>
      </c>
      <c r="C87">
        <v>46.7</v>
      </c>
      <c r="D87">
        <v>47.5</v>
      </c>
      <c r="E87">
        <v>52.5</v>
      </c>
    </row>
    <row r="88" spans="1:5" x14ac:dyDescent="0.25">
      <c r="A88" s="1">
        <v>45013</v>
      </c>
      <c r="B88">
        <v>52.2</v>
      </c>
      <c r="C88">
        <v>47.8</v>
      </c>
      <c r="D88">
        <v>47.7</v>
      </c>
      <c r="E88">
        <v>52.3</v>
      </c>
    </row>
    <row r="89" spans="1:5" x14ac:dyDescent="0.25">
      <c r="A89" s="1">
        <v>45014</v>
      </c>
      <c r="B89">
        <v>52.5</v>
      </c>
      <c r="C89">
        <v>47.5</v>
      </c>
      <c r="D89">
        <v>45.7</v>
      </c>
      <c r="E89">
        <v>54.3</v>
      </c>
    </row>
    <row r="90" spans="1:5" x14ac:dyDescent="0.25">
      <c r="A90" s="1">
        <v>45015</v>
      </c>
      <c r="B90">
        <v>52.7</v>
      </c>
      <c r="C90">
        <v>47.3</v>
      </c>
      <c r="D90">
        <v>45.7</v>
      </c>
      <c r="E90">
        <v>54.3</v>
      </c>
    </row>
    <row r="91" spans="1:5" x14ac:dyDescent="0.25">
      <c r="A91" s="1">
        <v>45016</v>
      </c>
      <c r="B91">
        <v>51.8</v>
      </c>
      <c r="C91">
        <v>48.2</v>
      </c>
      <c r="D91">
        <v>47.2</v>
      </c>
      <c r="E91">
        <v>52.8</v>
      </c>
    </row>
    <row r="92" spans="1:5" x14ac:dyDescent="0.25">
      <c r="A92" s="1">
        <v>45017</v>
      </c>
      <c r="B92">
        <v>50.9</v>
      </c>
      <c r="C92">
        <v>49.1</v>
      </c>
      <c r="D92">
        <v>53.4</v>
      </c>
      <c r="E92">
        <v>46.6</v>
      </c>
    </row>
    <row r="93" spans="1:5" x14ac:dyDescent="0.25">
      <c r="A93" s="1">
        <v>45018</v>
      </c>
      <c r="B93">
        <v>51.6</v>
      </c>
      <c r="C93">
        <v>48.4</v>
      </c>
      <c r="D93">
        <v>52.3</v>
      </c>
      <c r="E93">
        <v>47.7</v>
      </c>
    </row>
    <row r="94" spans="1:5" x14ac:dyDescent="0.25">
      <c r="A94" s="1">
        <v>45019</v>
      </c>
      <c r="B94">
        <v>53.3</v>
      </c>
      <c r="C94">
        <v>46.7</v>
      </c>
      <c r="D94">
        <v>46.2</v>
      </c>
      <c r="E94">
        <v>53.8</v>
      </c>
    </row>
    <row r="95" spans="1:5" x14ac:dyDescent="0.25">
      <c r="A95" s="1">
        <v>45020</v>
      </c>
      <c r="B95">
        <v>50.9</v>
      </c>
      <c r="C95">
        <v>49.1</v>
      </c>
      <c r="D95">
        <v>46.7</v>
      </c>
      <c r="E95">
        <v>53.3</v>
      </c>
    </row>
    <row r="96" spans="1:5" x14ac:dyDescent="0.25">
      <c r="A96" s="1">
        <v>45021</v>
      </c>
      <c r="B96">
        <v>53.3</v>
      </c>
      <c r="C96">
        <v>46.7</v>
      </c>
      <c r="D96">
        <v>47.7</v>
      </c>
      <c r="E96">
        <v>52.3</v>
      </c>
    </row>
    <row r="97" spans="1:5" x14ac:dyDescent="0.25">
      <c r="A97" s="1">
        <v>45022</v>
      </c>
      <c r="B97">
        <v>51.2</v>
      </c>
      <c r="C97">
        <v>48.8</v>
      </c>
      <c r="D97">
        <v>47.4</v>
      </c>
      <c r="E97">
        <v>52.6</v>
      </c>
    </row>
    <row r="98" spans="1:5" x14ac:dyDescent="0.25">
      <c r="A98" s="1">
        <v>45023</v>
      </c>
      <c r="B98">
        <v>51.6</v>
      </c>
      <c r="C98">
        <v>48.4</v>
      </c>
      <c r="D98">
        <v>48.5</v>
      </c>
      <c r="E98">
        <v>51.5</v>
      </c>
    </row>
    <row r="99" spans="1:5" x14ac:dyDescent="0.25">
      <c r="A99" s="1">
        <v>45024</v>
      </c>
      <c r="B99">
        <v>50.8</v>
      </c>
      <c r="C99">
        <v>49.2</v>
      </c>
      <c r="D99">
        <v>54</v>
      </c>
      <c r="E99">
        <v>46</v>
      </c>
    </row>
    <row r="100" spans="1:5" x14ac:dyDescent="0.25">
      <c r="A100" s="1">
        <v>45025</v>
      </c>
      <c r="B100">
        <v>52.5</v>
      </c>
      <c r="C100">
        <v>47.5</v>
      </c>
      <c r="D100">
        <v>52.6</v>
      </c>
      <c r="E100">
        <v>47.4</v>
      </c>
    </row>
    <row r="101" spans="1:5" x14ac:dyDescent="0.25">
      <c r="A101" s="1">
        <v>45026</v>
      </c>
      <c r="B101">
        <v>52.4</v>
      </c>
      <c r="C101">
        <v>47.6</v>
      </c>
      <c r="D101">
        <v>49.3</v>
      </c>
      <c r="E101">
        <v>50.7</v>
      </c>
    </row>
    <row r="102" spans="1:5" x14ac:dyDescent="0.25">
      <c r="A102" s="1">
        <v>45027</v>
      </c>
      <c r="B102">
        <v>52.8</v>
      </c>
      <c r="C102">
        <v>47.2</v>
      </c>
      <c r="D102">
        <v>47.2</v>
      </c>
      <c r="E102">
        <v>52.8</v>
      </c>
    </row>
    <row r="103" spans="1:5" x14ac:dyDescent="0.25">
      <c r="A103" s="1">
        <v>45028</v>
      </c>
      <c r="B103">
        <v>51.3</v>
      </c>
      <c r="C103">
        <v>48.7</v>
      </c>
      <c r="D103">
        <v>48.3</v>
      </c>
      <c r="E103">
        <v>51.7</v>
      </c>
    </row>
    <row r="104" spans="1:5" x14ac:dyDescent="0.25">
      <c r="A104" s="1">
        <v>45029</v>
      </c>
      <c r="B104">
        <v>52.7</v>
      </c>
      <c r="C104">
        <v>47.3</v>
      </c>
      <c r="D104">
        <v>46.8</v>
      </c>
      <c r="E104">
        <v>53.2</v>
      </c>
    </row>
    <row r="105" spans="1:5" x14ac:dyDescent="0.25">
      <c r="A105" s="1">
        <v>45030</v>
      </c>
      <c r="B105">
        <v>53.1</v>
      </c>
      <c r="C105">
        <v>46.9</v>
      </c>
      <c r="D105">
        <v>48.3</v>
      </c>
      <c r="E105">
        <v>51.7</v>
      </c>
    </row>
    <row r="106" spans="1:5" x14ac:dyDescent="0.25">
      <c r="A106" s="1">
        <v>45031</v>
      </c>
      <c r="B106">
        <v>50.9</v>
      </c>
      <c r="C106">
        <v>49.1</v>
      </c>
      <c r="D106">
        <v>53.4</v>
      </c>
      <c r="E106">
        <v>46.6</v>
      </c>
    </row>
    <row r="107" spans="1:5" x14ac:dyDescent="0.25">
      <c r="A107" s="1">
        <v>45032</v>
      </c>
      <c r="B107">
        <v>51.3</v>
      </c>
      <c r="C107">
        <v>48.7</v>
      </c>
      <c r="D107">
        <v>53.1</v>
      </c>
      <c r="E107">
        <v>46.9</v>
      </c>
    </row>
    <row r="108" spans="1:5" x14ac:dyDescent="0.25">
      <c r="A108" s="1">
        <v>45033</v>
      </c>
      <c r="B108">
        <v>51.7</v>
      </c>
      <c r="C108">
        <v>48.3</v>
      </c>
      <c r="D108">
        <v>46.6</v>
      </c>
      <c r="E108">
        <v>53.4</v>
      </c>
    </row>
    <row r="109" spans="1:5" x14ac:dyDescent="0.25">
      <c r="A109" s="1">
        <v>45034</v>
      </c>
      <c r="B109">
        <v>52.9</v>
      </c>
      <c r="C109">
        <v>47.1</v>
      </c>
      <c r="D109">
        <v>45.8</v>
      </c>
      <c r="E109">
        <v>54.2</v>
      </c>
    </row>
    <row r="110" spans="1:5" x14ac:dyDescent="0.25">
      <c r="A110" s="1">
        <v>45035</v>
      </c>
      <c r="B110">
        <v>51.5</v>
      </c>
      <c r="C110">
        <v>48.5</v>
      </c>
      <c r="D110">
        <v>47.2</v>
      </c>
      <c r="E110">
        <v>52.8</v>
      </c>
    </row>
    <row r="111" spans="1:5" x14ac:dyDescent="0.25">
      <c r="A111" s="1">
        <v>45036</v>
      </c>
      <c r="B111">
        <v>50.2</v>
      </c>
      <c r="C111">
        <v>49.8</v>
      </c>
      <c r="D111">
        <v>48.7</v>
      </c>
      <c r="E111">
        <v>51.3</v>
      </c>
    </row>
    <row r="112" spans="1:5" x14ac:dyDescent="0.25">
      <c r="A112" s="1">
        <v>45037</v>
      </c>
      <c r="B112">
        <v>52.1</v>
      </c>
      <c r="C112">
        <v>47.9</v>
      </c>
      <c r="D112">
        <v>48.6</v>
      </c>
      <c r="E112">
        <v>51.4</v>
      </c>
    </row>
    <row r="113" spans="1:5" x14ac:dyDescent="0.25">
      <c r="A113" s="1">
        <v>45038</v>
      </c>
      <c r="B113">
        <v>53.1</v>
      </c>
      <c r="C113">
        <v>46.9</v>
      </c>
      <c r="D113">
        <v>54.9</v>
      </c>
      <c r="E113">
        <v>45.1</v>
      </c>
    </row>
    <row r="114" spans="1:5" x14ac:dyDescent="0.25">
      <c r="A114" s="1">
        <v>45039</v>
      </c>
      <c r="B114">
        <v>51.3</v>
      </c>
      <c r="C114">
        <v>48.7</v>
      </c>
      <c r="D114">
        <v>53.2</v>
      </c>
      <c r="E114">
        <v>46.8</v>
      </c>
    </row>
    <row r="115" spans="1:5" x14ac:dyDescent="0.25">
      <c r="A115" s="1">
        <v>45040</v>
      </c>
      <c r="B115">
        <v>50.8</v>
      </c>
      <c r="C115">
        <v>49.2</v>
      </c>
      <c r="D115">
        <v>49.2</v>
      </c>
      <c r="E115">
        <v>50.8</v>
      </c>
    </row>
    <row r="116" spans="1:5" x14ac:dyDescent="0.25">
      <c r="A116" s="1">
        <v>45041</v>
      </c>
      <c r="B116">
        <v>50.6</v>
      </c>
      <c r="C116">
        <v>49.4</v>
      </c>
      <c r="D116">
        <v>47.3</v>
      </c>
      <c r="E116">
        <v>52.7</v>
      </c>
    </row>
    <row r="117" spans="1:5" x14ac:dyDescent="0.25">
      <c r="A117" s="1">
        <v>45042</v>
      </c>
      <c r="B117">
        <v>51.6</v>
      </c>
      <c r="C117">
        <v>48.4</v>
      </c>
      <c r="D117">
        <v>47.8</v>
      </c>
      <c r="E117">
        <v>52.2</v>
      </c>
    </row>
    <row r="118" spans="1:5" x14ac:dyDescent="0.25">
      <c r="A118" s="1">
        <v>45043</v>
      </c>
      <c r="B118">
        <v>51.3</v>
      </c>
      <c r="C118">
        <v>48.7</v>
      </c>
      <c r="D118">
        <v>48.5</v>
      </c>
      <c r="E118">
        <v>51.5</v>
      </c>
    </row>
    <row r="119" spans="1:5" x14ac:dyDescent="0.25">
      <c r="A119" s="1">
        <v>45044</v>
      </c>
      <c r="B119">
        <v>52.4</v>
      </c>
      <c r="C119">
        <v>47.6</v>
      </c>
      <c r="D119">
        <v>48.1</v>
      </c>
      <c r="E119">
        <v>51.9</v>
      </c>
    </row>
    <row r="120" spans="1:5" x14ac:dyDescent="0.25">
      <c r="A120" s="1">
        <v>45045</v>
      </c>
      <c r="B120">
        <v>50.4</v>
      </c>
      <c r="C120">
        <v>49.6</v>
      </c>
      <c r="D120">
        <v>53</v>
      </c>
      <c r="E120">
        <v>47</v>
      </c>
    </row>
    <row r="121" spans="1:5" x14ac:dyDescent="0.25">
      <c r="A121" s="1">
        <v>45046</v>
      </c>
      <c r="B121">
        <v>52.3</v>
      </c>
      <c r="C121">
        <v>47.7</v>
      </c>
      <c r="D121">
        <v>54.7</v>
      </c>
      <c r="E121">
        <v>45.3</v>
      </c>
    </row>
    <row r="122" spans="1:5" x14ac:dyDescent="0.25">
      <c r="A122" s="1">
        <v>45047</v>
      </c>
      <c r="B122">
        <v>50.7</v>
      </c>
      <c r="C122">
        <v>49.3</v>
      </c>
      <c r="D122">
        <v>47.2</v>
      </c>
      <c r="E122">
        <v>52.8</v>
      </c>
    </row>
    <row r="123" spans="1:5" x14ac:dyDescent="0.25">
      <c r="A123" s="1">
        <v>45048</v>
      </c>
      <c r="B123">
        <v>52.1</v>
      </c>
      <c r="C123">
        <v>47.9</v>
      </c>
      <c r="D123">
        <v>46.3</v>
      </c>
      <c r="E123">
        <v>53.7</v>
      </c>
    </row>
    <row r="124" spans="1:5" x14ac:dyDescent="0.25">
      <c r="A124" s="1">
        <v>45049</v>
      </c>
      <c r="B124">
        <v>50.1</v>
      </c>
      <c r="C124">
        <v>49.9</v>
      </c>
      <c r="D124">
        <v>47.5</v>
      </c>
      <c r="E124">
        <v>52.5</v>
      </c>
    </row>
    <row r="125" spans="1:5" x14ac:dyDescent="0.25">
      <c r="A125" s="1">
        <v>45050</v>
      </c>
      <c r="B125">
        <v>51</v>
      </c>
      <c r="C125">
        <v>49</v>
      </c>
      <c r="D125">
        <v>47.4</v>
      </c>
      <c r="E125">
        <v>52.6</v>
      </c>
    </row>
    <row r="126" spans="1:5" x14ac:dyDescent="0.25">
      <c r="A126" s="1">
        <v>45051</v>
      </c>
      <c r="B126">
        <v>50.5</v>
      </c>
      <c r="C126">
        <v>49.5</v>
      </c>
      <c r="D126">
        <v>47.5</v>
      </c>
      <c r="E126">
        <v>52.5</v>
      </c>
    </row>
    <row r="127" spans="1:5" x14ac:dyDescent="0.25">
      <c r="A127" s="1">
        <v>45052</v>
      </c>
      <c r="B127">
        <v>52.4</v>
      </c>
      <c r="C127">
        <v>47.6</v>
      </c>
      <c r="D127">
        <v>55.3</v>
      </c>
      <c r="E127">
        <v>44.7</v>
      </c>
    </row>
    <row r="128" spans="1:5" x14ac:dyDescent="0.25">
      <c r="A128" s="1">
        <v>45053</v>
      </c>
      <c r="B128">
        <v>52.9</v>
      </c>
      <c r="C128">
        <v>47.1</v>
      </c>
      <c r="D128">
        <v>53.5</v>
      </c>
      <c r="E128">
        <v>46.5</v>
      </c>
    </row>
    <row r="129" spans="1:5" x14ac:dyDescent="0.25">
      <c r="A129" s="1">
        <v>45054</v>
      </c>
      <c r="B129">
        <v>51.4</v>
      </c>
      <c r="C129">
        <v>48.6</v>
      </c>
      <c r="D129">
        <v>48.3</v>
      </c>
      <c r="E129">
        <v>51.7</v>
      </c>
    </row>
    <row r="130" spans="1:5" x14ac:dyDescent="0.25">
      <c r="A130" s="1">
        <v>45055</v>
      </c>
      <c r="B130">
        <v>51.6</v>
      </c>
      <c r="C130">
        <v>48.4</v>
      </c>
      <c r="D130">
        <v>50</v>
      </c>
      <c r="E130">
        <v>50</v>
      </c>
    </row>
    <row r="131" spans="1:5" x14ac:dyDescent="0.25">
      <c r="A131" s="1">
        <v>45056</v>
      </c>
      <c r="B131">
        <v>50.9</v>
      </c>
      <c r="C131">
        <v>49.1</v>
      </c>
      <c r="D131">
        <v>48.2</v>
      </c>
      <c r="E131">
        <v>51.8</v>
      </c>
    </row>
    <row r="132" spans="1:5" x14ac:dyDescent="0.25">
      <c r="A132" s="1">
        <v>45057</v>
      </c>
      <c r="B132">
        <v>51.7</v>
      </c>
      <c r="C132">
        <v>48.3</v>
      </c>
      <c r="D132">
        <v>48.4</v>
      </c>
      <c r="E132">
        <v>51.6</v>
      </c>
    </row>
    <row r="133" spans="1:5" x14ac:dyDescent="0.25">
      <c r="A133" s="1">
        <v>45058</v>
      </c>
      <c r="B133">
        <v>49.4</v>
      </c>
      <c r="C133">
        <v>50.6</v>
      </c>
      <c r="D133">
        <v>47.5</v>
      </c>
      <c r="E133">
        <v>52.5</v>
      </c>
    </row>
    <row r="134" spans="1:5" x14ac:dyDescent="0.25">
      <c r="A134" s="1">
        <v>45059</v>
      </c>
      <c r="B134">
        <v>49.8</v>
      </c>
      <c r="C134">
        <v>50.2</v>
      </c>
      <c r="D134">
        <v>53.1</v>
      </c>
      <c r="E134">
        <v>46.9</v>
      </c>
    </row>
    <row r="135" spans="1:5" x14ac:dyDescent="0.25">
      <c r="A135" s="1">
        <v>45060</v>
      </c>
      <c r="B135">
        <v>53.5</v>
      </c>
      <c r="C135">
        <v>46.5</v>
      </c>
      <c r="D135">
        <v>54.3</v>
      </c>
      <c r="E135">
        <v>45.7</v>
      </c>
    </row>
    <row r="136" spans="1:5" x14ac:dyDescent="0.25">
      <c r="A136" s="1">
        <v>45061</v>
      </c>
      <c r="B136">
        <v>52.2</v>
      </c>
      <c r="C136">
        <v>47.8</v>
      </c>
      <c r="D136">
        <v>47.8</v>
      </c>
      <c r="E136">
        <v>52.2</v>
      </c>
    </row>
    <row r="137" spans="1:5" x14ac:dyDescent="0.25">
      <c r="A137" s="1">
        <v>45062</v>
      </c>
      <c r="B137">
        <v>50.5</v>
      </c>
      <c r="C137">
        <v>49.5</v>
      </c>
      <c r="D137">
        <v>47.4</v>
      </c>
      <c r="E137">
        <v>52.6</v>
      </c>
    </row>
    <row r="138" spans="1:5" x14ac:dyDescent="0.25">
      <c r="A138" s="1">
        <v>45063</v>
      </c>
      <c r="B138">
        <v>51.2</v>
      </c>
      <c r="C138">
        <v>48.8</v>
      </c>
      <c r="D138">
        <v>46.5</v>
      </c>
      <c r="E138">
        <v>53.5</v>
      </c>
    </row>
    <row r="139" spans="1:5" x14ac:dyDescent="0.25">
      <c r="A139" s="1">
        <v>45064</v>
      </c>
      <c r="B139">
        <v>50.1</v>
      </c>
      <c r="C139">
        <v>49.9</v>
      </c>
      <c r="D139">
        <v>47.8</v>
      </c>
      <c r="E139">
        <v>52.2</v>
      </c>
    </row>
    <row r="140" spans="1:5" x14ac:dyDescent="0.25">
      <c r="A140" s="1">
        <v>45065</v>
      </c>
      <c r="B140">
        <v>52.9</v>
      </c>
      <c r="C140">
        <v>47.1</v>
      </c>
      <c r="D140">
        <v>47.9</v>
      </c>
      <c r="E140">
        <v>52.1</v>
      </c>
    </row>
    <row r="141" spans="1:5" x14ac:dyDescent="0.25">
      <c r="A141" s="1">
        <v>45066</v>
      </c>
      <c r="B141">
        <v>51.4</v>
      </c>
      <c r="C141">
        <v>48.6</v>
      </c>
      <c r="D141">
        <v>54</v>
      </c>
      <c r="E141">
        <v>46</v>
      </c>
    </row>
    <row r="142" spans="1:5" x14ac:dyDescent="0.25">
      <c r="A142" s="1">
        <v>45067</v>
      </c>
      <c r="B142">
        <v>51.1</v>
      </c>
      <c r="C142">
        <v>48.9</v>
      </c>
      <c r="D142">
        <v>53.3</v>
      </c>
      <c r="E142">
        <v>46.7</v>
      </c>
    </row>
    <row r="143" spans="1:5" x14ac:dyDescent="0.25">
      <c r="A143" s="1">
        <v>45068</v>
      </c>
      <c r="B143">
        <v>50.7</v>
      </c>
      <c r="C143">
        <v>49.3</v>
      </c>
      <c r="D143">
        <v>49</v>
      </c>
      <c r="E143">
        <v>51</v>
      </c>
    </row>
    <row r="144" spans="1:5" x14ac:dyDescent="0.25">
      <c r="A144" s="1">
        <v>45069</v>
      </c>
      <c r="B144">
        <v>52</v>
      </c>
      <c r="C144">
        <v>48</v>
      </c>
      <c r="D144">
        <v>46.4</v>
      </c>
      <c r="E144">
        <v>53.6</v>
      </c>
    </row>
    <row r="145" spans="1:5" x14ac:dyDescent="0.25">
      <c r="A145" s="1">
        <v>45070</v>
      </c>
      <c r="B145">
        <v>50</v>
      </c>
      <c r="C145">
        <v>50</v>
      </c>
      <c r="D145">
        <v>48.5</v>
      </c>
      <c r="E145">
        <v>51.5</v>
      </c>
    </row>
    <row r="146" spans="1:5" x14ac:dyDescent="0.25">
      <c r="A146" s="1">
        <v>45071</v>
      </c>
      <c r="B146">
        <v>51.2</v>
      </c>
      <c r="C146">
        <v>48.8</v>
      </c>
      <c r="D146">
        <v>46.6</v>
      </c>
      <c r="E146">
        <v>53.4</v>
      </c>
    </row>
    <row r="147" spans="1:5" x14ac:dyDescent="0.25">
      <c r="A147" s="1">
        <v>45072</v>
      </c>
      <c r="B147">
        <v>50.5</v>
      </c>
      <c r="C147">
        <v>49.5</v>
      </c>
      <c r="D147">
        <v>48.8</v>
      </c>
      <c r="E147">
        <v>51.2</v>
      </c>
    </row>
    <row r="148" spans="1:5" x14ac:dyDescent="0.25">
      <c r="A148" s="1">
        <v>45073</v>
      </c>
      <c r="B148">
        <v>49.9</v>
      </c>
      <c r="C148">
        <v>50.1</v>
      </c>
      <c r="D148">
        <v>54.5</v>
      </c>
      <c r="E148">
        <v>45.5</v>
      </c>
    </row>
    <row r="149" spans="1:5" x14ac:dyDescent="0.25">
      <c r="A149" s="1">
        <v>45074</v>
      </c>
      <c r="B149">
        <v>51.4</v>
      </c>
      <c r="C149">
        <v>48.6</v>
      </c>
      <c r="D149">
        <v>53.4</v>
      </c>
      <c r="E149">
        <v>46.6</v>
      </c>
    </row>
    <row r="150" spans="1:5" x14ac:dyDescent="0.25">
      <c r="A150" s="1">
        <v>45075</v>
      </c>
      <c r="B150">
        <v>51.8</v>
      </c>
      <c r="C150">
        <v>48.2</v>
      </c>
      <c r="D150">
        <v>48.3</v>
      </c>
      <c r="E150">
        <v>51.7</v>
      </c>
    </row>
    <row r="151" spans="1:5" x14ac:dyDescent="0.25">
      <c r="A151" s="1">
        <v>45076</v>
      </c>
      <c r="B151">
        <v>51.2</v>
      </c>
      <c r="C151">
        <v>48.8</v>
      </c>
      <c r="D151">
        <v>48.4</v>
      </c>
      <c r="E151">
        <v>51.6</v>
      </c>
    </row>
    <row r="152" spans="1:5" x14ac:dyDescent="0.25">
      <c r="A152" s="1">
        <v>45077</v>
      </c>
      <c r="B152">
        <v>51.4</v>
      </c>
      <c r="C152">
        <v>48.6</v>
      </c>
      <c r="D152">
        <v>45.8</v>
      </c>
      <c r="E152">
        <v>54.2</v>
      </c>
    </row>
    <row r="153" spans="1:5" x14ac:dyDescent="0.25">
      <c r="A153" s="1">
        <v>45078</v>
      </c>
      <c r="B153">
        <v>49.3</v>
      </c>
      <c r="C153">
        <v>50.7</v>
      </c>
      <c r="D153">
        <v>47.4</v>
      </c>
      <c r="E153">
        <v>52.6</v>
      </c>
    </row>
    <row r="154" spans="1:5" x14ac:dyDescent="0.25">
      <c r="A154" s="1">
        <v>45079</v>
      </c>
      <c r="B154">
        <v>50.7</v>
      </c>
      <c r="C154">
        <v>49.3</v>
      </c>
      <c r="D154">
        <v>47.7</v>
      </c>
      <c r="E154">
        <v>52.3</v>
      </c>
    </row>
    <row r="155" spans="1:5" x14ac:dyDescent="0.25">
      <c r="A155" s="1">
        <v>45080</v>
      </c>
      <c r="B155">
        <v>50.9</v>
      </c>
      <c r="C155">
        <v>49.1</v>
      </c>
      <c r="D155">
        <v>55.2</v>
      </c>
      <c r="E155">
        <v>44.8</v>
      </c>
    </row>
    <row r="156" spans="1:5" x14ac:dyDescent="0.25">
      <c r="A156" s="1">
        <v>45081</v>
      </c>
      <c r="B156">
        <v>49.6</v>
      </c>
      <c r="C156">
        <v>50.4</v>
      </c>
      <c r="D156">
        <v>52.3</v>
      </c>
      <c r="E156">
        <v>47.7</v>
      </c>
    </row>
    <row r="157" spans="1:5" x14ac:dyDescent="0.25">
      <c r="A157" s="1">
        <v>45082</v>
      </c>
      <c r="B157">
        <v>49.1</v>
      </c>
      <c r="C157">
        <v>50.9</v>
      </c>
      <c r="D157">
        <v>46.4</v>
      </c>
      <c r="E157">
        <v>53.6</v>
      </c>
    </row>
    <row r="158" spans="1:5" x14ac:dyDescent="0.25">
      <c r="A158" s="1">
        <v>45083</v>
      </c>
      <c r="B158">
        <v>50.6</v>
      </c>
      <c r="C158">
        <v>49.4</v>
      </c>
      <c r="D158">
        <v>46.4</v>
      </c>
      <c r="E158">
        <v>53.6</v>
      </c>
    </row>
    <row r="159" spans="1:5" x14ac:dyDescent="0.25">
      <c r="A159" s="1">
        <v>45084</v>
      </c>
      <c r="B159">
        <v>50</v>
      </c>
      <c r="C159">
        <v>50</v>
      </c>
      <c r="D159">
        <v>48.7</v>
      </c>
      <c r="E159">
        <v>51.3</v>
      </c>
    </row>
    <row r="160" spans="1:5" x14ac:dyDescent="0.25">
      <c r="A160" s="1">
        <v>45085</v>
      </c>
      <c r="B160">
        <v>48.6</v>
      </c>
      <c r="C160">
        <v>51.4</v>
      </c>
      <c r="D160">
        <v>48.4</v>
      </c>
      <c r="E160">
        <v>51.6</v>
      </c>
    </row>
    <row r="161" spans="1:5" x14ac:dyDescent="0.25">
      <c r="A161" s="1">
        <v>45086</v>
      </c>
      <c r="B161">
        <v>50</v>
      </c>
      <c r="C161">
        <v>50</v>
      </c>
      <c r="D161">
        <v>46.1</v>
      </c>
      <c r="E161">
        <v>53.9</v>
      </c>
    </row>
    <row r="162" spans="1:5" x14ac:dyDescent="0.25">
      <c r="A162" s="1">
        <v>45087</v>
      </c>
      <c r="B162">
        <v>50.6</v>
      </c>
      <c r="C162">
        <v>49.4</v>
      </c>
      <c r="D162">
        <v>52.6</v>
      </c>
      <c r="E162">
        <v>47.4</v>
      </c>
    </row>
    <row r="163" spans="1:5" x14ac:dyDescent="0.25">
      <c r="A163" s="1">
        <v>45088</v>
      </c>
      <c r="B163">
        <v>47.9</v>
      </c>
      <c r="C163">
        <v>52.1</v>
      </c>
      <c r="D163">
        <v>55.8</v>
      </c>
      <c r="E163">
        <v>44.2</v>
      </c>
    </row>
    <row r="164" spans="1:5" x14ac:dyDescent="0.25">
      <c r="A164" s="1">
        <v>45089</v>
      </c>
      <c r="B164">
        <v>51.1</v>
      </c>
      <c r="C164">
        <v>48.9</v>
      </c>
      <c r="D164">
        <v>47.2</v>
      </c>
      <c r="E164">
        <v>52.8</v>
      </c>
    </row>
    <row r="165" spans="1:5" x14ac:dyDescent="0.25">
      <c r="A165" s="1">
        <v>45090</v>
      </c>
      <c r="B165">
        <v>49.9</v>
      </c>
      <c r="C165">
        <v>50.1</v>
      </c>
      <c r="D165">
        <v>48.3</v>
      </c>
      <c r="E165">
        <v>51.7</v>
      </c>
    </row>
    <row r="166" spans="1:5" x14ac:dyDescent="0.25">
      <c r="A166" s="1">
        <v>45091</v>
      </c>
      <c r="B166">
        <v>49.3</v>
      </c>
      <c r="C166">
        <v>50.7</v>
      </c>
      <c r="D166">
        <v>46.6</v>
      </c>
      <c r="E166">
        <v>53.4</v>
      </c>
    </row>
    <row r="167" spans="1:5" x14ac:dyDescent="0.25">
      <c r="A167" s="1">
        <v>45092</v>
      </c>
      <c r="B167">
        <v>49</v>
      </c>
      <c r="C167">
        <v>51</v>
      </c>
      <c r="D167">
        <v>47.1</v>
      </c>
      <c r="E167">
        <v>52.9</v>
      </c>
    </row>
    <row r="168" spans="1:5" x14ac:dyDescent="0.25">
      <c r="A168" s="1">
        <v>45093</v>
      </c>
      <c r="B168">
        <v>50.6</v>
      </c>
      <c r="C168">
        <v>49.4</v>
      </c>
      <c r="D168">
        <v>47.9</v>
      </c>
      <c r="E168">
        <v>52.1</v>
      </c>
    </row>
    <row r="169" spans="1:5" x14ac:dyDescent="0.25">
      <c r="A169" s="1">
        <v>45094</v>
      </c>
      <c r="B169">
        <v>48.8</v>
      </c>
      <c r="C169">
        <v>51.2</v>
      </c>
      <c r="D169">
        <v>53.5</v>
      </c>
      <c r="E169">
        <v>46.5</v>
      </c>
    </row>
    <row r="170" spans="1:5" x14ac:dyDescent="0.25">
      <c r="A170" s="1">
        <v>45095</v>
      </c>
      <c r="B170">
        <v>49.2</v>
      </c>
      <c r="C170">
        <v>50.8</v>
      </c>
      <c r="D170">
        <v>54.3</v>
      </c>
      <c r="E170">
        <v>45.7</v>
      </c>
    </row>
    <row r="171" spans="1:5" x14ac:dyDescent="0.25">
      <c r="A171" s="1">
        <v>45096</v>
      </c>
      <c r="B171">
        <v>48.7</v>
      </c>
      <c r="C171">
        <v>51.3</v>
      </c>
      <c r="D171">
        <v>45.5</v>
      </c>
      <c r="E171">
        <v>54.5</v>
      </c>
    </row>
    <row r="172" spans="1:5" x14ac:dyDescent="0.25">
      <c r="A172" s="1">
        <v>45097</v>
      </c>
      <c r="B172">
        <v>50.1</v>
      </c>
      <c r="C172">
        <v>49.9</v>
      </c>
      <c r="D172">
        <v>47.8</v>
      </c>
      <c r="E172">
        <v>52.2</v>
      </c>
    </row>
    <row r="173" spans="1:5" x14ac:dyDescent="0.25">
      <c r="A173" s="1">
        <v>45098</v>
      </c>
      <c r="B173">
        <v>48.1</v>
      </c>
      <c r="C173">
        <v>51.9</v>
      </c>
      <c r="D173">
        <v>48.5</v>
      </c>
      <c r="E173">
        <v>51.5</v>
      </c>
    </row>
    <row r="174" spans="1:5" x14ac:dyDescent="0.25">
      <c r="A174" s="1">
        <v>45099</v>
      </c>
      <c r="B174">
        <v>51.2</v>
      </c>
      <c r="C174">
        <v>48.8</v>
      </c>
      <c r="D174">
        <v>47.2</v>
      </c>
      <c r="E174">
        <v>52.8</v>
      </c>
    </row>
    <row r="175" spans="1:5" x14ac:dyDescent="0.25">
      <c r="A175" s="1">
        <v>45100</v>
      </c>
      <c r="B175">
        <v>48.2</v>
      </c>
      <c r="C175">
        <v>51.8</v>
      </c>
      <c r="D175">
        <v>48.1</v>
      </c>
      <c r="E175">
        <v>51.9</v>
      </c>
    </row>
    <row r="176" spans="1:5" x14ac:dyDescent="0.25">
      <c r="A176" s="1">
        <v>45101</v>
      </c>
      <c r="B176">
        <v>49.4</v>
      </c>
      <c r="C176">
        <v>50.6</v>
      </c>
      <c r="D176">
        <v>53.2</v>
      </c>
      <c r="E176">
        <v>46.8</v>
      </c>
    </row>
    <row r="177" spans="1:5" x14ac:dyDescent="0.25">
      <c r="A177" s="1">
        <v>45102</v>
      </c>
      <c r="B177">
        <v>48.3</v>
      </c>
      <c r="C177">
        <v>51.7</v>
      </c>
      <c r="D177">
        <v>52.3</v>
      </c>
      <c r="E177">
        <v>47.7</v>
      </c>
    </row>
    <row r="178" spans="1:5" x14ac:dyDescent="0.25">
      <c r="A178" s="1">
        <v>45103</v>
      </c>
      <c r="B178">
        <v>50.5</v>
      </c>
      <c r="C178">
        <v>49.5</v>
      </c>
      <c r="D178">
        <v>47.4</v>
      </c>
      <c r="E178">
        <v>52.6</v>
      </c>
    </row>
    <row r="179" spans="1:5" x14ac:dyDescent="0.25">
      <c r="A179" s="1">
        <v>45104</v>
      </c>
      <c r="B179">
        <v>48.9</v>
      </c>
      <c r="C179">
        <v>51.1</v>
      </c>
      <c r="D179">
        <v>47.8</v>
      </c>
      <c r="E179">
        <v>52.2</v>
      </c>
    </row>
    <row r="180" spans="1:5" x14ac:dyDescent="0.25">
      <c r="A180" s="1">
        <v>45105</v>
      </c>
      <c r="B180">
        <v>49.2</v>
      </c>
      <c r="C180">
        <v>50.8</v>
      </c>
      <c r="D180">
        <v>46.8</v>
      </c>
      <c r="E180">
        <v>53.2</v>
      </c>
    </row>
    <row r="181" spans="1:5" x14ac:dyDescent="0.25">
      <c r="A181" s="1">
        <v>45106</v>
      </c>
      <c r="B181">
        <v>48.5</v>
      </c>
      <c r="C181">
        <v>51.5</v>
      </c>
      <c r="D181">
        <v>47.5</v>
      </c>
      <c r="E181">
        <v>52.5</v>
      </c>
    </row>
    <row r="182" spans="1:5" x14ac:dyDescent="0.25">
      <c r="A182" s="1">
        <v>45107</v>
      </c>
      <c r="B182">
        <v>48.7</v>
      </c>
      <c r="C182">
        <v>51.3</v>
      </c>
      <c r="D182">
        <v>46.4</v>
      </c>
      <c r="E182">
        <v>53.6</v>
      </c>
    </row>
    <row r="183" spans="1:5" x14ac:dyDescent="0.25">
      <c r="A183" s="1">
        <v>45108</v>
      </c>
      <c r="B183">
        <v>48.9</v>
      </c>
      <c r="C183">
        <v>51.1</v>
      </c>
      <c r="D183">
        <v>53.6</v>
      </c>
      <c r="E183">
        <v>46.4</v>
      </c>
    </row>
    <row r="184" spans="1:5" x14ac:dyDescent="0.25">
      <c r="A184" s="1">
        <v>45109</v>
      </c>
      <c r="B184">
        <v>48.3</v>
      </c>
      <c r="C184">
        <v>51.7</v>
      </c>
      <c r="D184">
        <v>53.1</v>
      </c>
      <c r="E184">
        <v>46.9</v>
      </c>
    </row>
    <row r="185" spans="1:5" x14ac:dyDescent="0.25">
      <c r="A185" s="1">
        <v>45110</v>
      </c>
      <c r="B185">
        <v>50.9</v>
      </c>
      <c r="C185">
        <v>49.1</v>
      </c>
      <c r="D185">
        <v>48.8</v>
      </c>
      <c r="E185">
        <v>51.2</v>
      </c>
    </row>
    <row r="186" spans="1:5" x14ac:dyDescent="0.25">
      <c r="A186" s="1">
        <v>45111</v>
      </c>
      <c r="B186">
        <v>48.9</v>
      </c>
      <c r="C186">
        <v>51.1</v>
      </c>
      <c r="D186">
        <v>47</v>
      </c>
      <c r="E186">
        <v>53</v>
      </c>
    </row>
    <row r="187" spans="1:5" x14ac:dyDescent="0.25">
      <c r="A187" s="1">
        <v>45112</v>
      </c>
      <c r="B187">
        <v>48.3</v>
      </c>
      <c r="C187">
        <v>51.7</v>
      </c>
      <c r="D187">
        <v>46.7</v>
      </c>
      <c r="E187">
        <v>53.3</v>
      </c>
    </row>
    <row r="188" spans="1:5" x14ac:dyDescent="0.25">
      <c r="A188" s="1">
        <v>45113</v>
      </c>
      <c r="B188">
        <v>48.6</v>
      </c>
      <c r="C188">
        <v>51.4</v>
      </c>
      <c r="D188">
        <v>46.3</v>
      </c>
      <c r="E188">
        <v>53.7</v>
      </c>
    </row>
    <row r="189" spans="1:5" x14ac:dyDescent="0.25">
      <c r="A189" s="1">
        <v>45114</v>
      </c>
      <c r="B189">
        <v>48.9</v>
      </c>
      <c r="C189">
        <v>51.1</v>
      </c>
      <c r="D189">
        <v>45.4</v>
      </c>
      <c r="E189">
        <v>54.6</v>
      </c>
    </row>
    <row r="190" spans="1:5" x14ac:dyDescent="0.25">
      <c r="A190" s="1">
        <v>45115</v>
      </c>
      <c r="B190">
        <v>49.2</v>
      </c>
      <c r="C190">
        <v>50.8</v>
      </c>
      <c r="D190">
        <v>51.9</v>
      </c>
      <c r="E190">
        <v>48.1</v>
      </c>
    </row>
    <row r="191" spans="1:5" x14ac:dyDescent="0.25">
      <c r="A191" s="1">
        <v>45116</v>
      </c>
      <c r="B191">
        <v>49.3</v>
      </c>
      <c r="C191">
        <v>50.7</v>
      </c>
      <c r="D191">
        <v>52.4</v>
      </c>
      <c r="E191">
        <v>47.6</v>
      </c>
    </row>
    <row r="192" spans="1:5" x14ac:dyDescent="0.25">
      <c r="A192" s="1">
        <v>45117</v>
      </c>
      <c r="B192">
        <v>47.3</v>
      </c>
      <c r="C192">
        <v>52.7</v>
      </c>
      <c r="D192">
        <v>46.3</v>
      </c>
      <c r="E192">
        <v>53.7</v>
      </c>
    </row>
    <row r="193" spans="1:5" x14ac:dyDescent="0.25">
      <c r="A193" s="1">
        <v>45118</v>
      </c>
      <c r="B193">
        <v>49.4</v>
      </c>
      <c r="C193">
        <v>50.6</v>
      </c>
      <c r="D193">
        <v>48.2</v>
      </c>
      <c r="E193">
        <v>51.8</v>
      </c>
    </row>
    <row r="194" spans="1:5" x14ac:dyDescent="0.25">
      <c r="A194" s="1">
        <v>45119</v>
      </c>
      <c r="B194">
        <v>48.8</v>
      </c>
      <c r="C194">
        <v>51.2</v>
      </c>
      <c r="D194">
        <v>46.7</v>
      </c>
      <c r="E194">
        <v>53.3</v>
      </c>
    </row>
    <row r="195" spans="1:5" x14ac:dyDescent="0.25">
      <c r="A195" s="1">
        <v>45120</v>
      </c>
      <c r="B195">
        <v>49</v>
      </c>
      <c r="C195">
        <v>51</v>
      </c>
      <c r="D195">
        <v>45.6</v>
      </c>
      <c r="E195">
        <v>54.4</v>
      </c>
    </row>
    <row r="196" spans="1:5" x14ac:dyDescent="0.25">
      <c r="A196" s="1">
        <v>45121</v>
      </c>
      <c r="B196">
        <v>49.4</v>
      </c>
      <c r="C196">
        <v>50.6</v>
      </c>
      <c r="D196">
        <v>47</v>
      </c>
      <c r="E196">
        <v>53</v>
      </c>
    </row>
    <row r="197" spans="1:5" x14ac:dyDescent="0.25">
      <c r="A197" s="1">
        <v>45122</v>
      </c>
      <c r="B197">
        <v>47.9</v>
      </c>
      <c r="C197">
        <v>52.1</v>
      </c>
      <c r="D197">
        <v>52.7</v>
      </c>
      <c r="E197">
        <v>47.3</v>
      </c>
    </row>
    <row r="198" spans="1:5" x14ac:dyDescent="0.25">
      <c r="A198" s="1">
        <v>45123</v>
      </c>
      <c r="B198">
        <v>48.3</v>
      </c>
      <c r="C198">
        <v>51.7</v>
      </c>
      <c r="D198">
        <v>55.4</v>
      </c>
      <c r="E198">
        <v>44.6</v>
      </c>
    </row>
    <row r="199" spans="1:5" x14ac:dyDescent="0.25">
      <c r="A199" s="1">
        <v>45124</v>
      </c>
      <c r="B199">
        <v>45.7</v>
      </c>
      <c r="C199">
        <v>54.3</v>
      </c>
      <c r="D199">
        <v>47</v>
      </c>
      <c r="E199">
        <v>53</v>
      </c>
    </row>
    <row r="200" spans="1:5" x14ac:dyDescent="0.25">
      <c r="A200" s="1">
        <v>45125</v>
      </c>
      <c r="B200">
        <v>48</v>
      </c>
      <c r="C200">
        <v>52</v>
      </c>
      <c r="D200">
        <v>47.1</v>
      </c>
      <c r="E200">
        <v>52.9</v>
      </c>
    </row>
    <row r="201" spans="1:5" x14ac:dyDescent="0.25">
      <c r="A201" s="1">
        <v>45126</v>
      </c>
      <c r="B201">
        <v>48.3</v>
      </c>
      <c r="C201">
        <v>51.7</v>
      </c>
      <c r="D201">
        <v>45.9</v>
      </c>
      <c r="E201">
        <v>54.1</v>
      </c>
    </row>
    <row r="202" spans="1:5" x14ac:dyDescent="0.25">
      <c r="A202" s="1">
        <v>45127</v>
      </c>
      <c r="B202">
        <v>48.2</v>
      </c>
      <c r="C202">
        <v>51.8</v>
      </c>
      <c r="D202">
        <v>47.6</v>
      </c>
      <c r="E202">
        <v>52.4</v>
      </c>
    </row>
    <row r="203" spans="1:5" x14ac:dyDescent="0.25">
      <c r="A203" s="1">
        <v>45128</v>
      </c>
      <c r="B203">
        <v>47.7</v>
      </c>
      <c r="C203">
        <v>52.3</v>
      </c>
      <c r="D203">
        <v>45.6</v>
      </c>
      <c r="E203">
        <v>54.4</v>
      </c>
    </row>
    <row r="204" spans="1:5" x14ac:dyDescent="0.25">
      <c r="A204" s="1">
        <v>45129</v>
      </c>
      <c r="B204">
        <v>47.6</v>
      </c>
      <c r="C204">
        <v>52.4</v>
      </c>
      <c r="D204">
        <v>53.7</v>
      </c>
      <c r="E204">
        <v>46.3</v>
      </c>
    </row>
    <row r="205" spans="1:5" x14ac:dyDescent="0.25">
      <c r="A205" s="1">
        <v>45130</v>
      </c>
      <c r="B205">
        <v>47.1</v>
      </c>
      <c r="C205">
        <v>52.9</v>
      </c>
      <c r="D205">
        <v>54.1</v>
      </c>
      <c r="E205">
        <v>45.9</v>
      </c>
    </row>
    <row r="206" spans="1:5" x14ac:dyDescent="0.25">
      <c r="A206" s="1">
        <v>45131</v>
      </c>
      <c r="B206">
        <v>47.2</v>
      </c>
      <c r="C206">
        <v>52.8</v>
      </c>
      <c r="D206">
        <v>47.1</v>
      </c>
      <c r="E206">
        <v>52.9</v>
      </c>
    </row>
    <row r="207" spans="1:5" x14ac:dyDescent="0.25">
      <c r="A207" s="1">
        <v>45132</v>
      </c>
      <c r="B207">
        <v>48.6</v>
      </c>
      <c r="C207">
        <v>51.4</v>
      </c>
      <c r="D207">
        <v>46.3</v>
      </c>
      <c r="E207">
        <v>53.7</v>
      </c>
    </row>
    <row r="208" spans="1:5" x14ac:dyDescent="0.25">
      <c r="A208" s="1">
        <v>45133</v>
      </c>
      <c r="B208">
        <v>47.3</v>
      </c>
      <c r="C208">
        <v>52.7</v>
      </c>
      <c r="D208">
        <v>48.6</v>
      </c>
      <c r="E208">
        <v>51.4</v>
      </c>
    </row>
    <row r="209" spans="1:5" x14ac:dyDescent="0.25">
      <c r="A209" s="1">
        <v>45134</v>
      </c>
      <c r="B209">
        <v>47</v>
      </c>
      <c r="C209">
        <v>53</v>
      </c>
      <c r="D209">
        <v>45.7</v>
      </c>
      <c r="E209">
        <v>54.3</v>
      </c>
    </row>
    <row r="210" spans="1:5" x14ac:dyDescent="0.25">
      <c r="A210" s="1">
        <v>45135</v>
      </c>
      <c r="B210">
        <v>48.7</v>
      </c>
      <c r="C210">
        <v>51.3</v>
      </c>
      <c r="D210">
        <v>47.4</v>
      </c>
      <c r="E210">
        <v>52.6</v>
      </c>
    </row>
    <row r="211" spans="1:5" x14ac:dyDescent="0.25">
      <c r="A211" s="1">
        <v>45136</v>
      </c>
      <c r="B211">
        <v>47.9</v>
      </c>
      <c r="C211">
        <v>52.1</v>
      </c>
      <c r="D211">
        <v>52.2</v>
      </c>
      <c r="E211">
        <v>47.8</v>
      </c>
    </row>
    <row r="212" spans="1:5" x14ac:dyDescent="0.25">
      <c r="A212" s="1">
        <v>45137</v>
      </c>
      <c r="B212">
        <v>46.9</v>
      </c>
      <c r="C212">
        <v>53.1</v>
      </c>
      <c r="D212">
        <v>52.3</v>
      </c>
      <c r="E212">
        <v>47.7</v>
      </c>
    </row>
    <row r="213" spans="1:5" x14ac:dyDescent="0.25">
      <c r="A213" s="1">
        <v>45138</v>
      </c>
      <c r="B213">
        <v>48.1</v>
      </c>
      <c r="C213">
        <v>51.9</v>
      </c>
      <c r="D213">
        <v>45.4</v>
      </c>
      <c r="E213">
        <v>54.6</v>
      </c>
    </row>
    <row r="214" spans="1:5" x14ac:dyDescent="0.25">
      <c r="A214" s="1">
        <v>45139</v>
      </c>
      <c r="B214">
        <v>48.6</v>
      </c>
      <c r="C214">
        <v>51.4</v>
      </c>
      <c r="D214">
        <v>46.8</v>
      </c>
      <c r="E214">
        <v>53.2</v>
      </c>
    </row>
    <row r="215" spans="1:5" x14ac:dyDescent="0.25">
      <c r="A215" s="1">
        <v>45140</v>
      </c>
      <c r="B215">
        <v>46.6</v>
      </c>
      <c r="C215">
        <v>53.4</v>
      </c>
      <c r="D215">
        <v>46.8</v>
      </c>
      <c r="E215">
        <v>53.2</v>
      </c>
    </row>
    <row r="216" spans="1:5" x14ac:dyDescent="0.25">
      <c r="A216" s="1">
        <v>45141</v>
      </c>
      <c r="B216">
        <v>46.1</v>
      </c>
      <c r="C216">
        <v>53.9</v>
      </c>
      <c r="D216">
        <v>46.7</v>
      </c>
      <c r="E216">
        <v>53.3</v>
      </c>
    </row>
    <row r="217" spans="1:5" x14ac:dyDescent="0.25">
      <c r="A217" s="1">
        <v>45142</v>
      </c>
      <c r="B217">
        <v>48.7</v>
      </c>
      <c r="C217">
        <v>51.3</v>
      </c>
      <c r="D217">
        <v>47</v>
      </c>
      <c r="E217">
        <v>53</v>
      </c>
    </row>
    <row r="218" spans="1:5" x14ac:dyDescent="0.25">
      <c r="A218" s="1">
        <v>45143</v>
      </c>
      <c r="B218">
        <v>45.7</v>
      </c>
      <c r="C218">
        <v>54.3</v>
      </c>
      <c r="D218">
        <v>53.3</v>
      </c>
      <c r="E218">
        <v>46.7</v>
      </c>
    </row>
    <row r="219" spans="1:5" x14ac:dyDescent="0.25">
      <c r="A219" s="1">
        <v>45144</v>
      </c>
      <c r="B219">
        <v>45.5</v>
      </c>
      <c r="C219">
        <v>54.5</v>
      </c>
      <c r="D219">
        <v>51.4</v>
      </c>
      <c r="E219">
        <v>48.6</v>
      </c>
    </row>
    <row r="220" spans="1:5" x14ac:dyDescent="0.25">
      <c r="A220" s="1">
        <v>45145</v>
      </c>
      <c r="B220">
        <v>47</v>
      </c>
      <c r="C220">
        <v>53</v>
      </c>
      <c r="D220">
        <v>45.1</v>
      </c>
      <c r="E220">
        <v>54.9</v>
      </c>
    </row>
    <row r="221" spans="1:5" x14ac:dyDescent="0.25">
      <c r="A221" s="1">
        <v>45146</v>
      </c>
      <c r="B221">
        <v>47.6</v>
      </c>
      <c r="C221">
        <v>52.4</v>
      </c>
      <c r="D221">
        <v>46.2</v>
      </c>
      <c r="E221">
        <v>53.8</v>
      </c>
    </row>
    <row r="222" spans="1:5" x14ac:dyDescent="0.25">
      <c r="A222" s="1">
        <v>45147</v>
      </c>
      <c r="B222">
        <v>47.4</v>
      </c>
      <c r="C222">
        <v>52.6</v>
      </c>
      <c r="D222">
        <v>47.4</v>
      </c>
      <c r="E222">
        <v>52.6</v>
      </c>
    </row>
    <row r="223" spans="1:5" x14ac:dyDescent="0.25">
      <c r="A223" s="1">
        <v>45148</v>
      </c>
      <c r="B223">
        <v>47</v>
      </c>
      <c r="C223">
        <v>53</v>
      </c>
      <c r="D223">
        <v>45.5</v>
      </c>
      <c r="E223">
        <v>54.5</v>
      </c>
    </row>
    <row r="224" spans="1:5" x14ac:dyDescent="0.25">
      <c r="A224" s="1">
        <v>45149</v>
      </c>
      <c r="B224">
        <v>49.6</v>
      </c>
      <c r="C224">
        <v>50.4</v>
      </c>
      <c r="D224">
        <v>45.9</v>
      </c>
      <c r="E224">
        <v>54.1</v>
      </c>
    </row>
    <row r="225" spans="1:5" x14ac:dyDescent="0.25">
      <c r="A225" s="1">
        <v>45150</v>
      </c>
      <c r="B225">
        <v>46.8</v>
      </c>
      <c r="C225">
        <v>53.2</v>
      </c>
      <c r="D225">
        <v>51.9</v>
      </c>
      <c r="E225">
        <v>48.1</v>
      </c>
    </row>
    <row r="226" spans="1:5" x14ac:dyDescent="0.25">
      <c r="A226" s="1">
        <v>45151</v>
      </c>
      <c r="B226">
        <v>46</v>
      </c>
      <c r="C226">
        <v>54</v>
      </c>
      <c r="D226">
        <v>49.7</v>
      </c>
      <c r="E226">
        <v>50.3</v>
      </c>
    </row>
    <row r="227" spans="1:5" x14ac:dyDescent="0.25">
      <c r="A227" s="1">
        <v>45152</v>
      </c>
      <c r="B227">
        <v>46.4</v>
      </c>
      <c r="C227">
        <v>53.6</v>
      </c>
      <c r="D227">
        <v>45.3</v>
      </c>
      <c r="E227">
        <v>54.7</v>
      </c>
    </row>
    <row r="228" spans="1:5" x14ac:dyDescent="0.25">
      <c r="A228" s="1">
        <v>45153</v>
      </c>
      <c r="B228">
        <v>47.1</v>
      </c>
      <c r="C228">
        <v>52.9</v>
      </c>
      <c r="D228">
        <v>44.4</v>
      </c>
      <c r="E228">
        <v>55.6</v>
      </c>
    </row>
    <row r="229" spans="1:5" x14ac:dyDescent="0.25">
      <c r="A229" s="1">
        <v>45154</v>
      </c>
      <c r="B229">
        <v>47.4</v>
      </c>
      <c r="C229">
        <v>52.6</v>
      </c>
      <c r="D229">
        <v>46</v>
      </c>
      <c r="E229">
        <v>54</v>
      </c>
    </row>
    <row r="230" spans="1:5" x14ac:dyDescent="0.25">
      <c r="A230" s="1">
        <v>45155</v>
      </c>
      <c r="B230">
        <v>46.5</v>
      </c>
      <c r="C230">
        <v>53.5</v>
      </c>
      <c r="D230">
        <v>46.4</v>
      </c>
      <c r="E230">
        <v>53.6</v>
      </c>
    </row>
    <row r="231" spans="1:5" x14ac:dyDescent="0.25">
      <c r="A231" s="1">
        <v>45156</v>
      </c>
      <c r="B231">
        <v>46.2</v>
      </c>
      <c r="C231">
        <v>53.8</v>
      </c>
      <c r="D231">
        <v>45.6</v>
      </c>
      <c r="E231">
        <v>54.4</v>
      </c>
    </row>
    <row r="232" spans="1:5" x14ac:dyDescent="0.25">
      <c r="A232" s="1">
        <v>45157</v>
      </c>
      <c r="B232">
        <v>46</v>
      </c>
      <c r="C232">
        <v>54</v>
      </c>
      <c r="D232">
        <v>50.7</v>
      </c>
      <c r="E232">
        <v>49.3</v>
      </c>
    </row>
    <row r="233" spans="1:5" x14ac:dyDescent="0.25">
      <c r="A233" s="1">
        <v>45158</v>
      </c>
      <c r="B233">
        <v>46.6</v>
      </c>
      <c r="C233">
        <v>53.4</v>
      </c>
      <c r="D233">
        <v>52.4</v>
      </c>
      <c r="E233">
        <v>47.6</v>
      </c>
    </row>
    <row r="234" spans="1:5" x14ac:dyDescent="0.25">
      <c r="A234" s="1">
        <v>45159</v>
      </c>
      <c r="B234">
        <v>47</v>
      </c>
      <c r="C234">
        <v>53</v>
      </c>
      <c r="D234">
        <v>46</v>
      </c>
      <c r="E234">
        <v>54</v>
      </c>
    </row>
    <row r="235" spans="1:5" x14ac:dyDescent="0.25">
      <c r="A235" s="1">
        <v>45160</v>
      </c>
      <c r="B235">
        <v>46.2</v>
      </c>
      <c r="C235">
        <v>53.8</v>
      </c>
      <c r="D235">
        <v>45.5</v>
      </c>
      <c r="E235">
        <v>54.5</v>
      </c>
    </row>
    <row r="236" spans="1:5" x14ac:dyDescent="0.25">
      <c r="A236" s="1">
        <v>45161</v>
      </c>
      <c r="B236">
        <v>47.8</v>
      </c>
      <c r="C236">
        <v>52.2</v>
      </c>
      <c r="D236">
        <v>45.9</v>
      </c>
      <c r="E236">
        <v>54.1</v>
      </c>
    </row>
    <row r="237" spans="1:5" x14ac:dyDescent="0.25">
      <c r="A237" s="1">
        <v>45162</v>
      </c>
      <c r="B237">
        <v>46.7</v>
      </c>
      <c r="C237">
        <v>53.3</v>
      </c>
      <c r="D237">
        <v>47.6</v>
      </c>
      <c r="E237">
        <v>52.4</v>
      </c>
    </row>
    <row r="238" spans="1:5" x14ac:dyDescent="0.25">
      <c r="A238" s="1">
        <v>45163</v>
      </c>
      <c r="B238">
        <v>46.2</v>
      </c>
      <c r="C238">
        <v>53.8</v>
      </c>
      <c r="D238">
        <v>45.6</v>
      </c>
      <c r="E238">
        <v>54.4</v>
      </c>
    </row>
    <row r="239" spans="1:5" x14ac:dyDescent="0.25">
      <c r="A239" s="1">
        <v>45164</v>
      </c>
      <c r="B239">
        <v>47.1</v>
      </c>
      <c r="C239">
        <v>52.9</v>
      </c>
      <c r="D239">
        <v>51.5</v>
      </c>
      <c r="E239">
        <v>48.5</v>
      </c>
    </row>
    <row r="240" spans="1:5" x14ac:dyDescent="0.25">
      <c r="A240" s="1">
        <v>45165</v>
      </c>
      <c r="B240">
        <v>45.9</v>
      </c>
      <c r="C240">
        <v>54.1</v>
      </c>
      <c r="D240">
        <v>50.4</v>
      </c>
      <c r="E240">
        <v>49.6</v>
      </c>
    </row>
    <row r="241" spans="1:5" x14ac:dyDescent="0.25">
      <c r="A241" s="1">
        <v>45166</v>
      </c>
      <c r="B241">
        <v>47.4</v>
      </c>
      <c r="C241">
        <v>52.6</v>
      </c>
      <c r="D241">
        <v>44.7</v>
      </c>
      <c r="E241">
        <v>55.3</v>
      </c>
    </row>
    <row r="242" spans="1:5" x14ac:dyDescent="0.25">
      <c r="A242" s="1">
        <v>45167</v>
      </c>
      <c r="B242">
        <v>45</v>
      </c>
      <c r="C242">
        <v>55</v>
      </c>
      <c r="D242">
        <v>46.2</v>
      </c>
      <c r="E242">
        <v>53.8</v>
      </c>
    </row>
    <row r="243" spans="1:5" x14ac:dyDescent="0.25">
      <c r="A243" s="1">
        <v>45168</v>
      </c>
      <c r="B243">
        <v>46.5</v>
      </c>
      <c r="C243">
        <v>53.5</v>
      </c>
      <c r="D243">
        <v>43.9</v>
      </c>
      <c r="E243">
        <v>56.1</v>
      </c>
    </row>
    <row r="244" spans="1:5" x14ac:dyDescent="0.25">
      <c r="A244" s="1">
        <v>45169</v>
      </c>
      <c r="B244">
        <v>45.3</v>
      </c>
      <c r="C244">
        <v>54.7</v>
      </c>
      <c r="D244">
        <v>47.5</v>
      </c>
      <c r="E244">
        <v>52.5</v>
      </c>
    </row>
    <row r="245" spans="1:5" x14ac:dyDescent="0.25">
      <c r="A245" s="1">
        <v>45170</v>
      </c>
      <c r="B245">
        <v>46</v>
      </c>
      <c r="C245">
        <v>54</v>
      </c>
      <c r="D245">
        <v>45.1</v>
      </c>
      <c r="E245">
        <v>54.9</v>
      </c>
    </row>
    <row r="246" spans="1:5" x14ac:dyDescent="0.25">
      <c r="A246" s="1">
        <v>45171</v>
      </c>
      <c r="B246">
        <v>46.9</v>
      </c>
      <c r="C246">
        <v>53.1</v>
      </c>
      <c r="D246">
        <v>50.7</v>
      </c>
      <c r="E246">
        <v>49.3</v>
      </c>
    </row>
    <row r="247" spans="1:5" x14ac:dyDescent="0.25">
      <c r="A247" s="1">
        <v>45172</v>
      </c>
      <c r="B247">
        <v>47.1</v>
      </c>
      <c r="C247">
        <v>52.9</v>
      </c>
      <c r="D247">
        <v>50.9</v>
      </c>
      <c r="E247">
        <v>49.1</v>
      </c>
    </row>
    <row r="248" spans="1:5" x14ac:dyDescent="0.25">
      <c r="A248" s="1">
        <v>45173</v>
      </c>
      <c r="B248">
        <v>46</v>
      </c>
      <c r="C248">
        <v>54</v>
      </c>
      <c r="D248">
        <v>46</v>
      </c>
      <c r="E248">
        <v>54</v>
      </c>
    </row>
    <row r="249" spans="1:5" x14ac:dyDescent="0.25">
      <c r="A249" s="1">
        <v>45174</v>
      </c>
      <c r="B249">
        <v>45.5</v>
      </c>
      <c r="C249">
        <v>54.5</v>
      </c>
      <c r="D249">
        <v>45.3</v>
      </c>
      <c r="E249">
        <v>54.7</v>
      </c>
    </row>
    <row r="250" spans="1:5" x14ac:dyDescent="0.25">
      <c r="A250" s="1">
        <v>45175</v>
      </c>
      <c r="B250">
        <v>45.8</v>
      </c>
      <c r="C250">
        <v>54.2</v>
      </c>
      <c r="D250">
        <v>44.9</v>
      </c>
      <c r="E250">
        <v>55.1</v>
      </c>
    </row>
    <row r="251" spans="1:5" x14ac:dyDescent="0.25">
      <c r="A251" s="1">
        <v>45176</v>
      </c>
      <c r="B251">
        <v>46.3</v>
      </c>
      <c r="C251">
        <v>53.7</v>
      </c>
      <c r="D251">
        <v>43.7</v>
      </c>
      <c r="E251">
        <v>56.3</v>
      </c>
    </row>
    <row r="252" spans="1:5" x14ac:dyDescent="0.25">
      <c r="A252" s="1">
        <v>45177</v>
      </c>
      <c r="B252">
        <v>46.7</v>
      </c>
      <c r="C252">
        <v>53.3</v>
      </c>
      <c r="D252">
        <v>44.7</v>
      </c>
      <c r="E252">
        <v>55.3</v>
      </c>
    </row>
    <row r="253" spans="1:5" x14ac:dyDescent="0.25">
      <c r="A253" s="1">
        <v>45178</v>
      </c>
      <c r="B253">
        <v>47.2</v>
      </c>
      <c r="C253">
        <v>52.8</v>
      </c>
      <c r="D253">
        <v>51</v>
      </c>
      <c r="E253">
        <v>49</v>
      </c>
    </row>
    <row r="254" spans="1:5" x14ac:dyDescent="0.25">
      <c r="A254" s="1">
        <v>45179</v>
      </c>
      <c r="B254">
        <v>47.2</v>
      </c>
      <c r="C254">
        <v>52.8</v>
      </c>
      <c r="D254">
        <v>52.6</v>
      </c>
      <c r="E254">
        <v>47.4</v>
      </c>
    </row>
    <row r="255" spans="1:5" x14ac:dyDescent="0.25">
      <c r="A255" s="1">
        <v>45180</v>
      </c>
      <c r="B255">
        <v>47.1</v>
      </c>
      <c r="C255">
        <v>52.9</v>
      </c>
      <c r="D255">
        <v>44.1</v>
      </c>
      <c r="E255">
        <v>55.9</v>
      </c>
    </row>
    <row r="256" spans="1:5" x14ac:dyDescent="0.25">
      <c r="A256" s="1">
        <v>45181</v>
      </c>
      <c r="B256">
        <v>45.9</v>
      </c>
      <c r="C256">
        <v>54.1</v>
      </c>
      <c r="D256">
        <v>44</v>
      </c>
      <c r="E256">
        <v>56</v>
      </c>
    </row>
    <row r="257" spans="1:5" x14ac:dyDescent="0.25">
      <c r="A257" s="1">
        <v>45182</v>
      </c>
      <c r="B257">
        <v>46.5</v>
      </c>
      <c r="C257">
        <v>53.5</v>
      </c>
      <c r="D257">
        <v>45.4</v>
      </c>
      <c r="E257">
        <v>54.6</v>
      </c>
    </row>
    <row r="258" spans="1:5" x14ac:dyDescent="0.25">
      <c r="A258" s="1">
        <v>45183</v>
      </c>
      <c r="B258">
        <v>47.1</v>
      </c>
      <c r="C258">
        <v>52.9</v>
      </c>
      <c r="D258">
        <v>44.6</v>
      </c>
      <c r="E258">
        <v>55.4</v>
      </c>
    </row>
    <row r="259" spans="1:5" x14ac:dyDescent="0.25">
      <c r="A259" s="1">
        <v>45184</v>
      </c>
      <c r="B259">
        <v>46.8</v>
      </c>
      <c r="C259">
        <v>53.2</v>
      </c>
      <c r="D259">
        <v>45.5</v>
      </c>
      <c r="E259">
        <v>54.5</v>
      </c>
    </row>
    <row r="260" spans="1:5" x14ac:dyDescent="0.25">
      <c r="A260" s="1">
        <v>45185</v>
      </c>
      <c r="B260">
        <v>45.4</v>
      </c>
      <c r="C260">
        <v>54.6</v>
      </c>
      <c r="D260">
        <v>50.6</v>
      </c>
      <c r="E260">
        <v>49.4</v>
      </c>
    </row>
    <row r="261" spans="1:5" x14ac:dyDescent="0.25">
      <c r="A261" s="1">
        <v>45186</v>
      </c>
      <c r="B261">
        <v>45.8</v>
      </c>
      <c r="C261">
        <v>54.2</v>
      </c>
      <c r="D261">
        <v>51.8</v>
      </c>
      <c r="E261">
        <v>48.2</v>
      </c>
    </row>
    <row r="262" spans="1:5" x14ac:dyDescent="0.25">
      <c r="A262" s="1">
        <v>45187</v>
      </c>
      <c r="B262">
        <v>45.3</v>
      </c>
      <c r="C262">
        <v>54.7</v>
      </c>
      <c r="D262">
        <v>45.3</v>
      </c>
      <c r="E262">
        <v>54.7</v>
      </c>
    </row>
    <row r="263" spans="1:5" x14ac:dyDescent="0.25">
      <c r="A263" s="1">
        <v>45188</v>
      </c>
      <c r="B263">
        <v>46.8</v>
      </c>
      <c r="C263">
        <v>53.2</v>
      </c>
      <c r="D263">
        <v>44.3</v>
      </c>
      <c r="E263">
        <v>55.7</v>
      </c>
    </row>
    <row r="264" spans="1:5" x14ac:dyDescent="0.25">
      <c r="A264" s="1">
        <v>45189</v>
      </c>
      <c r="B264">
        <v>44.9</v>
      </c>
      <c r="C264">
        <v>55.1</v>
      </c>
      <c r="D264">
        <v>44.5</v>
      </c>
      <c r="E264">
        <v>55.5</v>
      </c>
    </row>
    <row r="265" spans="1:5" x14ac:dyDescent="0.25">
      <c r="A265" s="1">
        <v>45190</v>
      </c>
      <c r="B265">
        <v>46.1</v>
      </c>
      <c r="C265">
        <v>53.9</v>
      </c>
      <c r="D265">
        <v>44.9</v>
      </c>
      <c r="E265">
        <v>55.1</v>
      </c>
    </row>
    <row r="266" spans="1:5" x14ac:dyDescent="0.25">
      <c r="A266" s="1">
        <v>45191</v>
      </c>
      <c r="B266">
        <v>44.9</v>
      </c>
      <c r="C266">
        <v>55.1</v>
      </c>
      <c r="D266">
        <v>44.5</v>
      </c>
      <c r="E266">
        <v>55.5</v>
      </c>
    </row>
    <row r="267" spans="1:5" x14ac:dyDescent="0.25">
      <c r="A267" s="1">
        <v>45192</v>
      </c>
      <c r="B267">
        <v>46.1</v>
      </c>
      <c r="C267">
        <v>53.9</v>
      </c>
      <c r="D267">
        <v>48.4</v>
      </c>
      <c r="E267">
        <v>51.6</v>
      </c>
    </row>
    <row r="268" spans="1:5" x14ac:dyDescent="0.25">
      <c r="A268" s="1">
        <v>45193</v>
      </c>
      <c r="B268">
        <v>46.9</v>
      </c>
      <c r="C268">
        <v>53.1</v>
      </c>
      <c r="D268">
        <v>51.5</v>
      </c>
      <c r="E268">
        <v>48.5</v>
      </c>
    </row>
    <row r="269" spans="1:5" x14ac:dyDescent="0.25">
      <c r="A269" s="1">
        <v>45194</v>
      </c>
      <c r="B269">
        <v>47.3</v>
      </c>
      <c r="C269">
        <v>52.7</v>
      </c>
      <c r="D269">
        <v>44.6</v>
      </c>
      <c r="E269">
        <v>55.4</v>
      </c>
    </row>
    <row r="270" spans="1:5" x14ac:dyDescent="0.25">
      <c r="A270" s="1">
        <v>45195</v>
      </c>
      <c r="B270">
        <v>44.8</v>
      </c>
      <c r="C270">
        <v>55.2</v>
      </c>
      <c r="D270">
        <v>45.4</v>
      </c>
      <c r="E270">
        <v>54.6</v>
      </c>
    </row>
    <row r="271" spans="1:5" x14ac:dyDescent="0.25">
      <c r="A271" s="1">
        <v>45196</v>
      </c>
      <c r="B271">
        <v>47.1</v>
      </c>
      <c r="C271">
        <v>52.9</v>
      </c>
      <c r="D271">
        <v>44.4</v>
      </c>
      <c r="E271">
        <v>55.6</v>
      </c>
    </row>
    <row r="272" spans="1:5" x14ac:dyDescent="0.25">
      <c r="A272" s="1">
        <v>45197</v>
      </c>
      <c r="B272">
        <v>45.2</v>
      </c>
      <c r="C272">
        <v>54.8</v>
      </c>
      <c r="D272">
        <v>45.7</v>
      </c>
      <c r="E272">
        <v>54.3</v>
      </c>
    </row>
    <row r="273" spans="1:5" x14ac:dyDescent="0.25">
      <c r="A273" s="1">
        <v>45198</v>
      </c>
      <c r="B273">
        <v>45.5</v>
      </c>
      <c r="C273">
        <v>54.5</v>
      </c>
      <c r="D273">
        <v>43.8</v>
      </c>
      <c r="E273">
        <v>56.2</v>
      </c>
    </row>
    <row r="274" spans="1:5" x14ac:dyDescent="0.25">
      <c r="A274" s="1">
        <v>45199</v>
      </c>
      <c r="B274">
        <v>45.9</v>
      </c>
      <c r="C274">
        <v>54.1</v>
      </c>
      <c r="D274">
        <v>49.9</v>
      </c>
      <c r="E274">
        <v>50.1</v>
      </c>
    </row>
    <row r="275" spans="1:5" x14ac:dyDescent="0.25">
      <c r="A275" s="1">
        <v>45200</v>
      </c>
      <c r="B275">
        <v>47</v>
      </c>
      <c r="C275">
        <v>53</v>
      </c>
      <c r="D275">
        <v>48.8</v>
      </c>
      <c r="E275">
        <v>51.2</v>
      </c>
    </row>
    <row r="276" spans="1:5" x14ac:dyDescent="0.25">
      <c r="A276" s="1">
        <v>45201</v>
      </c>
      <c r="B276">
        <v>45</v>
      </c>
      <c r="C276">
        <v>55</v>
      </c>
      <c r="D276">
        <v>44.7</v>
      </c>
      <c r="E276">
        <v>55.3</v>
      </c>
    </row>
    <row r="277" spans="1:5" x14ac:dyDescent="0.25">
      <c r="A277" s="1">
        <v>45202</v>
      </c>
      <c r="B277">
        <v>45.5</v>
      </c>
      <c r="C277">
        <v>54.5</v>
      </c>
      <c r="D277">
        <v>43.8</v>
      </c>
      <c r="E277">
        <v>56.2</v>
      </c>
    </row>
    <row r="278" spans="1:5" x14ac:dyDescent="0.25">
      <c r="A278" s="1">
        <v>45203</v>
      </c>
      <c r="B278">
        <v>45.2</v>
      </c>
      <c r="C278">
        <v>54.8</v>
      </c>
      <c r="D278">
        <v>43.6</v>
      </c>
      <c r="E278">
        <v>56.4</v>
      </c>
    </row>
    <row r="279" spans="1:5" x14ac:dyDescent="0.25">
      <c r="A279" s="1">
        <v>45204</v>
      </c>
      <c r="B279">
        <v>45.1</v>
      </c>
      <c r="C279">
        <v>54.9</v>
      </c>
      <c r="D279">
        <v>44.7</v>
      </c>
      <c r="E279">
        <v>55.3</v>
      </c>
    </row>
    <row r="280" spans="1:5" x14ac:dyDescent="0.25">
      <c r="A280" s="1">
        <v>45205</v>
      </c>
      <c r="B280">
        <v>45.2</v>
      </c>
      <c r="C280">
        <v>54.8</v>
      </c>
      <c r="D280">
        <v>45</v>
      </c>
      <c r="E280">
        <v>55</v>
      </c>
    </row>
    <row r="281" spans="1:5" x14ac:dyDescent="0.25">
      <c r="A281" s="1">
        <v>45206</v>
      </c>
      <c r="B281">
        <v>47.3</v>
      </c>
      <c r="C281">
        <v>52.7</v>
      </c>
      <c r="D281">
        <v>51</v>
      </c>
      <c r="E281">
        <v>49</v>
      </c>
    </row>
    <row r="282" spans="1:5" x14ac:dyDescent="0.25">
      <c r="A282" s="1">
        <v>45207</v>
      </c>
      <c r="B282">
        <v>47</v>
      </c>
      <c r="C282">
        <v>53</v>
      </c>
      <c r="D282">
        <v>50.7</v>
      </c>
      <c r="E282">
        <v>49.3</v>
      </c>
    </row>
    <row r="283" spans="1:5" x14ac:dyDescent="0.25">
      <c r="A283" s="1">
        <v>45208</v>
      </c>
      <c r="B283">
        <v>44.8</v>
      </c>
      <c r="C283">
        <v>55.2</v>
      </c>
      <c r="D283">
        <v>42.6</v>
      </c>
      <c r="E283">
        <v>57.4</v>
      </c>
    </row>
    <row r="284" spans="1:5" x14ac:dyDescent="0.25">
      <c r="A284" s="1">
        <v>45209</v>
      </c>
      <c r="B284">
        <v>45.6</v>
      </c>
      <c r="C284">
        <v>54.4</v>
      </c>
      <c r="D284">
        <v>44.5</v>
      </c>
      <c r="E284">
        <v>55.5</v>
      </c>
    </row>
    <row r="285" spans="1:5" x14ac:dyDescent="0.25">
      <c r="A285" s="1">
        <v>45210</v>
      </c>
      <c r="B285">
        <v>45.9</v>
      </c>
      <c r="C285">
        <v>54.1</v>
      </c>
      <c r="D285">
        <v>44.1</v>
      </c>
      <c r="E285">
        <v>55.9</v>
      </c>
    </row>
    <row r="286" spans="1:5" x14ac:dyDescent="0.25">
      <c r="A286" s="1">
        <v>45211</v>
      </c>
      <c r="B286">
        <v>46.2</v>
      </c>
      <c r="C286">
        <v>53.8</v>
      </c>
      <c r="D286">
        <v>43.9</v>
      </c>
      <c r="E286">
        <v>56.1</v>
      </c>
    </row>
    <row r="287" spans="1:5" x14ac:dyDescent="0.25">
      <c r="A287" s="1">
        <v>45212</v>
      </c>
      <c r="B287">
        <v>47.4</v>
      </c>
      <c r="C287">
        <v>52.6</v>
      </c>
      <c r="D287">
        <v>43.6</v>
      </c>
      <c r="E287">
        <v>56.4</v>
      </c>
    </row>
    <row r="288" spans="1:5" x14ac:dyDescent="0.25">
      <c r="A288" s="1">
        <v>45213</v>
      </c>
      <c r="B288">
        <v>41.9</v>
      </c>
      <c r="C288">
        <v>58.1</v>
      </c>
      <c r="D288">
        <v>48.9</v>
      </c>
      <c r="E288">
        <v>51.1</v>
      </c>
    </row>
    <row r="289" spans="1:5" x14ac:dyDescent="0.25">
      <c r="A289" s="1">
        <v>45214</v>
      </c>
      <c r="B289">
        <v>47.4</v>
      </c>
      <c r="C289">
        <v>52.6</v>
      </c>
      <c r="D289">
        <v>52.5</v>
      </c>
      <c r="E289">
        <v>47.5</v>
      </c>
    </row>
    <row r="290" spans="1:5" x14ac:dyDescent="0.25">
      <c r="A290" s="1">
        <v>45215</v>
      </c>
      <c r="B290">
        <v>47</v>
      </c>
      <c r="C290">
        <v>53</v>
      </c>
      <c r="D290">
        <v>44.8</v>
      </c>
      <c r="E290">
        <v>55.2</v>
      </c>
    </row>
    <row r="291" spans="1:5" x14ac:dyDescent="0.25">
      <c r="A291" s="1">
        <v>45216</v>
      </c>
      <c r="B291">
        <v>46.7</v>
      </c>
      <c r="C291">
        <v>53.3</v>
      </c>
      <c r="D291">
        <v>43</v>
      </c>
      <c r="E291">
        <v>57</v>
      </c>
    </row>
    <row r="292" spans="1:5" x14ac:dyDescent="0.25">
      <c r="A292" s="1">
        <v>45217</v>
      </c>
      <c r="B292">
        <v>46.4</v>
      </c>
      <c r="C292">
        <v>53.6</v>
      </c>
      <c r="D292">
        <v>45.5</v>
      </c>
      <c r="E292">
        <v>54.5</v>
      </c>
    </row>
    <row r="293" spans="1:5" x14ac:dyDescent="0.25">
      <c r="A293" s="1">
        <v>45218</v>
      </c>
      <c r="B293">
        <v>46.1</v>
      </c>
      <c r="C293">
        <v>53.9</v>
      </c>
      <c r="D293">
        <v>45.7</v>
      </c>
      <c r="E293">
        <v>54.3</v>
      </c>
    </row>
    <row r="294" spans="1:5" x14ac:dyDescent="0.25">
      <c r="A294" s="1">
        <v>45219</v>
      </c>
      <c r="B294">
        <v>47.3</v>
      </c>
      <c r="C294">
        <v>52.7</v>
      </c>
      <c r="D294">
        <v>43.7</v>
      </c>
      <c r="E294">
        <v>56.3</v>
      </c>
    </row>
    <row r="295" spans="1:5" x14ac:dyDescent="0.25">
      <c r="A295" s="1">
        <v>45220</v>
      </c>
      <c r="B295">
        <v>46</v>
      </c>
      <c r="C295">
        <v>54</v>
      </c>
      <c r="D295">
        <v>50.6</v>
      </c>
      <c r="E295">
        <v>49.4</v>
      </c>
    </row>
    <row r="296" spans="1:5" x14ac:dyDescent="0.25">
      <c r="A296" s="1">
        <v>45221</v>
      </c>
      <c r="B296">
        <v>47.1</v>
      </c>
      <c r="C296">
        <v>52.9</v>
      </c>
      <c r="D296">
        <v>48.5</v>
      </c>
      <c r="E296">
        <v>51.5</v>
      </c>
    </row>
    <row r="297" spans="1:5" x14ac:dyDescent="0.25">
      <c r="A297" s="1">
        <v>45222</v>
      </c>
      <c r="B297">
        <v>44.1</v>
      </c>
      <c r="C297">
        <v>55.9</v>
      </c>
      <c r="D297">
        <v>44.5</v>
      </c>
      <c r="E297">
        <v>55.5</v>
      </c>
    </row>
    <row r="298" spans="1:5" x14ac:dyDescent="0.25">
      <c r="A298" s="1">
        <v>45223</v>
      </c>
      <c r="B298">
        <v>47.5</v>
      </c>
      <c r="C298">
        <v>52.5</v>
      </c>
      <c r="D298">
        <v>45.2</v>
      </c>
      <c r="E298">
        <v>54.8</v>
      </c>
    </row>
    <row r="299" spans="1:5" x14ac:dyDescent="0.25">
      <c r="A299" s="1">
        <v>45224</v>
      </c>
      <c r="B299">
        <v>45.2</v>
      </c>
      <c r="C299">
        <v>54.8</v>
      </c>
      <c r="D299">
        <v>43.9</v>
      </c>
      <c r="E299">
        <v>56.1</v>
      </c>
    </row>
    <row r="300" spans="1:5" x14ac:dyDescent="0.25">
      <c r="A300" s="1">
        <v>45225</v>
      </c>
      <c r="B300">
        <v>47.2</v>
      </c>
      <c r="C300">
        <v>52.8</v>
      </c>
      <c r="D300">
        <v>45.3</v>
      </c>
      <c r="E300">
        <v>54.7</v>
      </c>
    </row>
    <row r="301" spans="1:5" x14ac:dyDescent="0.25">
      <c r="A301" s="1">
        <v>45226</v>
      </c>
      <c r="B301">
        <v>47.2</v>
      </c>
      <c r="C301">
        <v>52.8</v>
      </c>
      <c r="D301">
        <v>43.7</v>
      </c>
      <c r="E301">
        <v>56.3</v>
      </c>
    </row>
    <row r="302" spans="1:5" x14ac:dyDescent="0.25">
      <c r="A302" s="1">
        <v>45227</v>
      </c>
      <c r="B302">
        <v>46.6</v>
      </c>
      <c r="C302">
        <v>53.4</v>
      </c>
      <c r="D302">
        <v>48.6</v>
      </c>
      <c r="E302">
        <v>51.4</v>
      </c>
    </row>
    <row r="303" spans="1:5" x14ac:dyDescent="0.25">
      <c r="A303" s="1">
        <v>45228</v>
      </c>
      <c r="B303">
        <v>45.7</v>
      </c>
      <c r="C303">
        <v>54.3</v>
      </c>
      <c r="D303">
        <v>49.1</v>
      </c>
      <c r="E303">
        <v>50.9</v>
      </c>
    </row>
    <row r="304" spans="1:5" x14ac:dyDescent="0.25">
      <c r="A304" s="1">
        <v>45229</v>
      </c>
      <c r="B304">
        <v>45.6</v>
      </c>
      <c r="C304">
        <v>54.4</v>
      </c>
      <c r="D304">
        <v>44</v>
      </c>
      <c r="E304">
        <v>56</v>
      </c>
    </row>
    <row r="305" spans="1:5" x14ac:dyDescent="0.25">
      <c r="A305" s="1">
        <v>45230</v>
      </c>
      <c r="B305">
        <v>47.1</v>
      </c>
      <c r="C305">
        <v>52.9</v>
      </c>
      <c r="D305">
        <v>44</v>
      </c>
      <c r="E305">
        <v>56</v>
      </c>
    </row>
    <row r="306" spans="1:5" x14ac:dyDescent="0.25">
      <c r="A306" s="1">
        <v>45231</v>
      </c>
      <c r="B306">
        <v>45.8</v>
      </c>
      <c r="C306">
        <v>54.2</v>
      </c>
      <c r="D306">
        <v>44.6</v>
      </c>
      <c r="E306">
        <v>55.4</v>
      </c>
    </row>
    <row r="307" spans="1:5" x14ac:dyDescent="0.25">
      <c r="A307" s="1">
        <v>45232</v>
      </c>
      <c r="B307">
        <v>44.7</v>
      </c>
      <c r="C307">
        <v>55.3</v>
      </c>
      <c r="D307">
        <v>44.1</v>
      </c>
      <c r="E307">
        <v>55.9</v>
      </c>
    </row>
    <row r="308" spans="1:5" x14ac:dyDescent="0.25">
      <c r="A308" s="1">
        <v>45233</v>
      </c>
      <c r="B308">
        <v>46.1</v>
      </c>
      <c r="C308">
        <v>53.9</v>
      </c>
      <c r="D308">
        <v>44.6</v>
      </c>
      <c r="E308">
        <v>55.4</v>
      </c>
    </row>
    <row r="309" spans="1:5" x14ac:dyDescent="0.25">
      <c r="A309" s="1">
        <v>45234</v>
      </c>
      <c r="B309">
        <v>46.1</v>
      </c>
      <c r="C309">
        <v>53.9</v>
      </c>
      <c r="D309">
        <v>52.4</v>
      </c>
      <c r="E309">
        <v>47.6</v>
      </c>
    </row>
    <row r="310" spans="1:5" x14ac:dyDescent="0.25">
      <c r="A310" s="1">
        <v>45235</v>
      </c>
      <c r="B310">
        <v>46.8</v>
      </c>
      <c r="C310">
        <v>53.2</v>
      </c>
      <c r="D310">
        <v>49</v>
      </c>
      <c r="E310">
        <v>51</v>
      </c>
    </row>
    <row r="311" spans="1:5" x14ac:dyDescent="0.25">
      <c r="A311" s="1">
        <v>45236</v>
      </c>
      <c r="B311">
        <v>45.6</v>
      </c>
      <c r="C311">
        <v>54.4</v>
      </c>
      <c r="D311">
        <v>44.3</v>
      </c>
      <c r="E311">
        <v>55.7</v>
      </c>
    </row>
    <row r="312" spans="1:5" x14ac:dyDescent="0.25">
      <c r="A312" s="1">
        <v>45237</v>
      </c>
      <c r="B312">
        <v>46.3</v>
      </c>
      <c r="C312">
        <v>53.7</v>
      </c>
      <c r="D312">
        <v>41.9</v>
      </c>
      <c r="E312">
        <v>58.1</v>
      </c>
    </row>
    <row r="313" spans="1:5" x14ac:dyDescent="0.25">
      <c r="A313" s="1">
        <v>45238</v>
      </c>
      <c r="B313">
        <v>46.1</v>
      </c>
      <c r="C313">
        <v>53.9</v>
      </c>
      <c r="D313">
        <v>45</v>
      </c>
      <c r="E313">
        <v>55</v>
      </c>
    </row>
    <row r="314" spans="1:5" x14ac:dyDescent="0.25">
      <c r="A314" s="1">
        <v>45239</v>
      </c>
      <c r="B314">
        <v>48</v>
      </c>
      <c r="C314">
        <v>52</v>
      </c>
      <c r="D314">
        <v>43.5</v>
      </c>
      <c r="E314">
        <v>56.5</v>
      </c>
    </row>
    <row r="315" spans="1:5" x14ac:dyDescent="0.25">
      <c r="A315" s="1">
        <v>45240</v>
      </c>
      <c r="B315">
        <v>47.5</v>
      </c>
      <c r="C315">
        <v>52.5</v>
      </c>
      <c r="D315">
        <v>42.3</v>
      </c>
      <c r="E315">
        <v>57.7</v>
      </c>
    </row>
    <row r="316" spans="1:5" x14ac:dyDescent="0.25">
      <c r="A316" s="1">
        <v>45241</v>
      </c>
      <c r="B316">
        <v>46.7</v>
      </c>
      <c r="C316">
        <v>53.3</v>
      </c>
      <c r="D316">
        <v>50.6</v>
      </c>
      <c r="E316">
        <v>49.4</v>
      </c>
    </row>
    <row r="317" spans="1:5" x14ac:dyDescent="0.25">
      <c r="A317" s="1">
        <v>45242</v>
      </c>
      <c r="B317">
        <v>45</v>
      </c>
      <c r="C317">
        <v>55</v>
      </c>
      <c r="D317">
        <v>48.6</v>
      </c>
      <c r="E317">
        <v>51.4</v>
      </c>
    </row>
    <row r="318" spans="1:5" x14ac:dyDescent="0.25">
      <c r="A318" s="1">
        <v>45243</v>
      </c>
      <c r="B318">
        <v>48</v>
      </c>
      <c r="C318">
        <v>52</v>
      </c>
      <c r="D318">
        <v>44.1</v>
      </c>
      <c r="E318">
        <v>55.9</v>
      </c>
    </row>
    <row r="319" spans="1:5" x14ac:dyDescent="0.25">
      <c r="A319" s="1">
        <v>45244</v>
      </c>
      <c r="B319">
        <v>47.8</v>
      </c>
      <c r="C319">
        <v>52.2</v>
      </c>
      <c r="D319">
        <v>43.5</v>
      </c>
      <c r="E319">
        <v>56.5</v>
      </c>
    </row>
    <row r="320" spans="1:5" x14ac:dyDescent="0.25">
      <c r="A320" s="1">
        <v>45245</v>
      </c>
      <c r="B320">
        <v>47.7</v>
      </c>
      <c r="C320">
        <v>52.3</v>
      </c>
      <c r="D320">
        <v>45.6</v>
      </c>
      <c r="E320">
        <v>54.4</v>
      </c>
    </row>
    <row r="321" spans="1:5" x14ac:dyDescent="0.25">
      <c r="A321" s="1">
        <v>45246</v>
      </c>
      <c r="B321">
        <v>47.1</v>
      </c>
      <c r="C321">
        <v>52.9</v>
      </c>
      <c r="D321">
        <v>44.6</v>
      </c>
      <c r="E321">
        <v>55.4</v>
      </c>
    </row>
    <row r="322" spans="1:5" x14ac:dyDescent="0.25">
      <c r="A322" s="1">
        <v>45247</v>
      </c>
      <c r="B322">
        <v>46.2</v>
      </c>
      <c r="C322">
        <v>53.8</v>
      </c>
      <c r="D322">
        <v>46</v>
      </c>
      <c r="E322">
        <v>54</v>
      </c>
    </row>
    <row r="323" spans="1:5" x14ac:dyDescent="0.25">
      <c r="A323" s="1">
        <v>45248</v>
      </c>
      <c r="B323">
        <v>45</v>
      </c>
      <c r="C323">
        <v>55</v>
      </c>
      <c r="D323">
        <v>50.4</v>
      </c>
      <c r="E323">
        <v>49.6</v>
      </c>
    </row>
    <row r="324" spans="1:5" x14ac:dyDescent="0.25">
      <c r="A324" s="1">
        <v>45249</v>
      </c>
      <c r="B324">
        <v>47</v>
      </c>
      <c r="C324">
        <v>53</v>
      </c>
      <c r="D324">
        <v>48</v>
      </c>
      <c r="E324">
        <v>52</v>
      </c>
    </row>
    <row r="325" spans="1:5" x14ac:dyDescent="0.25">
      <c r="A325" s="1">
        <v>45250</v>
      </c>
      <c r="B325">
        <v>48</v>
      </c>
      <c r="C325">
        <v>52</v>
      </c>
      <c r="D325">
        <v>44.9</v>
      </c>
      <c r="E325">
        <v>55.1</v>
      </c>
    </row>
    <row r="326" spans="1:5" x14ac:dyDescent="0.25">
      <c r="A326" s="1">
        <v>45251</v>
      </c>
      <c r="B326">
        <v>45.7</v>
      </c>
      <c r="C326">
        <v>54.3</v>
      </c>
      <c r="D326">
        <v>44.8</v>
      </c>
      <c r="E326">
        <v>55.2</v>
      </c>
    </row>
    <row r="327" spans="1:5" x14ac:dyDescent="0.25">
      <c r="A327" s="1">
        <v>45252</v>
      </c>
      <c r="B327">
        <v>45.2</v>
      </c>
      <c r="C327">
        <v>54.8</v>
      </c>
      <c r="D327">
        <v>43.3</v>
      </c>
      <c r="E327">
        <v>56.7</v>
      </c>
    </row>
    <row r="328" spans="1:5" x14ac:dyDescent="0.25">
      <c r="A328" s="1">
        <v>45253</v>
      </c>
      <c r="B328">
        <v>46.7</v>
      </c>
      <c r="C328">
        <v>53.3</v>
      </c>
      <c r="D328">
        <v>43.5</v>
      </c>
      <c r="E328">
        <v>56.5</v>
      </c>
    </row>
    <row r="329" spans="1:5" x14ac:dyDescent="0.25">
      <c r="A329" s="1">
        <v>45254</v>
      </c>
      <c r="B329">
        <v>46.2</v>
      </c>
      <c r="C329">
        <v>53.8</v>
      </c>
      <c r="D329">
        <v>43.2</v>
      </c>
      <c r="E329">
        <v>56.8</v>
      </c>
    </row>
    <row r="330" spans="1:5" x14ac:dyDescent="0.25">
      <c r="A330" s="1">
        <v>45255</v>
      </c>
      <c r="B330">
        <v>47.4</v>
      </c>
      <c r="C330">
        <v>52.6</v>
      </c>
      <c r="D330">
        <v>51.9</v>
      </c>
      <c r="E330">
        <v>48.1</v>
      </c>
    </row>
    <row r="331" spans="1:5" x14ac:dyDescent="0.25">
      <c r="A331" s="1">
        <v>45256</v>
      </c>
      <c r="B331">
        <v>47.8</v>
      </c>
      <c r="C331">
        <v>52.2</v>
      </c>
      <c r="D331">
        <v>49.8</v>
      </c>
      <c r="E331">
        <v>50.2</v>
      </c>
    </row>
    <row r="332" spans="1:5" x14ac:dyDescent="0.25">
      <c r="A332" s="1">
        <v>45257</v>
      </c>
      <c r="B332">
        <v>47</v>
      </c>
      <c r="C332">
        <v>53</v>
      </c>
      <c r="D332">
        <v>43.1</v>
      </c>
      <c r="E332">
        <v>56.9</v>
      </c>
    </row>
    <row r="333" spans="1:5" x14ac:dyDescent="0.25">
      <c r="A333" s="1">
        <v>45258</v>
      </c>
      <c r="B333">
        <v>48</v>
      </c>
      <c r="C333">
        <v>52</v>
      </c>
      <c r="D333">
        <v>43.5</v>
      </c>
      <c r="E333">
        <v>56.5</v>
      </c>
    </row>
    <row r="334" spans="1:5" x14ac:dyDescent="0.25">
      <c r="A334" s="1">
        <v>45259</v>
      </c>
      <c r="B334">
        <v>47.5</v>
      </c>
      <c r="C334">
        <v>52.5</v>
      </c>
      <c r="D334">
        <v>43.8</v>
      </c>
      <c r="E334">
        <v>56.2</v>
      </c>
    </row>
    <row r="335" spans="1:5" x14ac:dyDescent="0.25">
      <c r="A335" s="1">
        <v>45260</v>
      </c>
      <c r="B335">
        <v>47.7</v>
      </c>
      <c r="C335">
        <v>52.3</v>
      </c>
      <c r="D335">
        <v>42.9</v>
      </c>
      <c r="E335">
        <v>57.1</v>
      </c>
    </row>
    <row r="336" spans="1:5" x14ac:dyDescent="0.25">
      <c r="A336" s="1">
        <v>45261</v>
      </c>
      <c r="B336">
        <v>47.1</v>
      </c>
      <c r="C336">
        <v>52.9</v>
      </c>
      <c r="D336">
        <v>44.2</v>
      </c>
      <c r="E336">
        <v>55.8</v>
      </c>
    </row>
    <row r="337" spans="1:5" x14ac:dyDescent="0.25">
      <c r="A337" s="1">
        <v>45262</v>
      </c>
      <c r="B337">
        <v>48.4</v>
      </c>
      <c r="C337">
        <v>51.6</v>
      </c>
      <c r="D337">
        <v>48.4</v>
      </c>
      <c r="E337">
        <v>51.6</v>
      </c>
    </row>
    <row r="338" spans="1:5" x14ac:dyDescent="0.25">
      <c r="A338" s="1">
        <v>45263</v>
      </c>
      <c r="B338">
        <v>46.5</v>
      </c>
      <c r="C338">
        <v>53.5</v>
      </c>
      <c r="D338">
        <v>50.8</v>
      </c>
      <c r="E338">
        <v>49.2</v>
      </c>
    </row>
    <row r="339" spans="1:5" x14ac:dyDescent="0.25">
      <c r="A339" s="1">
        <v>45264</v>
      </c>
      <c r="B339">
        <v>46.5</v>
      </c>
      <c r="C339">
        <v>53.5</v>
      </c>
      <c r="D339">
        <v>46.4</v>
      </c>
      <c r="E339">
        <v>53.6</v>
      </c>
    </row>
    <row r="340" spans="1:5" x14ac:dyDescent="0.25">
      <c r="A340" s="1">
        <v>45265</v>
      </c>
      <c r="B340">
        <v>47.6</v>
      </c>
      <c r="C340">
        <v>52.4</v>
      </c>
      <c r="D340">
        <v>41.8</v>
      </c>
      <c r="E340">
        <v>58.2</v>
      </c>
    </row>
    <row r="341" spans="1:5" x14ac:dyDescent="0.25">
      <c r="A341" s="1">
        <v>45266</v>
      </c>
      <c r="B341">
        <v>48.1</v>
      </c>
      <c r="C341">
        <v>51.9</v>
      </c>
      <c r="D341">
        <v>46.4</v>
      </c>
      <c r="E341">
        <v>53.6</v>
      </c>
    </row>
    <row r="342" spans="1:5" x14ac:dyDescent="0.25">
      <c r="A342" s="1">
        <v>45267</v>
      </c>
      <c r="B342">
        <v>46</v>
      </c>
      <c r="C342">
        <v>54</v>
      </c>
      <c r="D342">
        <v>42.5</v>
      </c>
      <c r="E342">
        <v>57.5</v>
      </c>
    </row>
    <row r="343" spans="1:5" x14ac:dyDescent="0.25">
      <c r="A343" s="1">
        <v>45268</v>
      </c>
      <c r="B343">
        <v>48.1</v>
      </c>
      <c r="C343">
        <v>51.9</v>
      </c>
      <c r="D343">
        <v>44.9</v>
      </c>
      <c r="E343">
        <v>55.1</v>
      </c>
    </row>
    <row r="344" spans="1:5" x14ac:dyDescent="0.25">
      <c r="A344" s="1">
        <v>45269</v>
      </c>
      <c r="B344">
        <v>47.7</v>
      </c>
      <c r="C344">
        <v>52.3</v>
      </c>
      <c r="D344">
        <v>48.6</v>
      </c>
      <c r="E344">
        <v>51.4</v>
      </c>
    </row>
    <row r="345" spans="1:5" x14ac:dyDescent="0.25">
      <c r="A345" s="1">
        <v>45270</v>
      </c>
      <c r="B345">
        <v>48.2</v>
      </c>
      <c r="C345">
        <v>51.8</v>
      </c>
      <c r="D345">
        <v>50.7</v>
      </c>
      <c r="E345">
        <v>49.3</v>
      </c>
    </row>
    <row r="346" spans="1:5" x14ac:dyDescent="0.25">
      <c r="A346" s="1">
        <v>45271</v>
      </c>
      <c r="B346">
        <v>47.1</v>
      </c>
      <c r="C346">
        <v>52.9</v>
      </c>
      <c r="D346">
        <v>45.1</v>
      </c>
      <c r="E346">
        <v>54.9</v>
      </c>
    </row>
    <row r="347" spans="1:5" x14ac:dyDescent="0.25">
      <c r="A347" s="1">
        <v>45272</v>
      </c>
      <c r="B347">
        <v>49.5</v>
      </c>
      <c r="C347">
        <v>50.5</v>
      </c>
      <c r="D347">
        <v>42.7</v>
      </c>
      <c r="E347">
        <v>57.3</v>
      </c>
    </row>
    <row r="348" spans="1:5" x14ac:dyDescent="0.25">
      <c r="A348" s="1">
        <v>45273</v>
      </c>
      <c r="B348">
        <v>47.9</v>
      </c>
      <c r="C348">
        <v>52.1</v>
      </c>
      <c r="D348">
        <v>43.7</v>
      </c>
      <c r="E348">
        <v>56.3</v>
      </c>
    </row>
    <row r="349" spans="1:5" x14ac:dyDescent="0.25">
      <c r="A349" s="1">
        <v>45274</v>
      </c>
      <c r="B349">
        <v>48.5</v>
      </c>
      <c r="C349">
        <v>51.5</v>
      </c>
      <c r="D349">
        <v>44.5</v>
      </c>
      <c r="E349">
        <v>55.5</v>
      </c>
    </row>
    <row r="350" spans="1:5" x14ac:dyDescent="0.25">
      <c r="A350" s="1">
        <v>45275</v>
      </c>
      <c r="B350">
        <v>47.2</v>
      </c>
      <c r="C350">
        <v>52.8</v>
      </c>
      <c r="D350">
        <v>44.4</v>
      </c>
      <c r="E350">
        <v>55.6</v>
      </c>
    </row>
    <row r="351" spans="1:5" x14ac:dyDescent="0.25">
      <c r="A351" s="1">
        <v>45276</v>
      </c>
      <c r="B351">
        <v>50.4</v>
      </c>
      <c r="C351">
        <v>49.6</v>
      </c>
      <c r="D351">
        <v>51.4</v>
      </c>
      <c r="E351">
        <v>48.6</v>
      </c>
    </row>
    <row r="352" spans="1:5" x14ac:dyDescent="0.25">
      <c r="A352" s="1">
        <v>45277</v>
      </c>
      <c r="B352">
        <v>47.2</v>
      </c>
      <c r="C352">
        <v>52.8</v>
      </c>
      <c r="D352">
        <v>51.1</v>
      </c>
      <c r="E352">
        <v>48.9</v>
      </c>
    </row>
    <row r="353" spans="1:5" x14ac:dyDescent="0.25">
      <c r="A353" s="1">
        <v>45278</v>
      </c>
      <c r="B353">
        <v>47.4</v>
      </c>
      <c r="C353">
        <v>52.6</v>
      </c>
      <c r="D353">
        <v>45.5</v>
      </c>
      <c r="E353">
        <v>54.5</v>
      </c>
    </row>
    <row r="354" spans="1:5" x14ac:dyDescent="0.25">
      <c r="A354" s="1">
        <v>45279</v>
      </c>
      <c r="B354">
        <v>48.2</v>
      </c>
      <c r="C354">
        <v>51.8</v>
      </c>
      <c r="D354">
        <v>43.5</v>
      </c>
      <c r="E354">
        <v>56.5</v>
      </c>
    </row>
    <row r="355" spans="1:5" x14ac:dyDescent="0.25">
      <c r="A355" s="1">
        <v>45280</v>
      </c>
      <c r="B355">
        <v>48.7</v>
      </c>
      <c r="C355">
        <v>51.3</v>
      </c>
      <c r="D355">
        <v>43.2</v>
      </c>
      <c r="E355">
        <v>56.8</v>
      </c>
    </row>
    <row r="356" spans="1:5" x14ac:dyDescent="0.25">
      <c r="A356" s="1">
        <v>45281</v>
      </c>
      <c r="B356">
        <v>48.9</v>
      </c>
      <c r="C356">
        <v>51.1</v>
      </c>
      <c r="D356">
        <v>43</v>
      </c>
      <c r="E356">
        <v>57</v>
      </c>
    </row>
    <row r="357" spans="1:5" x14ac:dyDescent="0.25">
      <c r="A357" s="1">
        <v>45282</v>
      </c>
      <c r="B357">
        <v>48.2</v>
      </c>
      <c r="C357">
        <v>51.8</v>
      </c>
      <c r="D357">
        <v>45.2</v>
      </c>
      <c r="E357">
        <v>54.8</v>
      </c>
    </row>
    <row r="358" spans="1:5" x14ac:dyDescent="0.25">
      <c r="A358" s="1">
        <v>45283</v>
      </c>
      <c r="B358">
        <v>50.3</v>
      </c>
      <c r="C358">
        <v>49.7</v>
      </c>
      <c r="D358">
        <v>50.7</v>
      </c>
      <c r="E358">
        <v>49.3</v>
      </c>
    </row>
    <row r="359" spans="1:5" x14ac:dyDescent="0.25">
      <c r="A359" s="1">
        <v>45284</v>
      </c>
      <c r="B359">
        <v>49.6</v>
      </c>
      <c r="C359">
        <v>50.4</v>
      </c>
      <c r="D359">
        <v>49.6</v>
      </c>
      <c r="E359">
        <v>50.4</v>
      </c>
    </row>
    <row r="360" spans="1:5" x14ac:dyDescent="0.25">
      <c r="A360" s="1">
        <v>45285</v>
      </c>
      <c r="B360">
        <v>47.7</v>
      </c>
      <c r="C360">
        <v>52.3</v>
      </c>
      <c r="D360">
        <v>44.9</v>
      </c>
      <c r="E360">
        <v>55.1</v>
      </c>
    </row>
    <row r="361" spans="1:5" x14ac:dyDescent="0.25">
      <c r="A361" s="1">
        <v>45286</v>
      </c>
      <c r="B361">
        <v>47.2</v>
      </c>
      <c r="C361">
        <v>52.8</v>
      </c>
      <c r="D361">
        <v>43.5</v>
      </c>
      <c r="E361">
        <v>56.5</v>
      </c>
    </row>
    <row r="362" spans="1:5" x14ac:dyDescent="0.25">
      <c r="A362" s="1">
        <v>45287</v>
      </c>
      <c r="B362">
        <v>49.1</v>
      </c>
      <c r="C362">
        <v>50.9</v>
      </c>
      <c r="D362">
        <v>45</v>
      </c>
      <c r="E362">
        <v>55</v>
      </c>
    </row>
    <row r="363" spans="1:5" x14ac:dyDescent="0.25">
      <c r="A363" s="1">
        <v>45288</v>
      </c>
      <c r="B363">
        <v>48.8</v>
      </c>
      <c r="C363">
        <v>51.2</v>
      </c>
      <c r="D363">
        <v>44.5</v>
      </c>
      <c r="E363">
        <v>55.5</v>
      </c>
    </row>
    <row r="364" spans="1:5" x14ac:dyDescent="0.25">
      <c r="A364" s="1">
        <v>45289</v>
      </c>
      <c r="B364">
        <v>48.1</v>
      </c>
      <c r="C364">
        <v>51.9</v>
      </c>
      <c r="D364">
        <v>43.5</v>
      </c>
      <c r="E364">
        <v>56.5</v>
      </c>
    </row>
    <row r="365" spans="1:5" x14ac:dyDescent="0.25">
      <c r="A365" s="1">
        <v>45290</v>
      </c>
      <c r="B365">
        <v>50.2</v>
      </c>
      <c r="C365">
        <v>49.8</v>
      </c>
      <c r="D365">
        <v>49.9</v>
      </c>
      <c r="E365">
        <v>50.1</v>
      </c>
    </row>
    <row r="366" spans="1:5" x14ac:dyDescent="0.25">
      <c r="A366" s="1">
        <v>45291</v>
      </c>
      <c r="B366">
        <v>49</v>
      </c>
      <c r="C366">
        <v>51</v>
      </c>
      <c r="D366">
        <v>49.5</v>
      </c>
      <c r="E366">
        <v>50.5</v>
      </c>
    </row>
    <row r="367" spans="1:5" x14ac:dyDescent="0.25">
      <c r="A367" s="1">
        <v>45292</v>
      </c>
      <c r="B367">
        <v>46.7</v>
      </c>
      <c r="C367">
        <v>53.3</v>
      </c>
      <c r="D367">
        <v>45.3</v>
      </c>
      <c r="E367">
        <v>54.7</v>
      </c>
    </row>
    <row r="368" spans="1:5" x14ac:dyDescent="0.25">
      <c r="A368" s="1">
        <v>45293</v>
      </c>
      <c r="B368">
        <v>47.2</v>
      </c>
      <c r="C368">
        <v>52.8</v>
      </c>
      <c r="D368">
        <v>45.2</v>
      </c>
      <c r="E368">
        <v>54.8</v>
      </c>
    </row>
    <row r="369" spans="1:5" x14ac:dyDescent="0.25">
      <c r="A369" s="1">
        <v>45294</v>
      </c>
      <c r="B369">
        <v>48.8</v>
      </c>
      <c r="C369">
        <v>51.2</v>
      </c>
      <c r="D369">
        <v>44.3</v>
      </c>
      <c r="E369">
        <v>55.7</v>
      </c>
    </row>
    <row r="370" spans="1:5" x14ac:dyDescent="0.25">
      <c r="A370" s="1">
        <v>45295</v>
      </c>
      <c r="B370">
        <v>50.4</v>
      </c>
      <c r="C370">
        <v>49.6</v>
      </c>
      <c r="D370">
        <v>45.4</v>
      </c>
      <c r="E370">
        <v>54.6</v>
      </c>
    </row>
    <row r="371" spans="1:5" x14ac:dyDescent="0.25">
      <c r="A371" s="1">
        <v>45296</v>
      </c>
      <c r="B371">
        <v>49.6</v>
      </c>
      <c r="C371">
        <v>50.4</v>
      </c>
      <c r="D371">
        <v>44.2</v>
      </c>
      <c r="E371">
        <v>55.8</v>
      </c>
    </row>
    <row r="372" spans="1:5" x14ac:dyDescent="0.25">
      <c r="A372" s="1">
        <v>45297</v>
      </c>
      <c r="B372">
        <v>50.2</v>
      </c>
      <c r="C372">
        <v>49.8</v>
      </c>
      <c r="D372">
        <v>52.1</v>
      </c>
      <c r="E372">
        <v>47.9</v>
      </c>
    </row>
    <row r="373" spans="1:5" x14ac:dyDescent="0.25">
      <c r="A373" s="1">
        <v>45298</v>
      </c>
      <c r="B373">
        <v>49.8</v>
      </c>
      <c r="C373">
        <v>50.2</v>
      </c>
      <c r="D373">
        <v>50.3</v>
      </c>
      <c r="E373">
        <v>49.7</v>
      </c>
    </row>
    <row r="374" spans="1:5" x14ac:dyDescent="0.25">
      <c r="A374" s="1">
        <v>45299</v>
      </c>
      <c r="B374">
        <v>49.6</v>
      </c>
      <c r="C374">
        <v>50.4</v>
      </c>
      <c r="D374">
        <v>45.4</v>
      </c>
      <c r="E374">
        <v>54.6</v>
      </c>
    </row>
    <row r="375" spans="1:5" x14ac:dyDescent="0.25">
      <c r="A375" s="1">
        <v>45300</v>
      </c>
      <c r="B375">
        <v>48.8</v>
      </c>
      <c r="C375">
        <v>51.2</v>
      </c>
      <c r="D375">
        <v>44.4</v>
      </c>
      <c r="E375">
        <v>55.6</v>
      </c>
    </row>
    <row r="376" spans="1:5" x14ac:dyDescent="0.25">
      <c r="A376" s="1">
        <v>45301</v>
      </c>
      <c r="B376">
        <v>48.3</v>
      </c>
      <c r="C376">
        <v>51.7</v>
      </c>
      <c r="D376">
        <v>44.8</v>
      </c>
      <c r="E376">
        <v>55.2</v>
      </c>
    </row>
    <row r="377" spans="1:5" x14ac:dyDescent="0.25">
      <c r="A377" s="1">
        <v>45302</v>
      </c>
      <c r="B377">
        <v>50.5</v>
      </c>
      <c r="C377">
        <v>49.5</v>
      </c>
      <c r="D377">
        <v>43</v>
      </c>
      <c r="E377">
        <v>57</v>
      </c>
    </row>
    <row r="378" spans="1:5" x14ac:dyDescent="0.25">
      <c r="A378" s="1">
        <v>45303</v>
      </c>
      <c r="B378">
        <v>50.4</v>
      </c>
      <c r="C378">
        <v>49.6</v>
      </c>
      <c r="D378">
        <v>45.3</v>
      </c>
      <c r="E378">
        <v>54.7</v>
      </c>
    </row>
    <row r="379" spans="1:5" x14ac:dyDescent="0.25">
      <c r="A379" s="1">
        <v>45304</v>
      </c>
      <c r="B379">
        <v>47.6</v>
      </c>
      <c r="C379">
        <v>52.4</v>
      </c>
      <c r="D379">
        <v>51</v>
      </c>
      <c r="E379">
        <v>49</v>
      </c>
    </row>
    <row r="380" spans="1:5" x14ac:dyDescent="0.25">
      <c r="A380" s="1">
        <v>45305</v>
      </c>
      <c r="B380">
        <v>50.5</v>
      </c>
      <c r="C380">
        <v>49.5</v>
      </c>
      <c r="D380">
        <v>51.4</v>
      </c>
      <c r="E380">
        <v>48.6</v>
      </c>
    </row>
    <row r="381" spans="1:5" x14ac:dyDescent="0.25">
      <c r="A381" s="1">
        <v>45306</v>
      </c>
      <c r="B381">
        <v>50.9</v>
      </c>
      <c r="C381">
        <v>49.1</v>
      </c>
      <c r="D381">
        <v>45.6</v>
      </c>
      <c r="E381">
        <v>54.4</v>
      </c>
    </row>
    <row r="382" spans="1:5" x14ac:dyDescent="0.25">
      <c r="A382" s="1">
        <v>45307</v>
      </c>
      <c r="B382">
        <v>48.2</v>
      </c>
      <c r="C382">
        <v>51.8</v>
      </c>
      <c r="D382">
        <v>45.4</v>
      </c>
      <c r="E382">
        <v>54.6</v>
      </c>
    </row>
    <row r="383" spans="1:5" x14ac:dyDescent="0.25">
      <c r="A383" s="1">
        <v>45308</v>
      </c>
      <c r="B383">
        <v>51.2</v>
      </c>
      <c r="C383">
        <v>48.8</v>
      </c>
      <c r="D383">
        <v>45.7</v>
      </c>
      <c r="E383">
        <v>54.3</v>
      </c>
    </row>
    <row r="384" spans="1:5" x14ac:dyDescent="0.25">
      <c r="A384" s="1">
        <v>45309</v>
      </c>
      <c r="B384">
        <v>50.2</v>
      </c>
      <c r="C384">
        <v>49.8</v>
      </c>
      <c r="D384">
        <v>45.2</v>
      </c>
      <c r="E384">
        <v>54.8</v>
      </c>
    </row>
    <row r="385" spans="1:5" x14ac:dyDescent="0.25">
      <c r="A385" s="1">
        <v>45310</v>
      </c>
      <c r="B385">
        <v>48.6</v>
      </c>
      <c r="C385">
        <v>51.4</v>
      </c>
      <c r="D385">
        <v>45.6</v>
      </c>
      <c r="E385">
        <v>54.4</v>
      </c>
    </row>
    <row r="386" spans="1:5" x14ac:dyDescent="0.25">
      <c r="A386" s="1">
        <v>45311</v>
      </c>
      <c r="B386">
        <v>49</v>
      </c>
      <c r="C386">
        <v>51</v>
      </c>
      <c r="D386">
        <v>50.2</v>
      </c>
      <c r="E386">
        <v>49.8</v>
      </c>
    </row>
    <row r="387" spans="1:5" x14ac:dyDescent="0.25">
      <c r="A387" s="1">
        <v>45312</v>
      </c>
      <c r="B387">
        <v>49.2</v>
      </c>
      <c r="C387">
        <v>50.8</v>
      </c>
      <c r="D387">
        <v>51</v>
      </c>
      <c r="E387">
        <v>49</v>
      </c>
    </row>
    <row r="388" spans="1:5" x14ac:dyDescent="0.25">
      <c r="A388" s="1">
        <v>45313</v>
      </c>
      <c r="B388">
        <v>50.2</v>
      </c>
      <c r="C388">
        <v>49.8</v>
      </c>
      <c r="D388">
        <v>45.6</v>
      </c>
      <c r="E388">
        <v>54.4</v>
      </c>
    </row>
    <row r="389" spans="1:5" x14ac:dyDescent="0.25">
      <c r="A389" s="1">
        <v>45314</v>
      </c>
      <c r="B389">
        <v>49.8</v>
      </c>
      <c r="C389">
        <v>50.2</v>
      </c>
      <c r="D389">
        <v>44.4</v>
      </c>
      <c r="E389">
        <v>55.6</v>
      </c>
    </row>
    <row r="390" spans="1:5" x14ac:dyDescent="0.25">
      <c r="A390" s="1">
        <v>45315</v>
      </c>
      <c r="B390">
        <v>49.5</v>
      </c>
      <c r="C390">
        <v>50.5</v>
      </c>
      <c r="D390">
        <v>45.2</v>
      </c>
      <c r="E390">
        <v>54.8</v>
      </c>
    </row>
    <row r="391" spans="1:5" x14ac:dyDescent="0.25">
      <c r="A391" s="1">
        <v>45316</v>
      </c>
      <c r="B391">
        <v>50.9</v>
      </c>
      <c r="C391">
        <v>49.1</v>
      </c>
      <c r="D391">
        <v>45.2</v>
      </c>
      <c r="E391">
        <v>54.8</v>
      </c>
    </row>
    <row r="392" spans="1:5" x14ac:dyDescent="0.25">
      <c r="A392" s="1">
        <v>45317</v>
      </c>
      <c r="B392">
        <v>50.4</v>
      </c>
      <c r="C392">
        <v>49.6</v>
      </c>
      <c r="D392">
        <v>44.6</v>
      </c>
      <c r="E392">
        <v>55.4</v>
      </c>
    </row>
    <row r="393" spans="1:5" x14ac:dyDescent="0.25">
      <c r="A393" s="1">
        <v>45318</v>
      </c>
      <c r="B393">
        <v>51.7</v>
      </c>
      <c r="C393">
        <v>48.3</v>
      </c>
      <c r="D393">
        <v>51.7</v>
      </c>
      <c r="E393">
        <v>48.3</v>
      </c>
    </row>
    <row r="394" spans="1:5" x14ac:dyDescent="0.25">
      <c r="A394" s="1">
        <v>45319</v>
      </c>
      <c r="B394">
        <v>50.9</v>
      </c>
      <c r="C394">
        <v>49.1</v>
      </c>
      <c r="D394">
        <v>51.1</v>
      </c>
      <c r="E394">
        <v>48.9</v>
      </c>
    </row>
    <row r="395" spans="1:5" x14ac:dyDescent="0.25">
      <c r="A395" s="1">
        <v>45320</v>
      </c>
      <c r="B395">
        <v>51.1</v>
      </c>
      <c r="C395">
        <v>48.9</v>
      </c>
      <c r="D395">
        <v>45.2</v>
      </c>
      <c r="E395">
        <v>54.8</v>
      </c>
    </row>
    <row r="396" spans="1:5" x14ac:dyDescent="0.25">
      <c r="A396" s="1">
        <v>45321</v>
      </c>
      <c r="B396">
        <v>50.8</v>
      </c>
      <c r="C396">
        <v>49.2</v>
      </c>
      <c r="D396">
        <v>45.9</v>
      </c>
      <c r="E396">
        <v>54.1</v>
      </c>
    </row>
    <row r="397" spans="1:5" x14ac:dyDescent="0.25">
      <c r="A397" s="1">
        <v>45322</v>
      </c>
      <c r="B397">
        <v>51</v>
      </c>
      <c r="C397">
        <v>49</v>
      </c>
      <c r="D397">
        <v>46.5</v>
      </c>
      <c r="E397">
        <v>53.5</v>
      </c>
    </row>
    <row r="398" spans="1:5" x14ac:dyDescent="0.25">
      <c r="A398" s="1">
        <v>45323</v>
      </c>
      <c r="B398">
        <v>50.5</v>
      </c>
      <c r="C398">
        <v>49.5</v>
      </c>
      <c r="D398">
        <v>45.4</v>
      </c>
      <c r="E398">
        <v>54.6</v>
      </c>
    </row>
    <row r="399" spans="1:5" x14ac:dyDescent="0.25">
      <c r="A399" s="1">
        <v>45324</v>
      </c>
      <c r="B399">
        <v>51.2</v>
      </c>
      <c r="C399">
        <v>48.8</v>
      </c>
      <c r="D399">
        <v>43.2</v>
      </c>
      <c r="E399">
        <v>56.8</v>
      </c>
    </row>
    <row r="400" spans="1:5" x14ac:dyDescent="0.25">
      <c r="A400" s="1">
        <v>45325</v>
      </c>
      <c r="B400">
        <v>50.4</v>
      </c>
      <c r="C400">
        <v>49.6</v>
      </c>
      <c r="D400">
        <v>50.7</v>
      </c>
      <c r="E400">
        <v>49.3</v>
      </c>
    </row>
    <row r="401" spans="1:5" x14ac:dyDescent="0.25">
      <c r="A401" s="1">
        <v>45326</v>
      </c>
      <c r="B401">
        <v>50.7</v>
      </c>
      <c r="C401">
        <v>49.3</v>
      </c>
      <c r="D401">
        <v>51.6</v>
      </c>
      <c r="E401">
        <v>48.4</v>
      </c>
    </row>
    <row r="402" spans="1:5" x14ac:dyDescent="0.25">
      <c r="A402" s="1">
        <v>45327</v>
      </c>
      <c r="B402">
        <v>51.2</v>
      </c>
      <c r="C402">
        <v>48.8</v>
      </c>
      <c r="D402">
        <v>45.5</v>
      </c>
      <c r="E402">
        <v>54.5</v>
      </c>
    </row>
    <row r="403" spans="1:5" x14ac:dyDescent="0.25">
      <c r="A403" s="1">
        <v>45328</v>
      </c>
      <c r="B403">
        <v>49.4</v>
      </c>
      <c r="C403">
        <v>50.6</v>
      </c>
      <c r="D403">
        <v>44.8</v>
      </c>
      <c r="E403">
        <v>55.2</v>
      </c>
    </row>
    <row r="404" spans="1:5" x14ac:dyDescent="0.25">
      <c r="A404" s="1">
        <v>45329</v>
      </c>
      <c r="B404">
        <v>49.7</v>
      </c>
      <c r="C404">
        <v>50.3</v>
      </c>
      <c r="D404">
        <v>46</v>
      </c>
      <c r="E404">
        <v>54</v>
      </c>
    </row>
    <row r="405" spans="1:5" x14ac:dyDescent="0.25">
      <c r="A405" s="1">
        <v>45330</v>
      </c>
      <c r="B405">
        <v>48.7</v>
      </c>
      <c r="C405">
        <v>51.3</v>
      </c>
      <c r="D405">
        <v>46</v>
      </c>
      <c r="E405">
        <v>54</v>
      </c>
    </row>
    <row r="406" spans="1:5" x14ac:dyDescent="0.25">
      <c r="A406" s="1">
        <v>45331</v>
      </c>
      <c r="B406">
        <v>50.9</v>
      </c>
      <c r="C406">
        <v>49.1</v>
      </c>
      <c r="D406">
        <v>46.9</v>
      </c>
      <c r="E406">
        <v>53.1</v>
      </c>
    </row>
    <row r="407" spans="1:5" x14ac:dyDescent="0.25">
      <c r="A407" s="1">
        <v>45332</v>
      </c>
      <c r="B407">
        <v>49.1</v>
      </c>
      <c r="C407">
        <v>50.9</v>
      </c>
      <c r="D407">
        <v>52.5</v>
      </c>
      <c r="E407">
        <v>47.5</v>
      </c>
    </row>
    <row r="408" spans="1:5" x14ac:dyDescent="0.25">
      <c r="A408" s="1">
        <v>45333</v>
      </c>
      <c r="B408">
        <v>51.2</v>
      </c>
      <c r="C408">
        <v>48.8</v>
      </c>
      <c r="D408">
        <v>51.2</v>
      </c>
      <c r="E408">
        <v>48.8</v>
      </c>
    </row>
    <row r="409" spans="1:5" x14ac:dyDescent="0.25">
      <c r="A409" s="1">
        <v>45334</v>
      </c>
      <c r="B409">
        <v>51.3</v>
      </c>
      <c r="C409">
        <v>48.7</v>
      </c>
      <c r="D409">
        <v>46.9</v>
      </c>
      <c r="E409">
        <v>53.1</v>
      </c>
    </row>
    <row r="410" spans="1:5" x14ac:dyDescent="0.25">
      <c r="A410" s="1">
        <v>45335</v>
      </c>
      <c r="B410">
        <v>51.9</v>
      </c>
      <c r="C410">
        <v>48.1</v>
      </c>
      <c r="D410">
        <v>46.1</v>
      </c>
      <c r="E410">
        <v>53.9</v>
      </c>
    </row>
    <row r="411" spans="1:5" x14ac:dyDescent="0.25">
      <c r="A411" s="1">
        <v>45336</v>
      </c>
      <c r="B411">
        <v>52.2</v>
      </c>
      <c r="C411">
        <v>47.8</v>
      </c>
      <c r="D411">
        <v>47.5</v>
      </c>
      <c r="E411">
        <v>52.5</v>
      </c>
    </row>
    <row r="412" spans="1:5" x14ac:dyDescent="0.25">
      <c r="A412" s="1">
        <v>45337</v>
      </c>
      <c r="B412">
        <v>50.5</v>
      </c>
      <c r="C412">
        <v>49.5</v>
      </c>
      <c r="D412">
        <v>47.9</v>
      </c>
      <c r="E412">
        <v>52.1</v>
      </c>
    </row>
    <row r="413" spans="1:5" x14ac:dyDescent="0.25">
      <c r="A413" s="1">
        <v>45338</v>
      </c>
      <c r="B413">
        <v>50.4</v>
      </c>
      <c r="C413">
        <v>49.6</v>
      </c>
      <c r="D413">
        <v>46.6</v>
      </c>
      <c r="E413">
        <v>53.4</v>
      </c>
    </row>
    <row r="414" spans="1:5" x14ac:dyDescent="0.25">
      <c r="A414" s="1">
        <v>45339</v>
      </c>
      <c r="B414">
        <v>51.7</v>
      </c>
      <c r="C414">
        <v>48.3</v>
      </c>
      <c r="D414">
        <v>52.5</v>
      </c>
      <c r="E414">
        <v>47.5</v>
      </c>
    </row>
    <row r="415" spans="1:5" x14ac:dyDescent="0.25">
      <c r="A415" s="1">
        <v>45340</v>
      </c>
      <c r="B415">
        <v>51.7</v>
      </c>
      <c r="C415">
        <v>48.3</v>
      </c>
      <c r="D415">
        <v>53.1</v>
      </c>
      <c r="E415">
        <v>46.9</v>
      </c>
    </row>
    <row r="416" spans="1:5" x14ac:dyDescent="0.25">
      <c r="A416" s="1">
        <v>45341</v>
      </c>
      <c r="B416">
        <v>51.6</v>
      </c>
      <c r="C416">
        <v>48.4</v>
      </c>
      <c r="D416">
        <v>47.3</v>
      </c>
      <c r="E416">
        <v>52.7</v>
      </c>
    </row>
    <row r="417" spans="1:5" x14ac:dyDescent="0.25">
      <c r="A417" s="1">
        <v>45342</v>
      </c>
      <c r="B417">
        <v>51.1</v>
      </c>
      <c r="C417">
        <v>48.9</v>
      </c>
      <c r="D417">
        <v>46.4</v>
      </c>
      <c r="E417">
        <v>53.6</v>
      </c>
    </row>
    <row r="418" spans="1:5" x14ac:dyDescent="0.25">
      <c r="A418" s="1">
        <v>45343</v>
      </c>
      <c r="B418">
        <v>52.4</v>
      </c>
      <c r="C418">
        <v>47.6</v>
      </c>
      <c r="D418">
        <v>47.2</v>
      </c>
      <c r="E418">
        <v>52.8</v>
      </c>
    </row>
    <row r="419" spans="1:5" x14ac:dyDescent="0.25">
      <c r="A419" s="1">
        <v>45344</v>
      </c>
      <c r="B419">
        <v>50.5</v>
      </c>
      <c r="C419">
        <v>49.5</v>
      </c>
      <c r="D419">
        <v>47.7</v>
      </c>
      <c r="E419">
        <v>52.3</v>
      </c>
    </row>
    <row r="420" spans="1:5" x14ac:dyDescent="0.25">
      <c r="A420" s="1">
        <v>45345</v>
      </c>
      <c r="B420">
        <v>52.4</v>
      </c>
      <c r="C420">
        <v>47.6</v>
      </c>
      <c r="D420">
        <v>48.2</v>
      </c>
      <c r="E420">
        <v>51.8</v>
      </c>
    </row>
    <row r="421" spans="1:5" x14ac:dyDescent="0.25">
      <c r="A421" s="1">
        <v>45346</v>
      </c>
      <c r="B421">
        <v>51.8</v>
      </c>
      <c r="C421">
        <v>48.2</v>
      </c>
      <c r="D421">
        <v>51.2</v>
      </c>
      <c r="E421">
        <v>48.8</v>
      </c>
    </row>
    <row r="422" spans="1:5" x14ac:dyDescent="0.25">
      <c r="A422" s="1">
        <v>45347</v>
      </c>
      <c r="B422">
        <v>50.8</v>
      </c>
      <c r="C422">
        <v>49.2</v>
      </c>
      <c r="D422">
        <v>52.8</v>
      </c>
      <c r="E422">
        <v>47.2</v>
      </c>
    </row>
    <row r="423" spans="1:5" x14ac:dyDescent="0.25">
      <c r="A423" s="1">
        <v>45348</v>
      </c>
      <c r="B423">
        <v>51.3</v>
      </c>
      <c r="C423">
        <v>48.7</v>
      </c>
      <c r="D423">
        <v>47.7</v>
      </c>
      <c r="E423">
        <v>52.3</v>
      </c>
    </row>
    <row r="424" spans="1:5" x14ac:dyDescent="0.25">
      <c r="A424" s="1">
        <v>45349</v>
      </c>
      <c r="B424">
        <v>50.6</v>
      </c>
      <c r="C424">
        <v>49.4</v>
      </c>
      <c r="D424">
        <v>47.7</v>
      </c>
      <c r="E424">
        <v>52.3</v>
      </c>
    </row>
    <row r="425" spans="1:5" x14ac:dyDescent="0.25">
      <c r="A425" s="1">
        <v>45350</v>
      </c>
      <c r="B425">
        <v>52</v>
      </c>
      <c r="C425">
        <v>48</v>
      </c>
      <c r="D425">
        <v>48.2</v>
      </c>
      <c r="E425">
        <v>51.8</v>
      </c>
    </row>
    <row r="426" spans="1:5" x14ac:dyDescent="0.25">
      <c r="A426" s="1">
        <v>45351</v>
      </c>
      <c r="B426">
        <v>52</v>
      </c>
      <c r="C426">
        <v>48</v>
      </c>
      <c r="D426">
        <v>47.8</v>
      </c>
      <c r="E426">
        <v>52.2</v>
      </c>
    </row>
    <row r="427" spans="1:5" x14ac:dyDescent="0.25">
      <c r="A427" s="1">
        <v>45352</v>
      </c>
      <c r="B427">
        <v>50.9</v>
      </c>
      <c r="C427">
        <v>49.1</v>
      </c>
      <c r="D427">
        <v>48</v>
      </c>
      <c r="E427">
        <v>52</v>
      </c>
    </row>
    <row r="428" spans="1:5" x14ac:dyDescent="0.25">
      <c r="A428" s="1">
        <v>45353</v>
      </c>
      <c r="B428">
        <v>51.1</v>
      </c>
      <c r="C428">
        <v>48.9</v>
      </c>
      <c r="D428">
        <v>51.8</v>
      </c>
      <c r="E428">
        <v>48.2</v>
      </c>
    </row>
    <row r="429" spans="1:5" x14ac:dyDescent="0.25">
      <c r="A429" s="1">
        <v>45354</v>
      </c>
      <c r="B429">
        <v>51.5</v>
      </c>
      <c r="C429">
        <v>48.5</v>
      </c>
      <c r="D429">
        <v>51.7</v>
      </c>
      <c r="E429">
        <v>48.3</v>
      </c>
    </row>
    <row r="430" spans="1:5" x14ac:dyDescent="0.25">
      <c r="A430" s="1">
        <v>45355</v>
      </c>
      <c r="B430">
        <v>50.5</v>
      </c>
      <c r="C430">
        <v>49.5</v>
      </c>
      <c r="D430">
        <v>48</v>
      </c>
      <c r="E430">
        <v>52</v>
      </c>
    </row>
    <row r="431" spans="1:5" x14ac:dyDescent="0.25">
      <c r="A431" s="1">
        <v>45356</v>
      </c>
      <c r="B431">
        <v>51.2</v>
      </c>
      <c r="C431">
        <v>48.8</v>
      </c>
      <c r="D431">
        <v>46.1</v>
      </c>
      <c r="E431">
        <v>53.9</v>
      </c>
    </row>
    <row r="432" spans="1:5" x14ac:dyDescent="0.25">
      <c r="A432" s="1">
        <v>45357</v>
      </c>
      <c r="B432">
        <v>51</v>
      </c>
      <c r="C432">
        <v>49</v>
      </c>
      <c r="D432">
        <v>46.2</v>
      </c>
      <c r="E432">
        <v>53.8</v>
      </c>
    </row>
    <row r="433" spans="1:5" x14ac:dyDescent="0.25">
      <c r="A433" s="1">
        <v>45358</v>
      </c>
      <c r="B433">
        <v>50.5</v>
      </c>
      <c r="C433">
        <v>49.5</v>
      </c>
      <c r="D433">
        <v>46.6</v>
      </c>
      <c r="E433">
        <v>53.4</v>
      </c>
    </row>
    <row r="434" spans="1:5" x14ac:dyDescent="0.25">
      <c r="A434" s="1">
        <v>45359</v>
      </c>
      <c r="B434">
        <v>50.9</v>
      </c>
      <c r="C434">
        <v>49.1</v>
      </c>
      <c r="D434">
        <v>47.1</v>
      </c>
      <c r="E434">
        <v>52.9</v>
      </c>
    </row>
    <row r="435" spans="1:5" x14ac:dyDescent="0.25">
      <c r="A435" s="1">
        <v>45360</v>
      </c>
      <c r="B435">
        <v>52.3</v>
      </c>
      <c r="C435">
        <v>47.7</v>
      </c>
      <c r="D435">
        <v>51.5</v>
      </c>
      <c r="E435">
        <v>48.5</v>
      </c>
    </row>
    <row r="436" spans="1:5" x14ac:dyDescent="0.25">
      <c r="A436" s="1">
        <v>45361</v>
      </c>
      <c r="B436">
        <v>52.1</v>
      </c>
      <c r="C436">
        <v>47.9</v>
      </c>
      <c r="D436">
        <v>53.2</v>
      </c>
      <c r="E436">
        <v>46.8</v>
      </c>
    </row>
    <row r="437" spans="1:5" x14ac:dyDescent="0.25">
      <c r="A437" s="1">
        <v>45362</v>
      </c>
      <c r="B437">
        <v>52.1</v>
      </c>
      <c r="C437">
        <v>47.9</v>
      </c>
      <c r="D437">
        <v>46.9</v>
      </c>
      <c r="E437">
        <v>53.1</v>
      </c>
    </row>
    <row r="438" spans="1:5" x14ac:dyDescent="0.25">
      <c r="A438" s="1">
        <v>45363</v>
      </c>
      <c r="B438">
        <v>51.9</v>
      </c>
      <c r="C438">
        <v>48.1</v>
      </c>
      <c r="D438">
        <v>47</v>
      </c>
      <c r="E438">
        <v>53</v>
      </c>
    </row>
    <row r="439" spans="1:5" x14ac:dyDescent="0.25">
      <c r="A439" s="1">
        <v>45364</v>
      </c>
      <c r="B439">
        <v>50.7</v>
      </c>
      <c r="C439">
        <v>49.3</v>
      </c>
      <c r="D439">
        <v>47.8</v>
      </c>
      <c r="E439">
        <v>52.2</v>
      </c>
    </row>
    <row r="440" spans="1:5" x14ac:dyDescent="0.25">
      <c r="A440" s="1">
        <v>45365</v>
      </c>
      <c r="B440">
        <v>51.2</v>
      </c>
      <c r="C440">
        <v>48.8</v>
      </c>
      <c r="D440">
        <v>45</v>
      </c>
      <c r="E440">
        <v>55</v>
      </c>
    </row>
    <row r="441" spans="1:5" x14ac:dyDescent="0.25">
      <c r="A441" s="1">
        <v>45366</v>
      </c>
      <c r="B441">
        <v>53.1</v>
      </c>
      <c r="C441">
        <v>46.9</v>
      </c>
      <c r="D441">
        <v>48.2</v>
      </c>
      <c r="E441">
        <v>51.8</v>
      </c>
    </row>
    <row r="442" spans="1:5" x14ac:dyDescent="0.25">
      <c r="A442" s="1">
        <v>45367</v>
      </c>
      <c r="B442">
        <v>52.2</v>
      </c>
      <c r="C442">
        <v>47.8</v>
      </c>
      <c r="D442">
        <v>54.9</v>
      </c>
      <c r="E442">
        <v>45.1</v>
      </c>
    </row>
    <row r="443" spans="1:5" x14ac:dyDescent="0.25">
      <c r="A443" s="1">
        <v>45368</v>
      </c>
      <c r="B443">
        <v>50.8</v>
      </c>
      <c r="C443">
        <v>49.2</v>
      </c>
      <c r="D443">
        <v>55.6</v>
      </c>
      <c r="E443">
        <v>44.4</v>
      </c>
    </row>
    <row r="444" spans="1:5" x14ac:dyDescent="0.25">
      <c r="A444" s="1">
        <v>45369</v>
      </c>
      <c r="B444">
        <v>50.2</v>
      </c>
      <c r="C444">
        <v>49.8</v>
      </c>
      <c r="D444">
        <v>45.3</v>
      </c>
      <c r="E444">
        <v>54.7</v>
      </c>
    </row>
    <row r="445" spans="1:5" x14ac:dyDescent="0.25">
      <c r="A445" s="1">
        <v>45370</v>
      </c>
      <c r="B445">
        <v>53.4</v>
      </c>
      <c r="C445">
        <v>46.6</v>
      </c>
      <c r="D445">
        <v>47.3</v>
      </c>
      <c r="E445">
        <v>52.7</v>
      </c>
    </row>
    <row r="446" spans="1:5" x14ac:dyDescent="0.25">
      <c r="A446" s="1">
        <v>45371</v>
      </c>
      <c r="B446">
        <v>52.6</v>
      </c>
      <c r="C446">
        <v>47.4</v>
      </c>
      <c r="D446">
        <v>47.2</v>
      </c>
      <c r="E446">
        <v>52.8</v>
      </c>
    </row>
    <row r="447" spans="1:5" x14ac:dyDescent="0.25">
      <c r="A447" s="1">
        <v>45372</v>
      </c>
      <c r="B447">
        <v>52.9</v>
      </c>
      <c r="C447">
        <v>47.1</v>
      </c>
      <c r="D447">
        <v>46.6</v>
      </c>
      <c r="E447">
        <v>53.4</v>
      </c>
    </row>
    <row r="448" spans="1:5" x14ac:dyDescent="0.25">
      <c r="A448" s="1">
        <v>45373</v>
      </c>
      <c r="B448">
        <v>51.3</v>
      </c>
      <c r="C448">
        <v>48.7</v>
      </c>
      <c r="D448">
        <v>49.9</v>
      </c>
      <c r="E448">
        <v>50.1</v>
      </c>
    </row>
    <row r="449" spans="1:5" x14ac:dyDescent="0.25">
      <c r="A449" s="1">
        <v>45374</v>
      </c>
      <c r="B449">
        <v>49.9</v>
      </c>
      <c r="C449">
        <v>50.1</v>
      </c>
      <c r="D449">
        <v>55.1</v>
      </c>
      <c r="E449">
        <v>44.9</v>
      </c>
    </row>
    <row r="450" spans="1:5" x14ac:dyDescent="0.25">
      <c r="A450" s="1">
        <v>45375</v>
      </c>
      <c r="B450">
        <v>51</v>
      </c>
      <c r="C450">
        <v>49</v>
      </c>
      <c r="D450">
        <v>52.7</v>
      </c>
      <c r="E450">
        <v>47.3</v>
      </c>
    </row>
    <row r="451" spans="1:5" x14ac:dyDescent="0.25">
      <c r="A451" s="1">
        <v>45376</v>
      </c>
      <c r="B451">
        <v>52</v>
      </c>
      <c r="C451">
        <v>48</v>
      </c>
      <c r="D451">
        <v>44.6</v>
      </c>
      <c r="E451">
        <v>55.4</v>
      </c>
    </row>
    <row r="452" spans="1:5" x14ac:dyDescent="0.25">
      <c r="A452" s="1">
        <v>45377</v>
      </c>
      <c r="B452">
        <v>52.2</v>
      </c>
      <c r="C452">
        <v>47.8</v>
      </c>
      <c r="D452">
        <v>46.4</v>
      </c>
      <c r="E452">
        <v>53.6</v>
      </c>
    </row>
    <row r="453" spans="1:5" x14ac:dyDescent="0.25">
      <c r="A453" s="1">
        <v>45378</v>
      </c>
      <c r="B453">
        <v>52.7</v>
      </c>
      <c r="C453">
        <v>47.3</v>
      </c>
      <c r="D453">
        <v>46.7</v>
      </c>
      <c r="E453">
        <v>53.3</v>
      </c>
    </row>
    <row r="454" spans="1:5" x14ac:dyDescent="0.25">
      <c r="A454" s="1">
        <v>45379</v>
      </c>
      <c r="B454">
        <v>52.2</v>
      </c>
      <c r="C454">
        <v>47.8</v>
      </c>
      <c r="D454">
        <v>49.7</v>
      </c>
      <c r="E454">
        <v>50.3</v>
      </c>
    </row>
    <row r="455" spans="1:5" x14ac:dyDescent="0.25">
      <c r="A455" s="1">
        <v>45380</v>
      </c>
      <c r="B455">
        <v>52.2</v>
      </c>
      <c r="C455">
        <v>47.8</v>
      </c>
      <c r="D455">
        <v>46.9</v>
      </c>
      <c r="E455">
        <v>53.1</v>
      </c>
    </row>
    <row r="456" spans="1:5" x14ac:dyDescent="0.25">
      <c r="A456" s="1">
        <v>45381</v>
      </c>
      <c r="B456">
        <v>51.8</v>
      </c>
      <c r="C456">
        <v>48.2</v>
      </c>
      <c r="D456">
        <v>54</v>
      </c>
      <c r="E456">
        <v>46</v>
      </c>
    </row>
    <row r="457" spans="1:5" x14ac:dyDescent="0.25">
      <c r="A457" s="1">
        <v>45382</v>
      </c>
      <c r="B457">
        <v>52.6</v>
      </c>
      <c r="C457">
        <v>47.4</v>
      </c>
      <c r="D457">
        <v>54.9</v>
      </c>
      <c r="E457">
        <v>45.1</v>
      </c>
    </row>
    <row r="458" spans="1:5" x14ac:dyDescent="0.25">
      <c r="A458" s="1">
        <v>45383</v>
      </c>
      <c r="B458">
        <v>52</v>
      </c>
      <c r="C458">
        <v>48</v>
      </c>
      <c r="D458">
        <v>47.7</v>
      </c>
      <c r="E458">
        <v>52.3</v>
      </c>
    </row>
    <row r="459" spans="1:5" x14ac:dyDescent="0.25">
      <c r="A459" s="1">
        <v>45384</v>
      </c>
      <c r="B459">
        <v>50.6</v>
      </c>
      <c r="C459">
        <v>49.4</v>
      </c>
      <c r="D459">
        <v>46.5</v>
      </c>
      <c r="E459">
        <v>53.5</v>
      </c>
    </row>
    <row r="460" spans="1:5" x14ac:dyDescent="0.25">
      <c r="A460" s="1">
        <v>45385</v>
      </c>
      <c r="B460">
        <v>51.5</v>
      </c>
      <c r="C460">
        <v>48.5</v>
      </c>
      <c r="D460">
        <v>47.1</v>
      </c>
      <c r="E460">
        <v>52.9</v>
      </c>
    </row>
    <row r="461" spans="1:5" x14ac:dyDescent="0.25">
      <c r="A461" s="1">
        <v>45386</v>
      </c>
      <c r="B461">
        <v>51.5</v>
      </c>
      <c r="C461">
        <v>48.5</v>
      </c>
      <c r="D461">
        <v>50</v>
      </c>
      <c r="E461">
        <v>50</v>
      </c>
    </row>
    <row r="462" spans="1:5" x14ac:dyDescent="0.25">
      <c r="A462" s="1">
        <v>45387</v>
      </c>
      <c r="B462">
        <v>53.5</v>
      </c>
      <c r="C462">
        <v>46.5</v>
      </c>
      <c r="D462">
        <v>48.8</v>
      </c>
      <c r="E462">
        <v>51.2</v>
      </c>
    </row>
    <row r="463" spans="1:5" x14ac:dyDescent="0.25">
      <c r="A463" s="1">
        <v>45388</v>
      </c>
      <c r="B463">
        <v>50.9</v>
      </c>
      <c r="C463">
        <v>49.1</v>
      </c>
      <c r="D463">
        <v>54.7</v>
      </c>
      <c r="E463">
        <v>45.3</v>
      </c>
    </row>
    <row r="464" spans="1:5" x14ac:dyDescent="0.25">
      <c r="A464" s="1">
        <v>45389</v>
      </c>
      <c r="B464">
        <v>52</v>
      </c>
      <c r="C464">
        <v>48</v>
      </c>
      <c r="D464">
        <v>52.3</v>
      </c>
      <c r="E464">
        <v>47.7</v>
      </c>
    </row>
    <row r="465" spans="1:5" x14ac:dyDescent="0.25">
      <c r="A465" s="1">
        <v>45390</v>
      </c>
      <c r="B465">
        <v>51.8</v>
      </c>
      <c r="C465">
        <v>48.2</v>
      </c>
      <c r="D465">
        <v>48.2</v>
      </c>
      <c r="E465">
        <v>51.8</v>
      </c>
    </row>
    <row r="466" spans="1:5" x14ac:dyDescent="0.25">
      <c r="A466" s="1">
        <v>45391</v>
      </c>
      <c r="B466">
        <v>51.2</v>
      </c>
      <c r="C466">
        <v>48.8</v>
      </c>
      <c r="D466">
        <v>47.5</v>
      </c>
      <c r="E466">
        <v>52.5</v>
      </c>
    </row>
    <row r="467" spans="1:5" x14ac:dyDescent="0.25">
      <c r="A467" s="1">
        <v>45392</v>
      </c>
      <c r="B467">
        <v>49.7</v>
      </c>
      <c r="C467">
        <v>50.3</v>
      </c>
      <c r="D467">
        <v>47.3</v>
      </c>
      <c r="E467">
        <v>52.7</v>
      </c>
    </row>
    <row r="468" spans="1:5" x14ac:dyDescent="0.25">
      <c r="A468" s="1">
        <v>45393</v>
      </c>
      <c r="B468">
        <v>52.8</v>
      </c>
      <c r="C468">
        <v>47.2</v>
      </c>
      <c r="D468">
        <v>48.8</v>
      </c>
      <c r="E468">
        <v>51.2</v>
      </c>
    </row>
    <row r="469" spans="1:5" x14ac:dyDescent="0.25">
      <c r="A469" s="1">
        <v>45394</v>
      </c>
      <c r="B469">
        <v>51.1</v>
      </c>
      <c r="C469">
        <v>48.9</v>
      </c>
      <c r="D469">
        <v>47.8</v>
      </c>
      <c r="E469">
        <v>52.2</v>
      </c>
    </row>
    <row r="470" spans="1:5" x14ac:dyDescent="0.25">
      <c r="A470" s="1">
        <v>45395</v>
      </c>
      <c r="B470">
        <v>50</v>
      </c>
      <c r="C470">
        <v>50</v>
      </c>
      <c r="D470">
        <v>54.1</v>
      </c>
      <c r="E470">
        <v>45.9</v>
      </c>
    </row>
    <row r="471" spans="1:5" x14ac:dyDescent="0.25">
      <c r="A471" s="1">
        <v>45396</v>
      </c>
      <c r="B471">
        <v>49</v>
      </c>
      <c r="C471">
        <v>51</v>
      </c>
      <c r="D471">
        <v>54.4</v>
      </c>
      <c r="E471">
        <v>45.6</v>
      </c>
    </row>
    <row r="472" spans="1:5" x14ac:dyDescent="0.25">
      <c r="A472" s="1">
        <v>45397</v>
      </c>
      <c r="B472">
        <v>51</v>
      </c>
      <c r="C472">
        <v>49</v>
      </c>
      <c r="D472">
        <v>47.7</v>
      </c>
      <c r="E472">
        <v>52.3</v>
      </c>
    </row>
    <row r="473" spans="1:5" x14ac:dyDescent="0.25">
      <c r="A473" s="1">
        <v>45398</v>
      </c>
      <c r="B473">
        <v>51.5</v>
      </c>
      <c r="C473">
        <v>48.5</v>
      </c>
      <c r="D473">
        <v>47.8</v>
      </c>
      <c r="E473">
        <v>52.2</v>
      </c>
    </row>
    <row r="474" spans="1:5" x14ac:dyDescent="0.25">
      <c r="A474" s="1">
        <v>45399</v>
      </c>
      <c r="B474">
        <v>51.6</v>
      </c>
      <c r="C474">
        <v>48.4</v>
      </c>
      <c r="D474">
        <v>46.7</v>
      </c>
      <c r="E474">
        <v>53.3</v>
      </c>
    </row>
    <row r="475" spans="1:5" x14ac:dyDescent="0.25">
      <c r="A475" s="1">
        <v>45400</v>
      </c>
      <c r="B475">
        <v>51.6</v>
      </c>
      <c r="C475">
        <v>48.4</v>
      </c>
      <c r="D475">
        <v>48.5</v>
      </c>
      <c r="E475">
        <v>51.5</v>
      </c>
    </row>
    <row r="476" spans="1:5" x14ac:dyDescent="0.25">
      <c r="A476" s="1">
        <v>45401</v>
      </c>
      <c r="B476">
        <v>51.2</v>
      </c>
      <c r="C476">
        <v>48.8</v>
      </c>
      <c r="D476">
        <v>49.2</v>
      </c>
      <c r="E476">
        <v>50.8</v>
      </c>
    </row>
    <row r="477" spans="1:5" x14ac:dyDescent="0.25">
      <c r="A477" s="1">
        <v>45402</v>
      </c>
      <c r="B477">
        <v>52.7</v>
      </c>
      <c r="C477">
        <v>47.3</v>
      </c>
      <c r="D477">
        <v>54.1</v>
      </c>
      <c r="E477">
        <v>45.9</v>
      </c>
    </row>
    <row r="478" spans="1:5" x14ac:dyDescent="0.25">
      <c r="A478" s="1">
        <v>45403</v>
      </c>
      <c r="B478">
        <v>50.9</v>
      </c>
      <c r="C478">
        <v>49.1</v>
      </c>
      <c r="D478">
        <v>52.4</v>
      </c>
      <c r="E478">
        <v>47.6</v>
      </c>
    </row>
    <row r="479" spans="1:5" x14ac:dyDescent="0.25">
      <c r="A479" s="1">
        <v>45404</v>
      </c>
      <c r="B479">
        <v>51.2</v>
      </c>
      <c r="C479">
        <v>48.8</v>
      </c>
      <c r="D479">
        <v>47.6</v>
      </c>
      <c r="E479">
        <v>52.4</v>
      </c>
    </row>
    <row r="480" spans="1:5" x14ac:dyDescent="0.25">
      <c r="A480" s="1">
        <v>45405</v>
      </c>
      <c r="B480">
        <v>51.3</v>
      </c>
      <c r="C480">
        <v>48.7</v>
      </c>
      <c r="D480">
        <v>47.4</v>
      </c>
      <c r="E480">
        <v>52.6</v>
      </c>
    </row>
    <row r="481" spans="1:5" x14ac:dyDescent="0.25">
      <c r="A481" s="1">
        <v>45406</v>
      </c>
      <c r="B481">
        <v>51.7</v>
      </c>
      <c r="C481">
        <v>48.3</v>
      </c>
      <c r="D481">
        <v>47.2</v>
      </c>
      <c r="E481">
        <v>52.8</v>
      </c>
    </row>
    <row r="482" spans="1:5" x14ac:dyDescent="0.25">
      <c r="A482" s="1">
        <v>45407</v>
      </c>
      <c r="B482">
        <v>53.9</v>
      </c>
      <c r="C482">
        <v>46.1</v>
      </c>
      <c r="D482">
        <v>46.8</v>
      </c>
      <c r="E482">
        <v>53.2</v>
      </c>
    </row>
    <row r="483" spans="1:5" x14ac:dyDescent="0.25">
      <c r="A483" s="1">
        <v>45408</v>
      </c>
      <c r="B483">
        <v>52.8</v>
      </c>
      <c r="C483">
        <v>47.2</v>
      </c>
      <c r="D483">
        <v>47.3</v>
      </c>
      <c r="E483">
        <v>52.7</v>
      </c>
    </row>
    <row r="484" spans="1:5" x14ac:dyDescent="0.25">
      <c r="A484" s="1">
        <v>45409</v>
      </c>
      <c r="B484">
        <v>50.9</v>
      </c>
      <c r="C484">
        <v>49.1</v>
      </c>
      <c r="D484">
        <v>54.7</v>
      </c>
      <c r="E484">
        <v>45.3</v>
      </c>
    </row>
    <row r="485" spans="1:5" x14ac:dyDescent="0.25">
      <c r="A485" s="1">
        <v>45410</v>
      </c>
      <c r="B485">
        <v>52.4</v>
      </c>
      <c r="C485">
        <v>47.6</v>
      </c>
      <c r="D485">
        <v>53.2</v>
      </c>
      <c r="E485">
        <v>46.8</v>
      </c>
    </row>
    <row r="486" spans="1:5" x14ac:dyDescent="0.25">
      <c r="A486" s="1">
        <v>45411</v>
      </c>
      <c r="B486">
        <v>51.9</v>
      </c>
      <c r="C486">
        <v>48.1</v>
      </c>
      <c r="D486">
        <v>47.9</v>
      </c>
      <c r="E486">
        <v>52.1</v>
      </c>
    </row>
    <row r="487" spans="1:5" x14ac:dyDescent="0.25">
      <c r="A487" s="1">
        <v>45412</v>
      </c>
      <c r="B487">
        <v>50.7</v>
      </c>
      <c r="C487">
        <v>49.3</v>
      </c>
      <c r="D487">
        <v>47.7</v>
      </c>
      <c r="E487">
        <v>52.3</v>
      </c>
    </row>
    <row r="488" spans="1:5" x14ac:dyDescent="0.25">
      <c r="A488" s="1">
        <v>45413</v>
      </c>
      <c r="B488">
        <v>51.2</v>
      </c>
      <c r="C488">
        <v>48.8</v>
      </c>
      <c r="D488">
        <v>48.2</v>
      </c>
      <c r="E488">
        <v>51.8</v>
      </c>
    </row>
    <row r="489" spans="1:5" x14ac:dyDescent="0.25">
      <c r="A489" s="1">
        <v>45414</v>
      </c>
      <c r="B489">
        <v>52</v>
      </c>
      <c r="C489">
        <v>48</v>
      </c>
      <c r="D489">
        <v>48.9</v>
      </c>
      <c r="E489">
        <v>51.1</v>
      </c>
    </row>
    <row r="490" spans="1:5" x14ac:dyDescent="0.25">
      <c r="A490" s="1">
        <v>45415</v>
      </c>
      <c r="B490">
        <v>52.4</v>
      </c>
      <c r="C490">
        <v>47.6</v>
      </c>
      <c r="D490">
        <v>49</v>
      </c>
      <c r="E490">
        <v>51</v>
      </c>
    </row>
    <row r="491" spans="1:5" x14ac:dyDescent="0.25">
      <c r="A491" s="1">
        <v>45416</v>
      </c>
      <c r="B491">
        <v>51.7</v>
      </c>
      <c r="C491">
        <v>48.3</v>
      </c>
      <c r="D491">
        <v>54.1</v>
      </c>
      <c r="E491">
        <v>45.9</v>
      </c>
    </row>
    <row r="492" spans="1:5" x14ac:dyDescent="0.25">
      <c r="A492" s="1">
        <v>45417</v>
      </c>
      <c r="B492">
        <v>51.9</v>
      </c>
      <c r="C492">
        <v>48.1</v>
      </c>
      <c r="D492">
        <v>54.8</v>
      </c>
      <c r="E492">
        <v>45.2</v>
      </c>
    </row>
    <row r="493" spans="1:5" x14ac:dyDescent="0.25">
      <c r="A493" s="1">
        <v>45418</v>
      </c>
      <c r="B493">
        <v>50.4</v>
      </c>
      <c r="C493">
        <v>49.6</v>
      </c>
      <c r="D493">
        <v>47.6</v>
      </c>
      <c r="E493">
        <v>52.4</v>
      </c>
    </row>
    <row r="494" spans="1:5" x14ac:dyDescent="0.25">
      <c r="A494" s="1">
        <v>45419</v>
      </c>
      <c r="B494">
        <v>51.3</v>
      </c>
      <c r="C494">
        <v>48.7</v>
      </c>
      <c r="D494">
        <v>48</v>
      </c>
      <c r="E494">
        <v>52</v>
      </c>
    </row>
    <row r="495" spans="1:5" x14ac:dyDescent="0.25">
      <c r="A495" s="1">
        <v>45420</v>
      </c>
      <c r="B495">
        <v>51</v>
      </c>
      <c r="C495">
        <v>49</v>
      </c>
      <c r="D495">
        <v>46.9</v>
      </c>
      <c r="E495">
        <v>53.1</v>
      </c>
    </row>
    <row r="496" spans="1:5" x14ac:dyDescent="0.25">
      <c r="A496" s="1">
        <v>45421</v>
      </c>
      <c r="B496">
        <v>52.2</v>
      </c>
      <c r="C496">
        <v>47.8</v>
      </c>
      <c r="D496">
        <v>46.1</v>
      </c>
      <c r="E496">
        <v>53.9</v>
      </c>
    </row>
    <row r="497" spans="1:5" x14ac:dyDescent="0.25">
      <c r="A497" s="1">
        <v>45422</v>
      </c>
      <c r="B497">
        <v>48.7</v>
      </c>
      <c r="C497">
        <v>51.3</v>
      </c>
      <c r="D497">
        <v>47.6</v>
      </c>
      <c r="E497">
        <v>52.4</v>
      </c>
    </row>
    <row r="498" spans="1:5" x14ac:dyDescent="0.25">
      <c r="A498" s="1">
        <v>45423</v>
      </c>
      <c r="B498">
        <v>51</v>
      </c>
      <c r="C498">
        <v>49</v>
      </c>
      <c r="D498">
        <v>56.6</v>
      </c>
      <c r="E498">
        <v>43.4</v>
      </c>
    </row>
    <row r="499" spans="1:5" x14ac:dyDescent="0.25">
      <c r="A499" s="1">
        <v>45424</v>
      </c>
      <c r="B499">
        <v>52.6</v>
      </c>
      <c r="C499">
        <v>47.4</v>
      </c>
      <c r="D499">
        <v>53.4</v>
      </c>
      <c r="E499">
        <v>46.6</v>
      </c>
    </row>
    <row r="500" spans="1:5" x14ac:dyDescent="0.25">
      <c r="A500" s="1">
        <v>45425</v>
      </c>
      <c r="B500">
        <v>50.7</v>
      </c>
      <c r="C500">
        <v>49.3</v>
      </c>
      <c r="D500">
        <v>50.6</v>
      </c>
      <c r="E500">
        <v>49.4</v>
      </c>
    </row>
    <row r="501" spans="1:5" x14ac:dyDescent="0.25">
      <c r="A501" s="1">
        <v>45426</v>
      </c>
      <c r="B501">
        <v>50.6</v>
      </c>
      <c r="C501">
        <v>49.4</v>
      </c>
      <c r="D501">
        <v>46.6</v>
      </c>
      <c r="E501">
        <v>53.4</v>
      </c>
    </row>
    <row r="502" spans="1:5" x14ac:dyDescent="0.25">
      <c r="A502" s="1">
        <v>45427</v>
      </c>
      <c r="B502">
        <v>50.5</v>
      </c>
      <c r="C502">
        <v>49.5</v>
      </c>
      <c r="D502">
        <v>48.1</v>
      </c>
      <c r="E502">
        <v>51.9</v>
      </c>
    </row>
    <row r="503" spans="1:5" x14ac:dyDescent="0.25">
      <c r="A503" s="1">
        <v>45428</v>
      </c>
      <c r="B503">
        <v>50.4</v>
      </c>
      <c r="C503">
        <v>49.6</v>
      </c>
      <c r="D503">
        <v>49.6</v>
      </c>
      <c r="E503">
        <v>50.4</v>
      </c>
    </row>
    <row r="504" spans="1:5" x14ac:dyDescent="0.25">
      <c r="A504" s="1">
        <v>45429</v>
      </c>
      <c r="B504">
        <v>50.4</v>
      </c>
      <c r="C504">
        <v>49.6</v>
      </c>
      <c r="D504">
        <v>49</v>
      </c>
      <c r="E504">
        <v>51</v>
      </c>
    </row>
    <row r="505" spans="1:5" x14ac:dyDescent="0.25">
      <c r="A505" s="1">
        <v>45430</v>
      </c>
      <c r="B505">
        <v>50.9</v>
      </c>
      <c r="C505">
        <v>49.1</v>
      </c>
      <c r="D505">
        <v>54.3</v>
      </c>
      <c r="E505">
        <v>45.7</v>
      </c>
    </row>
    <row r="506" spans="1:5" x14ac:dyDescent="0.25">
      <c r="A506" s="1">
        <v>45431</v>
      </c>
      <c r="B506">
        <v>50.6</v>
      </c>
      <c r="C506">
        <v>49.4</v>
      </c>
      <c r="D506">
        <v>54.1</v>
      </c>
      <c r="E506">
        <v>45.9</v>
      </c>
    </row>
    <row r="507" spans="1:5" x14ac:dyDescent="0.25">
      <c r="A507" s="1">
        <v>45432</v>
      </c>
      <c r="B507">
        <v>49.2</v>
      </c>
      <c r="C507">
        <v>50.8</v>
      </c>
      <c r="D507">
        <v>46.7</v>
      </c>
      <c r="E507">
        <v>53.3</v>
      </c>
    </row>
    <row r="508" spans="1:5" x14ac:dyDescent="0.25">
      <c r="A508" s="1">
        <v>45433</v>
      </c>
      <c r="B508">
        <v>50</v>
      </c>
      <c r="C508">
        <v>50</v>
      </c>
      <c r="D508">
        <v>48.5</v>
      </c>
      <c r="E508">
        <v>51.5</v>
      </c>
    </row>
    <row r="509" spans="1:5" x14ac:dyDescent="0.25">
      <c r="A509" s="1">
        <v>45434</v>
      </c>
      <c r="B509">
        <v>48.9</v>
      </c>
      <c r="C509">
        <v>51.1</v>
      </c>
      <c r="D509">
        <v>48.7</v>
      </c>
      <c r="E509">
        <v>51.3</v>
      </c>
    </row>
    <row r="510" spans="1:5" x14ac:dyDescent="0.25">
      <c r="A510" s="1">
        <v>45435</v>
      </c>
      <c r="B510">
        <v>51</v>
      </c>
      <c r="C510">
        <v>49</v>
      </c>
      <c r="D510">
        <v>49</v>
      </c>
      <c r="E510">
        <v>51</v>
      </c>
    </row>
    <row r="511" spans="1:5" x14ac:dyDescent="0.25">
      <c r="A511" s="1">
        <v>45436</v>
      </c>
      <c r="B511">
        <v>52.1</v>
      </c>
      <c r="C511">
        <v>47.9</v>
      </c>
      <c r="D511">
        <v>47.7</v>
      </c>
      <c r="E511">
        <v>52.3</v>
      </c>
    </row>
    <row r="512" spans="1:5" x14ac:dyDescent="0.25">
      <c r="A512" s="1">
        <v>45437</v>
      </c>
      <c r="B512">
        <v>50.7</v>
      </c>
      <c r="C512">
        <v>49.3</v>
      </c>
      <c r="D512">
        <v>53.8</v>
      </c>
      <c r="E512">
        <v>46.2</v>
      </c>
    </row>
    <row r="513" spans="1:5" x14ac:dyDescent="0.25">
      <c r="A513" s="1">
        <v>45438</v>
      </c>
      <c r="B513">
        <v>50.3</v>
      </c>
      <c r="C513">
        <v>49.7</v>
      </c>
      <c r="D513">
        <v>53.7</v>
      </c>
      <c r="E513">
        <v>46.3</v>
      </c>
    </row>
    <row r="514" spans="1:5" x14ac:dyDescent="0.25">
      <c r="A514" s="1">
        <v>45439</v>
      </c>
      <c r="B514">
        <v>50.5</v>
      </c>
      <c r="C514">
        <v>49.5</v>
      </c>
      <c r="D514">
        <v>47.5</v>
      </c>
      <c r="E514">
        <v>52.5</v>
      </c>
    </row>
    <row r="515" spans="1:5" x14ac:dyDescent="0.25">
      <c r="A515" s="1">
        <v>45440</v>
      </c>
      <c r="B515">
        <v>50.8</v>
      </c>
      <c r="C515">
        <v>49.2</v>
      </c>
      <c r="D515">
        <v>47.4</v>
      </c>
      <c r="E515">
        <v>52.6</v>
      </c>
    </row>
    <row r="516" spans="1:5" x14ac:dyDescent="0.25">
      <c r="A516" s="1">
        <v>45441</v>
      </c>
      <c r="B516">
        <v>51.2</v>
      </c>
      <c r="C516">
        <v>48.8</v>
      </c>
      <c r="D516">
        <v>47.7</v>
      </c>
      <c r="E516">
        <v>52.3</v>
      </c>
    </row>
    <row r="517" spans="1:5" x14ac:dyDescent="0.25">
      <c r="A517" s="1">
        <v>45442</v>
      </c>
      <c r="B517">
        <v>50</v>
      </c>
      <c r="C517">
        <v>50</v>
      </c>
      <c r="D517">
        <v>48.1</v>
      </c>
      <c r="E517">
        <v>51.9</v>
      </c>
    </row>
    <row r="518" spans="1:5" x14ac:dyDescent="0.25">
      <c r="A518" s="1">
        <v>45443</v>
      </c>
      <c r="B518">
        <v>52.2</v>
      </c>
      <c r="C518">
        <v>47.8</v>
      </c>
      <c r="D518">
        <v>47.4</v>
      </c>
      <c r="E518">
        <v>52.6</v>
      </c>
    </row>
    <row r="519" spans="1:5" x14ac:dyDescent="0.25">
      <c r="A519" s="1">
        <v>45444</v>
      </c>
      <c r="B519">
        <v>49</v>
      </c>
      <c r="C519">
        <v>51</v>
      </c>
      <c r="D519">
        <v>53.6</v>
      </c>
      <c r="E519">
        <v>46.4</v>
      </c>
    </row>
    <row r="520" spans="1:5" x14ac:dyDescent="0.25">
      <c r="A520" s="1">
        <v>45445</v>
      </c>
      <c r="B520">
        <v>52.5</v>
      </c>
      <c r="C520">
        <v>47.5</v>
      </c>
      <c r="D520">
        <v>53.9</v>
      </c>
      <c r="E520">
        <v>46.1</v>
      </c>
    </row>
    <row r="521" spans="1:5" x14ac:dyDescent="0.25">
      <c r="A521" s="1">
        <v>45446</v>
      </c>
      <c r="B521">
        <v>51.5</v>
      </c>
      <c r="C521">
        <v>48.5</v>
      </c>
      <c r="D521">
        <v>48.5</v>
      </c>
      <c r="E521">
        <v>51.5</v>
      </c>
    </row>
    <row r="522" spans="1:5" x14ac:dyDescent="0.25">
      <c r="A522" s="1">
        <v>45447</v>
      </c>
      <c r="B522">
        <v>50.5</v>
      </c>
      <c r="C522">
        <v>49.5</v>
      </c>
      <c r="D522">
        <v>47.5</v>
      </c>
      <c r="E522">
        <v>52.5</v>
      </c>
    </row>
    <row r="523" spans="1:5" x14ac:dyDescent="0.25">
      <c r="A523" s="1">
        <v>45448</v>
      </c>
      <c r="B523">
        <v>49.5</v>
      </c>
      <c r="C523">
        <v>50.5</v>
      </c>
      <c r="D523">
        <v>46.6</v>
      </c>
      <c r="E523">
        <v>53.4</v>
      </c>
    </row>
    <row r="524" spans="1:5" x14ac:dyDescent="0.25">
      <c r="A524" s="1">
        <v>45449</v>
      </c>
      <c r="B524">
        <v>49.3</v>
      </c>
      <c r="C524">
        <v>50.7</v>
      </c>
      <c r="D524">
        <v>48.1</v>
      </c>
      <c r="E524">
        <v>51.9</v>
      </c>
    </row>
    <row r="525" spans="1:5" x14ac:dyDescent="0.25">
      <c r="A525" s="1">
        <v>45450</v>
      </c>
      <c r="B525">
        <v>50.3</v>
      </c>
      <c r="C525">
        <v>49.7</v>
      </c>
      <c r="D525">
        <v>48.2</v>
      </c>
      <c r="E525">
        <v>51.8</v>
      </c>
    </row>
    <row r="526" spans="1:5" x14ac:dyDescent="0.25">
      <c r="A526" s="1">
        <v>45451</v>
      </c>
      <c r="B526">
        <v>49.3</v>
      </c>
      <c r="C526">
        <v>50.7</v>
      </c>
      <c r="D526">
        <v>53.9</v>
      </c>
      <c r="E526">
        <v>46.1</v>
      </c>
    </row>
    <row r="527" spans="1:5" x14ac:dyDescent="0.25">
      <c r="A527" s="1">
        <v>45452</v>
      </c>
      <c r="B527">
        <v>53.2</v>
      </c>
      <c r="C527">
        <v>46.8</v>
      </c>
      <c r="D527">
        <v>54.6</v>
      </c>
      <c r="E527">
        <v>45.4</v>
      </c>
    </row>
    <row r="528" spans="1:5" x14ac:dyDescent="0.25">
      <c r="A528" s="1">
        <v>45453</v>
      </c>
      <c r="B528">
        <v>48.3</v>
      </c>
      <c r="C528">
        <v>51.7</v>
      </c>
      <c r="D528">
        <v>46.2</v>
      </c>
      <c r="E528">
        <v>53.8</v>
      </c>
    </row>
    <row r="529" spans="1:5" x14ac:dyDescent="0.25">
      <c r="A529" s="1">
        <v>45454</v>
      </c>
      <c r="B529">
        <v>52.3</v>
      </c>
      <c r="C529">
        <v>47.7</v>
      </c>
      <c r="D529">
        <v>47.4</v>
      </c>
      <c r="E529">
        <v>52.6</v>
      </c>
    </row>
    <row r="530" spans="1:5" x14ac:dyDescent="0.25">
      <c r="A530" s="1">
        <v>45455</v>
      </c>
      <c r="B530">
        <v>48.7</v>
      </c>
      <c r="C530">
        <v>51.3</v>
      </c>
      <c r="D530">
        <v>46.9</v>
      </c>
      <c r="E530">
        <v>53.1</v>
      </c>
    </row>
    <row r="531" spans="1:5" x14ac:dyDescent="0.25">
      <c r="A531" s="1">
        <v>45456</v>
      </c>
      <c r="B531">
        <v>49.6</v>
      </c>
      <c r="C531">
        <v>50.4</v>
      </c>
      <c r="D531">
        <v>48.4</v>
      </c>
      <c r="E531">
        <v>51.6</v>
      </c>
    </row>
    <row r="532" spans="1:5" x14ac:dyDescent="0.25">
      <c r="A532" s="1">
        <v>45457</v>
      </c>
      <c r="B532">
        <v>50.6</v>
      </c>
      <c r="C532">
        <v>49.4</v>
      </c>
      <c r="D532">
        <v>48.2</v>
      </c>
      <c r="E532">
        <v>51.8</v>
      </c>
    </row>
    <row r="533" spans="1:5" x14ac:dyDescent="0.25">
      <c r="A533" s="1">
        <v>45458</v>
      </c>
      <c r="B533">
        <v>50.7</v>
      </c>
      <c r="C533">
        <v>49.3</v>
      </c>
      <c r="D533">
        <v>55.2</v>
      </c>
      <c r="E533">
        <v>44.8</v>
      </c>
    </row>
    <row r="534" spans="1:5" x14ac:dyDescent="0.25">
      <c r="A534" s="1">
        <v>45459</v>
      </c>
      <c r="B534">
        <v>49.5</v>
      </c>
      <c r="C534">
        <v>50.5</v>
      </c>
      <c r="D534">
        <v>53.4</v>
      </c>
      <c r="E534">
        <v>46.6</v>
      </c>
    </row>
    <row r="535" spans="1:5" x14ac:dyDescent="0.25">
      <c r="A535" s="1">
        <v>45460</v>
      </c>
      <c r="B535">
        <v>50.4</v>
      </c>
      <c r="C535">
        <v>49.6</v>
      </c>
      <c r="D535">
        <v>46.7</v>
      </c>
      <c r="E535">
        <v>53.3</v>
      </c>
    </row>
    <row r="536" spans="1:5" x14ac:dyDescent="0.25">
      <c r="A536" s="1">
        <v>45461</v>
      </c>
      <c r="B536">
        <v>49.1</v>
      </c>
      <c r="C536">
        <v>50.9</v>
      </c>
      <c r="D536">
        <v>46.6</v>
      </c>
      <c r="E536">
        <v>53.4</v>
      </c>
    </row>
    <row r="537" spans="1:5" x14ac:dyDescent="0.25">
      <c r="A537" s="1">
        <v>45462</v>
      </c>
      <c r="B537">
        <v>47.5</v>
      </c>
      <c r="C537">
        <v>52.5</v>
      </c>
      <c r="D537">
        <v>47</v>
      </c>
      <c r="E537">
        <v>53</v>
      </c>
    </row>
    <row r="538" spans="1:5" x14ac:dyDescent="0.25">
      <c r="A538" s="1">
        <v>45463</v>
      </c>
      <c r="B538">
        <v>49.9</v>
      </c>
      <c r="C538">
        <v>50.1</v>
      </c>
      <c r="D538">
        <v>48</v>
      </c>
      <c r="E538">
        <v>52</v>
      </c>
    </row>
    <row r="539" spans="1:5" x14ac:dyDescent="0.25">
      <c r="A539" s="1">
        <v>45464</v>
      </c>
      <c r="B539">
        <v>51.1</v>
      </c>
      <c r="C539">
        <v>48.9</v>
      </c>
      <c r="D539">
        <v>48.6</v>
      </c>
      <c r="E539">
        <v>51.4</v>
      </c>
    </row>
    <row r="540" spans="1:5" x14ac:dyDescent="0.25">
      <c r="A540" s="1">
        <v>45465</v>
      </c>
      <c r="B540">
        <v>50.2</v>
      </c>
      <c r="C540">
        <v>49.8</v>
      </c>
      <c r="D540">
        <v>54.3</v>
      </c>
      <c r="E540">
        <v>45.7</v>
      </c>
    </row>
    <row r="541" spans="1:5" x14ac:dyDescent="0.25">
      <c r="A541" s="1">
        <v>45466</v>
      </c>
      <c r="B541">
        <v>50.5</v>
      </c>
      <c r="C541">
        <v>49.5</v>
      </c>
      <c r="D541">
        <v>51.9</v>
      </c>
      <c r="E541">
        <v>48.1</v>
      </c>
    </row>
    <row r="542" spans="1:5" x14ac:dyDescent="0.25">
      <c r="A542" s="1">
        <v>45467</v>
      </c>
      <c r="B542">
        <v>48.6</v>
      </c>
      <c r="C542">
        <v>51.4</v>
      </c>
      <c r="D542">
        <v>48.4</v>
      </c>
      <c r="E542">
        <v>51.6</v>
      </c>
    </row>
    <row r="543" spans="1:5" x14ac:dyDescent="0.25">
      <c r="A543" s="1">
        <v>45468</v>
      </c>
      <c r="B543">
        <v>49.2</v>
      </c>
      <c r="C543">
        <v>50.8</v>
      </c>
      <c r="D543">
        <v>46.6</v>
      </c>
      <c r="E543">
        <v>53.4</v>
      </c>
    </row>
    <row r="544" spans="1:5" x14ac:dyDescent="0.25">
      <c r="A544" s="1">
        <v>45469</v>
      </c>
      <c r="B544">
        <v>49.6</v>
      </c>
      <c r="C544">
        <v>50.4</v>
      </c>
      <c r="D544">
        <v>46.5</v>
      </c>
      <c r="E544">
        <v>53.5</v>
      </c>
    </row>
    <row r="545" spans="1:5" x14ac:dyDescent="0.25">
      <c r="A545" s="1">
        <v>45470</v>
      </c>
      <c r="B545">
        <v>49</v>
      </c>
      <c r="C545">
        <v>51</v>
      </c>
      <c r="D545">
        <v>45.1</v>
      </c>
      <c r="E545">
        <v>54.9</v>
      </c>
    </row>
    <row r="546" spans="1:5" x14ac:dyDescent="0.25">
      <c r="A546" s="1">
        <v>45471</v>
      </c>
      <c r="B546">
        <v>49.3</v>
      </c>
      <c r="C546">
        <v>50.7</v>
      </c>
      <c r="D546">
        <v>47.7</v>
      </c>
      <c r="E546">
        <v>52.3</v>
      </c>
    </row>
    <row r="547" spans="1:5" x14ac:dyDescent="0.25">
      <c r="A547" s="1">
        <v>45472</v>
      </c>
      <c r="B547">
        <v>47.6</v>
      </c>
      <c r="C547">
        <v>52.4</v>
      </c>
      <c r="D547">
        <v>52.9</v>
      </c>
      <c r="E547">
        <v>47.1</v>
      </c>
    </row>
    <row r="548" spans="1:5" x14ac:dyDescent="0.25">
      <c r="A548" s="1">
        <v>45473</v>
      </c>
      <c r="B548">
        <v>49.1</v>
      </c>
      <c r="C548">
        <v>50.9</v>
      </c>
      <c r="D548">
        <v>53</v>
      </c>
      <c r="E548">
        <v>47</v>
      </c>
    </row>
    <row r="549" spans="1:5" x14ac:dyDescent="0.25">
      <c r="A549" s="1">
        <v>45474</v>
      </c>
      <c r="B549">
        <v>50.1</v>
      </c>
      <c r="C549">
        <v>49.9</v>
      </c>
      <c r="D549">
        <v>46.8</v>
      </c>
      <c r="E549">
        <v>53.2</v>
      </c>
    </row>
    <row r="550" spans="1:5" x14ac:dyDescent="0.25">
      <c r="A550" s="1">
        <v>45475</v>
      </c>
      <c r="B550">
        <v>50</v>
      </c>
      <c r="C550">
        <v>50</v>
      </c>
      <c r="D550">
        <v>47.3</v>
      </c>
      <c r="E550">
        <v>52.7</v>
      </c>
    </row>
    <row r="551" spans="1:5" x14ac:dyDescent="0.25">
      <c r="A551" s="1">
        <v>45476</v>
      </c>
      <c r="B551">
        <v>50.3</v>
      </c>
      <c r="C551">
        <v>49.7</v>
      </c>
      <c r="D551">
        <v>48.3</v>
      </c>
      <c r="E551">
        <v>51.7</v>
      </c>
    </row>
    <row r="552" spans="1:5" x14ac:dyDescent="0.25">
      <c r="A552" s="1">
        <v>45477</v>
      </c>
      <c r="B552">
        <v>48.6</v>
      </c>
      <c r="C552">
        <v>51.4</v>
      </c>
      <c r="D552">
        <v>47.8</v>
      </c>
      <c r="E552">
        <v>52.2</v>
      </c>
    </row>
    <row r="553" spans="1:5" x14ac:dyDescent="0.25">
      <c r="A553" s="1">
        <v>45478</v>
      </c>
      <c r="B553">
        <v>47.6</v>
      </c>
      <c r="C553">
        <v>52.4</v>
      </c>
      <c r="D553">
        <v>47.7</v>
      </c>
      <c r="E553">
        <v>52.3</v>
      </c>
    </row>
    <row r="554" spans="1:5" x14ac:dyDescent="0.25">
      <c r="A554" s="1">
        <v>45479</v>
      </c>
      <c r="B554">
        <v>50.3</v>
      </c>
      <c r="C554">
        <v>49.7</v>
      </c>
      <c r="D554">
        <v>53.6</v>
      </c>
      <c r="E554">
        <v>46.4</v>
      </c>
    </row>
    <row r="555" spans="1:5" x14ac:dyDescent="0.25">
      <c r="A555" s="1">
        <v>45480</v>
      </c>
      <c r="B555">
        <v>49.9</v>
      </c>
      <c r="C555">
        <v>50.1</v>
      </c>
      <c r="D555">
        <v>52.8</v>
      </c>
      <c r="E555">
        <v>47.2</v>
      </c>
    </row>
    <row r="556" spans="1:5" x14ac:dyDescent="0.25">
      <c r="A556" s="1">
        <v>45481</v>
      </c>
      <c r="B556">
        <v>50</v>
      </c>
      <c r="C556">
        <v>50</v>
      </c>
      <c r="D556">
        <v>46.8</v>
      </c>
      <c r="E556">
        <v>53.2</v>
      </c>
    </row>
    <row r="557" spans="1:5" x14ac:dyDescent="0.25">
      <c r="A557" s="1">
        <v>45482</v>
      </c>
      <c r="B557">
        <v>48.5</v>
      </c>
      <c r="C557">
        <v>51.5</v>
      </c>
      <c r="D557">
        <v>46.3</v>
      </c>
      <c r="E557">
        <v>53.7</v>
      </c>
    </row>
    <row r="558" spans="1:5" x14ac:dyDescent="0.25">
      <c r="A558" s="1">
        <v>45483</v>
      </c>
      <c r="B558">
        <v>49.4</v>
      </c>
      <c r="C558">
        <v>50.6</v>
      </c>
      <c r="D558">
        <v>46.4</v>
      </c>
      <c r="E558">
        <v>53.6</v>
      </c>
    </row>
    <row r="559" spans="1:5" x14ac:dyDescent="0.25">
      <c r="A559" s="1">
        <v>45484</v>
      </c>
      <c r="B559">
        <v>49.3</v>
      </c>
      <c r="C559">
        <v>50.7</v>
      </c>
      <c r="D559">
        <v>46.5</v>
      </c>
      <c r="E559">
        <v>53.5</v>
      </c>
    </row>
    <row r="560" spans="1:5" x14ac:dyDescent="0.25">
      <c r="A560" s="1">
        <v>45485</v>
      </c>
      <c r="B560">
        <v>49.4</v>
      </c>
      <c r="C560">
        <v>50.6</v>
      </c>
      <c r="D560">
        <v>47.9</v>
      </c>
      <c r="E560">
        <v>52.1</v>
      </c>
    </row>
    <row r="561" spans="1:5" x14ac:dyDescent="0.25">
      <c r="A561" s="1">
        <v>45486</v>
      </c>
      <c r="B561">
        <v>49.4</v>
      </c>
      <c r="C561">
        <v>50.6</v>
      </c>
      <c r="D561">
        <v>52.8</v>
      </c>
      <c r="E561">
        <v>47.2</v>
      </c>
    </row>
    <row r="562" spans="1:5" x14ac:dyDescent="0.25">
      <c r="A562" s="1">
        <v>45487</v>
      </c>
      <c r="B562">
        <v>46.5</v>
      </c>
      <c r="C562">
        <v>53.5</v>
      </c>
      <c r="D562">
        <v>52.7</v>
      </c>
      <c r="E562">
        <v>47.3</v>
      </c>
    </row>
    <row r="563" spans="1:5" x14ac:dyDescent="0.25">
      <c r="A563" s="1">
        <v>45488</v>
      </c>
      <c r="B563">
        <v>48.1</v>
      </c>
      <c r="C563">
        <v>51.9</v>
      </c>
      <c r="D563">
        <v>46.8</v>
      </c>
      <c r="E563">
        <v>53.2</v>
      </c>
    </row>
    <row r="564" spans="1:5" x14ac:dyDescent="0.25">
      <c r="A564" s="1">
        <v>45489</v>
      </c>
      <c r="B564">
        <v>49.1</v>
      </c>
      <c r="C564">
        <v>50.9</v>
      </c>
      <c r="D564">
        <v>47.6</v>
      </c>
      <c r="E564">
        <v>52.4</v>
      </c>
    </row>
    <row r="565" spans="1:5" x14ac:dyDescent="0.25">
      <c r="A565" s="1">
        <v>45490</v>
      </c>
      <c r="B565">
        <v>48</v>
      </c>
      <c r="C565">
        <v>52</v>
      </c>
      <c r="D565">
        <v>46.6</v>
      </c>
      <c r="E565">
        <v>53.4</v>
      </c>
    </row>
    <row r="566" spans="1:5" x14ac:dyDescent="0.25">
      <c r="A566" s="1">
        <v>45491</v>
      </c>
      <c r="B566">
        <v>49.2</v>
      </c>
      <c r="C566">
        <v>50.8</v>
      </c>
      <c r="D566">
        <v>48.3</v>
      </c>
      <c r="E566">
        <v>51.7</v>
      </c>
    </row>
    <row r="567" spans="1:5" x14ac:dyDescent="0.25">
      <c r="A567" s="1">
        <v>45492</v>
      </c>
      <c r="B567">
        <v>47.4</v>
      </c>
      <c r="C567">
        <v>52.6</v>
      </c>
      <c r="D567">
        <v>45.5</v>
      </c>
      <c r="E567">
        <v>54.5</v>
      </c>
    </row>
    <row r="568" spans="1:5" x14ac:dyDescent="0.25">
      <c r="A568" s="1">
        <v>45493</v>
      </c>
      <c r="B568">
        <v>48</v>
      </c>
      <c r="C568">
        <v>52</v>
      </c>
      <c r="D568">
        <v>51.4</v>
      </c>
      <c r="E568">
        <v>48.6</v>
      </c>
    </row>
    <row r="569" spans="1:5" x14ac:dyDescent="0.25">
      <c r="A569" s="1">
        <v>45494</v>
      </c>
      <c r="B569">
        <v>45.5</v>
      </c>
      <c r="C569">
        <v>54.5</v>
      </c>
      <c r="D569">
        <v>51.2</v>
      </c>
      <c r="E569">
        <v>48.8</v>
      </c>
    </row>
    <row r="570" spans="1:5" x14ac:dyDescent="0.25">
      <c r="A570" s="1">
        <v>45495</v>
      </c>
      <c r="B570">
        <v>48.8</v>
      </c>
      <c r="C570">
        <v>51.2</v>
      </c>
      <c r="D570">
        <v>47.4</v>
      </c>
      <c r="E570">
        <v>52.6</v>
      </c>
    </row>
    <row r="571" spans="1:5" x14ac:dyDescent="0.25">
      <c r="A571" s="1">
        <v>45496</v>
      </c>
      <c r="B571">
        <v>48</v>
      </c>
      <c r="C571">
        <v>52</v>
      </c>
      <c r="D571">
        <v>47.2</v>
      </c>
      <c r="E571">
        <v>52.8</v>
      </c>
    </row>
    <row r="572" spans="1:5" x14ac:dyDescent="0.25">
      <c r="A572" s="1">
        <v>45497</v>
      </c>
      <c r="B572">
        <v>46.4</v>
      </c>
      <c r="C572">
        <v>53.6</v>
      </c>
      <c r="D572">
        <v>47.6</v>
      </c>
      <c r="E572">
        <v>52.4</v>
      </c>
    </row>
    <row r="573" spans="1:5" x14ac:dyDescent="0.25">
      <c r="A573" s="1">
        <v>45498</v>
      </c>
      <c r="B573">
        <v>49.5</v>
      </c>
      <c r="C573">
        <v>50.5</v>
      </c>
      <c r="D573">
        <v>46.2</v>
      </c>
      <c r="E573">
        <v>53.8</v>
      </c>
    </row>
    <row r="574" spans="1:5" x14ac:dyDescent="0.25">
      <c r="A574" s="1">
        <v>45499</v>
      </c>
      <c r="B574">
        <v>48.3</v>
      </c>
      <c r="C574">
        <v>51.7</v>
      </c>
      <c r="D574">
        <v>46.2</v>
      </c>
      <c r="E574">
        <v>53.8</v>
      </c>
    </row>
    <row r="575" spans="1:5" x14ac:dyDescent="0.25">
      <c r="A575" s="1">
        <v>45500</v>
      </c>
      <c r="B575">
        <v>48.2</v>
      </c>
      <c r="C575">
        <v>51.8</v>
      </c>
      <c r="D575">
        <v>52.4</v>
      </c>
      <c r="E575">
        <v>47.6</v>
      </c>
    </row>
    <row r="576" spans="1:5" x14ac:dyDescent="0.25">
      <c r="A576" s="1">
        <v>45501</v>
      </c>
      <c r="B576">
        <v>47.2</v>
      </c>
      <c r="C576">
        <v>52.8</v>
      </c>
      <c r="D576">
        <v>54</v>
      </c>
      <c r="E576">
        <v>46</v>
      </c>
    </row>
    <row r="577" spans="1:5" x14ac:dyDescent="0.25">
      <c r="A577" s="1">
        <v>45502</v>
      </c>
      <c r="B577">
        <v>48</v>
      </c>
      <c r="C577">
        <v>52</v>
      </c>
      <c r="D577">
        <v>47.7</v>
      </c>
      <c r="E577">
        <v>52.3</v>
      </c>
    </row>
    <row r="578" spans="1:5" x14ac:dyDescent="0.25">
      <c r="A578" s="1">
        <v>45503</v>
      </c>
      <c r="B578">
        <v>48</v>
      </c>
      <c r="C578">
        <v>52</v>
      </c>
      <c r="D578">
        <v>45.4</v>
      </c>
      <c r="E578">
        <v>54.6</v>
      </c>
    </row>
    <row r="579" spans="1:5" x14ac:dyDescent="0.25">
      <c r="A579" s="1">
        <v>45504</v>
      </c>
      <c r="B579">
        <v>48.5</v>
      </c>
      <c r="C579">
        <v>51.5</v>
      </c>
      <c r="D579">
        <v>47.1</v>
      </c>
      <c r="E579">
        <v>52.9</v>
      </c>
    </row>
    <row r="580" spans="1:5" x14ac:dyDescent="0.25">
      <c r="A580" s="1">
        <v>45505</v>
      </c>
      <c r="B580">
        <v>48.7</v>
      </c>
      <c r="C580">
        <v>51.3</v>
      </c>
      <c r="D580">
        <v>46.4</v>
      </c>
      <c r="E580">
        <v>53.6</v>
      </c>
    </row>
    <row r="581" spans="1:5" x14ac:dyDescent="0.25">
      <c r="A581" s="1">
        <v>45506</v>
      </c>
      <c r="B581">
        <v>48.6</v>
      </c>
      <c r="C581">
        <v>51.4</v>
      </c>
      <c r="D581">
        <v>46.8</v>
      </c>
      <c r="E581">
        <v>53.2</v>
      </c>
    </row>
    <row r="582" spans="1:5" x14ac:dyDescent="0.25">
      <c r="A582" s="1">
        <v>45507</v>
      </c>
      <c r="B582">
        <v>49.5</v>
      </c>
      <c r="C582">
        <v>50.5</v>
      </c>
      <c r="D582">
        <v>52.9</v>
      </c>
      <c r="E582">
        <v>47.1</v>
      </c>
    </row>
    <row r="583" spans="1:5" x14ac:dyDescent="0.25">
      <c r="A583" s="1">
        <v>45508</v>
      </c>
      <c r="B583">
        <v>48.5</v>
      </c>
      <c r="C583">
        <v>51.5</v>
      </c>
      <c r="D583">
        <v>51.5</v>
      </c>
      <c r="E583">
        <v>48.5</v>
      </c>
    </row>
    <row r="584" spans="1:5" x14ac:dyDescent="0.25">
      <c r="A584" s="1">
        <v>45509</v>
      </c>
      <c r="B584">
        <v>47.5</v>
      </c>
      <c r="C584">
        <v>52.5</v>
      </c>
      <c r="D584">
        <v>47.3</v>
      </c>
      <c r="E584">
        <v>52.7</v>
      </c>
    </row>
    <row r="585" spans="1:5" x14ac:dyDescent="0.25">
      <c r="A585" s="1">
        <v>45510</v>
      </c>
      <c r="B585">
        <v>45.2</v>
      </c>
      <c r="C585">
        <v>54.8</v>
      </c>
      <c r="D585">
        <v>46.2</v>
      </c>
      <c r="E585">
        <v>53.8</v>
      </c>
    </row>
    <row r="586" spans="1:5" x14ac:dyDescent="0.25">
      <c r="A586" s="1">
        <v>45511</v>
      </c>
      <c r="B586">
        <v>46.7</v>
      </c>
      <c r="C586">
        <v>53.3</v>
      </c>
      <c r="D586">
        <v>46.3</v>
      </c>
      <c r="E586">
        <v>53.7</v>
      </c>
    </row>
    <row r="587" spans="1:5" x14ac:dyDescent="0.25">
      <c r="A587" s="1">
        <v>45512</v>
      </c>
      <c r="B587">
        <v>46.9</v>
      </c>
      <c r="C587">
        <v>53.1</v>
      </c>
      <c r="D587">
        <v>47.2</v>
      </c>
      <c r="E587">
        <v>52.8</v>
      </c>
    </row>
    <row r="588" spans="1:5" x14ac:dyDescent="0.25">
      <c r="A588" s="1">
        <v>45513</v>
      </c>
      <c r="B588">
        <v>46.9</v>
      </c>
      <c r="C588">
        <v>53.1</v>
      </c>
      <c r="D588">
        <v>47.3</v>
      </c>
      <c r="E588">
        <v>52.7</v>
      </c>
    </row>
    <row r="589" spans="1:5" x14ac:dyDescent="0.25">
      <c r="A589" s="1">
        <v>45514</v>
      </c>
      <c r="B589">
        <v>46.5</v>
      </c>
      <c r="C589">
        <v>53.5</v>
      </c>
      <c r="D589">
        <v>51.9</v>
      </c>
      <c r="E589">
        <v>48.1</v>
      </c>
    </row>
    <row r="590" spans="1:5" x14ac:dyDescent="0.25">
      <c r="A590" s="1">
        <v>45515</v>
      </c>
      <c r="B590">
        <v>46.4</v>
      </c>
      <c r="C590">
        <v>53.6</v>
      </c>
      <c r="D590">
        <v>51.1</v>
      </c>
      <c r="E590">
        <v>48.9</v>
      </c>
    </row>
    <row r="591" spans="1:5" x14ac:dyDescent="0.25">
      <c r="A591" s="1">
        <v>45516</v>
      </c>
      <c r="B591">
        <v>47.9</v>
      </c>
      <c r="C591">
        <v>52.1</v>
      </c>
      <c r="D591">
        <v>46</v>
      </c>
      <c r="E591">
        <v>54</v>
      </c>
    </row>
    <row r="592" spans="1:5" x14ac:dyDescent="0.25">
      <c r="A592" s="1">
        <v>45517</v>
      </c>
      <c r="B592">
        <v>45.6</v>
      </c>
      <c r="C592">
        <v>54.4</v>
      </c>
      <c r="D592">
        <v>47.1</v>
      </c>
      <c r="E592">
        <v>52.9</v>
      </c>
    </row>
    <row r="593" spans="1:5" x14ac:dyDescent="0.25">
      <c r="A593" s="1">
        <v>45518</v>
      </c>
      <c r="B593">
        <v>48.6</v>
      </c>
      <c r="C593">
        <v>51.4</v>
      </c>
      <c r="D593">
        <v>47.8</v>
      </c>
      <c r="E593">
        <v>52.2</v>
      </c>
    </row>
    <row r="594" spans="1:5" x14ac:dyDescent="0.25">
      <c r="A594" s="1">
        <v>45519</v>
      </c>
      <c r="B594">
        <v>48.7</v>
      </c>
      <c r="C594">
        <v>51.3</v>
      </c>
      <c r="D594">
        <v>45.1</v>
      </c>
      <c r="E594">
        <v>54.9</v>
      </c>
    </row>
    <row r="595" spans="1:5" x14ac:dyDescent="0.25">
      <c r="A595" s="1">
        <v>45520</v>
      </c>
      <c r="B595">
        <v>47.3</v>
      </c>
      <c r="C595">
        <v>52.7</v>
      </c>
      <c r="D595">
        <v>45.2</v>
      </c>
      <c r="E595">
        <v>54.8</v>
      </c>
    </row>
    <row r="596" spans="1:5" x14ac:dyDescent="0.25">
      <c r="A596" s="1">
        <v>45521</v>
      </c>
      <c r="B596">
        <v>46.6</v>
      </c>
      <c r="C596">
        <v>53.4</v>
      </c>
      <c r="D596">
        <v>50.4</v>
      </c>
      <c r="E596">
        <v>49.6</v>
      </c>
    </row>
    <row r="597" spans="1:5" x14ac:dyDescent="0.25">
      <c r="A597" s="1">
        <v>45522</v>
      </c>
      <c r="B597">
        <v>45.6</v>
      </c>
      <c r="C597">
        <v>54.4</v>
      </c>
      <c r="D597">
        <v>51.3</v>
      </c>
      <c r="E597">
        <v>48.7</v>
      </c>
    </row>
    <row r="598" spans="1:5" x14ac:dyDescent="0.25">
      <c r="A598" s="1">
        <v>45523</v>
      </c>
      <c r="B598">
        <v>46.1</v>
      </c>
      <c r="C598">
        <v>53.9</v>
      </c>
      <c r="D598">
        <v>47.7</v>
      </c>
      <c r="E598">
        <v>52.3</v>
      </c>
    </row>
    <row r="599" spans="1:5" x14ac:dyDescent="0.25">
      <c r="A599" s="1">
        <v>45524</v>
      </c>
      <c r="B599">
        <v>46</v>
      </c>
      <c r="C599">
        <v>54</v>
      </c>
      <c r="D599">
        <v>45.7</v>
      </c>
      <c r="E599">
        <v>54.3</v>
      </c>
    </row>
    <row r="600" spans="1:5" x14ac:dyDescent="0.25">
      <c r="A600" s="1">
        <v>45525</v>
      </c>
      <c r="B600">
        <v>47.6</v>
      </c>
      <c r="C600">
        <v>52.4</v>
      </c>
      <c r="D600">
        <v>44.7</v>
      </c>
      <c r="E600">
        <v>55.3</v>
      </c>
    </row>
    <row r="601" spans="1:5" x14ac:dyDescent="0.25">
      <c r="A601" s="1">
        <v>45526</v>
      </c>
      <c r="B601">
        <v>46.2</v>
      </c>
      <c r="C601">
        <v>53.8</v>
      </c>
      <c r="D601">
        <v>43.4</v>
      </c>
      <c r="E601">
        <v>56.6</v>
      </c>
    </row>
    <row r="602" spans="1:5" x14ac:dyDescent="0.25">
      <c r="A602" s="1">
        <v>45527</v>
      </c>
      <c r="B602">
        <v>47.6</v>
      </c>
      <c r="C602">
        <v>52.4</v>
      </c>
      <c r="D602">
        <v>45.1</v>
      </c>
      <c r="E602">
        <v>54.9</v>
      </c>
    </row>
    <row r="603" spans="1:5" x14ac:dyDescent="0.25">
      <c r="A603" s="1">
        <v>45528</v>
      </c>
      <c r="B603">
        <v>46.8</v>
      </c>
      <c r="C603">
        <v>53.2</v>
      </c>
      <c r="D603">
        <v>51.7</v>
      </c>
      <c r="E603">
        <v>48.3</v>
      </c>
    </row>
    <row r="604" spans="1:5" x14ac:dyDescent="0.25">
      <c r="A604" s="1">
        <v>45529</v>
      </c>
      <c r="B604">
        <v>46.5</v>
      </c>
      <c r="C604">
        <v>53.5</v>
      </c>
      <c r="D604">
        <v>50.5</v>
      </c>
      <c r="E604">
        <v>49.5</v>
      </c>
    </row>
    <row r="605" spans="1:5" x14ac:dyDescent="0.25">
      <c r="A605" s="1">
        <v>45530</v>
      </c>
      <c r="B605">
        <v>47.7</v>
      </c>
      <c r="C605">
        <v>52.3</v>
      </c>
      <c r="D605">
        <v>46.7</v>
      </c>
      <c r="E605">
        <v>53.3</v>
      </c>
    </row>
    <row r="606" spans="1:5" x14ac:dyDescent="0.25">
      <c r="A606" s="1">
        <v>45531</v>
      </c>
      <c r="B606">
        <v>46.9</v>
      </c>
      <c r="C606">
        <v>53.1</v>
      </c>
      <c r="D606">
        <v>45.7</v>
      </c>
      <c r="E606">
        <v>54.3</v>
      </c>
    </row>
    <row r="607" spans="1:5" x14ac:dyDescent="0.25">
      <c r="A607" s="1">
        <v>45532</v>
      </c>
      <c r="B607">
        <v>48.2</v>
      </c>
      <c r="C607">
        <v>51.8</v>
      </c>
      <c r="D607">
        <v>45.2</v>
      </c>
      <c r="E607">
        <v>54.8</v>
      </c>
    </row>
    <row r="608" spans="1:5" x14ac:dyDescent="0.25">
      <c r="A608" s="1">
        <v>45533</v>
      </c>
      <c r="B608">
        <v>46.6</v>
      </c>
      <c r="C608">
        <v>53.4</v>
      </c>
      <c r="D608">
        <v>45.6</v>
      </c>
      <c r="E608">
        <v>54.4</v>
      </c>
    </row>
    <row r="609" spans="1:5" x14ac:dyDescent="0.25">
      <c r="A609" s="1">
        <v>45534</v>
      </c>
      <c r="B609">
        <v>45.3</v>
      </c>
      <c r="C609">
        <v>54.7</v>
      </c>
      <c r="D609">
        <v>46.2</v>
      </c>
      <c r="E609">
        <v>53.8</v>
      </c>
    </row>
    <row r="610" spans="1:5" x14ac:dyDescent="0.25">
      <c r="A610" s="1">
        <v>45535</v>
      </c>
      <c r="B610">
        <v>45</v>
      </c>
      <c r="C610">
        <v>55</v>
      </c>
      <c r="D610">
        <v>51.6</v>
      </c>
      <c r="E610">
        <v>48.4</v>
      </c>
    </row>
    <row r="611" spans="1:5" x14ac:dyDescent="0.25">
      <c r="A611" s="1">
        <v>45536</v>
      </c>
      <c r="B611">
        <v>46.5</v>
      </c>
      <c r="C611">
        <v>53.5</v>
      </c>
      <c r="D611">
        <v>49.7</v>
      </c>
      <c r="E611">
        <v>50.3</v>
      </c>
    </row>
    <row r="612" spans="1:5" x14ac:dyDescent="0.25">
      <c r="A612" s="1">
        <v>45537</v>
      </c>
      <c r="B612">
        <v>45.1</v>
      </c>
      <c r="C612">
        <v>54.9</v>
      </c>
      <c r="D612">
        <v>46.2</v>
      </c>
      <c r="E612">
        <v>53.8</v>
      </c>
    </row>
    <row r="613" spans="1:5" x14ac:dyDescent="0.25">
      <c r="A613" s="1">
        <v>45538</v>
      </c>
      <c r="B613">
        <v>48</v>
      </c>
      <c r="C613">
        <v>52</v>
      </c>
      <c r="D613">
        <v>44.7</v>
      </c>
      <c r="E613">
        <v>55.3</v>
      </c>
    </row>
    <row r="614" spans="1:5" x14ac:dyDescent="0.25">
      <c r="A614" s="1">
        <v>45539</v>
      </c>
      <c r="B614">
        <v>45.8</v>
      </c>
      <c r="C614">
        <v>54.2</v>
      </c>
      <c r="D614">
        <v>45.4</v>
      </c>
      <c r="E614">
        <v>54.6</v>
      </c>
    </row>
    <row r="615" spans="1:5" x14ac:dyDescent="0.25">
      <c r="A615" s="1">
        <v>45540</v>
      </c>
      <c r="B615">
        <v>47.8</v>
      </c>
      <c r="C615">
        <v>52.2</v>
      </c>
      <c r="D615">
        <v>43.6</v>
      </c>
      <c r="E615">
        <v>56.4</v>
      </c>
    </row>
    <row r="616" spans="1:5" x14ac:dyDescent="0.25">
      <c r="A616" s="1">
        <v>45541</v>
      </c>
      <c r="B616">
        <v>47.9</v>
      </c>
      <c r="C616">
        <v>52.1</v>
      </c>
      <c r="D616">
        <v>45.2</v>
      </c>
      <c r="E616">
        <v>54.8</v>
      </c>
    </row>
    <row r="617" spans="1:5" x14ac:dyDescent="0.25">
      <c r="A617" s="1">
        <v>45542</v>
      </c>
      <c r="B617">
        <v>44.8</v>
      </c>
      <c r="C617">
        <v>55.2</v>
      </c>
      <c r="D617">
        <v>50.8</v>
      </c>
      <c r="E617">
        <v>49.2</v>
      </c>
    </row>
    <row r="618" spans="1:5" x14ac:dyDescent="0.25">
      <c r="A618" s="1">
        <v>45543</v>
      </c>
      <c r="B618">
        <v>46.5</v>
      </c>
      <c r="C618">
        <v>53.5</v>
      </c>
      <c r="D618">
        <v>50.7</v>
      </c>
      <c r="E618">
        <v>49.3</v>
      </c>
    </row>
    <row r="619" spans="1:5" x14ac:dyDescent="0.25">
      <c r="A619" s="1">
        <v>45544</v>
      </c>
      <c r="B619">
        <v>44.8</v>
      </c>
      <c r="C619">
        <v>55.2</v>
      </c>
      <c r="D619">
        <v>43.7</v>
      </c>
      <c r="E619">
        <v>56.3</v>
      </c>
    </row>
    <row r="620" spans="1:5" x14ac:dyDescent="0.25">
      <c r="A620" s="1">
        <v>45545</v>
      </c>
      <c r="B620">
        <v>44.7</v>
      </c>
      <c r="C620">
        <v>55.3</v>
      </c>
      <c r="D620">
        <v>44.2</v>
      </c>
      <c r="E620">
        <v>55.8</v>
      </c>
    </row>
    <row r="621" spans="1:5" x14ac:dyDescent="0.25">
      <c r="A621" s="1">
        <v>45546</v>
      </c>
      <c r="B621">
        <v>46.1</v>
      </c>
      <c r="C621">
        <v>53.9</v>
      </c>
      <c r="D621">
        <v>45.6</v>
      </c>
      <c r="E621">
        <v>54.4</v>
      </c>
    </row>
    <row r="622" spans="1:5" x14ac:dyDescent="0.25">
      <c r="A622" s="1">
        <v>45547</v>
      </c>
      <c r="B622">
        <v>46.5</v>
      </c>
      <c r="C622">
        <v>53.5</v>
      </c>
      <c r="D622">
        <v>45.6</v>
      </c>
      <c r="E622">
        <v>54.4</v>
      </c>
    </row>
    <row r="623" spans="1:5" x14ac:dyDescent="0.25">
      <c r="A623" s="1">
        <v>45548</v>
      </c>
      <c r="B623">
        <v>46.6</v>
      </c>
      <c r="C623">
        <v>53.4</v>
      </c>
      <c r="D623">
        <v>45.3</v>
      </c>
      <c r="E623">
        <v>54.7</v>
      </c>
    </row>
    <row r="624" spans="1:5" x14ac:dyDescent="0.25">
      <c r="A624" s="1">
        <v>45549</v>
      </c>
      <c r="B624">
        <v>45.3</v>
      </c>
      <c r="C624">
        <v>54.7</v>
      </c>
      <c r="D624">
        <v>50.8</v>
      </c>
      <c r="E624">
        <v>49.2</v>
      </c>
    </row>
    <row r="625" spans="1:5" x14ac:dyDescent="0.25">
      <c r="A625" s="1">
        <v>45550</v>
      </c>
      <c r="B625">
        <v>48</v>
      </c>
      <c r="C625">
        <v>52</v>
      </c>
      <c r="D625">
        <v>51.6</v>
      </c>
      <c r="E625">
        <v>48.4</v>
      </c>
    </row>
    <row r="626" spans="1:5" x14ac:dyDescent="0.25">
      <c r="A626" s="1">
        <v>45551</v>
      </c>
      <c r="B626">
        <v>48.7</v>
      </c>
      <c r="C626">
        <v>51.3</v>
      </c>
      <c r="D626">
        <v>45.6</v>
      </c>
      <c r="E626">
        <v>54.4</v>
      </c>
    </row>
    <row r="627" spans="1:5" x14ac:dyDescent="0.25">
      <c r="A627" s="1">
        <v>45552</v>
      </c>
      <c r="B627">
        <v>46.4</v>
      </c>
      <c r="C627">
        <v>53.6</v>
      </c>
      <c r="D627">
        <v>45.1</v>
      </c>
      <c r="E627">
        <v>54.9</v>
      </c>
    </row>
    <row r="628" spans="1:5" x14ac:dyDescent="0.25">
      <c r="A628" s="1">
        <v>45553</v>
      </c>
      <c r="B628">
        <v>46.2</v>
      </c>
      <c r="C628">
        <v>53.8</v>
      </c>
      <c r="D628">
        <v>44</v>
      </c>
      <c r="E628">
        <v>56</v>
      </c>
    </row>
    <row r="629" spans="1:5" x14ac:dyDescent="0.25">
      <c r="A629" s="1">
        <v>45554</v>
      </c>
      <c r="B629">
        <v>44.6</v>
      </c>
      <c r="C629">
        <v>55.4</v>
      </c>
      <c r="D629">
        <v>43</v>
      </c>
      <c r="E629">
        <v>57</v>
      </c>
    </row>
    <row r="630" spans="1:5" x14ac:dyDescent="0.25">
      <c r="A630" s="1">
        <v>45555</v>
      </c>
      <c r="B630">
        <v>46.2</v>
      </c>
      <c r="C630">
        <v>53.8</v>
      </c>
      <c r="D630">
        <v>44.2</v>
      </c>
      <c r="E630">
        <v>55.8</v>
      </c>
    </row>
    <row r="631" spans="1:5" x14ac:dyDescent="0.25">
      <c r="A631" s="1">
        <v>45556</v>
      </c>
      <c r="B631">
        <v>46.3</v>
      </c>
      <c r="C631">
        <v>53.7</v>
      </c>
      <c r="D631">
        <v>49.8</v>
      </c>
      <c r="E631">
        <v>50.2</v>
      </c>
    </row>
    <row r="632" spans="1:5" x14ac:dyDescent="0.25">
      <c r="A632" s="1">
        <v>45557</v>
      </c>
      <c r="B632">
        <v>44.9</v>
      </c>
      <c r="C632">
        <v>55.1</v>
      </c>
      <c r="D632">
        <v>50</v>
      </c>
      <c r="E632">
        <v>50</v>
      </c>
    </row>
    <row r="633" spans="1:5" x14ac:dyDescent="0.25">
      <c r="A633" s="1">
        <v>45558</v>
      </c>
      <c r="B633">
        <v>45.6</v>
      </c>
      <c r="C633">
        <v>54.4</v>
      </c>
      <c r="D633">
        <v>46</v>
      </c>
      <c r="E633">
        <v>54</v>
      </c>
    </row>
    <row r="634" spans="1:5" x14ac:dyDescent="0.25">
      <c r="A634" s="1">
        <v>45559</v>
      </c>
      <c r="B634">
        <v>45.5</v>
      </c>
      <c r="C634">
        <v>54.5</v>
      </c>
      <c r="D634">
        <v>44</v>
      </c>
      <c r="E634">
        <v>56</v>
      </c>
    </row>
    <row r="635" spans="1:5" x14ac:dyDescent="0.25">
      <c r="A635" s="1">
        <v>45560</v>
      </c>
      <c r="B635">
        <v>47</v>
      </c>
      <c r="C635">
        <v>53</v>
      </c>
      <c r="D635">
        <v>44.5</v>
      </c>
      <c r="E635">
        <v>55.5</v>
      </c>
    </row>
    <row r="636" spans="1:5" x14ac:dyDescent="0.25">
      <c r="A636" s="1">
        <v>45561</v>
      </c>
      <c r="B636">
        <v>45.9</v>
      </c>
      <c r="C636">
        <v>54.1</v>
      </c>
      <c r="D636">
        <v>44.9</v>
      </c>
      <c r="E636">
        <v>55.1</v>
      </c>
    </row>
    <row r="637" spans="1:5" x14ac:dyDescent="0.25">
      <c r="A637" s="1">
        <v>45562</v>
      </c>
      <c r="B637">
        <v>46.7</v>
      </c>
      <c r="C637">
        <v>53.3</v>
      </c>
      <c r="D637">
        <v>45.3</v>
      </c>
      <c r="E637">
        <v>54.7</v>
      </c>
    </row>
    <row r="638" spans="1:5" x14ac:dyDescent="0.25">
      <c r="A638" s="1">
        <v>45563</v>
      </c>
      <c r="B638">
        <v>47</v>
      </c>
      <c r="C638">
        <v>53</v>
      </c>
      <c r="D638">
        <v>51.2</v>
      </c>
      <c r="E638">
        <v>48.8</v>
      </c>
    </row>
    <row r="639" spans="1:5" x14ac:dyDescent="0.25">
      <c r="A639" s="1">
        <v>45564</v>
      </c>
      <c r="B639">
        <v>45.2</v>
      </c>
      <c r="C639">
        <v>54.8</v>
      </c>
      <c r="D639">
        <v>51.2</v>
      </c>
      <c r="E639">
        <v>48.8</v>
      </c>
    </row>
    <row r="640" spans="1:5" x14ac:dyDescent="0.25">
      <c r="A640" s="1">
        <v>45565</v>
      </c>
      <c r="B640">
        <v>46.5</v>
      </c>
      <c r="C640">
        <v>53.5</v>
      </c>
      <c r="D640">
        <v>45.1</v>
      </c>
      <c r="E640">
        <v>54.9</v>
      </c>
    </row>
    <row r="641" spans="1:5" x14ac:dyDescent="0.25">
      <c r="A641" s="1">
        <v>45566</v>
      </c>
      <c r="B641">
        <v>47.3</v>
      </c>
      <c r="C641">
        <v>52.7</v>
      </c>
      <c r="D641">
        <v>43.9</v>
      </c>
      <c r="E641">
        <v>56.1</v>
      </c>
    </row>
    <row r="642" spans="1:5" x14ac:dyDescent="0.25">
      <c r="A642" s="1">
        <v>45567</v>
      </c>
      <c r="B642">
        <v>44.7</v>
      </c>
      <c r="C642">
        <v>55.3</v>
      </c>
      <c r="D642">
        <v>45.3</v>
      </c>
      <c r="E642">
        <v>54.7</v>
      </c>
    </row>
    <row r="643" spans="1:5" x14ac:dyDescent="0.25">
      <c r="A643" s="1">
        <v>45568</v>
      </c>
      <c r="B643">
        <v>44.6</v>
      </c>
      <c r="C643">
        <v>55.4</v>
      </c>
      <c r="D643">
        <v>42.6</v>
      </c>
      <c r="E643">
        <v>57.4</v>
      </c>
    </row>
    <row r="644" spans="1:5" x14ac:dyDescent="0.25">
      <c r="A644" s="1">
        <v>45569</v>
      </c>
      <c r="B644">
        <v>48</v>
      </c>
      <c r="C644">
        <v>52</v>
      </c>
      <c r="D644">
        <v>44.5</v>
      </c>
      <c r="E644">
        <v>55.5</v>
      </c>
    </row>
    <row r="645" spans="1:5" x14ac:dyDescent="0.25">
      <c r="A645" s="1">
        <v>45570</v>
      </c>
      <c r="B645">
        <v>46.6</v>
      </c>
      <c r="C645">
        <v>53.4</v>
      </c>
      <c r="D645">
        <v>49.6</v>
      </c>
      <c r="E645">
        <v>50.4</v>
      </c>
    </row>
    <row r="646" spans="1:5" x14ac:dyDescent="0.25">
      <c r="A646" s="1">
        <v>45571</v>
      </c>
      <c r="B646">
        <v>45.4</v>
      </c>
      <c r="C646">
        <v>54.6</v>
      </c>
      <c r="D646">
        <v>48.1</v>
      </c>
      <c r="E646">
        <v>51.9</v>
      </c>
    </row>
    <row r="647" spans="1:5" x14ac:dyDescent="0.25">
      <c r="A647" s="1">
        <v>45572</v>
      </c>
      <c r="B647">
        <v>47.2</v>
      </c>
      <c r="C647">
        <v>52.8</v>
      </c>
      <c r="D647">
        <v>44</v>
      </c>
      <c r="E647">
        <v>56</v>
      </c>
    </row>
    <row r="648" spans="1:5" x14ac:dyDescent="0.25">
      <c r="A648" s="1">
        <v>45573</v>
      </c>
      <c r="B648">
        <v>47.7</v>
      </c>
      <c r="C648">
        <v>52.3</v>
      </c>
      <c r="D648">
        <v>46.2</v>
      </c>
      <c r="E648">
        <v>53.8</v>
      </c>
    </row>
    <row r="649" spans="1:5" x14ac:dyDescent="0.25">
      <c r="A649" s="1">
        <v>45574</v>
      </c>
      <c r="B649">
        <v>46.8</v>
      </c>
      <c r="C649">
        <v>53.2</v>
      </c>
      <c r="D649">
        <v>43.4</v>
      </c>
      <c r="E649">
        <v>56.6</v>
      </c>
    </row>
    <row r="650" spans="1:5" x14ac:dyDescent="0.25">
      <c r="A650" s="1">
        <v>45575</v>
      </c>
      <c r="B650">
        <v>45.4</v>
      </c>
      <c r="C650">
        <v>54.6</v>
      </c>
      <c r="D650">
        <v>44.7</v>
      </c>
      <c r="E650">
        <v>55.3</v>
      </c>
    </row>
    <row r="651" spans="1:5" x14ac:dyDescent="0.25">
      <c r="A651" s="1">
        <v>45576</v>
      </c>
      <c r="B651">
        <v>45.3</v>
      </c>
      <c r="C651">
        <v>54.7</v>
      </c>
      <c r="D651">
        <v>43.2</v>
      </c>
      <c r="E651">
        <v>56.8</v>
      </c>
    </row>
    <row r="652" spans="1:5" x14ac:dyDescent="0.25">
      <c r="A652" s="1">
        <v>45577</v>
      </c>
      <c r="B652">
        <v>45.3</v>
      </c>
      <c r="C652">
        <v>54.7</v>
      </c>
      <c r="D652">
        <v>49.4</v>
      </c>
      <c r="E652">
        <v>50.6</v>
      </c>
    </row>
    <row r="653" spans="1:5" x14ac:dyDescent="0.25">
      <c r="A653" s="1">
        <v>45578</v>
      </c>
      <c r="B653">
        <v>44.2</v>
      </c>
      <c r="C653">
        <v>55.8</v>
      </c>
      <c r="D653">
        <v>50.3</v>
      </c>
      <c r="E653">
        <v>49.7</v>
      </c>
    </row>
    <row r="654" spans="1:5" x14ac:dyDescent="0.25">
      <c r="A654" s="1">
        <v>45579</v>
      </c>
      <c r="B654">
        <v>46.7</v>
      </c>
      <c r="C654">
        <v>53.3</v>
      </c>
      <c r="D654">
        <v>42.6</v>
      </c>
      <c r="E654">
        <v>57.4</v>
      </c>
    </row>
    <row r="655" spans="1:5" x14ac:dyDescent="0.25">
      <c r="A655" s="1">
        <v>45580</v>
      </c>
      <c r="B655">
        <v>45.5</v>
      </c>
      <c r="C655">
        <v>54.5</v>
      </c>
      <c r="D655">
        <v>44.4</v>
      </c>
      <c r="E655">
        <v>55.6</v>
      </c>
    </row>
    <row r="656" spans="1:5" x14ac:dyDescent="0.25">
      <c r="A656" s="1">
        <v>45581</v>
      </c>
      <c r="B656">
        <v>45.3</v>
      </c>
      <c r="C656">
        <v>54.7</v>
      </c>
      <c r="D656">
        <v>45.2</v>
      </c>
      <c r="E656">
        <v>54.8</v>
      </c>
    </row>
    <row r="657" spans="1:5" x14ac:dyDescent="0.25">
      <c r="A657" s="1">
        <v>45582</v>
      </c>
      <c r="B657">
        <v>45.7</v>
      </c>
      <c r="C657">
        <v>54.3</v>
      </c>
      <c r="D657">
        <v>43.5</v>
      </c>
      <c r="E657">
        <v>56.5</v>
      </c>
    </row>
    <row r="658" spans="1:5" x14ac:dyDescent="0.25">
      <c r="A658" s="1">
        <v>45583</v>
      </c>
      <c r="B658">
        <v>46.3</v>
      </c>
      <c r="C658">
        <v>53.7</v>
      </c>
      <c r="D658">
        <v>43.9</v>
      </c>
      <c r="E658">
        <v>56.1</v>
      </c>
    </row>
    <row r="659" spans="1:5" x14ac:dyDescent="0.25">
      <c r="A659" s="1">
        <v>45584</v>
      </c>
      <c r="B659">
        <v>46.5</v>
      </c>
      <c r="C659">
        <v>53.5</v>
      </c>
      <c r="D659">
        <v>50.7</v>
      </c>
      <c r="E659">
        <v>49.3</v>
      </c>
    </row>
    <row r="660" spans="1:5" x14ac:dyDescent="0.25">
      <c r="A660" s="1">
        <v>45585</v>
      </c>
      <c r="B660">
        <v>46.2</v>
      </c>
      <c r="C660">
        <v>53.8</v>
      </c>
      <c r="D660">
        <v>51.6</v>
      </c>
      <c r="E660">
        <v>48.4</v>
      </c>
    </row>
    <row r="661" spans="1:5" x14ac:dyDescent="0.25">
      <c r="A661" s="1">
        <v>45586</v>
      </c>
      <c r="B661">
        <v>44.4</v>
      </c>
      <c r="C661">
        <v>55.6</v>
      </c>
      <c r="D661">
        <v>43.3</v>
      </c>
      <c r="E661">
        <v>56.7</v>
      </c>
    </row>
    <row r="662" spans="1:5" x14ac:dyDescent="0.25">
      <c r="A662" s="1">
        <v>45587</v>
      </c>
      <c r="B662">
        <v>46.2</v>
      </c>
      <c r="C662">
        <v>53.8</v>
      </c>
      <c r="D662">
        <v>43.5</v>
      </c>
      <c r="E662">
        <v>56.5</v>
      </c>
    </row>
    <row r="663" spans="1:5" x14ac:dyDescent="0.25">
      <c r="A663" s="1">
        <v>45588</v>
      </c>
      <c r="B663">
        <v>46.9</v>
      </c>
      <c r="C663">
        <v>53.1</v>
      </c>
      <c r="D663">
        <v>45.2</v>
      </c>
      <c r="E663">
        <v>54.8</v>
      </c>
    </row>
    <row r="664" spans="1:5" x14ac:dyDescent="0.25">
      <c r="A664" s="1">
        <v>45589</v>
      </c>
      <c r="B664">
        <v>47.4</v>
      </c>
      <c r="C664">
        <v>52.6</v>
      </c>
      <c r="D664">
        <v>44</v>
      </c>
      <c r="E664">
        <v>56</v>
      </c>
    </row>
    <row r="665" spans="1:5" x14ac:dyDescent="0.25">
      <c r="A665" s="1">
        <v>45590</v>
      </c>
      <c r="B665">
        <v>45.4</v>
      </c>
      <c r="C665">
        <v>54.6</v>
      </c>
      <c r="D665">
        <v>43.4</v>
      </c>
      <c r="E665">
        <v>56.6</v>
      </c>
    </row>
    <row r="666" spans="1:5" x14ac:dyDescent="0.25">
      <c r="A666" s="1">
        <v>45591</v>
      </c>
      <c r="B666">
        <v>46.4</v>
      </c>
      <c r="C666">
        <v>53.6</v>
      </c>
      <c r="D666">
        <v>50.9</v>
      </c>
      <c r="E666">
        <v>49.1</v>
      </c>
    </row>
    <row r="667" spans="1:5" x14ac:dyDescent="0.25">
      <c r="A667" s="1">
        <v>45592</v>
      </c>
      <c r="B667">
        <v>45.1</v>
      </c>
      <c r="C667">
        <v>54.9</v>
      </c>
      <c r="D667">
        <v>48.8</v>
      </c>
      <c r="E667">
        <v>51.2</v>
      </c>
    </row>
    <row r="668" spans="1:5" x14ac:dyDescent="0.25">
      <c r="A668" s="1">
        <v>45593</v>
      </c>
      <c r="B668">
        <v>44.6</v>
      </c>
      <c r="C668">
        <v>55.4</v>
      </c>
      <c r="D668">
        <v>45.3</v>
      </c>
      <c r="E668">
        <v>54.7</v>
      </c>
    </row>
    <row r="669" spans="1:5" x14ac:dyDescent="0.25">
      <c r="A669" s="1">
        <v>45594</v>
      </c>
      <c r="B669">
        <v>46.8</v>
      </c>
      <c r="C669">
        <v>53.2</v>
      </c>
      <c r="D669">
        <v>45</v>
      </c>
      <c r="E669">
        <v>55</v>
      </c>
    </row>
    <row r="670" spans="1:5" x14ac:dyDescent="0.25">
      <c r="A670" s="1">
        <v>45595</v>
      </c>
      <c r="B670">
        <v>46.6</v>
      </c>
      <c r="C670">
        <v>53.4</v>
      </c>
      <c r="D670">
        <v>42.7</v>
      </c>
      <c r="E670">
        <v>57.3</v>
      </c>
    </row>
    <row r="671" spans="1:5" x14ac:dyDescent="0.25">
      <c r="A671" s="1">
        <v>45596</v>
      </c>
      <c r="B671">
        <v>44.6</v>
      </c>
      <c r="C671">
        <v>55.4</v>
      </c>
      <c r="D671">
        <v>44.6</v>
      </c>
      <c r="E671">
        <v>55.4</v>
      </c>
    </row>
    <row r="672" spans="1:5" x14ac:dyDescent="0.25">
      <c r="A672" s="1">
        <v>45597</v>
      </c>
      <c r="B672">
        <v>46.4</v>
      </c>
      <c r="C672">
        <v>53.6</v>
      </c>
      <c r="D672">
        <v>43.9</v>
      </c>
      <c r="E672">
        <v>56.1</v>
      </c>
    </row>
    <row r="673" spans="1:5" x14ac:dyDescent="0.25">
      <c r="A673" s="1">
        <v>45598</v>
      </c>
      <c r="B673">
        <v>46.3</v>
      </c>
      <c r="C673">
        <v>53.7</v>
      </c>
      <c r="D673">
        <v>49</v>
      </c>
      <c r="E673">
        <v>51</v>
      </c>
    </row>
    <row r="674" spans="1:5" x14ac:dyDescent="0.25">
      <c r="A674" s="1">
        <v>45599</v>
      </c>
      <c r="B674">
        <v>45.8</v>
      </c>
      <c r="C674">
        <v>54.2</v>
      </c>
      <c r="D674">
        <v>50.2</v>
      </c>
      <c r="E674">
        <v>49.8</v>
      </c>
    </row>
    <row r="675" spans="1:5" x14ac:dyDescent="0.25">
      <c r="A675" s="1">
        <v>45600</v>
      </c>
      <c r="B675">
        <v>47.1</v>
      </c>
      <c r="C675">
        <v>52.9</v>
      </c>
      <c r="D675">
        <v>44.3</v>
      </c>
      <c r="E675">
        <v>55.7</v>
      </c>
    </row>
    <row r="676" spans="1:5" x14ac:dyDescent="0.25">
      <c r="A676" s="1">
        <v>45601</v>
      </c>
      <c r="B676">
        <v>46.7</v>
      </c>
      <c r="C676">
        <v>53.3</v>
      </c>
      <c r="D676">
        <v>43.6</v>
      </c>
      <c r="E676">
        <v>56.4</v>
      </c>
    </row>
    <row r="677" spans="1:5" x14ac:dyDescent="0.25">
      <c r="A677" s="1">
        <v>45602</v>
      </c>
      <c r="B677">
        <v>45</v>
      </c>
      <c r="C677">
        <v>55</v>
      </c>
      <c r="D677">
        <v>43.4</v>
      </c>
      <c r="E677">
        <v>56.6</v>
      </c>
    </row>
    <row r="678" spans="1:5" x14ac:dyDescent="0.25">
      <c r="A678" s="1">
        <v>45603</v>
      </c>
      <c r="B678">
        <v>45.6</v>
      </c>
      <c r="C678">
        <v>54.4</v>
      </c>
      <c r="D678">
        <v>41</v>
      </c>
      <c r="E678">
        <v>59</v>
      </c>
    </row>
    <row r="679" spans="1:5" x14ac:dyDescent="0.25">
      <c r="A679" s="1">
        <v>45604</v>
      </c>
      <c r="B679">
        <v>47.7</v>
      </c>
      <c r="C679">
        <v>52.3</v>
      </c>
      <c r="D679">
        <v>44.1</v>
      </c>
      <c r="E679">
        <v>55.9</v>
      </c>
    </row>
    <row r="680" spans="1:5" x14ac:dyDescent="0.25">
      <c r="A680" s="1">
        <v>45605</v>
      </c>
      <c r="B680">
        <v>45.9</v>
      </c>
      <c r="C680">
        <v>54.1</v>
      </c>
      <c r="D680">
        <v>50</v>
      </c>
      <c r="E680">
        <v>50</v>
      </c>
    </row>
    <row r="681" spans="1:5" x14ac:dyDescent="0.25">
      <c r="A681" s="1">
        <v>45606</v>
      </c>
      <c r="B681">
        <v>45.2</v>
      </c>
      <c r="C681">
        <v>54.8</v>
      </c>
      <c r="D681">
        <v>49.7</v>
      </c>
      <c r="E681">
        <v>50.3</v>
      </c>
    </row>
    <row r="682" spans="1:5" x14ac:dyDescent="0.25">
      <c r="A682" s="1">
        <v>45607</v>
      </c>
      <c r="B682">
        <v>46.2</v>
      </c>
      <c r="C682">
        <v>53.8</v>
      </c>
      <c r="D682">
        <v>44.5</v>
      </c>
      <c r="E682">
        <v>55.5</v>
      </c>
    </row>
    <row r="683" spans="1:5" x14ac:dyDescent="0.25">
      <c r="A683" s="1">
        <v>45608</v>
      </c>
      <c r="B683">
        <v>46.5</v>
      </c>
      <c r="C683">
        <v>53.5</v>
      </c>
      <c r="D683">
        <v>43.5</v>
      </c>
      <c r="E683">
        <v>56.5</v>
      </c>
    </row>
    <row r="684" spans="1:5" x14ac:dyDescent="0.25">
      <c r="A684" s="1">
        <v>45609</v>
      </c>
      <c r="B684">
        <v>46.2</v>
      </c>
      <c r="C684">
        <v>53.8</v>
      </c>
      <c r="D684">
        <v>43.3</v>
      </c>
      <c r="E684">
        <v>56.7</v>
      </c>
    </row>
    <row r="685" spans="1:5" x14ac:dyDescent="0.25">
      <c r="A685" s="1">
        <v>45610</v>
      </c>
      <c r="B685">
        <v>45.9</v>
      </c>
      <c r="C685">
        <v>54.1</v>
      </c>
      <c r="D685">
        <v>42.4</v>
      </c>
      <c r="E685">
        <v>57.6</v>
      </c>
    </row>
    <row r="686" spans="1:5" x14ac:dyDescent="0.25">
      <c r="A686" s="1">
        <v>45611</v>
      </c>
      <c r="B686">
        <v>47.2</v>
      </c>
      <c r="C686">
        <v>52.8</v>
      </c>
      <c r="D686">
        <v>45</v>
      </c>
      <c r="E686">
        <v>55</v>
      </c>
    </row>
    <row r="687" spans="1:5" x14ac:dyDescent="0.25">
      <c r="A687" s="1">
        <v>45612</v>
      </c>
      <c r="B687">
        <v>47.3</v>
      </c>
      <c r="C687">
        <v>52.7</v>
      </c>
      <c r="D687">
        <v>49</v>
      </c>
      <c r="E687">
        <v>51</v>
      </c>
    </row>
    <row r="688" spans="1:5" x14ac:dyDescent="0.25">
      <c r="A688" s="1">
        <v>45613</v>
      </c>
      <c r="B688">
        <v>45.6</v>
      </c>
      <c r="C688">
        <v>54.4</v>
      </c>
      <c r="D688">
        <v>50.2</v>
      </c>
      <c r="E688">
        <v>49.8</v>
      </c>
    </row>
    <row r="689" spans="1:5" x14ac:dyDescent="0.25">
      <c r="A689" s="1">
        <v>45614</v>
      </c>
      <c r="B689">
        <v>46.2</v>
      </c>
      <c r="C689">
        <v>53.8</v>
      </c>
      <c r="D689">
        <v>44.5</v>
      </c>
      <c r="E689">
        <v>55.5</v>
      </c>
    </row>
    <row r="690" spans="1:5" x14ac:dyDescent="0.25">
      <c r="A690" s="1">
        <v>45615</v>
      </c>
      <c r="B690">
        <v>45.5</v>
      </c>
      <c r="C690">
        <v>54.5</v>
      </c>
      <c r="D690">
        <v>43.5</v>
      </c>
      <c r="E690">
        <v>56.5</v>
      </c>
    </row>
    <row r="691" spans="1:5" x14ac:dyDescent="0.25">
      <c r="A691" s="1">
        <v>45616</v>
      </c>
      <c r="B691">
        <v>46.7</v>
      </c>
      <c r="C691">
        <v>53.3</v>
      </c>
      <c r="D691">
        <v>43.8</v>
      </c>
      <c r="E691">
        <v>56.2</v>
      </c>
    </row>
    <row r="692" spans="1:5" x14ac:dyDescent="0.25">
      <c r="A692" s="1">
        <v>45617</v>
      </c>
      <c r="B692">
        <v>46.9</v>
      </c>
      <c r="C692">
        <v>53.1</v>
      </c>
      <c r="D692">
        <v>44.5</v>
      </c>
      <c r="E692">
        <v>55.5</v>
      </c>
    </row>
    <row r="693" spans="1:5" x14ac:dyDescent="0.25">
      <c r="A693" s="1">
        <v>45618</v>
      </c>
      <c r="B693">
        <v>46</v>
      </c>
      <c r="C693">
        <v>54</v>
      </c>
      <c r="D693">
        <v>43.8</v>
      </c>
      <c r="E693">
        <v>56.2</v>
      </c>
    </row>
    <row r="694" spans="1:5" x14ac:dyDescent="0.25">
      <c r="A694" s="1">
        <v>45619</v>
      </c>
      <c r="B694">
        <v>47.2</v>
      </c>
      <c r="C694">
        <v>52.8</v>
      </c>
      <c r="D694">
        <v>52</v>
      </c>
      <c r="E694">
        <v>48</v>
      </c>
    </row>
    <row r="695" spans="1:5" x14ac:dyDescent="0.25">
      <c r="A695" s="1">
        <v>45620</v>
      </c>
      <c r="B695">
        <v>47.9</v>
      </c>
      <c r="C695">
        <v>52.1</v>
      </c>
      <c r="D695">
        <v>50.7</v>
      </c>
      <c r="E695">
        <v>49.3</v>
      </c>
    </row>
    <row r="696" spans="1:5" x14ac:dyDescent="0.25">
      <c r="A696" s="1">
        <v>45621</v>
      </c>
      <c r="B696">
        <v>47.4</v>
      </c>
      <c r="C696">
        <v>52.6</v>
      </c>
      <c r="D696">
        <v>43.4</v>
      </c>
      <c r="E696">
        <v>56.6</v>
      </c>
    </row>
    <row r="697" spans="1:5" x14ac:dyDescent="0.25">
      <c r="A697" s="1">
        <v>45622</v>
      </c>
      <c r="B697">
        <v>48</v>
      </c>
      <c r="C697">
        <v>52</v>
      </c>
      <c r="D697">
        <v>42.4</v>
      </c>
      <c r="E697">
        <v>57.6</v>
      </c>
    </row>
    <row r="698" spans="1:5" x14ac:dyDescent="0.25">
      <c r="A698" s="1">
        <v>45623</v>
      </c>
      <c r="B698">
        <v>47.9</v>
      </c>
      <c r="C698">
        <v>52.1</v>
      </c>
      <c r="D698">
        <v>45</v>
      </c>
      <c r="E698">
        <v>55</v>
      </c>
    </row>
    <row r="699" spans="1:5" x14ac:dyDescent="0.25">
      <c r="A699" s="1">
        <v>45624</v>
      </c>
      <c r="B699">
        <v>48.3</v>
      </c>
      <c r="C699">
        <v>51.7</v>
      </c>
      <c r="D699">
        <v>43.1</v>
      </c>
      <c r="E699">
        <v>56.9</v>
      </c>
    </row>
    <row r="700" spans="1:5" x14ac:dyDescent="0.25">
      <c r="A700" s="1">
        <v>45625</v>
      </c>
      <c r="B700">
        <v>48.8</v>
      </c>
      <c r="C700">
        <v>51.2</v>
      </c>
      <c r="D700">
        <v>43.7</v>
      </c>
      <c r="E700">
        <v>56.3</v>
      </c>
    </row>
    <row r="701" spans="1:5" x14ac:dyDescent="0.25">
      <c r="A701" s="1">
        <v>45626</v>
      </c>
      <c r="B701">
        <v>47.6</v>
      </c>
      <c r="C701">
        <v>52.4</v>
      </c>
      <c r="D701">
        <v>50.4</v>
      </c>
      <c r="E701">
        <v>49.6</v>
      </c>
    </row>
    <row r="702" spans="1:5" x14ac:dyDescent="0.25">
      <c r="A702" s="1">
        <v>45627</v>
      </c>
      <c r="B702">
        <v>48.5</v>
      </c>
      <c r="C702">
        <v>51.5</v>
      </c>
      <c r="D702">
        <v>50</v>
      </c>
      <c r="E702">
        <v>50</v>
      </c>
    </row>
    <row r="703" spans="1:5" x14ac:dyDescent="0.25">
      <c r="A703" s="1">
        <v>45628</v>
      </c>
      <c r="B703">
        <v>48</v>
      </c>
      <c r="C703">
        <v>52</v>
      </c>
      <c r="D703">
        <v>45.5</v>
      </c>
      <c r="E703">
        <v>54.5</v>
      </c>
    </row>
    <row r="704" spans="1:5" x14ac:dyDescent="0.25">
      <c r="A704" s="1">
        <v>45629</v>
      </c>
      <c r="B704">
        <v>45.8</v>
      </c>
      <c r="C704">
        <v>54.2</v>
      </c>
      <c r="D704">
        <v>43.3</v>
      </c>
      <c r="E704">
        <v>56.7</v>
      </c>
    </row>
    <row r="705" spans="1:5" x14ac:dyDescent="0.25">
      <c r="A705" s="1">
        <v>45630</v>
      </c>
      <c r="B705">
        <v>48.4</v>
      </c>
      <c r="C705">
        <v>51.6</v>
      </c>
      <c r="D705">
        <v>44.9</v>
      </c>
      <c r="E705">
        <v>55.1</v>
      </c>
    </row>
    <row r="706" spans="1:5" x14ac:dyDescent="0.25">
      <c r="A706" s="1">
        <v>45631</v>
      </c>
      <c r="B706">
        <v>48.5</v>
      </c>
      <c r="C706">
        <v>51.5</v>
      </c>
      <c r="D706">
        <v>44.7</v>
      </c>
      <c r="E706">
        <v>55.3</v>
      </c>
    </row>
    <row r="707" spans="1:5" x14ac:dyDescent="0.25">
      <c r="A707" s="1">
        <v>45632</v>
      </c>
      <c r="B707">
        <v>47</v>
      </c>
      <c r="C707">
        <v>53</v>
      </c>
      <c r="D707">
        <v>44.4</v>
      </c>
      <c r="E707">
        <v>55.6</v>
      </c>
    </row>
    <row r="708" spans="1:5" x14ac:dyDescent="0.25">
      <c r="A708" s="1">
        <v>45633</v>
      </c>
      <c r="B708">
        <v>47.1</v>
      </c>
      <c r="C708">
        <v>52.9</v>
      </c>
      <c r="D708">
        <v>50.3</v>
      </c>
      <c r="E708">
        <v>49.7</v>
      </c>
    </row>
    <row r="709" spans="1:5" x14ac:dyDescent="0.25">
      <c r="A709" s="1">
        <v>45634</v>
      </c>
      <c r="B709">
        <v>48</v>
      </c>
      <c r="C709">
        <v>52</v>
      </c>
      <c r="D709">
        <v>52.5</v>
      </c>
      <c r="E709">
        <v>47.5</v>
      </c>
    </row>
    <row r="710" spans="1:5" x14ac:dyDescent="0.25">
      <c r="A710" s="1">
        <v>45635</v>
      </c>
      <c r="B710">
        <v>48.7</v>
      </c>
      <c r="C710">
        <v>51.3</v>
      </c>
      <c r="D710">
        <v>43.9</v>
      </c>
      <c r="E710">
        <v>56.1</v>
      </c>
    </row>
    <row r="711" spans="1:5" x14ac:dyDescent="0.25">
      <c r="A711" s="1">
        <v>45636</v>
      </c>
      <c r="B711">
        <v>47.4</v>
      </c>
      <c r="C711">
        <v>52.6</v>
      </c>
      <c r="D711">
        <v>45.6</v>
      </c>
      <c r="E711">
        <v>54.4</v>
      </c>
    </row>
    <row r="712" spans="1:5" x14ac:dyDescent="0.25">
      <c r="A712" s="1">
        <v>45637</v>
      </c>
      <c r="B712">
        <v>48.8</v>
      </c>
      <c r="C712">
        <v>51.2</v>
      </c>
      <c r="D712">
        <v>42.4</v>
      </c>
      <c r="E712">
        <v>57.6</v>
      </c>
    </row>
    <row r="713" spans="1:5" x14ac:dyDescent="0.25">
      <c r="A713" s="1">
        <v>45638</v>
      </c>
      <c r="B713">
        <v>49.4</v>
      </c>
      <c r="C713">
        <v>50.6</v>
      </c>
      <c r="D713">
        <v>45.7</v>
      </c>
      <c r="E713">
        <v>54.3</v>
      </c>
    </row>
    <row r="714" spans="1:5" x14ac:dyDescent="0.25">
      <c r="A714" s="1">
        <v>45639</v>
      </c>
      <c r="B714">
        <v>49.7</v>
      </c>
      <c r="C714">
        <v>50.3</v>
      </c>
      <c r="D714">
        <v>46</v>
      </c>
      <c r="E714">
        <v>54</v>
      </c>
    </row>
    <row r="715" spans="1:5" x14ac:dyDescent="0.25">
      <c r="A715" s="1">
        <v>45640</v>
      </c>
      <c r="B715">
        <v>48.9</v>
      </c>
      <c r="C715">
        <v>51.1</v>
      </c>
      <c r="D715">
        <v>50.4</v>
      </c>
      <c r="E715">
        <v>49.6</v>
      </c>
    </row>
    <row r="716" spans="1:5" x14ac:dyDescent="0.25">
      <c r="A716" s="1">
        <v>45641</v>
      </c>
      <c r="B716">
        <v>47.8</v>
      </c>
      <c r="C716">
        <v>52.2</v>
      </c>
      <c r="D716">
        <v>49.3</v>
      </c>
      <c r="E716">
        <v>50.7</v>
      </c>
    </row>
    <row r="717" spans="1:5" x14ac:dyDescent="0.25">
      <c r="A717" s="1">
        <v>45642</v>
      </c>
      <c r="B717">
        <v>47.8</v>
      </c>
      <c r="C717">
        <v>52.2</v>
      </c>
      <c r="D717">
        <v>44.3</v>
      </c>
      <c r="E717">
        <v>55.7</v>
      </c>
    </row>
    <row r="718" spans="1:5" x14ac:dyDescent="0.25">
      <c r="A718" s="1">
        <v>45643</v>
      </c>
      <c r="B718">
        <v>47.7</v>
      </c>
      <c r="C718">
        <v>52.3</v>
      </c>
      <c r="D718">
        <v>41.3</v>
      </c>
      <c r="E718">
        <v>58.7</v>
      </c>
    </row>
    <row r="719" spans="1:5" x14ac:dyDescent="0.25">
      <c r="A719" s="1">
        <v>45644</v>
      </c>
      <c r="B719">
        <v>50.5</v>
      </c>
      <c r="C719">
        <v>49.5</v>
      </c>
      <c r="D719">
        <v>46.5</v>
      </c>
      <c r="E719">
        <v>53.5</v>
      </c>
    </row>
    <row r="720" spans="1:5" x14ac:dyDescent="0.25">
      <c r="A720" s="1">
        <v>45645</v>
      </c>
      <c r="B720">
        <v>49.1</v>
      </c>
      <c r="C720">
        <v>50.9</v>
      </c>
      <c r="D720">
        <v>43</v>
      </c>
      <c r="E720">
        <v>57</v>
      </c>
    </row>
    <row r="721" spans="1:5" x14ac:dyDescent="0.25">
      <c r="A721" s="1">
        <v>45646</v>
      </c>
      <c r="B721">
        <v>46.1</v>
      </c>
      <c r="C721">
        <v>53.9</v>
      </c>
      <c r="D721">
        <v>44.4</v>
      </c>
      <c r="E721">
        <v>55.6</v>
      </c>
    </row>
    <row r="722" spans="1:5" x14ac:dyDescent="0.25">
      <c r="A722" s="1">
        <v>45647</v>
      </c>
      <c r="B722">
        <v>49.7</v>
      </c>
      <c r="C722">
        <v>50.3</v>
      </c>
      <c r="D722">
        <v>51.9</v>
      </c>
      <c r="E722">
        <v>48.1</v>
      </c>
    </row>
    <row r="723" spans="1:5" x14ac:dyDescent="0.25">
      <c r="A723" s="1">
        <v>45648</v>
      </c>
      <c r="B723">
        <v>48.3</v>
      </c>
      <c r="C723">
        <v>51.7</v>
      </c>
      <c r="D723">
        <v>49</v>
      </c>
      <c r="E723">
        <v>51</v>
      </c>
    </row>
    <row r="724" spans="1:5" x14ac:dyDescent="0.25">
      <c r="A724" s="1">
        <v>45649</v>
      </c>
      <c r="B724">
        <v>48.5</v>
      </c>
      <c r="C724">
        <v>51.5</v>
      </c>
      <c r="D724">
        <v>44.8</v>
      </c>
      <c r="E724">
        <v>55.2</v>
      </c>
    </row>
    <row r="725" spans="1:5" x14ac:dyDescent="0.25">
      <c r="A725" s="1">
        <v>45650</v>
      </c>
      <c r="B725">
        <v>49.3</v>
      </c>
      <c r="C725">
        <v>50.7</v>
      </c>
      <c r="D725">
        <v>43.8</v>
      </c>
      <c r="E725">
        <v>56.2</v>
      </c>
    </row>
    <row r="726" spans="1:5" x14ac:dyDescent="0.25">
      <c r="A726" s="1">
        <v>45651</v>
      </c>
      <c r="B726">
        <v>49.7</v>
      </c>
      <c r="C726">
        <v>50.3</v>
      </c>
      <c r="D726">
        <v>44.5</v>
      </c>
      <c r="E726">
        <v>55.5</v>
      </c>
    </row>
    <row r="727" spans="1:5" x14ac:dyDescent="0.25">
      <c r="A727" s="1">
        <v>45652</v>
      </c>
      <c r="B727">
        <v>50.3</v>
      </c>
      <c r="C727">
        <v>49.7</v>
      </c>
      <c r="D727">
        <v>44.2</v>
      </c>
      <c r="E727">
        <v>55.8</v>
      </c>
    </row>
    <row r="728" spans="1:5" x14ac:dyDescent="0.25">
      <c r="A728" s="1">
        <v>45653</v>
      </c>
      <c r="B728">
        <v>48.5</v>
      </c>
      <c r="C728">
        <v>51.5</v>
      </c>
      <c r="D728">
        <v>44.5</v>
      </c>
      <c r="E728">
        <v>55.5</v>
      </c>
    </row>
    <row r="729" spans="1:5" x14ac:dyDescent="0.25">
      <c r="A729" s="1">
        <v>45654</v>
      </c>
      <c r="B729">
        <v>48.2</v>
      </c>
      <c r="C729">
        <v>51.8</v>
      </c>
      <c r="D729">
        <v>51.9</v>
      </c>
      <c r="E729">
        <v>48.1</v>
      </c>
    </row>
    <row r="730" spans="1:5" x14ac:dyDescent="0.25">
      <c r="A730" s="1">
        <v>45655</v>
      </c>
      <c r="B730">
        <v>50</v>
      </c>
      <c r="C730">
        <v>50</v>
      </c>
      <c r="D730">
        <v>51.9</v>
      </c>
      <c r="E730">
        <v>48.1</v>
      </c>
    </row>
    <row r="731" spans="1:5" x14ac:dyDescent="0.25">
      <c r="A731" s="1">
        <v>45656</v>
      </c>
      <c r="B731">
        <v>48.9</v>
      </c>
      <c r="C731">
        <v>51.1</v>
      </c>
      <c r="D731">
        <v>46.1</v>
      </c>
      <c r="E731">
        <v>53.9</v>
      </c>
    </row>
    <row r="732" spans="1:5" x14ac:dyDescent="0.25">
      <c r="A732" s="1">
        <v>45657</v>
      </c>
      <c r="B732">
        <v>50.2</v>
      </c>
      <c r="C732">
        <v>49.8</v>
      </c>
      <c r="D732">
        <v>43.8</v>
      </c>
      <c r="E732">
        <v>56.2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080-F65E-4E09-B583-15AA9882F9E0}">
  <dimension ref="A1:E732"/>
  <sheetViews>
    <sheetView workbookViewId="0"/>
  </sheetViews>
  <sheetFormatPr defaultRowHeight="15" x14ac:dyDescent="0.25"/>
  <cols>
    <col min="1" max="1" width="10.42578125" bestFit="1" customWidth="1"/>
    <col min="2" max="2" width="13.42578125" bestFit="1" customWidth="1"/>
    <col min="3" max="3" width="11.5703125" bestFit="1" customWidth="1"/>
    <col min="5" max="5" width="15" bestFit="1" customWidth="1"/>
  </cols>
  <sheetData>
    <row r="1" spans="1: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s="1">
        <v>44927</v>
      </c>
      <c r="B2">
        <v>77.900000000000006</v>
      </c>
      <c r="C2">
        <v>0</v>
      </c>
      <c r="D2">
        <v>0</v>
      </c>
      <c r="E2">
        <v>46.3</v>
      </c>
    </row>
    <row r="3" spans="1:5" x14ac:dyDescent="0.25">
      <c r="A3" s="1">
        <v>44928</v>
      </c>
      <c r="B3">
        <v>73.900000000000006</v>
      </c>
      <c r="C3">
        <v>0.31</v>
      </c>
      <c r="D3">
        <v>1</v>
      </c>
      <c r="E3">
        <v>51.1</v>
      </c>
    </row>
    <row r="4" spans="1:5" x14ac:dyDescent="0.25">
      <c r="A4" s="1">
        <v>44929</v>
      </c>
      <c r="B4">
        <v>76.3</v>
      </c>
      <c r="C4">
        <v>0</v>
      </c>
      <c r="D4">
        <v>0</v>
      </c>
      <c r="E4">
        <v>51.6</v>
      </c>
    </row>
    <row r="5" spans="1:5" x14ac:dyDescent="0.25">
      <c r="A5" s="1">
        <v>44930</v>
      </c>
      <c r="B5">
        <v>74.2</v>
      </c>
      <c r="C5">
        <v>0</v>
      </c>
      <c r="D5">
        <v>0</v>
      </c>
      <c r="E5">
        <v>51.6</v>
      </c>
    </row>
    <row r="6" spans="1:5" x14ac:dyDescent="0.25">
      <c r="A6" s="1">
        <v>44931</v>
      </c>
      <c r="B6">
        <v>72.7</v>
      </c>
      <c r="C6">
        <v>0</v>
      </c>
      <c r="D6">
        <v>0</v>
      </c>
      <c r="E6">
        <v>54.8</v>
      </c>
    </row>
    <row r="7" spans="1:5" x14ac:dyDescent="0.25">
      <c r="A7" s="1">
        <v>44932</v>
      </c>
      <c r="B7">
        <v>73.099999999999994</v>
      </c>
      <c r="C7">
        <v>0.33</v>
      </c>
      <c r="D7">
        <v>1</v>
      </c>
      <c r="E7">
        <v>44.1</v>
      </c>
    </row>
    <row r="8" spans="1:5" x14ac:dyDescent="0.25">
      <c r="A8" s="1">
        <v>44933</v>
      </c>
      <c r="B8">
        <v>74.900000000000006</v>
      </c>
      <c r="C8">
        <v>0</v>
      </c>
      <c r="D8">
        <v>0</v>
      </c>
      <c r="E8">
        <v>48.3</v>
      </c>
    </row>
    <row r="9" spans="1:5" x14ac:dyDescent="0.25">
      <c r="A9" s="1">
        <v>44934</v>
      </c>
      <c r="B9">
        <v>68.400000000000006</v>
      </c>
      <c r="C9">
        <v>0.48</v>
      </c>
      <c r="D9">
        <v>1</v>
      </c>
      <c r="E9">
        <v>39.700000000000003</v>
      </c>
    </row>
    <row r="10" spans="1:5" x14ac:dyDescent="0.25">
      <c r="A10" s="1">
        <v>44935</v>
      </c>
      <c r="B10">
        <v>74.3</v>
      </c>
      <c r="C10">
        <v>0</v>
      </c>
      <c r="D10">
        <v>0</v>
      </c>
      <c r="E10">
        <v>49.8</v>
      </c>
    </row>
    <row r="11" spans="1:5" x14ac:dyDescent="0.25">
      <c r="A11" s="1">
        <v>44936</v>
      </c>
      <c r="B11">
        <v>70.3</v>
      </c>
      <c r="C11">
        <v>0</v>
      </c>
      <c r="D11">
        <v>0</v>
      </c>
      <c r="E11">
        <v>37.1</v>
      </c>
    </row>
    <row r="12" spans="1:5" x14ac:dyDescent="0.25">
      <c r="A12" s="1">
        <v>44937</v>
      </c>
      <c r="B12">
        <v>71.900000000000006</v>
      </c>
      <c r="C12">
        <v>0</v>
      </c>
      <c r="D12">
        <v>0</v>
      </c>
      <c r="E12">
        <v>44.6</v>
      </c>
    </row>
    <row r="13" spans="1:5" x14ac:dyDescent="0.25">
      <c r="A13" s="1">
        <v>44938</v>
      </c>
      <c r="B13">
        <v>72</v>
      </c>
      <c r="C13">
        <v>0</v>
      </c>
      <c r="D13">
        <v>0</v>
      </c>
      <c r="E13">
        <v>42.7</v>
      </c>
    </row>
    <row r="14" spans="1:5" x14ac:dyDescent="0.25">
      <c r="A14" s="1">
        <v>44939</v>
      </c>
      <c r="B14">
        <v>76.2</v>
      </c>
      <c r="C14">
        <v>0</v>
      </c>
      <c r="D14">
        <v>0</v>
      </c>
      <c r="E14">
        <v>40.200000000000003</v>
      </c>
    </row>
    <row r="15" spans="1:5" x14ac:dyDescent="0.25">
      <c r="A15" s="1">
        <v>44940</v>
      </c>
      <c r="B15">
        <v>71.2</v>
      </c>
      <c r="C15">
        <v>0</v>
      </c>
      <c r="D15">
        <v>0</v>
      </c>
      <c r="E15">
        <v>38.4</v>
      </c>
    </row>
    <row r="16" spans="1:5" x14ac:dyDescent="0.25">
      <c r="A16" s="1">
        <v>44941</v>
      </c>
      <c r="B16">
        <v>69.2</v>
      </c>
      <c r="C16">
        <v>0</v>
      </c>
      <c r="D16">
        <v>0</v>
      </c>
      <c r="E16">
        <v>39.700000000000003</v>
      </c>
    </row>
    <row r="17" spans="1:5" x14ac:dyDescent="0.25">
      <c r="A17" s="1">
        <v>44942</v>
      </c>
      <c r="B17">
        <v>72.5</v>
      </c>
      <c r="C17">
        <v>0</v>
      </c>
      <c r="D17">
        <v>0</v>
      </c>
      <c r="E17">
        <v>42.2</v>
      </c>
    </row>
    <row r="18" spans="1:5" x14ac:dyDescent="0.25">
      <c r="A18" s="1">
        <v>44943</v>
      </c>
      <c r="B18">
        <v>75.2</v>
      </c>
      <c r="C18">
        <v>0</v>
      </c>
      <c r="D18">
        <v>0</v>
      </c>
      <c r="E18">
        <v>40.9</v>
      </c>
    </row>
    <row r="19" spans="1:5" x14ac:dyDescent="0.25">
      <c r="A19" s="1">
        <v>44944</v>
      </c>
      <c r="B19">
        <v>69.2</v>
      </c>
      <c r="C19">
        <v>2.5099999999999998</v>
      </c>
      <c r="D19">
        <v>1</v>
      </c>
      <c r="E19">
        <v>44.2</v>
      </c>
    </row>
    <row r="20" spans="1:5" x14ac:dyDescent="0.25">
      <c r="A20" s="1">
        <v>44945</v>
      </c>
      <c r="B20">
        <v>77.599999999999994</v>
      </c>
      <c r="C20">
        <v>0</v>
      </c>
      <c r="D20">
        <v>0</v>
      </c>
      <c r="E20">
        <v>49.8</v>
      </c>
    </row>
    <row r="21" spans="1:5" x14ac:dyDescent="0.25">
      <c r="A21" s="1">
        <v>44946</v>
      </c>
      <c r="B21">
        <v>72</v>
      </c>
      <c r="C21">
        <v>0</v>
      </c>
      <c r="D21">
        <v>0</v>
      </c>
      <c r="E21">
        <v>45.2</v>
      </c>
    </row>
    <row r="22" spans="1:5" x14ac:dyDescent="0.25">
      <c r="A22" s="1">
        <v>44947</v>
      </c>
      <c r="B22">
        <v>70.7</v>
      </c>
      <c r="C22">
        <v>0</v>
      </c>
      <c r="D22">
        <v>0</v>
      </c>
      <c r="E22">
        <v>36.700000000000003</v>
      </c>
    </row>
    <row r="23" spans="1:5" x14ac:dyDescent="0.25">
      <c r="A23" s="1">
        <v>44948</v>
      </c>
      <c r="B23">
        <v>69.8</v>
      </c>
      <c r="C23">
        <v>0</v>
      </c>
      <c r="D23">
        <v>0</v>
      </c>
      <c r="E23">
        <v>42.4</v>
      </c>
    </row>
    <row r="24" spans="1:5" x14ac:dyDescent="0.25">
      <c r="A24" s="1">
        <v>44949</v>
      </c>
      <c r="B24">
        <v>72</v>
      </c>
      <c r="C24">
        <v>0</v>
      </c>
      <c r="D24">
        <v>0</v>
      </c>
      <c r="E24">
        <v>42.4</v>
      </c>
    </row>
    <row r="25" spans="1:5" x14ac:dyDescent="0.25">
      <c r="A25" s="1">
        <v>44950</v>
      </c>
      <c r="B25">
        <v>69.099999999999994</v>
      </c>
      <c r="C25">
        <v>0</v>
      </c>
      <c r="D25">
        <v>0</v>
      </c>
      <c r="E25">
        <v>46.4</v>
      </c>
    </row>
    <row r="26" spans="1:5" x14ac:dyDescent="0.25">
      <c r="A26" s="1">
        <v>44951</v>
      </c>
      <c r="B26">
        <v>65.8</v>
      </c>
      <c r="C26">
        <v>3.11</v>
      </c>
      <c r="D26">
        <v>1</v>
      </c>
      <c r="E26">
        <v>46.7</v>
      </c>
    </row>
    <row r="27" spans="1:5" x14ac:dyDescent="0.25">
      <c r="A27" s="1">
        <v>44952</v>
      </c>
      <c r="B27">
        <v>68.5</v>
      </c>
      <c r="C27">
        <v>0</v>
      </c>
      <c r="D27">
        <v>0</v>
      </c>
      <c r="E27">
        <v>35</v>
      </c>
    </row>
    <row r="28" spans="1:5" x14ac:dyDescent="0.25">
      <c r="A28" s="1">
        <v>44953</v>
      </c>
      <c r="B28">
        <v>67.400000000000006</v>
      </c>
      <c r="C28">
        <v>1.5</v>
      </c>
      <c r="D28">
        <v>1</v>
      </c>
      <c r="E28">
        <v>42.3</v>
      </c>
    </row>
    <row r="29" spans="1:5" x14ac:dyDescent="0.25">
      <c r="A29" s="1">
        <v>44954</v>
      </c>
      <c r="B29">
        <v>70.3</v>
      </c>
      <c r="C29">
        <v>0</v>
      </c>
      <c r="D29">
        <v>0</v>
      </c>
      <c r="E29">
        <v>44</v>
      </c>
    </row>
    <row r="30" spans="1:5" x14ac:dyDescent="0.25">
      <c r="A30" s="1">
        <v>44955</v>
      </c>
      <c r="B30">
        <v>75.099999999999994</v>
      </c>
      <c r="C30">
        <v>0</v>
      </c>
      <c r="D30">
        <v>0</v>
      </c>
      <c r="E30">
        <v>35</v>
      </c>
    </row>
    <row r="31" spans="1:5" x14ac:dyDescent="0.25">
      <c r="A31" s="1">
        <v>44956</v>
      </c>
      <c r="B31">
        <v>75.5</v>
      </c>
      <c r="C31">
        <v>0</v>
      </c>
      <c r="D31">
        <v>0</v>
      </c>
      <c r="E31">
        <v>38.700000000000003</v>
      </c>
    </row>
    <row r="32" spans="1:5" x14ac:dyDescent="0.25">
      <c r="A32" s="1">
        <v>44957</v>
      </c>
      <c r="B32">
        <v>69.2</v>
      </c>
      <c r="C32">
        <v>0</v>
      </c>
      <c r="D32">
        <v>0</v>
      </c>
      <c r="E32">
        <v>35</v>
      </c>
    </row>
    <row r="33" spans="1:5" x14ac:dyDescent="0.25">
      <c r="A33" s="1">
        <v>44958</v>
      </c>
      <c r="B33">
        <v>68.8</v>
      </c>
      <c r="C33">
        <v>0</v>
      </c>
      <c r="D33">
        <v>0</v>
      </c>
      <c r="E33">
        <v>46.9</v>
      </c>
    </row>
    <row r="34" spans="1:5" x14ac:dyDescent="0.25">
      <c r="A34" s="1">
        <v>44959</v>
      </c>
      <c r="B34">
        <v>73.400000000000006</v>
      </c>
      <c r="C34">
        <v>0</v>
      </c>
      <c r="D34">
        <v>0</v>
      </c>
      <c r="E34">
        <v>42.2</v>
      </c>
    </row>
    <row r="35" spans="1:5" x14ac:dyDescent="0.25">
      <c r="A35" s="1">
        <v>44960</v>
      </c>
      <c r="B35">
        <v>74.7</v>
      </c>
      <c r="C35">
        <v>0</v>
      </c>
      <c r="D35">
        <v>0</v>
      </c>
      <c r="E35">
        <v>35</v>
      </c>
    </row>
    <row r="36" spans="1:5" x14ac:dyDescent="0.25">
      <c r="A36" s="1">
        <v>44961</v>
      </c>
      <c r="B36">
        <v>66.2</v>
      </c>
      <c r="C36">
        <v>0</v>
      </c>
      <c r="D36">
        <v>0</v>
      </c>
      <c r="E36">
        <v>43.6</v>
      </c>
    </row>
    <row r="37" spans="1:5" x14ac:dyDescent="0.25">
      <c r="A37" s="1">
        <v>44962</v>
      </c>
      <c r="B37">
        <v>66.8</v>
      </c>
      <c r="C37">
        <v>0.79</v>
      </c>
      <c r="D37">
        <v>1</v>
      </c>
      <c r="E37">
        <v>36.9</v>
      </c>
    </row>
    <row r="38" spans="1:5" x14ac:dyDescent="0.25">
      <c r="A38" s="1">
        <v>44963</v>
      </c>
      <c r="B38">
        <v>62</v>
      </c>
      <c r="C38">
        <v>0</v>
      </c>
      <c r="D38">
        <v>0</v>
      </c>
      <c r="E38">
        <v>42.5</v>
      </c>
    </row>
    <row r="39" spans="1:5" x14ac:dyDescent="0.25">
      <c r="A39" s="1">
        <v>44964</v>
      </c>
      <c r="B39">
        <v>66.099999999999994</v>
      </c>
      <c r="C39">
        <v>0</v>
      </c>
      <c r="D39">
        <v>0</v>
      </c>
      <c r="E39">
        <v>35</v>
      </c>
    </row>
    <row r="40" spans="1:5" x14ac:dyDescent="0.25">
      <c r="A40" s="1">
        <v>44965</v>
      </c>
      <c r="B40">
        <v>65.5</v>
      </c>
      <c r="C40">
        <v>3.29</v>
      </c>
      <c r="D40">
        <v>1</v>
      </c>
      <c r="E40">
        <v>41.9</v>
      </c>
    </row>
    <row r="41" spans="1:5" x14ac:dyDescent="0.25">
      <c r="A41" s="1">
        <v>44966</v>
      </c>
      <c r="B41">
        <v>70.400000000000006</v>
      </c>
      <c r="C41">
        <v>0</v>
      </c>
      <c r="D41">
        <v>0</v>
      </c>
      <c r="E41">
        <v>36.9</v>
      </c>
    </row>
    <row r="42" spans="1:5" x14ac:dyDescent="0.25">
      <c r="A42" s="1">
        <v>44967</v>
      </c>
      <c r="B42">
        <v>65.7</v>
      </c>
      <c r="C42">
        <v>0</v>
      </c>
      <c r="D42">
        <v>0</v>
      </c>
      <c r="E42">
        <v>35</v>
      </c>
    </row>
    <row r="43" spans="1:5" x14ac:dyDescent="0.25">
      <c r="A43" s="1">
        <v>44968</v>
      </c>
      <c r="B43">
        <v>64.7</v>
      </c>
      <c r="C43">
        <v>2.4700000000000002</v>
      </c>
      <c r="D43">
        <v>1</v>
      </c>
      <c r="E43">
        <v>40.6</v>
      </c>
    </row>
    <row r="44" spans="1:5" x14ac:dyDescent="0.25">
      <c r="A44" s="1">
        <v>44969</v>
      </c>
      <c r="B44">
        <v>68.099999999999994</v>
      </c>
      <c r="C44">
        <v>0</v>
      </c>
      <c r="D44">
        <v>0</v>
      </c>
      <c r="E44">
        <v>35.700000000000003</v>
      </c>
    </row>
    <row r="45" spans="1:5" x14ac:dyDescent="0.25">
      <c r="A45" s="1">
        <v>44970</v>
      </c>
      <c r="B45">
        <v>69.7</v>
      </c>
      <c r="C45">
        <v>0</v>
      </c>
      <c r="D45">
        <v>0</v>
      </c>
      <c r="E45">
        <v>35</v>
      </c>
    </row>
    <row r="46" spans="1:5" x14ac:dyDescent="0.25">
      <c r="A46" s="1">
        <v>44971</v>
      </c>
      <c r="B46">
        <v>63.7</v>
      </c>
      <c r="C46">
        <v>0</v>
      </c>
      <c r="D46">
        <v>0</v>
      </c>
      <c r="E46">
        <v>35</v>
      </c>
    </row>
    <row r="47" spans="1:5" x14ac:dyDescent="0.25">
      <c r="A47" s="1">
        <v>44972</v>
      </c>
      <c r="B47">
        <v>59.8</v>
      </c>
      <c r="C47">
        <v>0</v>
      </c>
      <c r="D47">
        <v>0</v>
      </c>
      <c r="E47">
        <v>35</v>
      </c>
    </row>
    <row r="48" spans="1:5" x14ac:dyDescent="0.25">
      <c r="A48" s="1">
        <v>44973</v>
      </c>
      <c r="B48">
        <v>69.400000000000006</v>
      </c>
      <c r="C48">
        <v>0.8</v>
      </c>
      <c r="D48">
        <v>1</v>
      </c>
      <c r="E48">
        <v>37.1</v>
      </c>
    </row>
    <row r="49" spans="1:5" x14ac:dyDescent="0.25">
      <c r="A49" s="1">
        <v>44974</v>
      </c>
      <c r="B49">
        <v>59.8</v>
      </c>
      <c r="C49">
        <v>0</v>
      </c>
      <c r="D49">
        <v>0</v>
      </c>
      <c r="E49">
        <v>37.200000000000003</v>
      </c>
    </row>
    <row r="50" spans="1:5" x14ac:dyDescent="0.25">
      <c r="A50" s="1">
        <v>44975</v>
      </c>
      <c r="B50">
        <v>73.5</v>
      </c>
      <c r="C50">
        <v>0</v>
      </c>
      <c r="D50">
        <v>0</v>
      </c>
      <c r="E50">
        <v>35</v>
      </c>
    </row>
    <row r="51" spans="1:5" x14ac:dyDescent="0.25">
      <c r="A51" s="1">
        <v>44976</v>
      </c>
      <c r="B51">
        <v>67.8</v>
      </c>
      <c r="C51">
        <v>0</v>
      </c>
      <c r="D51">
        <v>0</v>
      </c>
      <c r="E51">
        <v>35.200000000000003</v>
      </c>
    </row>
    <row r="52" spans="1:5" x14ac:dyDescent="0.25">
      <c r="A52" s="1">
        <v>44977</v>
      </c>
      <c r="B52">
        <v>70.900000000000006</v>
      </c>
      <c r="C52">
        <v>0.32</v>
      </c>
      <c r="D52">
        <v>1</v>
      </c>
      <c r="E52">
        <v>35.9</v>
      </c>
    </row>
    <row r="53" spans="1:5" x14ac:dyDescent="0.25">
      <c r="A53" s="1">
        <v>44978</v>
      </c>
      <c r="B53">
        <v>69.5</v>
      </c>
      <c r="C53">
        <v>0.59</v>
      </c>
      <c r="D53">
        <v>1</v>
      </c>
      <c r="E53">
        <v>35</v>
      </c>
    </row>
    <row r="54" spans="1:5" x14ac:dyDescent="0.25">
      <c r="A54" s="1">
        <v>44979</v>
      </c>
      <c r="B54">
        <v>69.5</v>
      </c>
      <c r="C54">
        <v>0</v>
      </c>
      <c r="D54">
        <v>0</v>
      </c>
      <c r="E54">
        <v>38.6</v>
      </c>
    </row>
    <row r="55" spans="1:5" x14ac:dyDescent="0.25">
      <c r="A55" s="1">
        <v>44980</v>
      </c>
      <c r="B55">
        <v>67.8</v>
      </c>
      <c r="C55">
        <v>0</v>
      </c>
      <c r="D55">
        <v>0</v>
      </c>
      <c r="E55">
        <v>35</v>
      </c>
    </row>
    <row r="56" spans="1:5" x14ac:dyDescent="0.25">
      <c r="A56" s="1">
        <v>44981</v>
      </c>
      <c r="B56">
        <v>55.5</v>
      </c>
      <c r="C56">
        <v>0</v>
      </c>
      <c r="D56">
        <v>0</v>
      </c>
      <c r="E56">
        <v>37.6</v>
      </c>
    </row>
    <row r="57" spans="1:5" x14ac:dyDescent="0.25">
      <c r="A57" s="1">
        <v>44982</v>
      </c>
      <c r="B57">
        <v>62.7</v>
      </c>
      <c r="C57">
        <v>0.24</v>
      </c>
      <c r="D57">
        <v>1</v>
      </c>
      <c r="E57">
        <v>35.200000000000003</v>
      </c>
    </row>
    <row r="58" spans="1:5" x14ac:dyDescent="0.25">
      <c r="A58" s="1">
        <v>44983</v>
      </c>
      <c r="B58">
        <v>71.8</v>
      </c>
      <c r="C58">
        <v>0</v>
      </c>
      <c r="D58">
        <v>0</v>
      </c>
      <c r="E58">
        <v>41.9</v>
      </c>
    </row>
    <row r="59" spans="1:5" x14ac:dyDescent="0.25">
      <c r="A59" s="1">
        <v>44984</v>
      </c>
      <c r="B59">
        <v>61.3</v>
      </c>
      <c r="C59">
        <v>0</v>
      </c>
      <c r="D59">
        <v>0</v>
      </c>
      <c r="E59">
        <v>39.1</v>
      </c>
    </row>
    <row r="60" spans="1:5" x14ac:dyDescent="0.25">
      <c r="A60" s="1">
        <v>44985</v>
      </c>
      <c r="B60">
        <v>65.8</v>
      </c>
      <c r="C60">
        <v>0</v>
      </c>
      <c r="D60">
        <v>0</v>
      </c>
      <c r="E60">
        <v>35</v>
      </c>
    </row>
    <row r="61" spans="1:5" x14ac:dyDescent="0.25">
      <c r="A61" s="1">
        <v>44986</v>
      </c>
      <c r="B61">
        <v>71.3</v>
      </c>
      <c r="C61">
        <v>0.09</v>
      </c>
      <c r="D61">
        <v>1</v>
      </c>
      <c r="E61">
        <v>35</v>
      </c>
    </row>
    <row r="62" spans="1:5" x14ac:dyDescent="0.25">
      <c r="A62" s="1">
        <v>44987</v>
      </c>
      <c r="B62">
        <v>65.599999999999994</v>
      </c>
      <c r="C62">
        <v>0</v>
      </c>
      <c r="D62">
        <v>0</v>
      </c>
      <c r="E62">
        <v>37.200000000000003</v>
      </c>
    </row>
    <row r="63" spans="1:5" x14ac:dyDescent="0.25">
      <c r="A63" s="1">
        <v>44988</v>
      </c>
      <c r="B63">
        <v>66.900000000000006</v>
      </c>
      <c r="C63">
        <v>0</v>
      </c>
      <c r="D63">
        <v>0</v>
      </c>
      <c r="E63">
        <v>40.4</v>
      </c>
    </row>
    <row r="64" spans="1:5" x14ac:dyDescent="0.25">
      <c r="A64" s="1">
        <v>44989</v>
      </c>
      <c r="B64">
        <v>67.5</v>
      </c>
      <c r="C64">
        <v>0</v>
      </c>
      <c r="D64">
        <v>0</v>
      </c>
      <c r="E64">
        <v>35</v>
      </c>
    </row>
    <row r="65" spans="1:5" x14ac:dyDescent="0.25">
      <c r="A65" s="1">
        <v>44990</v>
      </c>
      <c r="B65">
        <v>62.1</v>
      </c>
      <c r="C65">
        <v>0</v>
      </c>
      <c r="D65">
        <v>0</v>
      </c>
      <c r="E65">
        <v>38</v>
      </c>
    </row>
    <row r="66" spans="1:5" x14ac:dyDescent="0.25">
      <c r="A66" s="1">
        <v>44991</v>
      </c>
      <c r="B66">
        <v>64.7</v>
      </c>
      <c r="C66">
        <v>0.44</v>
      </c>
      <c r="D66">
        <v>1</v>
      </c>
      <c r="E66">
        <v>35</v>
      </c>
    </row>
    <row r="67" spans="1:5" x14ac:dyDescent="0.25">
      <c r="A67" s="1">
        <v>44992</v>
      </c>
      <c r="B67">
        <v>61</v>
      </c>
      <c r="C67">
        <v>0.65</v>
      </c>
      <c r="D67">
        <v>1</v>
      </c>
      <c r="E67">
        <v>37.200000000000003</v>
      </c>
    </row>
    <row r="68" spans="1:5" x14ac:dyDescent="0.25">
      <c r="A68" s="1">
        <v>44993</v>
      </c>
      <c r="B68">
        <v>66.5</v>
      </c>
      <c r="C68">
        <v>0</v>
      </c>
      <c r="D68">
        <v>0</v>
      </c>
      <c r="E68">
        <v>35</v>
      </c>
    </row>
    <row r="69" spans="1:5" x14ac:dyDescent="0.25">
      <c r="A69" s="1">
        <v>44994</v>
      </c>
      <c r="B69">
        <v>63.7</v>
      </c>
      <c r="C69">
        <v>0</v>
      </c>
      <c r="D69">
        <v>0</v>
      </c>
      <c r="E69">
        <v>36.9</v>
      </c>
    </row>
    <row r="70" spans="1:5" x14ac:dyDescent="0.25">
      <c r="A70" s="1">
        <v>44995</v>
      </c>
      <c r="B70">
        <v>63.4</v>
      </c>
      <c r="C70">
        <v>0</v>
      </c>
      <c r="D70">
        <v>0</v>
      </c>
      <c r="E70">
        <v>35</v>
      </c>
    </row>
    <row r="71" spans="1:5" x14ac:dyDescent="0.25">
      <c r="A71" s="1">
        <v>44996</v>
      </c>
      <c r="B71">
        <v>68.7</v>
      </c>
      <c r="C71">
        <v>0.03</v>
      </c>
      <c r="D71">
        <v>1</v>
      </c>
      <c r="E71">
        <v>35</v>
      </c>
    </row>
    <row r="72" spans="1:5" x14ac:dyDescent="0.25">
      <c r="A72" s="1">
        <v>44997</v>
      </c>
      <c r="B72">
        <v>71.900000000000006</v>
      </c>
      <c r="C72">
        <v>0</v>
      </c>
      <c r="D72">
        <v>0</v>
      </c>
      <c r="E72">
        <v>35</v>
      </c>
    </row>
    <row r="73" spans="1:5" x14ac:dyDescent="0.25">
      <c r="A73" s="1">
        <v>44998</v>
      </c>
      <c r="B73">
        <v>66.5</v>
      </c>
      <c r="C73">
        <v>0.21</v>
      </c>
      <c r="D73">
        <v>1</v>
      </c>
      <c r="E73">
        <v>43.3</v>
      </c>
    </row>
    <row r="74" spans="1:5" x14ac:dyDescent="0.25">
      <c r="A74" s="1">
        <v>44999</v>
      </c>
      <c r="B74">
        <v>65.400000000000006</v>
      </c>
      <c r="C74">
        <v>0</v>
      </c>
      <c r="D74">
        <v>0</v>
      </c>
      <c r="E74">
        <v>38.799999999999997</v>
      </c>
    </row>
    <row r="75" spans="1:5" x14ac:dyDescent="0.25">
      <c r="A75" s="1">
        <v>45000</v>
      </c>
      <c r="B75">
        <v>66.900000000000006</v>
      </c>
      <c r="C75">
        <v>0</v>
      </c>
      <c r="D75">
        <v>0</v>
      </c>
      <c r="E75">
        <v>35</v>
      </c>
    </row>
    <row r="76" spans="1:5" x14ac:dyDescent="0.25">
      <c r="A76" s="1">
        <v>45001</v>
      </c>
      <c r="B76">
        <v>72.3</v>
      </c>
      <c r="C76">
        <v>0</v>
      </c>
      <c r="D76">
        <v>0</v>
      </c>
      <c r="E76">
        <v>35</v>
      </c>
    </row>
    <row r="77" spans="1:5" x14ac:dyDescent="0.25">
      <c r="A77" s="1">
        <v>45002</v>
      </c>
      <c r="B77">
        <v>65</v>
      </c>
      <c r="C77">
        <v>0</v>
      </c>
      <c r="D77">
        <v>0</v>
      </c>
      <c r="E77">
        <v>39.700000000000003</v>
      </c>
    </row>
    <row r="78" spans="1:5" x14ac:dyDescent="0.25">
      <c r="A78" s="1">
        <v>45003</v>
      </c>
      <c r="B78">
        <v>62.4</v>
      </c>
      <c r="C78">
        <v>2.29</v>
      </c>
      <c r="D78">
        <v>1</v>
      </c>
      <c r="E78">
        <v>35</v>
      </c>
    </row>
    <row r="79" spans="1:5" x14ac:dyDescent="0.25">
      <c r="A79" s="1">
        <v>45004</v>
      </c>
      <c r="B79">
        <v>64.3</v>
      </c>
      <c r="C79">
        <v>0</v>
      </c>
      <c r="D79">
        <v>0</v>
      </c>
      <c r="E79">
        <v>35</v>
      </c>
    </row>
    <row r="80" spans="1:5" x14ac:dyDescent="0.25">
      <c r="A80" s="1">
        <v>45005</v>
      </c>
      <c r="B80">
        <v>68.8</v>
      </c>
      <c r="C80">
        <v>0.67</v>
      </c>
      <c r="D80">
        <v>1</v>
      </c>
      <c r="E80">
        <v>38.700000000000003</v>
      </c>
    </row>
    <row r="81" spans="1:5" x14ac:dyDescent="0.25">
      <c r="A81" s="1">
        <v>45006</v>
      </c>
      <c r="B81">
        <v>69.8</v>
      </c>
      <c r="C81">
        <v>0</v>
      </c>
      <c r="D81">
        <v>0</v>
      </c>
      <c r="E81">
        <v>39.299999999999997</v>
      </c>
    </row>
    <row r="82" spans="1:5" x14ac:dyDescent="0.25">
      <c r="A82" s="1">
        <v>45007</v>
      </c>
      <c r="B82">
        <v>60.4</v>
      </c>
      <c r="C82">
        <v>0</v>
      </c>
      <c r="D82">
        <v>0</v>
      </c>
      <c r="E82">
        <v>35</v>
      </c>
    </row>
    <row r="83" spans="1:5" x14ac:dyDescent="0.25">
      <c r="A83" s="1">
        <v>45008</v>
      </c>
      <c r="B83">
        <v>67.900000000000006</v>
      </c>
      <c r="C83">
        <v>0</v>
      </c>
      <c r="D83">
        <v>0</v>
      </c>
      <c r="E83">
        <v>38.200000000000003</v>
      </c>
    </row>
    <row r="84" spans="1:5" x14ac:dyDescent="0.25">
      <c r="A84" s="1">
        <v>45009</v>
      </c>
      <c r="B84">
        <v>63.6</v>
      </c>
      <c r="C84">
        <v>0</v>
      </c>
      <c r="D84">
        <v>0</v>
      </c>
      <c r="E84">
        <v>39.299999999999997</v>
      </c>
    </row>
    <row r="85" spans="1:5" x14ac:dyDescent="0.25">
      <c r="A85" s="1">
        <v>45010</v>
      </c>
      <c r="B85">
        <v>61.9</v>
      </c>
      <c r="C85">
        <v>0</v>
      </c>
      <c r="D85">
        <v>0</v>
      </c>
      <c r="E85">
        <v>41.9</v>
      </c>
    </row>
    <row r="86" spans="1:5" x14ac:dyDescent="0.25">
      <c r="A86" s="1">
        <v>45011</v>
      </c>
      <c r="B86">
        <v>66.5</v>
      </c>
      <c r="C86">
        <v>0</v>
      </c>
      <c r="D86">
        <v>0</v>
      </c>
      <c r="E86">
        <v>35</v>
      </c>
    </row>
    <row r="87" spans="1:5" x14ac:dyDescent="0.25">
      <c r="A87" s="1">
        <v>45012</v>
      </c>
      <c r="B87">
        <v>67.8</v>
      </c>
      <c r="C87">
        <v>0</v>
      </c>
      <c r="D87">
        <v>0</v>
      </c>
      <c r="E87">
        <v>38.299999999999997</v>
      </c>
    </row>
    <row r="88" spans="1:5" x14ac:dyDescent="0.25">
      <c r="A88" s="1">
        <v>45013</v>
      </c>
      <c r="B88">
        <v>62.2</v>
      </c>
      <c r="C88">
        <v>0</v>
      </c>
      <c r="D88">
        <v>0</v>
      </c>
      <c r="E88">
        <v>43.5</v>
      </c>
    </row>
    <row r="89" spans="1:5" x14ac:dyDescent="0.25">
      <c r="A89" s="1">
        <v>45014</v>
      </c>
      <c r="B89">
        <v>62.5</v>
      </c>
      <c r="C89">
        <v>0</v>
      </c>
      <c r="D89">
        <v>0</v>
      </c>
      <c r="E89">
        <v>39.200000000000003</v>
      </c>
    </row>
    <row r="90" spans="1:5" x14ac:dyDescent="0.25">
      <c r="A90" s="1">
        <v>45015</v>
      </c>
      <c r="B90">
        <v>70.3</v>
      </c>
      <c r="C90">
        <v>0</v>
      </c>
      <c r="D90">
        <v>0</v>
      </c>
      <c r="E90">
        <v>40.5</v>
      </c>
    </row>
    <row r="91" spans="1:5" x14ac:dyDescent="0.25">
      <c r="A91" s="1">
        <v>45016</v>
      </c>
      <c r="B91">
        <v>66.5</v>
      </c>
      <c r="C91">
        <v>0</v>
      </c>
      <c r="D91">
        <v>0</v>
      </c>
      <c r="E91">
        <v>42.4</v>
      </c>
    </row>
    <row r="92" spans="1:5" x14ac:dyDescent="0.25">
      <c r="A92" s="1">
        <v>45017</v>
      </c>
      <c r="B92">
        <v>65.8</v>
      </c>
      <c r="C92">
        <v>0</v>
      </c>
      <c r="D92">
        <v>0</v>
      </c>
      <c r="E92">
        <v>37</v>
      </c>
    </row>
    <row r="93" spans="1:5" x14ac:dyDescent="0.25">
      <c r="A93" s="1">
        <v>45018</v>
      </c>
      <c r="B93">
        <v>67.099999999999994</v>
      </c>
      <c r="C93">
        <v>0</v>
      </c>
      <c r="D93">
        <v>0</v>
      </c>
      <c r="E93">
        <v>35</v>
      </c>
    </row>
    <row r="94" spans="1:5" x14ac:dyDescent="0.25">
      <c r="A94" s="1">
        <v>45019</v>
      </c>
      <c r="B94">
        <v>70.5</v>
      </c>
      <c r="C94">
        <v>0</v>
      </c>
      <c r="D94">
        <v>0</v>
      </c>
      <c r="E94">
        <v>44</v>
      </c>
    </row>
    <row r="95" spans="1:5" x14ac:dyDescent="0.25">
      <c r="A95" s="1">
        <v>45020</v>
      </c>
      <c r="B95">
        <v>68</v>
      </c>
      <c r="C95">
        <v>0.17</v>
      </c>
      <c r="D95">
        <v>1</v>
      </c>
      <c r="E95">
        <v>38.1</v>
      </c>
    </row>
    <row r="96" spans="1:5" x14ac:dyDescent="0.25">
      <c r="A96" s="1">
        <v>45021</v>
      </c>
      <c r="B96">
        <v>62.9</v>
      </c>
      <c r="C96">
        <v>0</v>
      </c>
      <c r="D96">
        <v>0</v>
      </c>
      <c r="E96">
        <v>45.5</v>
      </c>
    </row>
    <row r="97" spans="1:5" x14ac:dyDescent="0.25">
      <c r="A97" s="1">
        <v>45022</v>
      </c>
      <c r="B97">
        <v>62.9</v>
      </c>
      <c r="C97">
        <v>0</v>
      </c>
      <c r="D97">
        <v>0</v>
      </c>
      <c r="E97">
        <v>36.9</v>
      </c>
    </row>
    <row r="98" spans="1:5" x14ac:dyDescent="0.25">
      <c r="A98" s="1">
        <v>45023</v>
      </c>
      <c r="B98">
        <v>65.3</v>
      </c>
      <c r="C98">
        <v>0</v>
      </c>
      <c r="D98">
        <v>0</v>
      </c>
      <c r="E98">
        <v>35.4</v>
      </c>
    </row>
    <row r="99" spans="1:5" x14ac:dyDescent="0.25">
      <c r="A99" s="1">
        <v>45024</v>
      </c>
      <c r="B99">
        <v>61.2</v>
      </c>
      <c r="C99">
        <v>0</v>
      </c>
      <c r="D99">
        <v>0</v>
      </c>
      <c r="E99">
        <v>38.4</v>
      </c>
    </row>
    <row r="100" spans="1:5" x14ac:dyDescent="0.25">
      <c r="A100" s="1">
        <v>45025</v>
      </c>
      <c r="B100">
        <v>64.900000000000006</v>
      </c>
      <c r="C100">
        <v>0</v>
      </c>
      <c r="D100">
        <v>0</v>
      </c>
      <c r="E100">
        <v>48</v>
      </c>
    </row>
    <row r="101" spans="1:5" x14ac:dyDescent="0.25">
      <c r="A101" s="1">
        <v>45026</v>
      </c>
      <c r="B101">
        <v>63.2</v>
      </c>
      <c r="C101">
        <v>0</v>
      </c>
      <c r="D101">
        <v>0</v>
      </c>
      <c r="E101">
        <v>35</v>
      </c>
    </row>
    <row r="102" spans="1:5" x14ac:dyDescent="0.25">
      <c r="A102" s="1">
        <v>45027</v>
      </c>
      <c r="B102">
        <v>64.3</v>
      </c>
      <c r="C102">
        <v>0</v>
      </c>
      <c r="D102">
        <v>0</v>
      </c>
      <c r="E102">
        <v>41.6</v>
      </c>
    </row>
    <row r="103" spans="1:5" x14ac:dyDescent="0.25">
      <c r="A103" s="1">
        <v>45028</v>
      </c>
      <c r="B103">
        <v>71.099999999999994</v>
      </c>
      <c r="C103">
        <v>0</v>
      </c>
      <c r="D103">
        <v>0</v>
      </c>
      <c r="E103">
        <v>35</v>
      </c>
    </row>
    <row r="104" spans="1:5" x14ac:dyDescent="0.25">
      <c r="A104" s="1">
        <v>45029</v>
      </c>
      <c r="B104">
        <v>73.5</v>
      </c>
      <c r="C104">
        <v>0</v>
      </c>
      <c r="D104">
        <v>0</v>
      </c>
      <c r="E104">
        <v>42.1</v>
      </c>
    </row>
    <row r="105" spans="1:5" x14ac:dyDescent="0.25">
      <c r="A105" s="1">
        <v>45030</v>
      </c>
      <c r="B105">
        <v>65</v>
      </c>
      <c r="C105">
        <v>3.1</v>
      </c>
      <c r="D105">
        <v>1</v>
      </c>
      <c r="E105">
        <v>48.6</v>
      </c>
    </row>
    <row r="106" spans="1:5" x14ac:dyDescent="0.25">
      <c r="A106" s="1">
        <v>45031</v>
      </c>
      <c r="B106">
        <v>69.599999999999994</v>
      </c>
      <c r="C106">
        <v>1.46</v>
      </c>
      <c r="D106">
        <v>1</v>
      </c>
      <c r="E106">
        <v>37.200000000000003</v>
      </c>
    </row>
    <row r="107" spans="1:5" x14ac:dyDescent="0.25">
      <c r="A107" s="1">
        <v>45032</v>
      </c>
      <c r="B107">
        <v>61</v>
      </c>
      <c r="C107">
        <v>0</v>
      </c>
      <c r="D107">
        <v>0</v>
      </c>
      <c r="E107">
        <v>39</v>
      </c>
    </row>
    <row r="108" spans="1:5" x14ac:dyDescent="0.25">
      <c r="A108" s="1">
        <v>45033</v>
      </c>
      <c r="B108">
        <v>64.599999999999994</v>
      </c>
      <c r="C108">
        <v>0</v>
      </c>
      <c r="D108">
        <v>0</v>
      </c>
      <c r="E108">
        <v>46.1</v>
      </c>
    </row>
    <row r="109" spans="1:5" x14ac:dyDescent="0.25">
      <c r="A109" s="1">
        <v>45034</v>
      </c>
      <c r="B109">
        <v>70.099999999999994</v>
      </c>
      <c r="C109">
        <v>0</v>
      </c>
      <c r="D109">
        <v>0</v>
      </c>
      <c r="E109">
        <v>37</v>
      </c>
    </row>
    <row r="110" spans="1:5" x14ac:dyDescent="0.25">
      <c r="A110" s="1">
        <v>45035</v>
      </c>
      <c r="B110">
        <v>67.2</v>
      </c>
      <c r="C110">
        <v>0</v>
      </c>
      <c r="D110">
        <v>0</v>
      </c>
      <c r="E110">
        <v>41.2</v>
      </c>
    </row>
    <row r="111" spans="1:5" x14ac:dyDescent="0.25">
      <c r="A111" s="1">
        <v>45036</v>
      </c>
      <c r="B111">
        <v>70.400000000000006</v>
      </c>
      <c r="C111">
        <v>0.35</v>
      </c>
      <c r="D111">
        <v>1</v>
      </c>
      <c r="E111">
        <v>35.5</v>
      </c>
    </row>
    <row r="112" spans="1:5" x14ac:dyDescent="0.25">
      <c r="A112" s="1">
        <v>45037</v>
      </c>
      <c r="B112">
        <v>71.900000000000006</v>
      </c>
      <c r="C112">
        <v>0</v>
      </c>
      <c r="D112">
        <v>0</v>
      </c>
      <c r="E112">
        <v>37.5</v>
      </c>
    </row>
    <row r="113" spans="1:5" x14ac:dyDescent="0.25">
      <c r="A113" s="1">
        <v>45038</v>
      </c>
      <c r="B113">
        <v>66.400000000000006</v>
      </c>
      <c r="C113">
        <v>0</v>
      </c>
      <c r="D113">
        <v>0</v>
      </c>
      <c r="E113">
        <v>35</v>
      </c>
    </row>
    <row r="114" spans="1:5" x14ac:dyDescent="0.25">
      <c r="A114" s="1">
        <v>45039</v>
      </c>
      <c r="B114">
        <v>71.099999999999994</v>
      </c>
      <c r="C114">
        <v>0</v>
      </c>
      <c r="D114">
        <v>0</v>
      </c>
      <c r="E114">
        <v>35</v>
      </c>
    </row>
    <row r="115" spans="1:5" x14ac:dyDescent="0.25">
      <c r="A115" s="1">
        <v>45040</v>
      </c>
      <c r="B115">
        <v>68.599999999999994</v>
      </c>
      <c r="C115">
        <v>0</v>
      </c>
      <c r="D115">
        <v>0</v>
      </c>
      <c r="E115">
        <v>41.2</v>
      </c>
    </row>
    <row r="116" spans="1:5" x14ac:dyDescent="0.25">
      <c r="A116" s="1">
        <v>45041</v>
      </c>
      <c r="B116">
        <v>70.5</v>
      </c>
      <c r="C116">
        <v>1.79</v>
      </c>
      <c r="D116">
        <v>1</v>
      </c>
      <c r="E116">
        <v>46.2</v>
      </c>
    </row>
    <row r="117" spans="1:5" x14ac:dyDescent="0.25">
      <c r="A117" s="1">
        <v>45042</v>
      </c>
      <c r="B117">
        <v>63.6</v>
      </c>
      <c r="C117">
        <v>0</v>
      </c>
      <c r="D117">
        <v>0</v>
      </c>
      <c r="E117">
        <v>38.4</v>
      </c>
    </row>
    <row r="118" spans="1:5" x14ac:dyDescent="0.25">
      <c r="A118" s="1">
        <v>45043</v>
      </c>
      <c r="B118">
        <v>72.2</v>
      </c>
      <c r="C118">
        <v>0.37</v>
      </c>
      <c r="D118">
        <v>1</v>
      </c>
      <c r="E118">
        <v>40.5</v>
      </c>
    </row>
    <row r="119" spans="1:5" x14ac:dyDescent="0.25">
      <c r="A119" s="1">
        <v>45044</v>
      </c>
      <c r="B119">
        <v>68.3</v>
      </c>
      <c r="C119">
        <v>0</v>
      </c>
      <c r="D119">
        <v>0</v>
      </c>
      <c r="E119">
        <v>39.9</v>
      </c>
    </row>
    <row r="120" spans="1:5" x14ac:dyDescent="0.25">
      <c r="A120" s="1">
        <v>45045</v>
      </c>
      <c r="B120">
        <v>72.900000000000006</v>
      </c>
      <c r="C120">
        <v>0</v>
      </c>
      <c r="D120">
        <v>0</v>
      </c>
      <c r="E120">
        <v>41</v>
      </c>
    </row>
    <row r="121" spans="1:5" x14ac:dyDescent="0.25">
      <c r="A121" s="1">
        <v>45046</v>
      </c>
      <c r="B121">
        <v>69.400000000000006</v>
      </c>
      <c r="C121">
        <v>0</v>
      </c>
      <c r="D121">
        <v>0</v>
      </c>
      <c r="E121">
        <v>48</v>
      </c>
    </row>
    <row r="122" spans="1:5" x14ac:dyDescent="0.25">
      <c r="A122" s="1">
        <v>45047</v>
      </c>
      <c r="B122">
        <v>68.2</v>
      </c>
      <c r="C122">
        <v>0.9</v>
      </c>
      <c r="D122">
        <v>1</v>
      </c>
      <c r="E122">
        <v>40.700000000000003</v>
      </c>
    </row>
    <row r="123" spans="1:5" x14ac:dyDescent="0.25">
      <c r="A123" s="1">
        <v>45048</v>
      </c>
      <c r="B123">
        <v>66</v>
      </c>
      <c r="C123">
        <v>0.72</v>
      </c>
      <c r="D123">
        <v>1</v>
      </c>
      <c r="E123">
        <v>43.7</v>
      </c>
    </row>
    <row r="124" spans="1:5" x14ac:dyDescent="0.25">
      <c r="A124" s="1">
        <v>45049</v>
      </c>
      <c r="B124">
        <v>70.400000000000006</v>
      </c>
      <c r="C124">
        <v>2.17</v>
      </c>
      <c r="D124">
        <v>1</v>
      </c>
      <c r="E124">
        <v>40.200000000000003</v>
      </c>
    </row>
    <row r="125" spans="1:5" x14ac:dyDescent="0.25">
      <c r="A125" s="1">
        <v>45050</v>
      </c>
      <c r="B125">
        <v>69.8</v>
      </c>
      <c r="C125">
        <v>0</v>
      </c>
      <c r="D125">
        <v>0</v>
      </c>
      <c r="E125">
        <v>48.8</v>
      </c>
    </row>
    <row r="126" spans="1:5" x14ac:dyDescent="0.25">
      <c r="A126" s="1">
        <v>45051</v>
      </c>
      <c r="B126">
        <v>67.400000000000006</v>
      </c>
      <c r="C126">
        <v>1.58</v>
      </c>
      <c r="D126">
        <v>1</v>
      </c>
      <c r="E126">
        <v>37</v>
      </c>
    </row>
    <row r="127" spans="1:5" x14ac:dyDescent="0.25">
      <c r="A127" s="1">
        <v>45052</v>
      </c>
      <c r="B127">
        <v>70.5</v>
      </c>
      <c r="C127">
        <v>0.53</v>
      </c>
      <c r="D127">
        <v>1</v>
      </c>
      <c r="E127">
        <v>44.3</v>
      </c>
    </row>
    <row r="128" spans="1:5" x14ac:dyDescent="0.25">
      <c r="A128" s="1">
        <v>45053</v>
      </c>
      <c r="B128">
        <v>64.5</v>
      </c>
      <c r="C128">
        <v>0</v>
      </c>
      <c r="D128">
        <v>0</v>
      </c>
      <c r="E128">
        <v>44.8</v>
      </c>
    </row>
    <row r="129" spans="1:5" x14ac:dyDescent="0.25">
      <c r="A129" s="1">
        <v>45054</v>
      </c>
      <c r="B129">
        <v>70</v>
      </c>
      <c r="C129">
        <v>0</v>
      </c>
      <c r="D129">
        <v>0</v>
      </c>
      <c r="E129">
        <v>43.8</v>
      </c>
    </row>
    <row r="130" spans="1:5" x14ac:dyDescent="0.25">
      <c r="A130" s="1">
        <v>45055</v>
      </c>
      <c r="B130">
        <v>70.3</v>
      </c>
      <c r="C130">
        <v>0.69</v>
      </c>
      <c r="D130">
        <v>1</v>
      </c>
      <c r="E130">
        <v>36.700000000000003</v>
      </c>
    </row>
    <row r="131" spans="1:5" x14ac:dyDescent="0.25">
      <c r="A131" s="1">
        <v>45056</v>
      </c>
      <c r="B131">
        <v>69.599999999999994</v>
      </c>
      <c r="C131">
        <v>0</v>
      </c>
      <c r="D131">
        <v>0</v>
      </c>
      <c r="E131">
        <v>43.3</v>
      </c>
    </row>
    <row r="132" spans="1:5" x14ac:dyDescent="0.25">
      <c r="A132" s="1">
        <v>45057</v>
      </c>
      <c r="B132">
        <v>67.3</v>
      </c>
      <c r="C132">
        <v>0</v>
      </c>
      <c r="D132">
        <v>0</v>
      </c>
      <c r="E132">
        <v>46.5</v>
      </c>
    </row>
    <row r="133" spans="1:5" x14ac:dyDescent="0.25">
      <c r="A133" s="1">
        <v>45058</v>
      </c>
      <c r="B133">
        <v>65.400000000000006</v>
      </c>
      <c r="C133">
        <v>0</v>
      </c>
      <c r="D133">
        <v>0</v>
      </c>
      <c r="E133">
        <v>41.1</v>
      </c>
    </row>
    <row r="134" spans="1:5" x14ac:dyDescent="0.25">
      <c r="A134" s="1">
        <v>45059</v>
      </c>
      <c r="B134">
        <v>70</v>
      </c>
      <c r="C134">
        <v>0.88</v>
      </c>
      <c r="D134">
        <v>1</v>
      </c>
      <c r="E134">
        <v>38.1</v>
      </c>
    </row>
    <row r="135" spans="1:5" x14ac:dyDescent="0.25">
      <c r="A135" s="1">
        <v>45060</v>
      </c>
      <c r="B135">
        <v>72.900000000000006</v>
      </c>
      <c r="C135">
        <v>0</v>
      </c>
      <c r="D135">
        <v>0</v>
      </c>
      <c r="E135">
        <v>44.8</v>
      </c>
    </row>
    <row r="136" spans="1:5" x14ac:dyDescent="0.25">
      <c r="A136" s="1">
        <v>45061</v>
      </c>
      <c r="B136">
        <v>74.8</v>
      </c>
      <c r="C136">
        <v>0</v>
      </c>
      <c r="D136">
        <v>0</v>
      </c>
      <c r="E136">
        <v>49</v>
      </c>
    </row>
    <row r="137" spans="1:5" x14ac:dyDescent="0.25">
      <c r="A137" s="1">
        <v>45062</v>
      </c>
      <c r="B137">
        <v>74.8</v>
      </c>
      <c r="C137">
        <v>0</v>
      </c>
      <c r="D137">
        <v>0</v>
      </c>
      <c r="E137">
        <v>40.5</v>
      </c>
    </row>
    <row r="138" spans="1:5" x14ac:dyDescent="0.25">
      <c r="A138" s="1">
        <v>45063</v>
      </c>
      <c r="B138">
        <v>72.400000000000006</v>
      </c>
      <c r="C138">
        <v>0.79</v>
      </c>
      <c r="D138">
        <v>1</v>
      </c>
      <c r="E138">
        <v>47.5</v>
      </c>
    </row>
    <row r="139" spans="1:5" x14ac:dyDescent="0.25">
      <c r="A139" s="1">
        <v>45064</v>
      </c>
      <c r="B139">
        <v>70</v>
      </c>
      <c r="C139">
        <v>0</v>
      </c>
      <c r="D139">
        <v>0</v>
      </c>
      <c r="E139">
        <v>45.5</v>
      </c>
    </row>
    <row r="140" spans="1:5" x14ac:dyDescent="0.25">
      <c r="A140" s="1">
        <v>45065</v>
      </c>
      <c r="B140">
        <v>76.7</v>
      </c>
      <c r="C140">
        <v>0</v>
      </c>
      <c r="D140">
        <v>0</v>
      </c>
      <c r="E140">
        <v>47.4</v>
      </c>
    </row>
    <row r="141" spans="1:5" x14ac:dyDescent="0.25">
      <c r="A141" s="1">
        <v>45066</v>
      </c>
      <c r="B141">
        <v>67.7</v>
      </c>
      <c r="C141">
        <v>0</v>
      </c>
      <c r="D141">
        <v>0</v>
      </c>
      <c r="E141">
        <v>37.200000000000003</v>
      </c>
    </row>
    <row r="142" spans="1:5" x14ac:dyDescent="0.25">
      <c r="A142" s="1">
        <v>45067</v>
      </c>
      <c r="B142">
        <v>66.400000000000006</v>
      </c>
      <c r="C142">
        <v>0</v>
      </c>
      <c r="D142">
        <v>0</v>
      </c>
      <c r="E142">
        <v>57.4</v>
      </c>
    </row>
    <row r="143" spans="1:5" x14ac:dyDescent="0.25">
      <c r="A143" s="1">
        <v>45068</v>
      </c>
      <c r="B143">
        <v>70.7</v>
      </c>
      <c r="C143">
        <v>0</v>
      </c>
      <c r="D143">
        <v>0</v>
      </c>
      <c r="E143">
        <v>56.6</v>
      </c>
    </row>
    <row r="144" spans="1:5" x14ac:dyDescent="0.25">
      <c r="A144" s="1">
        <v>45069</v>
      </c>
      <c r="B144">
        <v>78.400000000000006</v>
      </c>
      <c r="C144">
        <v>0</v>
      </c>
      <c r="D144">
        <v>0</v>
      </c>
      <c r="E144">
        <v>44.1</v>
      </c>
    </row>
    <row r="145" spans="1:5" x14ac:dyDescent="0.25">
      <c r="A145" s="1">
        <v>45070</v>
      </c>
      <c r="B145">
        <v>77.7</v>
      </c>
      <c r="C145">
        <v>0</v>
      </c>
      <c r="D145">
        <v>0</v>
      </c>
      <c r="E145">
        <v>52.9</v>
      </c>
    </row>
    <row r="146" spans="1:5" x14ac:dyDescent="0.25">
      <c r="A146" s="1">
        <v>45071</v>
      </c>
      <c r="B146">
        <v>75.099999999999994</v>
      </c>
      <c r="C146">
        <v>0</v>
      </c>
      <c r="D146">
        <v>0</v>
      </c>
      <c r="E146">
        <v>50.1</v>
      </c>
    </row>
    <row r="147" spans="1:5" x14ac:dyDescent="0.25">
      <c r="A147" s="1">
        <v>45072</v>
      </c>
      <c r="B147">
        <v>72.5</v>
      </c>
      <c r="C147">
        <v>0</v>
      </c>
      <c r="D147">
        <v>0</v>
      </c>
      <c r="E147">
        <v>41.3</v>
      </c>
    </row>
    <row r="148" spans="1:5" x14ac:dyDescent="0.25">
      <c r="A148" s="1">
        <v>45073</v>
      </c>
      <c r="B148">
        <v>74.900000000000006</v>
      </c>
      <c r="C148">
        <v>0.47</v>
      </c>
      <c r="D148">
        <v>1</v>
      </c>
      <c r="E148">
        <v>44.5</v>
      </c>
    </row>
    <row r="149" spans="1:5" x14ac:dyDescent="0.25">
      <c r="A149" s="1">
        <v>45074</v>
      </c>
      <c r="B149">
        <v>68.2</v>
      </c>
      <c r="C149">
        <v>0.76</v>
      </c>
      <c r="D149">
        <v>1</v>
      </c>
      <c r="E149">
        <v>59.8</v>
      </c>
    </row>
    <row r="150" spans="1:5" x14ac:dyDescent="0.25">
      <c r="A150" s="1">
        <v>45075</v>
      </c>
      <c r="B150">
        <v>72.400000000000006</v>
      </c>
      <c r="C150">
        <v>0.99</v>
      </c>
      <c r="D150">
        <v>1</v>
      </c>
      <c r="E150">
        <v>53.6</v>
      </c>
    </row>
    <row r="151" spans="1:5" x14ac:dyDescent="0.25">
      <c r="A151" s="1">
        <v>45076</v>
      </c>
      <c r="B151">
        <v>76.8</v>
      </c>
      <c r="C151">
        <v>1.28</v>
      </c>
      <c r="D151">
        <v>1</v>
      </c>
      <c r="E151">
        <v>56.8</v>
      </c>
    </row>
    <row r="152" spans="1:5" x14ac:dyDescent="0.25">
      <c r="A152" s="1">
        <v>45077</v>
      </c>
      <c r="B152">
        <v>76.400000000000006</v>
      </c>
      <c r="C152">
        <v>0</v>
      </c>
      <c r="D152">
        <v>0</v>
      </c>
      <c r="E152">
        <v>46.4</v>
      </c>
    </row>
    <row r="153" spans="1:5" x14ac:dyDescent="0.25">
      <c r="A153" s="1">
        <v>45078</v>
      </c>
      <c r="B153">
        <v>72.8</v>
      </c>
      <c r="C153">
        <v>0</v>
      </c>
      <c r="D153">
        <v>0</v>
      </c>
      <c r="E153">
        <v>59.4</v>
      </c>
    </row>
    <row r="154" spans="1:5" x14ac:dyDescent="0.25">
      <c r="A154" s="1">
        <v>45079</v>
      </c>
      <c r="B154">
        <v>68.900000000000006</v>
      </c>
      <c r="C154">
        <v>0</v>
      </c>
      <c r="D154">
        <v>0</v>
      </c>
      <c r="E154">
        <v>50.8</v>
      </c>
    </row>
    <row r="155" spans="1:5" x14ac:dyDescent="0.25">
      <c r="A155" s="1">
        <v>45080</v>
      </c>
      <c r="B155">
        <v>74.7</v>
      </c>
      <c r="C155">
        <v>0.11</v>
      </c>
      <c r="D155">
        <v>1</v>
      </c>
      <c r="E155">
        <v>41.6</v>
      </c>
    </row>
    <row r="156" spans="1:5" x14ac:dyDescent="0.25">
      <c r="A156" s="1">
        <v>45081</v>
      </c>
      <c r="B156">
        <v>76.599999999999994</v>
      </c>
      <c r="C156">
        <v>0</v>
      </c>
      <c r="D156">
        <v>0</v>
      </c>
      <c r="E156">
        <v>44</v>
      </c>
    </row>
    <row r="157" spans="1:5" x14ac:dyDescent="0.25">
      <c r="A157" s="1">
        <v>45082</v>
      </c>
      <c r="B157">
        <v>76.5</v>
      </c>
      <c r="C157">
        <v>0.63</v>
      </c>
      <c r="D157">
        <v>1</v>
      </c>
      <c r="E157">
        <v>58.1</v>
      </c>
    </row>
    <row r="158" spans="1:5" x14ac:dyDescent="0.25">
      <c r="A158" s="1">
        <v>45083</v>
      </c>
      <c r="B158">
        <v>74.900000000000006</v>
      </c>
      <c r="C158">
        <v>0</v>
      </c>
      <c r="D158">
        <v>0</v>
      </c>
      <c r="E158">
        <v>58.4</v>
      </c>
    </row>
    <row r="159" spans="1:5" x14ac:dyDescent="0.25">
      <c r="A159" s="1">
        <v>45084</v>
      </c>
      <c r="B159">
        <v>73.2</v>
      </c>
      <c r="C159">
        <v>1.85</v>
      </c>
      <c r="D159">
        <v>1</v>
      </c>
      <c r="E159">
        <v>53.4</v>
      </c>
    </row>
    <row r="160" spans="1:5" x14ac:dyDescent="0.25">
      <c r="A160" s="1">
        <v>45085</v>
      </c>
      <c r="B160">
        <v>78.599999999999994</v>
      </c>
      <c r="C160">
        <v>0.81</v>
      </c>
      <c r="D160">
        <v>1</v>
      </c>
      <c r="E160">
        <v>64.7</v>
      </c>
    </row>
    <row r="161" spans="1:5" x14ac:dyDescent="0.25">
      <c r="A161" s="1">
        <v>45086</v>
      </c>
      <c r="B161">
        <v>74.3</v>
      </c>
      <c r="C161">
        <v>0.49</v>
      </c>
      <c r="D161">
        <v>1</v>
      </c>
      <c r="E161">
        <v>62.3</v>
      </c>
    </row>
    <row r="162" spans="1:5" x14ac:dyDescent="0.25">
      <c r="A162" s="1">
        <v>45087</v>
      </c>
      <c r="B162">
        <v>74.8</v>
      </c>
      <c r="C162">
        <v>0</v>
      </c>
      <c r="D162">
        <v>0</v>
      </c>
      <c r="E162">
        <v>58.9</v>
      </c>
    </row>
    <row r="163" spans="1:5" x14ac:dyDescent="0.25">
      <c r="A163" s="1">
        <v>45088</v>
      </c>
      <c r="B163">
        <v>78.3</v>
      </c>
      <c r="C163">
        <v>0</v>
      </c>
      <c r="D163">
        <v>0</v>
      </c>
      <c r="E163">
        <v>50.2</v>
      </c>
    </row>
    <row r="164" spans="1:5" x14ac:dyDescent="0.25">
      <c r="A164" s="1">
        <v>45089</v>
      </c>
      <c r="B164">
        <v>75.8</v>
      </c>
      <c r="C164">
        <v>0</v>
      </c>
      <c r="D164">
        <v>0</v>
      </c>
      <c r="E164">
        <v>55.5</v>
      </c>
    </row>
    <row r="165" spans="1:5" x14ac:dyDescent="0.25">
      <c r="A165" s="1">
        <v>45090</v>
      </c>
      <c r="B165">
        <v>82.7</v>
      </c>
      <c r="C165">
        <v>0.67</v>
      </c>
      <c r="D165">
        <v>1</v>
      </c>
      <c r="E165">
        <v>57.7</v>
      </c>
    </row>
    <row r="166" spans="1:5" x14ac:dyDescent="0.25">
      <c r="A166" s="1">
        <v>45091</v>
      </c>
      <c r="B166">
        <v>76.900000000000006</v>
      </c>
      <c r="C166">
        <v>1.6</v>
      </c>
      <c r="D166">
        <v>1</v>
      </c>
      <c r="E166">
        <v>62</v>
      </c>
    </row>
    <row r="167" spans="1:5" x14ac:dyDescent="0.25">
      <c r="A167" s="1">
        <v>45092</v>
      </c>
      <c r="B167">
        <v>78.5</v>
      </c>
      <c r="C167">
        <v>0</v>
      </c>
      <c r="D167">
        <v>0</v>
      </c>
      <c r="E167">
        <v>58.7</v>
      </c>
    </row>
    <row r="168" spans="1:5" x14ac:dyDescent="0.25">
      <c r="A168" s="1">
        <v>45093</v>
      </c>
      <c r="B168">
        <v>82.1</v>
      </c>
      <c r="C168">
        <v>0</v>
      </c>
      <c r="D168">
        <v>0</v>
      </c>
      <c r="E168">
        <v>57.6</v>
      </c>
    </row>
    <row r="169" spans="1:5" x14ac:dyDescent="0.25">
      <c r="A169" s="1">
        <v>45094</v>
      </c>
      <c r="B169">
        <v>83.5</v>
      </c>
      <c r="C169">
        <v>0</v>
      </c>
      <c r="D169">
        <v>0</v>
      </c>
      <c r="E169">
        <v>56.4</v>
      </c>
    </row>
    <row r="170" spans="1:5" x14ac:dyDescent="0.25">
      <c r="A170" s="1">
        <v>45095</v>
      </c>
      <c r="B170">
        <v>71.900000000000006</v>
      </c>
      <c r="C170">
        <v>0</v>
      </c>
      <c r="D170">
        <v>0</v>
      </c>
      <c r="E170">
        <v>60</v>
      </c>
    </row>
    <row r="171" spans="1:5" x14ac:dyDescent="0.25">
      <c r="A171" s="1">
        <v>45096</v>
      </c>
      <c r="B171">
        <v>78.5</v>
      </c>
      <c r="C171">
        <v>7.0000000000000007E-2</v>
      </c>
      <c r="D171">
        <v>1</v>
      </c>
      <c r="E171">
        <v>58.4</v>
      </c>
    </row>
    <row r="172" spans="1:5" x14ac:dyDescent="0.25">
      <c r="A172" s="1">
        <v>45097</v>
      </c>
      <c r="B172">
        <v>72.7</v>
      </c>
      <c r="C172">
        <v>0</v>
      </c>
      <c r="D172">
        <v>0</v>
      </c>
      <c r="E172">
        <v>64.400000000000006</v>
      </c>
    </row>
    <row r="173" spans="1:5" x14ac:dyDescent="0.25">
      <c r="A173" s="1">
        <v>45098</v>
      </c>
      <c r="B173">
        <v>77.3</v>
      </c>
      <c r="C173">
        <v>0</v>
      </c>
      <c r="D173">
        <v>0</v>
      </c>
      <c r="E173">
        <v>59</v>
      </c>
    </row>
    <row r="174" spans="1:5" x14ac:dyDescent="0.25">
      <c r="A174" s="1">
        <v>45099</v>
      </c>
      <c r="B174">
        <v>78.7</v>
      </c>
      <c r="C174">
        <v>0</v>
      </c>
      <c r="D174">
        <v>0</v>
      </c>
      <c r="E174">
        <v>48.7</v>
      </c>
    </row>
    <row r="175" spans="1:5" x14ac:dyDescent="0.25">
      <c r="A175" s="1">
        <v>45100</v>
      </c>
      <c r="B175">
        <v>81.400000000000006</v>
      </c>
      <c r="C175">
        <v>1.02</v>
      </c>
      <c r="D175">
        <v>1</v>
      </c>
      <c r="E175">
        <v>60.4</v>
      </c>
    </row>
    <row r="176" spans="1:5" x14ac:dyDescent="0.25">
      <c r="A176" s="1">
        <v>45101</v>
      </c>
      <c r="B176">
        <v>86.1</v>
      </c>
      <c r="C176">
        <v>1.04</v>
      </c>
      <c r="D176">
        <v>1</v>
      </c>
      <c r="E176">
        <v>56.7</v>
      </c>
    </row>
    <row r="177" spans="1:5" x14ac:dyDescent="0.25">
      <c r="A177" s="1">
        <v>45102</v>
      </c>
      <c r="B177">
        <v>73.900000000000006</v>
      </c>
      <c r="C177">
        <v>0</v>
      </c>
      <c r="D177">
        <v>0</v>
      </c>
      <c r="E177">
        <v>50.8</v>
      </c>
    </row>
    <row r="178" spans="1:5" x14ac:dyDescent="0.25">
      <c r="A178" s="1">
        <v>45103</v>
      </c>
      <c r="B178">
        <v>85.7</v>
      </c>
      <c r="C178">
        <v>0</v>
      </c>
      <c r="D178">
        <v>0</v>
      </c>
      <c r="E178">
        <v>63.4</v>
      </c>
    </row>
    <row r="179" spans="1:5" x14ac:dyDescent="0.25">
      <c r="A179" s="1">
        <v>45104</v>
      </c>
      <c r="B179">
        <v>80.3</v>
      </c>
      <c r="C179">
        <v>2.4500000000000002</v>
      </c>
      <c r="D179">
        <v>1</v>
      </c>
      <c r="E179">
        <v>56.4</v>
      </c>
    </row>
    <row r="180" spans="1:5" x14ac:dyDescent="0.25">
      <c r="A180" s="1">
        <v>45105</v>
      </c>
      <c r="B180">
        <v>79.3</v>
      </c>
      <c r="C180">
        <v>0</v>
      </c>
      <c r="D180">
        <v>0</v>
      </c>
      <c r="E180">
        <v>65.5</v>
      </c>
    </row>
    <row r="181" spans="1:5" x14ac:dyDescent="0.25">
      <c r="A181" s="1">
        <v>45106</v>
      </c>
      <c r="B181">
        <v>83.2</v>
      </c>
      <c r="C181">
        <v>0.11</v>
      </c>
      <c r="D181">
        <v>1</v>
      </c>
      <c r="E181">
        <v>75.7</v>
      </c>
    </row>
    <row r="182" spans="1:5" x14ac:dyDescent="0.25">
      <c r="A182" s="1">
        <v>45107</v>
      </c>
      <c r="B182">
        <v>78.099999999999994</v>
      </c>
      <c r="C182">
        <v>0.96</v>
      </c>
      <c r="D182">
        <v>1</v>
      </c>
      <c r="E182">
        <v>58.9</v>
      </c>
    </row>
    <row r="183" spans="1:5" x14ac:dyDescent="0.25">
      <c r="A183" s="1">
        <v>45108</v>
      </c>
      <c r="B183">
        <v>83.5</v>
      </c>
      <c r="C183">
        <v>0</v>
      </c>
      <c r="D183">
        <v>0</v>
      </c>
      <c r="E183">
        <v>65.099999999999994</v>
      </c>
    </row>
    <row r="184" spans="1:5" x14ac:dyDescent="0.25">
      <c r="A184" s="1">
        <v>45109</v>
      </c>
      <c r="B184">
        <v>77</v>
      </c>
      <c r="C184">
        <v>2.08</v>
      </c>
      <c r="D184">
        <v>1</v>
      </c>
      <c r="E184">
        <v>61.3</v>
      </c>
    </row>
    <row r="185" spans="1:5" x14ac:dyDescent="0.25">
      <c r="A185" s="1">
        <v>45110</v>
      </c>
      <c r="B185">
        <v>82.9</v>
      </c>
      <c r="C185">
        <v>1.27</v>
      </c>
      <c r="D185">
        <v>1</v>
      </c>
      <c r="E185">
        <v>69.5</v>
      </c>
    </row>
    <row r="186" spans="1:5" x14ac:dyDescent="0.25">
      <c r="A186" s="1">
        <v>45111</v>
      </c>
      <c r="B186">
        <v>82.7</v>
      </c>
      <c r="C186">
        <v>0.51</v>
      </c>
      <c r="D186">
        <v>1</v>
      </c>
      <c r="E186">
        <v>56.7</v>
      </c>
    </row>
    <row r="187" spans="1:5" x14ac:dyDescent="0.25">
      <c r="A187" s="1">
        <v>45112</v>
      </c>
      <c r="B187">
        <v>77.599999999999994</v>
      </c>
      <c r="C187">
        <v>0</v>
      </c>
      <c r="D187">
        <v>0</v>
      </c>
      <c r="E187">
        <v>64.3</v>
      </c>
    </row>
    <row r="188" spans="1:5" x14ac:dyDescent="0.25">
      <c r="A188" s="1">
        <v>45113</v>
      </c>
      <c r="B188">
        <v>79.900000000000006</v>
      </c>
      <c r="C188">
        <v>0.95</v>
      </c>
      <c r="D188">
        <v>1</v>
      </c>
      <c r="E188">
        <v>68.8</v>
      </c>
    </row>
    <row r="189" spans="1:5" x14ac:dyDescent="0.25">
      <c r="A189" s="1">
        <v>45114</v>
      </c>
      <c r="B189">
        <v>77.3</v>
      </c>
      <c r="C189">
        <v>0</v>
      </c>
      <c r="D189">
        <v>0</v>
      </c>
      <c r="E189">
        <v>61</v>
      </c>
    </row>
    <row r="190" spans="1:5" x14ac:dyDescent="0.25">
      <c r="A190" s="1">
        <v>45115</v>
      </c>
      <c r="B190">
        <v>82</v>
      </c>
      <c r="C190">
        <v>0.56999999999999995</v>
      </c>
      <c r="D190">
        <v>1</v>
      </c>
      <c r="E190">
        <v>63.8</v>
      </c>
    </row>
    <row r="191" spans="1:5" x14ac:dyDescent="0.25">
      <c r="A191" s="1">
        <v>45116</v>
      </c>
      <c r="B191">
        <v>79.099999999999994</v>
      </c>
      <c r="C191">
        <v>0</v>
      </c>
      <c r="D191">
        <v>0</v>
      </c>
      <c r="E191">
        <v>61.1</v>
      </c>
    </row>
    <row r="192" spans="1:5" x14ac:dyDescent="0.25">
      <c r="A192" s="1">
        <v>45117</v>
      </c>
      <c r="B192">
        <v>80.7</v>
      </c>
      <c r="C192">
        <v>1</v>
      </c>
      <c r="D192">
        <v>1</v>
      </c>
      <c r="E192">
        <v>69.599999999999994</v>
      </c>
    </row>
    <row r="193" spans="1:5" x14ac:dyDescent="0.25">
      <c r="A193" s="1">
        <v>45118</v>
      </c>
      <c r="B193">
        <v>83.3</v>
      </c>
      <c r="C193">
        <v>0</v>
      </c>
      <c r="D193">
        <v>0</v>
      </c>
      <c r="E193">
        <v>68.5</v>
      </c>
    </row>
    <row r="194" spans="1:5" x14ac:dyDescent="0.25">
      <c r="A194" s="1">
        <v>45119</v>
      </c>
      <c r="B194">
        <v>82.7</v>
      </c>
      <c r="C194">
        <v>0</v>
      </c>
      <c r="D194">
        <v>0</v>
      </c>
      <c r="E194">
        <v>70.099999999999994</v>
      </c>
    </row>
    <row r="195" spans="1:5" x14ac:dyDescent="0.25">
      <c r="A195" s="1">
        <v>45120</v>
      </c>
      <c r="B195">
        <v>84.7</v>
      </c>
      <c r="C195">
        <v>1.2</v>
      </c>
      <c r="D195">
        <v>1</v>
      </c>
      <c r="E195">
        <v>68.900000000000006</v>
      </c>
    </row>
    <row r="196" spans="1:5" x14ac:dyDescent="0.25">
      <c r="A196" s="1">
        <v>45121</v>
      </c>
      <c r="B196">
        <v>89</v>
      </c>
      <c r="C196">
        <v>1.1100000000000001</v>
      </c>
      <c r="D196">
        <v>1</v>
      </c>
      <c r="E196">
        <v>68.8</v>
      </c>
    </row>
    <row r="197" spans="1:5" x14ac:dyDescent="0.25">
      <c r="A197" s="1">
        <v>45122</v>
      </c>
      <c r="B197">
        <v>81.3</v>
      </c>
      <c r="C197">
        <v>0</v>
      </c>
      <c r="D197">
        <v>0</v>
      </c>
      <c r="E197">
        <v>72.400000000000006</v>
      </c>
    </row>
    <row r="198" spans="1:5" x14ac:dyDescent="0.25">
      <c r="A198" s="1">
        <v>45123</v>
      </c>
      <c r="B198">
        <v>80.7</v>
      </c>
      <c r="C198">
        <v>0.31</v>
      </c>
      <c r="D198">
        <v>1</v>
      </c>
      <c r="E198">
        <v>73.599999999999994</v>
      </c>
    </row>
    <row r="199" spans="1:5" x14ac:dyDescent="0.25">
      <c r="A199" s="1">
        <v>45124</v>
      </c>
      <c r="B199">
        <v>87.8</v>
      </c>
      <c r="C199">
        <v>0</v>
      </c>
      <c r="D199">
        <v>0</v>
      </c>
      <c r="E199">
        <v>62.5</v>
      </c>
    </row>
    <row r="200" spans="1:5" x14ac:dyDescent="0.25">
      <c r="A200" s="1">
        <v>45125</v>
      </c>
      <c r="B200">
        <v>85</v>
      </c>
      <c r="C200">
        <v>0</v>
      </c>
      <c r="D200">
        <v>0</v>
      </c>
      <c r="E200">
        <v>70.3</v>
      </c>
    </row>
    <row r="201" spans="1:5" x14ac:dyDescent="0.25">
      <c r="A201" s="1">
        <v>45126</v>
      </c>
      <c r="B201">
        <v>84.6</v>
      </c>
      <c r="C201">
        <v>0</v>
      </c>
      <c r="D201">
        <v>0</v>
      </c>
      <c r="E201">
        <v>72.900000000000006</v>
      </c>
    </row>
    <row r="202" spans="1:5" x14ac:dyDescent="0.25">
      <c r="A202" s="1">
        <v>45127</v>
      </c>
      <c r="B202">
        <v>85.7</v>
      </c>
      <c r="C202">
        <v>0</v>
      </c>
      <c r="D202">
        <v>0</v>
      </c>
      <c r="E202">
        <v>68.3</v>
      </c>
    </row>
    <row r="203" spans="1:5" x14ac:dyDescent="0.25">
      <c r="A203" s="1">
        <v>45128</v>
      </c>
      <c r="B203">
        <v>83.4</v>
      </c>
      <c r="C203">
        <v>0</v>
      </c>
      <c r="D203">
        <v>0</v>
      </c>
      <c r="E203">
        <v>68.099999999999994</v>
      </c>
    </row>
    <row r="204" spans="1:5" x14ac:dyDescent="0.25">
      <c r="A204" s="1">
        <v>45129</v>
      </c>
      <c r="B204">
        <v>83</v>
      </c>
      <c r="C204">
        <v>0.49</v>
      </c>
      <c r="D204">
        <v>1</v>
      </c>
      <c r="E204">
        <v>61.9</v>
      </c>
    </row>
    <row r="205" spans="1:5" x14ac:dyDescent="0.25">
      <c r="A205" s="1">
        <v>45130</v>
      </c>
      <c r="B205">
        <v>84.9</v>
      </c>
      <c r="C205">
        <v>0.01</v>
      </c>
      <c r="D205">
        <v>1</v>
      </c>
      <c r="E205">
        <v>70.7</v>
      </c>
    </row>
    <row r="206" spans="1:5" x14ac:dyDescent="0.25">
      <c r="A206" s="1">
        <v>45131</v>
      </c>
      <c r="B206">
        <v>88.9</v>
      </c>
      <c r="C206">
        <v>0.48</v>
      </c>
      <c r="D206">
        <v>1</v>
      </c>
      <c r="E206">
        <v>58.4</v>
      </c>
    </row>
    <row r="207" spans="1:5" x14ac:dyDescent="0.25">
      <c r="A207" s="1">
        <v>45132</v>
      </c>
      <c r="B207">
        <v>82.1</v>
      </c>
      <c r="C207">
        <v>0</v>
      </c>
      <c r="D207">
        <v>0</v>
      </c>
      <c r="E207">
        <v>78.7</v>
      </c>
    </row>
    <row r="208" spans="1:5" x14ac:dyDescent="0.25">
      <c r="A208" s="1">
        <v>45133</v>
      </c>
      <c r="B208">
        <v>88.4</v>
      </c>
      <c r="C208">
        <v>1.02</v>
      </c>
      <c r="D208">
        <v>1</v>
      </c>
      <c r="E208">
        <v>69.8</v>
      </c>
    </row>
    <row r="209" spans="1:5" x14ac:dyDescent="0.25">
      <c r="A209" s="1">
        <v>45134</v>
      </c>
      <c r="B209">
        <v>85.4</v>
      </c>
      <c r="C209">
        <v>0</v>
      </c>
      <c r="D209">
        <v>0</v>
      </c>
      <c r="E209">
        <v>78.3</v>
      </c>
    </row>
    <row r="210" spans="1:5" x14ac:dyDescent="0.25">
      <c r="A210" s="1">
        <v>45135</v>
      </c>
      <c r="B210">
        <v>86.2</v>
      </c>
      <c r="C210">
        <v>0</v>
      </c>
      <c r="D210">
        <v>0</v>
      </c>
      <c r="E210">
        <v>62.3</v>
      </c>
    </row>
    <row r="211" spans="1:5" x14ac:dyDescent="0.25">
      <c r="A211" s="1">
        <v>45136</v>
      </c>
      <c r="B211">
        <v>84.5</v>
      </c>
      <c r="C211">
        <v>0</v>
      </c>
      <c r="D211">
        <v>0</v>
      </c>
      <c r="E211">
        <v>63.8</v>
      </c>
    </row>
    <row r="212" spans="1:5" x14ac:dyDescent="0.25">
      <c r="A212" s="1">
        <v>45137</v>
      </c>
      <c r="B212">
        <v>87.4</v>
      </c>
      <c r="C212">
        <v>0</v>
      </c>
      <c r="D212">
        <v>0</v>
      </c>
      <c r="E212">
        <v>72.900000000000006</v>
      </c>
    </row>
    <row r="213" spans="1:5" x14ac:dyDescent="0.25">
      <c r="A213" s="1">
        <v>45138</v>
      </c>
      <c r="B213">
        <v>89.8</v>
      </c>
      <c r="C213">
        <v>0.71</v>
      </c>
      <c r="D213">
        <v>1</v>
      </c>
      <c r="E213">
        <v>69</v>
      </c>
    </row>
    <row r="214" spans="1:5" x14ac:dyDescent="0.25">
      <c r="A214" s="1">
        <v>45139</v>
      </c>
      <c r="B214">
        <v>86.3</v>
      </c>
      <c r="C214">
        <v>0</v>
      </c>
      <c r="D214">
        <v>0</v>
      </c>
      <c r="E214">
        <v>71.599999999999994</v>
      </c>
    </row>
    <row r="215" spans="1:5" x14ac:dyDescent="0.25">
      <c r="A215" s="1">
        <v>45140</v>
      </c>
      <c r="B215">
        <v>88</v>
      </c>
      <c r="C215">
        <v>0</v>
      </c>
      <c r="D215">
        <v>0</v>
      </c>
      <c r="E215">
        <v>77.2</v>
      </c>
    </row>
    <row r="216" spans="1:5" x14ac:dyDescent="0.25">
      <c r="A216" s="1">
        <v>45141</v>
      </c>
      <c r="B216">
        <v>84.8</v>
      </c>
      <c r="C216">
        <v>2.21</v>
      </c>
      <c r="D216">
        <v>1</v>
      </c>
      <c r="E216">
        <v>61.5</v>
      </c>
    </row>
    <row r="217" spans="1:5" x14ac:dyDescent="0.25">
      <c r="A217" s="1">
        <v>45142</v>
      </c>
      <c r="B217">
        <v>84.1</v>
      </c>
      <c r="C217">
        <v>0.42</v>
      </c>
      <c r="D217">
        <v>1</v>
      </c>
      <c r="E217">
        <v>64.7</v>
      </c>
    </row>
    <row r="218" spans="1:5" x14ac:dyDescent="0.25">
      <c r="A218" s="1">
        <v>45143</v>
      </c>
      <c r="B218">
        <v>88.9</v>
      </c>
      <c r="C218">
        <v>0</v>
      </c>
      <c r="D218">
        <v>0</v>
      </c>
      <c r="E218">
        <v>67.7</v>
      </c>
    </row>
    <row r="219" spans="1:5" x14ac:dyDescent="0.25">
      <c r="A219" s="1">
        <v>45144</v>
      </c>
      <c r="B219">
        <v>90.9</v>
      </c>
      <c r="C219">
        <v>1.5</v>
      </c>
      <c r="D219">
        <v>1</v>
      </c>
      <c r="E219">
        <v>68.099999999999994</v>
      </c>
    </row>
    <row r="220" spans="1:5" x14ac:dyDescent="0.25">
      <c r="A220" s="1">
        <v>45145</v>
      </c>
      <c r="B220">
        <v>87.4</v>
      </c>
      <c r="C220">
        <v>0</v>
      </c>
      <c r="D220">
        <v>0</v>
      </c>
      <c r="E220">
        <v>75.900000000000006</v>
      </c>
    </row>
    <row r="221" spans="1:5" x14ac:dyDescent="0.25">
      <c r="A221" s="1">
        <v>45146</v>
      </c>
      <c r="B221">
        <v>86.4</v>
      </c>
      <c r="C221">
        <v>0.5</v>
      </c>
      <c r="D221">
        <v>1</v>
      </c>
      <c r="E221">
        <v>69.099999999999994</v>
      </c>
    </row>
    <row r="222" spans="1:5" x14ac:dyDescent="0.25">
      <c r="A222" s="1">
        <v>45147</v>
      </c>
      <c r="B222">
        <v>83.5</v>
      </c>
      <c r="C222">
        <v>0</v>
      </c>
      <c r="D222">
        <v>0</v>
      </c>
      <c r="E222">
        <v>78.2</v>
      </c>
    </row>
    <row r="223" spans="1:5" x14ac:dyDescent="0.25">
      <c r="A223" s="1">
        <v>45148</v>
      </c>
      <c r="B223">
        <v>86.5</v>
      </c>
      <c r="C223">
        <v>0.86</v>
      </c>
      <c r="D223">
        <v>1</v>
      </c>
      <c r="E223">
        <v>71.099999999999994</v>
      </c>
    </row>
    <row r="224" spans="1:5" x14ac:dyDescent="0.25">
      <c r="A224" s="1">
        <v>45149</v>
      </c>
      <c r="B224">
        <v>81.3</v>
      </c>
      <c r="C224">
        <v>0</v>
      </c>
      <c r="D224">
        <v>0</v>
      </c>
      <c r="E224">
        <v>76.900000000000006</v>
      </c>
    </row>
    <row r="225" spans="1:5" x14ac:dyDescent="0.25">
      <c r="A225" s="1">
        <v>45150</v>
      </c>
      <c r="B225">
        <v>82.7</v>
      </c>
      <c r="C225">
        <v>5.72</v>
      </c>
      <c r="D225">
        <v>1</v>
      </c>
      <c r="E225">
        <v>79.400000000000006</v>
      </c>
    </row>
    <row r="226" spans="1:5" x14ac:dyDescent="0.25">
      <c r="A226" s="1">
        <v>45151</v>
      </c>
      <c r="B226">
        <v>87.2</v>
      </c>
      <c r="C226">
        <v>0</v>
      </c>
      <c r="D226">
        <v>0</v>
      </c>
      <c r="E226">
        <v>75.099999999999994</v>
      </c>
    </row>
    <row r="227" spans="1:5" x14ac:dyDescent="0.25">
      <c r="A227" s="1">
        <v>45152</v>
      </c>
      <c r="B227">
        <v>85.6</v>
      </c>
      <c r="C227">
        <v>0</v>
      </c>
      <c r="D227">
        <v>0</v>
      </c>
      <c r="E227">
        <v>76.2</v>
      </c>
    </row>
    <row r="228" spans="1:5" x14ac:dyDescent="0.25">
      <c r="A228" s="1">
        <v>45153</v>
      </c>
      <c r="B228">
        <v>82.9</v>
      </c>
      <c r="C228">
        <v>0</v>
      </c>
      <c r="D228">
        <v>0</v>
      </c>
      <c r="E228">
        <v>65.900000000000006</v>
      </c>
    </row>
    <row r="229" spans="1:5" x14ac:dyDescent="0.25">
      <c r="A229" s="1">
        <v>45154</v>
      </c>
      <c r="B229">
        <v>87.1</v>
      </c>
      <c r="C229">
        <v>0.69</v>
      </c>
      <c r="D229">
        <v>1</v>
      </c>
      <c r="E229">
        <v>72.3</v>
      </c>
    </row>
    <row r="230" spans="1:5" x14ac:dyDescent="0.25">
      <c r="A230" s="1">
        <v>45155</v>
      </c>
      <c r="B230">
        <v>89</v>
      </c>
      <c r="C230">
        <v>1.3</v>
      </c>
      <c r="D230">
        <v>1</v>
      </c>
      <c r="E230">
        <v>75.599999999999994</v>
      </c>
    </row>
    <row r="231" spans="1:5" x14ac:dyDescent="0.25">
      <c r="A231" s="1">
        <v>45156</v>
      </c>
      <c r="B231">
        <v>84.7</v>
      </c>
      <c r="C231">
        <v>0.61</v>
      </c>
      <c r="D231">
        <v>1</v>
      </c>
      <c r="E231">
        <v>77.5</v>
      </c>
    </row>
    <row r="232" spans="1:5" x14ac:dyDescent="0.25">
      <c r="A232" s="1">
        <v>45157</v>
      </c>
      <c r="B232">
        <v>87.2</v>
      </c>
      <c r="C232">
        <v>0.76</v>
      </c>
      <c r="D232">
        <v>1</v>
      </c>
      <c r="E232">
        <v>76</v>
      </c>
    </row>
    <row r="233" spans="1:5" x14ac:dyDescent="0.25">
      <c r="A233" s="1">
        <v>45158</v>
      </c>
      <c r="B233">
        <v>89</v>
      </c>
      <c r="C233">
        <v>0.62</v>
      </c>
      <c r="D233">
        <v>1</v>
      </c>
      <c r="E233">
        <v>75.599999999999994</v>
      </c>
    </row>
    <row r="234" spans="1:5" x14ac:dyDescent="0.25">
      <c r="A234" s="1">
        <v>45159</v>
      </c>
      <c r="B234">
        <v>87.1</v>
      </c>
      <c r="C234">
        <v>0</v>
      </c>
      <c r="D234">
        <v>0</v>
      </c>
      <c r="E234">
        <v>67.3</v>
      </c>
    </row>
    <row r="235" spans="1:5" x14ac:dyDescent="0.25">
      <c r="A235" s="1">
        <v>45160</v>
      </c>
      <c r="B235">
        <v>86.2</v>
      </c>
      <c r="C235">
        <v>0</v>
      </c>
      <c r="D235">
        <v>0</v>
      </c>
      <c r="E235">
        <v>66.5</v>
      </c>
    </row>
    <row r="236" spans="1:5" x14ac:dyDescent="0.25">
      <c r="A236" s="1">
        <v>45161</v>
      </c>
      <c r="B236">
        <v>84.8</v>
      </c>
      <c r="C236">
        <v>0</v>
      </c>
      <c r="D236">
        <v>0</v>
      </c>
      <c r="E236">
        <v>80.2</v>
      </c>
    </row>
    <row r="237" spans="1:5" x14ac:dyDescent="0.25">
      <c r="A237" s="1">
        <v>45162</v>
      </c>
      <c r="B237">
        <v>89</v>
      </c>
      <c r="C237">
        <v>0</v>
      </c>
      <c r="D237">
        <v>0</v>
      </c>
      <c r="E237">
        <v>70.5</v>
      </c>
    </row>
    <row r="238" spans="1:5" x14ac:dyDescent="0.25">
      <c r="A238" s="1">
        <v>45163</v>
      </c>
      <c r="B238">
        <v>88</v>
      </c>
      <c r="C238">
        <v>0</v>
      </c>
      <c r="D238">
        <v>0</v>
      </c>
      <c r="E238">
        <v>73.900000000000006</v>
      </c>
    </row>
    <row r="239" spans="1:5" x14ac:dyDescent="0.25">
      <c r="A239" s="1">
        <v>45164</v>
      </c>
      <c r="B239">
        <v>88.1</v>
      </c>
      <c r="C239">
        <v>0</v>
      </c>
      <c r="D239">
        <v>0</v>
      </c>
      <c r="E239">
        <v>63.4</v>
      </c>
    </row>
    <row r="240" spans="1:5" x14ac:dyDescent="0.25">
      <c r="A240" s="1">
        <v>45165</v>
      </c>
      <c r="B240">
        <v>89.7</v>
      </c>
      <c r="C240">
        <v>0.44</v>
      </c>
      <c r="D240">
        <v>1</v>
      </c>
      <c r="E240">
        <v>77.099999999999994</v>
      </c>
    </row>
    <row r="241" spans="1:5" x14ac:dyDescent="0.25">
      <c r="A241" s="1">
        <v>45166</v>
      </c>
      <c r="B241">
        <v>90.1</v>
      </c>
      <c r="C241">
        <v>0</v>
      </c>
      <c r="D241">
        <v>0</v>
      </c>
      <c r="E241">
        <v>77.2</v>
      </c>
    </row>
    <row r="242" spans="1:5" x14ac:dyDescent="0.25">
      <c r="A242" s="1">
        <v>45167</v>
      </c>
      <c r="B242">
        <v>89.2</v>
      </c>
      <c r="C242">
        <v>0.08</v>
      </c>
      <c r="D242">
        <v>1</v>
      </c>
      <c r="E242">
        <v>71.900000000000006</v>
      </c>
    </row>
    <row r="243" spans="1:5" x14ac:dyDescent="0.25">
      <c r="A243" s="1">
        <v>45168</v>
      </c>
      <c r="B243">
        <v>92.8</v>
      </c>
      <c r="C243">
        <v>0</v>
      </c>
      <c r="D243">
        <v>0</v>
      </c>
      <c r="E243">
        <v>72.3</v>
      </c>
    </row>
    <row r="244" spans="1:5" x14ac:dyDescent="0.25">
      <c r="A244" s="1">
        <v>45169</v>
      </c>
      <c r="B244">
        <v>85.6</v>
      </c>
      <c r="C244">
        <v>0</v>
      </c>
      <c r="D244">
        <v>0</v>
      </c>
      <c r="E244">
        <v>75.400000000000006</v>
      </c>
    </row>
    <row r="245" spans="1:5" x14ac:dyDescent="0.25">
      <c r="A245" s="1">
        <v>45170</v>
      </c>
      <c r="B245">
        <v>94.1</v>
      </c>
      <c r="C245">
        <v>0</v>
      </c>
      <c r="D245">
        <v>0</v>
      </c>
      <c r="E245">
        <v>71.5</v>
      </c>
    </row>
    <row r="246" spans="1:5" x14ac:dyDescent="0.25">
      <c r="A246" s="1">
        <v>45171</v>
      </c>
      <c r="B246">
        <v>87.3</v>
      </c>
      <c r="C246">
        <v>0</v>
      </c>
      <c r="D246">
        <v>0</v>
      </c>
      <c r="E246">
        <v>73.599999999999994</v>
      </c>
    </row>
    <row r="247" spans="1:5" x14ac:dyDescent="0.25">
      <c r="A247" s="1">
        <v>45172</v>
      </c>
      <c r="B247">
        <v>87.3</v>
      </c>
      <c r="C247">
        <v>0</v>
      </c>
      <c r="D247">
        <v>0</v>
      </c>
      <c r="E247">
        <v>74.8</v>
      </c>
    </row>
    <row r="248" spans="1:5" x14ac:dyDescent="0.25">
      <c r="A248" s="1">
        <v>45173</v>
      </c>
      <c r="B248">
        <v>86.8</v>
      </c>
      <c r="C248">
        <v>0.68</v>
      </c>
      <c r="D248">
        <v>1</v>
      </c>
      <c r="E248">
        <v>81.3</v>
      </c>
    </row>
    <row r="249" spans="1:5" x14ac:dyDescent="0.25">
      <c r="A249" s="1">
        <v>45174</v>
      </c>
      <c r="B249">
        <v>86.2</v>
      </c>
      <c r="C249">
        <v>0</v>
      </c>
      <c r="D249">
        <v>0</v>
      </c>
      <c r="E249">
        <v>72.2</v>
      </c>
    </row>
    <row r="250" spans="1:5" x14ac:dyDescent="0.25">
      <c r="A250" s="1">
        <v>45175</v>
      </c>
      <c r="B250">
        <v>95.7</v>
      </c>
      <c r="C250">
        <v>0.45</v>
      </c>
      <c r="D250">
        <v>1</v>
      </c>
      <c r="E250">
        <v>78.400000000000006</v>
      </c>
    </row>
    <row r="251" spans="1:5" x14ac:dyDescent="0.25">
      <c r="A251" s="1">
        <v>45176</v>
      </c>
      <c r="B251">
        <v>87.6</v>
      </c>
      <c r="C251">
        <v>0</v>
      </c>
      <c r="D251">
        <v>0</v>
      </c>
      <c r="E251">
        <v>74.900000000000006</v>
      </c>
    </row>
    <row r="252" spans="1:5" x14ac:dyDescent="0.25">
      <c r="A252" s="1">
        <v>45177</v>
      </c>
      <c r="B252">
        <v>88.8</v>
      </c>
      <c r="C252">
        <v>1.94</v>
      </c>
      <c r="D252">
        <v>1</v>
      </c>
      <c r="E252">
        <v>75.3</v>
      </c>
    </row>
    <row r="253" spans="1:5" x14ac:dyDescent="0.25">
      <c r="A253" s="1">
        <v>45178</v>
      </c>
      <c r="B253">
        <v>91.3</v>
      </c>
      <c r="C253">
        <v>0.68</v>
      </c>
      <c r="D253">
        <v>1</v>
      </c>
      <c r="E253">
        <v>80.599999999999994</v>
      </c>
    </row>
    <row r="254" spans="1:5" x14ac:dyDescent="0.25">
      <c r="A254" s="1">
        <v>45179</v>
      </c>
      <c r="B254">
        <v>88.8</v>
      </c>
      <c r="C254">
        <v>0</v>
      </c>
      <c r="D254">
        <v>0</v>
      </c>
      <c r="E254">
        <v>67.400000000000006</v>
      </c>
    </row>
    <row r="255" spans="1:5" x14ac:dyDescent="0.25">
      <c r="A255" s="1">
        <v>45180</v>
      </c>
      <c r="B255">
        <v>89.6</v>
      </c>
      <c r="C255">
        <v>0</v>
      </c>
      <c r="D255">
        <v>0</v>
      </c>
      <c r="E255">
        <v>81.2</v>
      </c>
    </row>
    <row r="256" spans="1:5" x14ac:dyDescent="0.25">
      <c r="A256" s="1">
        <v>45181</v>
      </c>
      <c r="B256">
        <v>96.6</v>
      </c>
      <c r="C256">
        <v>0</v>
      </c>
      <c r="D256">
        <v>0</v>
      </c>
      <c r="E256">
        <v>78.5</v>
      </c>
    </row>
    <row r="257" spans="1:5" x14ac:dyDescent="0.25">
      <c r="A257" s="1">
        <v>45182</v>
      </c>
      <c r="B257">
        <v>88</v>
      </c>
      <c r="C257">
        <v>1.95</v>
      </c>
      <c r="D257">
        <v>1</v>
      </c>
      <c r="E257">
        <v>84.5</v>
      </c>
    </row>
    <row r="258" spans="1:5" x14ac:dyDescent="0.25">
      <c r="A258" s="1">
        <v>45183</v>
      </c>
      <c r="B258">
        <v>87</v>
      </c>
      <c r="C258">
        <v>0</v>
      </c>
      <c r="D258">
        <v>0</v>
      </c>
      <c r="E258">
        <v>71.7</v>
      </c>
    </row>
    <row r="259" spans="1:5" x14ac:dyDescent="0.25">
      <c r="A259" s="1">
        <v>45184</v>
      </c>
      <c r="B259">
        <v>91.3</v>
      </c>
      <c r="C259">
        <v>0.56999999999999995</v>
      </c>
      <c r="D259">
        <v>1</v>
      </c>
      <c r="E259">
        <v>75.2</v>
      </c>
    </row>
    <row r="260" spans="1:5" x14ac:dyDescent="0.25">
      <c r="A260" s="1">
        <v>45185</v>
      </c>
      <c r="B260">
        <v>86.5</v>
      </c>
      <c r="C260">
        <v>0</v>
      </c>
      <c r="D260">
        <v>0</v>
      </c>
      <c r="E260">
        <v>68.7</v>
      </c>
    </row>
    <row r="261" spans="1:5" x14ac:dyDescent="0.25">
      <c r="A261" s="1">
        <v>45186</v>
      </c>
      <c r="B261">
        <v>84.5</v>
      </c>
      <c r="C261">
        <v>0.36</v>
      </c>
      <c r="D261">
        <v>1</v>
      </c>
      <c r="E261">
        <v>77.400000000000006</v>
      </c>
    </row>
    <row r="262" spans="1:5" x14ac:dyDescent="0.25">
      <c r="A262" s="1">
        <v>45187</v>
      </c>
      <c r="B262">
        <v>90.7</v>
      </c>
      <c r="C262">
        <v>0.83</v>
      </c>
      <c r="D262">
        <v>1</v>
      </c>
      <c r="E262">
        <v>72.5</v>
      </c>
    </row>
    <row r="263" spans="1:5" x14ac:dyDescent="0.25">
      <c r="A263" s="1">
        <v>45188</v>
      </c>
      <c r="B263">
        <v>86.7</v>
      </c>
      <c r="C263">
        <v>0.27</v>
      </c>
      <c r="D263">
        <v>1</v>
      </c>
      <c r="E263">
        <v>74.099999999999994</v>
      </c>
    </row>
    <row r="264" spans="1:5" x14ac:dyDescent="0.25">
      <c r="A264" s="1">
        <v>45189</v>
      </c>
      <c r="B264">
        <v>89.9</v>
      </c>
      <c r="C264">
        <v>1.5</v>
      </c>
      <c r="D264">
        <v>1</v>
      </c>
      <c r="E264">
        <v>67.099999999999994</v>
      </c>
    </row>
    <row r="265" spans="1:5" x14ac:dyDescent="0.25">
      <c r="A265" s="1">
        <v>45190</v>
      </c>
      <c r="B265">
        <v>86.3</v>
      </c>
      <c r="C265">
        <v>0.11</v>
      </c>
      <c r="D265">
        <v>1</v>
      </c>
      <c r="E265">
        <v>78.900000000000006</v>
      </c>
    </row>
    <row r="266" spans="1:5" x14ac:dyDescent="0.25">
      <c r="A266" s="1">
        <v>45191</v>
      </c>
      <c r="B266">
        <v>91.6</v>
      </c>
      <c r="C266">
        <v>1.31</v>
      </c>
      <c r="D266">
        <v>1</v>
      </c>
      <c r="E266">
        <v>81.2</v>
      </c>
    </row>
    <row r="267" spans="1:5" x14ac:dyDescent="0.25">
      <c r="A267" s="1">
        <v>45192</v>
      </c>
      <c r="B267">
        <v>84.8</v>
      </c>
      <c r="C267">
        <v>0.5</v>
      </c>
      <c r="D267">
        <v>1</v>
      </c>
      <c r="E267">
        <v>71.400000000000006</v>
      </c>
    </row>
    <row r="268" spans="1:5" x14ac:dyDescent="0.25">
      <c r="A268" s="1">
        <v>45193</v>
      </c>
      <c r="B268">
        <v>87</v>
      </c>
      <c r="C268">
        <v>0</v>
      </c>
      <c r="D268">
        <v>0</v>
      </c>
      <c r="E268">
        <v>62.2</v>
      </c>
    </row>
    <row r="269" spans="1:5" x14ac:dyDescent="0.25">
      <c r="A269" s="1">
        <v>45194</v>
      </c>
      <c r="B269">
        <v>91</v>
      </c>
      <c r="C269">
        <v>0.8</v>
      </c>
      <c r="D269">
        <v>1</v>
      </c>
      <c r="E269">
        <v>81.599999999999994</v>
      </c>
    </row>
    <row r="270" spans="1:5" x14ac:dyDescent="0.25">
      <c r="A270" s="1">
        <v>45195</v>
      </c>
      <c r="B270">
        <v>94.3</v>
      </c>
      <c r="C270">
        <v>0.34</v>
      </c>
      <c r="D270">
        <v>1</v>
      </c>
      <c r="E270">
        <v>65</v>
      </c>
    </row>
    <row r="271" spans="1:5" x14ac:dyDescent="0.25">
      <c r="A271" s="1">
        <v>45196</v>
      </c>
      <c r="B271">
        <v>86</v>
      </c>
      <c r="C271">
        <v>0.28999999999999998</v>
      </c>
      <c r="D271">
        <v>1</v>
      </c>
      <c r="E271">
        <v>70</v>
      </c>
    </row>
    <row r="272" spans="1:5" x14ac:dyDescent="0.25">
      <c r="A272" s="1">
        <v>45197</v>
      </c>
      <c r="B272">
        <v>86.6</v>
      </c>
      <c r="C272">
        <v>0.23</v>
      </c>
      <c r="D272">
        <v>1</v>
      </c>
      <c r="E272">
        <v>73.599999999999994</v>
      </c>
    </row>
    <row r="273" spans="1:5" x14ac:dyDescent="0.25">
      <c r="A273" s="1">
        <v>45198</v>
      </c>
      <c r="B273">
        <v>87.9</v>
      </c>
      <c r="C273">
        <v>0</v>
      </c>
      <c r="D273">
        <v>0</v>
      </c>
      <c r="E273">
        <v>74.7</v>
      </c>
    </row>
    <row r="274" spans="1:5" x14ac:dyDescent="0.25">
      <c r="A274" s="1">
        <v>45199</v>
      </c>
      <c r="B274">
        <v>91.9</v>
      </c>
      <c r="C274">
        <v>0.64</v>
      </c>
      <c r="D274">
        <v>1</v>
      </c>
      <c r="E274">
        <v>69.099999999999994</v>
      </c>
    </row>
    <row r="275" spans="1:5" x14ac:dyDescent="0.25">
      <c r="A275" s="1">
        <v>45200</v>
      </c>
      <c r="B275">
        <v>89.5</v>
      </c>
      <c r="C275">
        <v>0</v>
      </c>
      <c r="D275">
        <v>0</v>
      </c>
      <c r="E275">
        <v>68.599999999999994</v>
      </c>
    </row>
    <row r="276" spans="1:5" x14ac:dyDescent="0.25">
      <c r="A276" s="1">
        <v>45201</v>
      </c>
      <c r="B276">
        <v>88.6</v>
      </c>
      <c r="C276">
        <v>0.23</v>
      </c>
      <c r="D276">
        <v>1</v>
      </c>
      <c r="E276">
        <v>80.5</v>
      </c>
    </row>
    <row r="277" spans="1:5" x14ac:dyDescent="0.25">
      <c r="A277" s="1">
        <v>45202</v>
      </c>
      <c r="B277">
        <v>87.2</v>
      </c>
      <c r="C277">
        <v>0</v>
      </c>
      <c r="D277">
        <v>0</v>
      </c>
      <c r="E277">
        <v>70.900000000000006</v>
      </c>
    </row>
    <row r="278" spans="1:5" x14ac:dyDescent="0.25">
      <c r="A278" s="1">
        <v>45203</v>
      </c>
      <c r="B278">
        <v>89.7</v>
      </c>
      <c r="C278">
        <v>0</v>
      </c>
      <c r="D278">
        <v>0</v>
      </c>
      <c r="E278">
        <v>79.2</v>
      </c>
    </row>
    <row r="279" spans="1:5" x14ac:dyDescent="0.25">
      <c r="A279" s="1">
        <v>45204</v>
      </c>
      <c r="B279">
        <v>85.4</v>
      </c>
      <c r="C279">
        <v>0</v>
      </c>
      <c r="D279">
        <v>0</v>
      </c>
      <c r="E279">
        <v>75.2</v>
      </c>
    </row>
    <row r="280" spans="1:5" x14ac:dyDescent="0.25">
      <c r="A280" s="1">
        <v>45205</v>
      </c>
      <c r="B280">
        <v>89.5</v>
      </c>
      <c r="C280">
        <v>0</v>
      </c>
      <c r="D280">
        <v>0</v>
      </c>
      <c r="E280">
        <v>79.599999999999994</v>
      </c>
    </row>
    <row r="281" spans="1:5" x14ac:dyDescent="0.25">
      <c r="A281" s="1">
        <v>45206</v>
      </c>
      <c r="B281">
        <v>87</v>
      </c>
      <c r="C281">
        <v>1.33</v>
      </c>
      <c r="D281">
        <v>1</v>
      </c>
      <c r="E281">
        <v>71.400000000000006</v>
      </c>
    </row>
    <row r="282" spans="1:5" x14ac:dyDescent="0.25">
      <c r="A282" s="1">
        <v>45207</v>
      </c>
      <c r="B282">
        <v>86.3</v>
      </c>
      <c r="C282">
        <v>0.33</v>
      </c>
      <c r="D282">
        <v>1</v>
      </c>
      <c r="E282">
        <v>74.3</v>
      </c>
    </row>
    <row r="283" spans="1:5" x14ac:dyDescent="0.25">
      <c r="A283" s="1">
        <v>45208</v>
      </c>
      <c r="B283">
        <v>91.5</v>
      </c>
      <c r="C283">
        <v>0</v>
      </c>
      <c r="D283">
        <v>0</v>
      </c>
      <c r="E283">
        <v>70.7</v>
      </c>
    </row>
    <row r="284" spans="1:5" x14ac:dyDescent="0.25">
      <c r="A284" s="1">
        <v>45209</v>
      </c>
      <c r="B284">
        <v>89.8</v>
      </c>
      <c r="C284">
        <v>0</v>
      </c>
      <c r="D284">
        <v>0</v>
      </c>
      <c r="E284">
        <v>75.2</v>
      </c>
    </row>
    <row r="285" spans="1:5" x14ac:dyDescent="0.25">
      <c r="A285" s="1">
        <v>45210</v>
      </c>
      <c r="B285">
        <v>87.4</v>
      </c>
      <c r="C285">
        <v>0</v>
      </c>
      <c r="D285">
        <v>0</v>
      </c>
      <c r="E285">
        <v>78.599999999999994</v>
      </c>
    </row>
    <row r="286" spans="1:5" x14ac:dyDescent="0.25">
      <c r="A286" s="1">
        <v>45211</v>
      </c>
      <c r="B286">
        <v>88.1</v>
      </c>
      <c r="C286">
        <v>0</v>
      </c>
      <c r="D286">
        <v>0</v>
      </c>
      <c r="E286">
        <v>68.5</v>
      </c>
    </row>
    <row r="287" spans="1:5" x14ac:dyDescent="0.25">
      <c r="A287" s="1">
        <v>45212</v>
      </c>
      <c r="B287">
        <v>90.8</v>
      </c>
      <c r="C287">
        <v>0.78</v>
      </c>
      <c r="D287">
        <v>1</v>
      </c>
      <c r="E287">
        <v>72.599999999999994</v>
      </c>
    </row>
    <row r="288" spans="1:5" x14ac:dyDescent="0.25">
      <c r="A288" s="1">
        <v>45213</v>
      </c>
      <c r="B288">
        <v>90.5</v>
      </c>
      <c r="C288">
        <v>0</v>
      </c>
      <c r="D288">
        <v>0</v>
      </c>
      <c r="E288">
        <v>71.2</v>
      </c>
    </row>
    <row r="289" spans="1:5" x14ac:dyDescent="0.25">
      <c r="A289" s="1">
        <v>45214</v>
      </c>
      <c r="B289">
        <v>91.6</v>
      </c>
      <c r="C289">
        <v>0.99</v>
      </c>
      <c r="D289">
        <v>1</v>
      </c>
      <c r="E289">
        <v>71.3</v>
      </c>
    </row>
    <row r="290" spans="1:5" x14ac:dyDescent="0.25">
      <c r="A290" s="1">
        <v>45215</v>
      </c>
      <c r="B290">
        <v>88.2</v>
      </c>
      <c r="C290">
        <v>0</v>
      </c>
      <c r="D290">
        <v>0</v>
      </c>
      <c r="E290">
        <v>71.3</v>
      </c>
    </row>
    <row r="291" spans="1:5" x14ac:dyDescent="0.25">
      <c r="A291" s="1">
        <v>45216</v>
      </c>
      <c r="B291">
        <v>89.1</v>
      </c>
      <c r="C291">
        <v>0</v>
      </c>
      <c r="D291">
        <v>0</v>
      </c>
      <c r="E291">
        <v>71.3</v>
      </c>
    </row>
    <row r="292" spans="1:5" x14ac:dyDescent="0.25">
      <c r="A292" s="1">
        <v>45217</v>
      </c>
      <c r="B292">
        <v>91.5</v>
      </c>
      <c r="C292">
        <v>0.61</v>
      </c>
      <c r="D292">
        <v>1</v>
      </c>
      <c r="E292">
        <v>74.8</v>
      </c>
    </row>
    <row r="293" spans="1:5" x14ac:dyDescent="0.25">
      <c r="A293" s="1">
        <v>45218</v>
      </c>
      <c r="B293">
        <v>85.9</v>
      </c>
      <c r="C293">
        <v>0</v>
      </c>
      <c r="D293">
        <v>0</v>
      </c>
      <c r="E293">
        <v>60.1</v>
      </c>
    </row>
    <row r="294" spans="1:5" x14ac:dyDescent="0.25">
      <c r="A294" s="1">
        <v>45219</v>
      </c>
      <c r="B294">
        <v>89.3</v>
      </c>
      <c r="C294">
        <v>0</v>
      </c>
      <c r="D294">
        <v>0</v>
      </c>
      <c r="E294">
        <v>74.8</v>
      </c>
    </row>
    <row r="295" spans="1:5" x14ac:dyDescent="0.25">
      <c r="A295" s="1">
        <v>45220</v>
      </c>
      <c r="B295">
        <v>86</v>
      </c>
      <c r="C295">
        <v>0</v>
      </c>
      <c r="D295">
        <v>0</v>
      </c>
      <c r="E295">
        <v>73.599999999999994</v>
      </c>
    </row>
    <row r="296" spans="1:5" x14ac:dyDescent="0.25">
      <c r="A296" s="1">
        <v>45221</v>
      </c>
      <c r="B296">
        <v>88.1</v>
      </c>
      <c r="C296">
        <v>0</v>
      </c>
      <c r="D296">
        <v>0</v>
      </c>
      <c r="E296">
        <v>72.3</v>
      </c>
    </row>
    <row r="297" spans="1:5" x14ac:dyDescent="0.25">
      <c r="A297" s="1">
        <v>45222</v>
      </c>
      <c r="B297">
        <v>88.7</v>
      </c>
      <c r="C297">
        <v>0</v>
      </c>
      <c r="D297">
        <v>0</v>
      </c>
      <c r="E297">
        <v>61.6</v>
      </c>
    </row>
    <row r="298" spans="1:5" x14ac:dyDescent="0.25">
      <c r="A298" s="1">
        <v>45223</v>
      </c>
      <c r="B298">
        <v>84.1</v>
      </c>
      <c r="C298">
        <v>0</v>
      </c>
      <c r="D298">
        <v>0</v>
      </c>
      <c r="E298">
        <v>72.099999999999994</v>
      </c>
    </row>
    <row r="299" spans="1:5" x14ac:dyDescent="0.25">
      <c r="A299" s="1">
        <v>45224</v>
      </c>
      <c r="B299">
        <v>84.2</v>
      </c>
      <c r="C299">
        <v>0</v>
      </c>
      <c r="D299">
        <v>0</v>
      </c>
      <c r="E299">
        <v>68.3</v>
      </c>
    </row>
    <row r="300" spans="1:5" x14ac:dyDescent="0.25">
      <c r="A300" s="1">
        <v>45225</v>
      </c>
      <c r="B300">
        <v>81.8</v>
      </c>
      <c r="C300">
        <v>0</v>
      </c>
      <c r="D300">
        <v>0</v>
      </c>
      <c r="E300">
        <v>75.8</v>
      </c>
    </row>
    <row r="301" spans="1:5" x14ac:dyDescent="0.25">
      <c r="A301" s="1">
        <v>45226</v>
      </c>
      <c r="B301">
        <v>85.6</v>
      </c>
      <c r="C301">
        <v>0</v>
      </c>
      <c r="D301">
        <v>0</v>
      </c>
      <c r="E301">
        <v>66.8</v>
      </c>
    </row>
    <row r="302" spans="1:5" x14ac:dyDescent="0.25">
      <c r="A302" s="1">
        <v>45227</v>
      </c>
      <c r="B302">
        <v>86.6</v>
      </c>
      <c r="C302">
        <v>0</v>
      </c>
      <c r="D302">
        <v>0</v>
      </c>
      <c r="E302">
        <v>73.7</v>
      </c>
    </row>
    <row r="303" spans="1:5" x14ac:dyDescent="0.25">
      <c r="A303" s="1">
        <v>45228</v>
      </c>
      <c r="B303">
        <v>83.4</v>
      </c>
      <c r="C303">
        <v>0.4</v>
      </c>
      <c r="D303">
        <v>1</v>
      </c>
      <c r="E303">
        <v>73.8</v>
      </c>
    </row>
    <row r="304" spans="1:5" x14ac:dyDescent="0.25">
      <c r="A304" s="1">
        <v>45229</v>
      </c>
      <c r="B304">
        <v>85.5</v>
      </c>
      <c r="C304">
        <v>0</v>
      </c>
      <c r="D304">
        <v>0</v>
      </c>
      <c r="E304">
        <v>66.7</v>
      </c>
    </row>
    <row r="305" spans="1:5" x14ac:dyDescent="0.25">
      <c r="A305" s="1">
        <v>45230</v>
      </c>
      <c r="B305">
        <v>86.3</v>
      </c>
      <c r="C305">
        <v>0</v>
      </c>
      <c r="D305">
        <v>0</v>
      </c>
      <c r="E305">
        <v>64.900000000000006</v>
      </c>
    </row>
    <row r="306" spans="1:5" x14ac:dyDescent="0.25">
      <c r="A306" s="1">
        <v>45231</v>
      </c>
      <c r="B306">
        <v>89.3</v>
      </c>
      <c r="C306">
        <v>0</v>
      </c>
      <c r="D306">
        <v>0</v>
      </c>
      <c r="E306">
        <v>75.5</v>
      </c>
    </row>
    <row r="307" spans="1:5" x14ac:dyDescent="0.25">
      <c r="A307" s="1">
        <v>45232</v>
      </c>
      <c r="B307">
        <v>81.8</v>
      </c>
      <c r="C307">
        <v>2.65</v>
      </c>
      <c r="D307">
        <v>1</v>
      </c>
      <c r="E307">
        <v>60.3</v>
      </c>
    </row>
    <row r="308" spans="1:5" x14ac:dyDescent="0.25">
      <c r="A308" s="1">
        <v>45233</v>
      </c>
      <c r="B308">
        <v>92.2</v>
      </c>
      <c r="C308">
        <v>0.94</v>
      </c>
      <c r="D308">
        <v>1</v>
      </c>
      <c r="E308">
        <v>74.400000000000006</v>
      </c>
    </row>
    <row r="309" spans="1:5" x14ac:dyDescent="0.25">
      <c r="A309" s="1">
        <v>45234</v>
      </c>
      <c r="B309">
        <v>82.8</v>
      </c>
      <c r="C309">
        <v>0.64</v>
      </c>
      <c r="D309">
        <v>1</v>
      </c>
      <c r="E309">
        <v>68.599999999999994</v>
      </c>
    </row>
    <row r="310" spans="1:5" x14ac:dyDescent="0.25">
      <c r="A310" s="1">
        <v>45235</v>
      </c>
      <c r="B310">
        <v>83</v>
      </c>
      <c r="C310">
        <v>0</v>
      </c>
      <c r="D310">
        <v>0</v>
      </c>
      <c r="E310">
        <v>54.7</v>
      </c>
    </row>
    <row r="311" spans="1:5" x14ac:dyDescent="0.25">
      <c r="A311" s="1">
        <v>45236</v>
      </c>
      <c r="B311">
        <v>80.2</v>
      </c>
      <c r="C311">
        <v>0</v>
      </c>
      <c r="D311">
        <v>0</v>
      </c>
      <c r="E311">
        <v>67.099999999999994</v>
      </c>
    </row>
    <row r="312" spans="1:5" x14ac:dyDescent="0.25">
      <c r="A312" s="1">
        <v>45237</v>
      </c>
      <c r="B312">
        <v>85.4</v>
      </c>
      <c r="C312">
        <v>0</v>
      </c>
      <c r="D312">
        <v>0</v>
      </c>
      <c r="E312">
        <v>70.3</v>
      </c>
    </row>
    <row r="313" spans="1:5" x14ac:dyDescent="0.25">
      <c r="A313" s="1">
        <v>45238</v>
      </c>
      <c r="B313">
        <v>78.900000000000006</v>
      </c>
      <c r="C313">
        <v>0.46</v>
      </c>
      <c r="D313">
        <v>1</v>
      </c>
      <c r="E313">
        <v>66.3</v>
      </c>
    </row>
    <row r="314" spans="1:5" x14ac:dyDescent="0.25">
      <c r="A314" s="1">
        <v>45239</v>
      </c>
      <c r="B314">
        <v>89.1</v>
      </c>
      <c r="C314">
        <v>0.28000000000000003</v>
      </c>
      <c r="D314">
        <v>1</v>
      </c>
      <c r="E314">
        <v>53</v>
      </c>
    </row>
    <row r="315" spans="1:5" x14ac:dyDescent="0.25">
      <c r="A315" s="1">
        <v>45240</v>
      </c>
      <c r="B315">
        <v>77.400000000000006</v>
      </c>
      <c r="C315">
        <v>0</v>
      </c>
      <c r="D315">
        <v>0</v>
      </c>
      <c r="E315">
        <v>70.5</v>
      </c>
    </row>
    <row r="316" spans="1:5" x14ac:dyDescent="0.25">
      <c r="A316" s="1">
        <v>45241</v>
      </c>
      <c r="B316">
        <v>86.7</v>
      </c>
      <c r="C316">
        <v>0.41</v>
      </c>
      <c r="D316">
        <v>1</v>
      </c>
      <c r="E316">
        <v>59.4</v>
      </c>
    </row>
    <row r="317" spans="1:5" x14ac:dyDescent="0.25">
      <c r="A317" s="1">
        <v>45242</v>
      </c>
      <c r="B317">
        <v>83.5</v>
      </c>
      <c r="C317">
        <v>0.61</v>
      </c>
      <c r="D317">
        <v>1</v>
      </c>
      <c r="E317">
        <v>54.8</v>
      </c>
    </row>
    <row r="318" spans="1:5" x14ac:dyDescent="0.25">
      <c r="A318" s="1">
        <v>45243</v>
      </c>
      <c r="B318">
        <v>79.400000000000006</v>
      </c>
      <c r="C318">
        <v>0</v>
      </c>
      <c r="D318">
        <v>0</v>
      </c>
      <c r="E318">
        <v>57</v>
      </c>
    </row>
    <row r="319" spans="1:5" x14ac:dyDescent="0.25">
      <c r="A319" s="1">
        <v>45244</v>
      </c>
      <c r="B319">
        <v>86.2</v>
      </c>
      <c r="C319">
        <v>0</v>
      </c>
      <c r="D319">
        <v>0</v>
      </c>
      <c r="E319">
        <v>63.9</v>
      </c>
    </row>
    <row r="320" spans="1:5" x14ac:dyDescent="0.25">
      <c r="A320" s="1">
        <v>45245</v>
      </c>
      <c r="B320">
        <v>80.8</v>
      </c>
      <c r="C320">
        <v>0</v>
      </c>
      <c r="D320">
        <v>0</v>
      </c>
      <c r="E320">
        <v>63.6</v>
      </c>
    </row>
    <row r="321" spans="1:5" x14ac:dyDescent="0.25">
      <c r="A321" s="1">
        <v>45246</v>
      </c>
      <c r="B321">
        <v>81.2</v>
      </c>
      <c r="C321">
        <v>0</v>
      </c>
      <c r="D321">
        <v>0</v>
      </c>
      <c r="E321">
        <v>58.5</v>
      </c>
    </row>
    <row r="322" spans="1:5" x14ac:dyDescent="0.25">
      <c r="A322" s="1">
        <v>45247</v>
      </c>
      <c r="B322">
        <v>79.2</v>
      </c>
      <c r="C322">
        <v>1.1599999999999999</v>
      </c>
      <c r="D322">
        <v>1</v>
      </c>
      <c r="E322">
        <v>61.4</v>
      </c>
    </row>
    <row r="323" spans="1:5" x14ac:dyDescent="0.25">
      <c r="A323" s="1">
        <v>45248</v>
      </c>
      <c r="B323">
        <v>86.7</v>
      </c>
      <c r="C323">
        <v>0</v>
      </c>
      <c r="D323">
        <v>0</v>
      </c>
      <c r="E323">
        <v>68.8</v>
      </c>
    </row>
    <row r="324" spans="1:5" x14ac:dyDescent="0.25">
      <c r="A324" s="1">
        <v>45249</v>
      </c>
      <c r="B324">
        <v>83.7</v>
      </c>
      <c r="C324">
        <v>1.03</v>
      </c>
      <c r="D324">
        <v>1</v>
      </c>
      <c r="E324">
        <v>55</v>
      </c>
    </row>
    <row r="325" spans="1:5" x14ac:dyDescent="0.25">
      <c r="A325" s="1">
        <v>45250</v>
      </c>
      <c r="B325">
        <v>78.8</v>
      </c>
      <c r="C325">
        <v>0</v>
      </c>
      <c r="D325">
        <v>0</v>
      </c>
      <c r="E325">
        <v>59.8</v>
      </c>
    </row>
    <row r="326" spans="1:5" x14ac:dyDescent="0.25">
      <c r="A326" s="1">
        <v>45251</v>
      </c>
      <c r="B326">
        <v>80.5</v>
      </c>
      <c r="C326">
        <v>0</v>
      </c>
      <c r="D326">
        <v>0</v>
      </c>
      <c r="E326">
        <v>68.3</v>
      </c>
    </row>
    <row r="327" spans="1:5" x14ac:dyDescent="0.25">
      <c r="A327" s="1">
        <v>45252</v>
      </c>
      <c r="B327">
        <v>83</v>
      </c>
      <c r="C327">
        <v>0</v>
      </c>
      <c r="D327">
        <v>0</v>
      </c>
      <c r="E327">
        <v>58.6</v>
      </c>
    </row>
    <row r="328" spans="1:5" x14ac:dyDescent="0.25">
      <c r="A328" s="1">
        <v>45253</v>
      </c>
      <c r="B328">
        <v>80.3</v>
      </c>
      <c r="C328">
        <v>0.1</v>
      </c>
      <c r="D328">
        <v>1</v>
      </c>
      <c r="E328">
        <v>69.2</v>
      </c>
    </row>
    <row r="329" spans="1:5" x14ac:dyDescent="0.25">
      <c r="A329" s="1">
        <v>45254</v>
      </c>
      <c r="B329">
        <v>78.8</v>
      </c>
      <c r="C329">
        <v>0</v>
      </c>
      <c r="D329">
        <v>0</v>
      </c>
      <c r="E329">
        <v>57.8</v>
      </c>
    </row>
    <row r="330" spans="1:5" x14ac:dyDescent="0.25">
      <c r="A330" s="1">
        <v>45255</v>
      </c>
      <c r="B330">
        <v>86.1</v>
      </c>
      <c r="C330">
        <v>0</v>
      </c>
      <c r="D330">
        <v>0</v>
      </c>
      <c r="E330">
        <v>59.5</v>
      </c>
    </row>
    <row r="331" spans="1:5" x14ac:dyDescent="0.25">
      <c r="A331" s="1">
        <v>45256</v>
      </c>
      <c r="B331">
        <v>88.3</v>
      </c>
      <c r="C331">
        <v>0</v>
      </c>
      <c r="D331">
        <v>0</v>
      </c>
      <c r="E331">
        <v>62.9</v>
      </c>
    </row>
    <row r="332" spans="1:5" x14ac:dyDescent="0.25">
      <c r="A332" s="1">
        <v>45257</v>
      </c>
      <c r="B332">
        <v>85.7</v>
      </c>
      <c r="C332">
        <v>0</v>
      </c>
      <c r="D332">
        <v>0</v>
      </c>
      <c r="E332">
        <v>48.7</v>
      </c>
    </row>
    <row r="333" spans="1:5" x14ac:dyDescent="0.25">
      <c r="A333" s="1">
        <v>45258</v>
      </c>
      <c r="B333">
        <v>82.8</v>
      </c>
      <c r="C333">
        <v>0</v>
      </c>
      <c r="D333">
        <v>0</v>
      </c>
      <c r="E333">
        <v>52.6</v>
      </c>
    </row>
    <row r="334" spans="1:5" x14ac:dyDescent="0.25">
      <c r="A334" s="1">
        <v>45259</v>
      </c>
      <c r="B334">
        <v>81.099999999999994</v>
      </c>
      <c r="C334">
        <v>0</v>
      </c>
      <c r="D334">
        <v>0</v>
      </c>
      <c r="E334">
        <v>59.2</v>
      </c>
    </row>
    <row r="335" spans="1:5" x14ac:dyDescent="0.25">
      <c r="A335" s="1">
        <v>45260</v>
      </c>
      <c r="B335">
        <v>78.099999999999994</v>
      </c>
      <c r="C335">
        <v>0</v>
      </c>
      <c r="D335">
        <v>0</v>
      </c>
      <c r="E335">
        <v>57.1</v>
      </c>
    </row>
    <row r="336" spans="1:5" x14ac:dyDescent="0.25">
      <c r="A336" s="1">
        <v>45261</v>
      </c>
      <c r="B336">
        <v>79</v>
      </c>
      <c r="C336">
        <v>0</v>
      </c>
      <c r="D336">
        <v>0</v>
      </c>
      <c r="E336">
        <v>60.5</v>
      </c>
    </row>
    <row r="337" spans="1:5" x14ac:dyDescent="0.25">
      <c r="A337" s="1">
        <v>45262</v>
      </c>
      <c r="B337">
        <v>78.8</v>
      </c>
      <c r="C337">
        <v>0</v>
      </c>
      <c r="D337">
        <v>0</v>
      </c>
      <c r="E337">
        <v>55.3</v>
      </c>
    </row>
    <row r="338" spans="1:5" x14ac:dyDescent="0.25">
      <c r="A338" s="1">
        <v>45263</v>
      </c>
      <c r="B338">
        <v>79.099999999999994</v>
      </c>
      <c r="C338">
        <v>0</v>
      </c>
      <c r="D338">
        <v>0</v>
      </c>
      <c r="E338">
        <v>57.2</v>
      </c>
    </row>
    <row r="339" spans="1:5" x14ac:dyDescent="0.25">
      <c r="A339" s="1">
        <v>45264</v>
      </c>
      <c r="B339">
        <v>76.099999999999994</v>
      </c>
      <c r="C339">
        <v>0</v>
      </c>
      <c r="D339">
        <v>0</v>
      </c>
      <c r="E339">
        <v>56.2</v>
      </c>
    </row>
    <row r="340" spans="1:5" x14ac:dyDescent="0.25">
      <c r="A340" s="1">
        <v>45265</v>
      </c>
      <c r="B340">
        <v>80.599999999999994</v>
      </c>
      <c r="C340">
        <v>0</v>
      </c>
      <c r="D340">
        <v>0</v>
      </c>
      <c r="E340">
        <v>59.9</v>
      </c>
    </row>
    <row r="341" spans="1:5" x14ac:dyDescent="0.25">
      <c r="A341" s="1">
        <v>45266</v>
      </c>
      <c r="B341">
        <v>86</v>
      </c>
      <c r="C341">
        <v>0</v>
      </c>
      <c r="D341">
        <v>0</v>
      </c>
      <c r="E341">
        <v>48.1</v>
      </c>
    </row>
    <row r="342" spans="1:5" x14ac:dyDescent="0.25">
      <c r="A342" s="1">
        <v>45267</v>
      </c>
      <c r="B342">
        <v>78.5</v>
      </c>
      <c r="C342">
        <v>0</v>
      </c>
      <c r="D342">
        <v>0</v>
      </c>
      <c r="E342">
        <v>60.7</v>
      </c>
    </row>
    <row r="343" spans="1:5" x14ac:dyDescent="0.25">
      <c r="A343" s="1">
        <v>45268</v>
      </c>
      <c r="B343">
        <v>79.2</v>
      </c>
      <c r="C343">
        <v>0</v>
      </c>
      <c r="D343">
        <v>0</v>
      </c>
      <c r="E343">
        <v>56.3</v>
      </c>
    </row>
    <row r="344" spans="1:5" x14ac:dyDescent="0.25">
      <c r="A344" s="1">
        <v>45269</v>
      </c>
      <c r="B344">
        <v>78.400000000000006</v>
      </c>
      <c r="C344">
        <v>0</v>
      </c>
      <c r="D344">
        <v>0</v>
      </c>
      <c r="E344">
        <v>50.6</v>
      </c>
    </row>
    <row r="345" spans="1:5" x14ac:dyDescent="0.25">
      <c r="A345" s="1">
        <v>45270</v>
      </c>
      <c r="B345">
        <v>83.7</v>
      </c>
      <c r="C345">
        <v>0</v>
      </c>
      <c r="D345">
        <v>0</v>
      </c>
      <c r="E345">
        <v>59.3</v>
      </c>
    </row>
    <row r="346" spans="1:5" x14ac:dyDescent="0.25">
      <c r="A346" s="1">
        <v>45271</v>
      </c>
      <c r="B346">
        <v>72.8</v>
      </c>
      <c r="C346">
        <v>0</v>
      </c>
      <c r="D346">
        <v>0</v>
      </c>
      <c r="E346">
        <v>52.5</v>
      </c>
    </row>
    <row r="347" spans="1:5" x14ac:dyDescent="0.25">
      <c r="A347" s="1">
        <v>45272</v>
      </c>
      <c r="B347">
        <v>83.6</v>
      </c>
      <c r="C347">
        <v>0</v>
      </c>
      <c r="D347">
        <v>0</v>
      </c>
      <c r="E347">
        <v>49.9</v>
      </c>
    </row>
    <row r="348" spans="1:5" x14ac:dyDescent="0.25">
      <c r="A348" s="1">
        <v>45273</v>
      </c>
      <c r="B348">
        <v>78.400000000000006</v>
      </c>
      <c r="C348">
        <v>0</v>
      </c>
      <c r="D348">
        <v>0</v>
      </c>
      <c r="E348">
        <v>57</v>
      </c>
    </row>
    <row r="349" spans="1:5" x14ac:dyDescent="0.25">
      <c r="A349" s="1">
        <v>45274</v>
      </c>
      <c r="B349">
        <v>78.2</v>
      </c>
      <c r="C349">
        <v>0</v>
      </c>
      <c r="D349">
        <v>0</v>
      </c>
      <c r="E349">
        <v>49.2</v>
      </c>
    </row>
    <row r="350" spans="1:5" x14ac:dyDescent="0.25">
      <c r="A350" s="1">
        <v>45275</v>
      </c>
      <c r="B350">
        <v>73.3</v>
      </c>
      <c r="C350">
        <v>0</v>
      </c>
      <c r="D350">
        <v>0</v>
      </c>
      <c r="E350">
        <v>45</v>
      </c>
    </row>
    <row r="351" spans="1:5" x14ac:dyDescent="0.25">
      <c r="A351" s="1">
        <v>45276</v>
      </c>
      <c r="B351">
        <v>78.3</v>
      </c>
      <c r="C351">
        <v>0</v>
      </c>
      <c r="D351">
        <v>0</v>
      </c>
      <c r="E351">
        <v>54.7</v>
      </c>
    </row>
    <row r="352" spans="1:5" x14ac:dyDescent="0.25">
      <c r="A352" s="1">
        <v>45277</v>
      </c>
      <c r="B352">
        <v>74.900000000000006</v>
      </c>
      <c r="C352">
        <v>0.45</v>
      </c>
      <c r="D352">
        <v>1</v>
      </c>
      <c r="E352">
        <v>53.7</v>
      </c>
    </row>
    <row r="353" spans="1:5" x14ac:dyDescent="0.25">
      <c r="A353" s="1">
        <v>45278</v>
      </c>
      <c r="B353">
        <v>69.900000000000006</v>
      </c>
      <c r="C353">
        <v>0</v>
      </c>
      <c r="D353">
        <v>0</v>
      </c>
      <c r="E353">
        <v>44</v>
      </c>
    </row>
    <row r="354" spans="1:5" x14ac:dyDescent="0.25">
      <c r="A354" s="1">
        <v>45279</v>
      </c>
      <c r="B354">
        <v>76</v>
      </c>
      <c r="C354">
        <v>0</v>
      </c>
      <c r="D354">
        <v>0</v>
      </c>
      <c r="E354">
        <v>54.3</v>
      </c>
    </row>
    <row r="355" spans="1:5" x14ac:dyDescent="0.25">
      <c r="A355" s="1">
        <v>45280</v>
      </c>
      <c r="B355">
        <v>76.900000000000006</v>
      </c>
      <c r="C355">
        <v>0</v>
      </c>
      <c r="D355">
        <v>0</v>
      </c>
      <c r="E355">
        <v>52</v>
      </c>
    </row>
    <row r="356" spans="1:5" x14ac:dyDescent="0.25">
      <c r="A356" s="1">
        <v>45281</v>
      </c>
      <c r="B356">
        <v>79.2</v>
      </c>
      <c r="C356">
        <v>2.35</v>
      </c>
      <c r="D356">
        <v>1</v>
      </c>
      <c r="E356">
        <v>47.7</v>
      </c>
    </row>
    <row r="357" spans="1:5" x14ac:dyDescent="0.25">
      <c r="A357" s="1">
        <v>45282</v>
      </c>
      <c r="B357">
        <v>75.400000000000006</v>
      </c>
      <c r="C357">
        <v>0</v>
      </c>
      <c r="D357">
        <v>0</v>
      </c>
      <c r="E357">
        <v>35</v>
      </c>
    </row>
    <row r="358" spans="1:5" x14ac:dyDescent="0.25">
      <c r="A358" s="1">
        <v>45283</v>
      </c>
      <c r="B358">
        <v>77.3</v>
      </c>
      <c r="C358">
        <v>0</v>
      </c>
      <c r="D358">
        <v>0</v>
      </c>
      <c r="E358">
        <v>51</v>
      </c>
    </row>
    <row r="359" spans="1:5" x14ac:dyDescent="0.25">
      <c r="A359" s="1">
        <v>45284</v>
      </c>
      <c r="B359">
        <v>70.8</v>
      </c>
      <c r="C359">
        <v>0</v>
      </c>
      <c r="D359">
        <v>0</v>
      </c>
      <c r="E359">
        <v>49</v>
      </c>
    </row>
    <row r="360" spans="1:5" x14ac:dyDescent="0.25">
      <c r="A360" s="1">
        <v>45285</v>
      </c>
      <c r="B360">
        <v>80.8</v>
      </c>
      <c r="C360">
        <v>0</v>
      </c>
      <c r="D360">
        <v>0</v>
      </c>
      <c r="E360">
        <v>50.1</v>
      </c>
    </row>
    <row r="361" spans="1:5" x14ac:dyDescent="0.25">
      <c r="A361" s="1">
        <v>45286</v>
      </c>
      <c r="B361">
        <v>69.8</v>
      </c>
      <c r="C361">
        <v>0</v>
      </c>
      <c r="D361">
        <v>0</v>
      </c>
      <c r="E361">
        <v>48.9</v>
      </c>
    </row>
    <row r="362" spans="1:5" x14ac:dyDescent="0.25">
      <c r="A362" s="1">
        <v>45287</v>
      </c>
      <c r="B362">
        <v>80.099999999999994</v>
      </c>
      <c r="C362">
        <v>0</v>
      </c>
      <c r="D362">
        <v>0</v>
      </c>
      <c r="E362">
        <v>53.3</v>
      </c>
    </row>
    <row r="363" spans="1:5" x14ac:dyDescent="0.25">
      <c r="A363" s="1">
        <v>45288</v>
      </c>
      <c r="B363">
        <v>75.099999999999994</v>
      </c>
      <c r="C363">
        <v>0</v>
      </c>
      <c r="D363">
        <v>0</v>
      </c>
      <c r="E363">
        <v>53.3</v>
      </c>
    </row>
    <row r="364" spans="1:5" x14ac:dyDescent="0.25">
      <c r="A364" s="1">
        <v>45289</v>
      </c>
      <c r="B364">
        <v>72.900000000000006</v>
      </c>
      <c r="C364">
        <v>0</v>
      </c>
      <c r="D364">
        <v>0</v>
      </c>
      <c r="E364">
        <v>47.4</v>
      </c>
    </row>
    <row r="365" spans="1:5" x14ac:dyDescent="0.25">
      <c r="A365" s="1">
        <v>45290</v>
      </c>
      <c r="B365">
        <v>75.099999999999994</v>
      </c>
      <c r="C365">
        <v>0</v>
      </c>
      <c r="D365">
        <v>0</v>
      </c>
      <c r="E365">
        <v>40.5</v>
      </c>
    </row>
    <row r="366" spans="1:5" x14ac:dyDescent="0.25">
      <c r="A366" s="1">
        <v>45291</v>
      </c>
      <c r="B366">
        <v>77.2</v>
      </c>
      <c r="C366">
        <v>0</v>
      </c>
      <c r="D366">
        <v>0</v>
      </c>
      <c r="E366">
        <v>37.799999999999997</v>
      </c>
    </row>
    <row r="367" spans="1:5" x14ac:dyDescent="0.25">
      <c r="A367" s="1">
        <v>45292</v>
      </c>
      <c r="B367">
        <v>74.400000000000006</v>
      </c>
      <c r="C367">
        <v>0.67</v>
      </c>
      <c r="D367">
        <v>1</v>
      </c>
      <c r="E367">
        <v>49.5</v>
      </c>
    </row>
    <row r="368" spans="1:5" x14ac:dyDescent="0.25">
      <c r="A368" s="1">
        <v>45293</v>
      </c>
      <c r="B368">
        <v>73.900000000000006</v>
      </c>
      <c r="C368">
        <v>0</v>
      </c>
      <c r="D368">
        <v>0</v>
      </c>
      <c r="E368">
        <v>45.8</v>
      </c>
    </row>
    <row r="369" spans="1:5" x14ac:dyDescent="0.25">
      <c r="A369" s="1">
        <v>45294</v>
      </c>
      <c r="B369">
        <v>72.5</v>
      </c>
      <c r="C369">
        <v>0.04</v>
      </c>
      <c r="D369">
        <v>1</v>
      </c>
      <c r="E369">
        <v>38.299999999999997</v>
      </c>
    </row>
    <row r="370" spans="1:5" x14ac:dyDescent="0.25">
      <c r="A370" s="1">
        <v>45295</v>
      </c>
      <c r="B370">
        <v>73.8</v>
      </c>
      <c r="C370">
        <v>1.57</v>
      </c>
      <c r="D370">
        <v>1</v>
      </c>
      <c r="E370">
        <v>43.7</v>
      </c>
    </row>
    <row r="371" spans="1:5" x14ac:dyDescent="0.25">
      <c r="A371" s="1">
        <v>45296</v>
      </c>
      <c r="B371">
        <v>69</v>
      </c>
      <c r="C371">
        <v>0</v>
      </c>
      <c r="D371">
        <v>0</v>
      </c>
      <c r="E371">
        <v>46.6</v>
      </c>
    </row>
    <row r="372" spans="1:5" x14ac:dyDescent="0.25">
      <c r="A372" s="1">
        <v>45297</v>
      </c>
      <c r="B372">
        <v>77.599999999999994</v>
      </c>
      <c r="C372">
        <v>0</v>
      </c>
      <c r="D372">
        <v>0</v>
      </c>
      <c r="E372">
        <v>45.5</v>
      </c>
    </row>
    <row r="373" spans="1:5" x14ac:dyDescent="0.25">
      <c r="A373" s="1">
        <v>45298</v>
      </c>
      <c r="B373">
        <v>76.099999999999994</v>
      </c>
      <c r="C373">
        <v>0</v>
      </c>
      <c r="D373">
        <v>0</v>
      </c>
      <c r="E373">
        <v>46.8</v>
      </c>
    </row>
    <row r="374" spans="1:5" x14ac:dyDescent="0.25">
      <c r="A374" s="1">
        <v>45299</v>
      </c>
      <c r="B374">
        <v>71.8</v>
      </c>
      <c r="C374">
        <v>0</v>
      </c>
      <c r="D374">
        <v>0</v>
      </c>
      <c r="E374">
        <v>41.8</v>
      </c>
    </row>
    <row r="375" spans="1:5" x14ac:dyDescent="0.25">
      <c r="A375" s="1">
        <v>45300</v>
      </c>
      <c r="B375">
        <v>76.400000000000006</v>
      </c>
      <c r="C375">
        <v>0</v>
      </c>
      <c r="D375">
        <v>0</v>
      </c>
      <c r="E375">
        <v>51.6</v>
      </c>
    </row>
    <row r="376" spans="1:5" x14ac:dyDescent="0.25">
      <c r="A376" s="1">
        <v>45301</v>
      </c>
      <c r="B376">
        <v>76.099999999999994</v>
      </c>
      <c r="C376">
        <v>0</v>
      </c>
      <c r="D376">
        <v>0</v>
      </c>
      <c r="E376">
        <v>35.1</v>
      </c>
    </row>
    <row r="377" spans="1:5" x14ac:dyDescent="0.25">
      <c r="A377" s="1">
        <v>45302</v>
      </c>
      <c r="B377">
        <v>74.900000000000006</v>
      </c>
      <c r="C377">
        <v>0.08</v>
      </c>
      <c r="D377">
        <v>1</v>
      </c>
      <c r="E377">
        <v>39.200000000000003</v>
      </c>
    </row>
    <row r="378" spans="1:5" x14ac:dyDescent="0.25">
      <c r="A378" s="1">
        <v>45303</v>
      </c>
      <c r="B378">
        <v>79.2</v>
      </c>
      <c r="C378">
        <v>0</v>
      </c>
      <c r="D378">
        <v>0</v>
      </c>
      <c r="E378">
        <v>44.7</v>
      </c>
    </row>
    <row r="379" spans="1:5" x14ac:dyDescent="0.25">
      <c r="A379" s="1">
        <v>45304</v>
      </c>
      <c r="B379">
        <v>69</v>
      </c>
      <c r="C379">
        <v>0</v>
      </c>
      <c r="D379">
        <v>0</v>
      </c>
      <c r="E379">
        <v>46.4</v>
      </c>
    </row>
    <row r="380" spans="1:5" x14ac:dyDescent="0.25">
      <c r="A380" s="1">
        <v>45305</v>
      </c>
      <c r="B380">
        <v>67.3</v>
      </c>
      <c r="C380">
        <v>0</v>
      </c>
      <c r="D380">
        <v>0</v>
      </c>
      <c r="E380">
        <v>42</v>
      </c>
    </row>
    <row r="381" spans="1:5" x14ac:dyDescent="0.25">
      <c r="A381" s="1">
        <v>45306</v>
      </c>
      <c r="B381">
        <v>70.7</v>
      </c>
      <c r="C381">
        <v>0</v>
      </c>
      <c r="D381">
        <v>0</v>
      </c>
      <c r="E381">
        <v>45.2</v>
      </c>
    </row>
    <row r="382" spans="1:5" x14ac:dyDescent="0.25">
      <c r="A382" s="1">
        <v>45307</v>
      </c>
      <c r="B382">
        <v>77</v>
      </c>
      <c r="C382">
        <v>0</v>
      </c>
      <c r="D382">
        <v>0</v>
      </c>
      <c r="E382">
        <v>43.4</v>
      </c>
    </row>
    <row r="383" spans="1:5" x14ac:dyDescent="0.25">
      <c r="A383" s="1">
        <v>45308</v>
      </c>
      <c r="B383">
        <v>73.8</v>
      </c>
      <c r="C383">
        <v>0</v>
      </c>
      <c r="D383">
        <v>0</v>
      </c>
      <c r="E383">
        <v>38.799999999999997</v>
      </c>
    </row>
    <row r="384" spans="1:5" x14ac:dyDescent="0.25">
      <c r="A384" s="1">
        <v>45309</v>
      </c>
      <c r="B384">
        <v>70.8</v>
      </c>
      <c r="C384">
        <v>0</v>
      </c>
      <c r="D384">
        <v>0</v>
      </c>
      <c r="E384">
        <v>42.9</v>
      </c>
    </row>
    <row r="385" spans="1:5" x14ac:dyDescent="0.25">
      <c r="A385" s="1">
        <v>45310</v>
      </c>
      <c r="B385">
        <v>69</v>
      </c>
      <c r="C385">
        <v>0</v>
      </c>
      <c r="D385">
        <v>0</v>
      </c>
      <c r="E385">
        <v>44.9</v>
      </c>
    </row>
    <row r="386" spans="1:5" x14ac:dyDescent="0.25">
      <c r="A386" s="1">
        <v>45311</v>
      </c>
      <c r="B386">
        <v>84.3</v>
      </c>
      <c r="C386">
        <v>0</v>
      </c>
      <c r="D386">
        <v>0</v>
      </c>
      <c r="E386">
        <v>59.3</v>
      </c>
    </row>
    <row r="387" spans="1:5" x14ac:dyDescent="0.25">
      <c r="A387" s="1">
        <v>45312</v>
      </c>
      <c r="B387">
        <v>73.400000000000006</v>
      </c>
      <c r="C387">
        <v>0</v>
      </c>
      <c r="D387">
        <v>0</v>
      </c>
      <c r="E387">
        <v>43.6</v>
      </c>
    </row>
    <row r="388" spans="1:5" x14ac:dyDescent="0.25">
      <c r="A388" s="1">
        <v>45313</v>
      </c>
      <c r="B388">
        <v>69.7</v>
      </c>
      <c r="C388">
        <v>0.37</v>
      </c>
      <c r="D388">
        <v>1</v>
      </c>
      <c r="E388">
        <v>35</v>
      </c>
    </row>
    <row r="389" spans="1:5" x14ac:dyDescent="0.25">
      <c r="A389" s="1">
        <v>45314</v>
      </c>
      <c r="B389">
        <v>71.5</v>
      </c>
      <c r="C389">
        <v>0</v>
      </c>
      <c r="D389">
        <v>0</v>
      </c>
      <c r="E389">
        <v>35</v>
      </c>
    </row>
    <row r="390" spans="1:5" x14ac:dyDescent="0.25">
      <c r="A390" s="1">
        <v>45315</v>
      </c>
      <c r="B390">
        <v>72.7</v>
      </c>
      <c r="C390">
        <v>0</v>
      </c>
      <c r="D390">
        <v>0</v>
      </c>
      <c r="E390">
        <v>45.4</v>
      </c>
    </row>
    <row r="391" spans="1:5" x14ac:dyDescent="0.25">
      <c r="A391" s="1">
        <v>45316</v>
      </c>
      <c r="B391">
        <v>75</v>
      </c>
      <c r="C391">
        <v>0.45</v>
      </c>
      <c r="D391">
        <v>1</v>
      </c>
      <c r="E391">
        <v>40.299999999999997</v>
      </c>
    </row>
    <row r="392" spans="1:5" x14ac:dyDescent="0.25">
      <c r="A392" s="1">
        <v>45317</v>
      </c>
      <c r="B392">
        <v>70</v>
      </c>
      <c r="C392">
        <v>0</v>
      </c>
      <c r="D392">
        <v>0</v>
      </c>
      <c r="E392">
        <v>35</v>
      </c>
    </row>
    <row r="393" spans="1:5" x14ac:dyDescent="0.25">
      <c r="A393" s="1">
        <v>45318</v>
      </c>
      <c r="B393">
        <v>69.7</v>
      </c>
      <c r="C393">
        <v>0</v>
      </c>
      <c r="D393">
        <v>0</v>
      </c>
      <c r="E393">
        <v>37.1</v>
      </c>
    </row>
    <row r="394" spans="1:5" x14ac:dyDescent="0.25">
      <c r="A394" s="1">
        <v>45319</v>
      </c>
      <c r="B394">
        <v>70.3</v>
      </c>
      <c r="C394">
        <v>0</v>
      </c>
      <c r="D394">
        <v>0</v>
      </c>
      <c r="E394">
        <v>39.200000000000003</v>
      </c>
    </row>
    <row r="395" spans="1:5" x14ac:dyDescent="0.25">
      <c r="A395" s="1">
        <v>45320</v>
      </c>
      <c r="B395">
        <v>67.900000000000006</v>
      </c>
      <c r="C395">
        <v>0</v>
      </c>
      <c r="D395">
        <v>0</v>
      </c>
      <c r="E395">
        <v>47.5</v>
      </c>
    </row>
    <row r="396" spans="1:5" x14ac:dyDescent="0.25">
      <c r="A396" s="1">
        <v>45321</v>
      </c>
      <c r="B396">
        <v>69.400000000000006</v>
      </c>
      <c r="C396">
        <v>1.26</v>
      </c>
      <c r="D396">
        <v>1</v>
      </c>
      <c r="E396">
        <v>35</v>
      </c>
    </row>
    <row r="397" spans="1:5" x14ac:dyDescent="0.25">
      <c r="A397" s="1">
        <v>45322</v>
      </c>
      <c r="B397">
        <v>71.900000000000006</v>
      </c>
      <c r="C397">
        <v>0.86</v>
      </c>
      <c r="D397">
        <v>1</v>
      </c>
      <c r="E397">
        <v>43</v>
      </c>
    </row>
    <row r="398" spans="1:5" x14ac:dyDescent="0.25">
      <c r="A398" s="1">
        <v>45323</v>
      </c>
      <c r="B398">
        <v>67</v>
      </c>
      <c r="C398">
        <v>0</v>
      </c>
      <c r="D398">
        <v>0</v>
      </c>
      <c r="E398">
        <v>49.1</v>
      </c>
    </row>
    <row r="399" spans="1:5" x14ac:dyDescent="0.25">
      <c r="A399" s="1">
        <v>45324</v>
      </c>
      <c r="B399">
        <v>69</v>
      </c>
      <c r="C399">
        <v>0</v>
      </c>
      <c r="D399">
        <v>0</v>
      </c>
      <c r="E399">
        <v>44.2</v>
      </c>
    </row>
    <row r="400" spans="1:5" x14ac:dyDescent="0.25">
      <c r="A400" s="1">
        <v>45325</v>
      </c>
      <c r="B400">
        <v>67.900000000000006</v>
      </c>
      <c r="C400">
        <v>0</v>
      </c>
      <c r="D400">
        <v>0</v>
      </c>
      <c r="E400">
        <v>37.299999999999997</v>
      </c>
    </row>
    <row r="401" spans="1:5" x14ac:dyDescent="0.25">
      <c r="A401" s="1">
        <v>45326</v>
      </c>
      <c r="B401">
        <v>66.2</v>
      </c>
      <c r="C401">
        <v>1.5</v>
      </c>
      <c r="D401">
        <v>1</v>
      </c>
      <c r="E401">
        <v>35</v>
      </c>
    </row>
    <row r="402" spans="1:5" x14ac:dyDescent="0.25">
      <c r="A402" s="1">
        <v>45327</v>
      </c>
      <c r="B402">
        <v>67.599999999999994</v>
      </c>
      <c r="C402">
        <v>0</v>
      </c>
      <c r="D402">
        <v>0</v>
      </c>
      <c r="E402">
        <v>39.9</v>
      </c>
    </row>
    <row r="403" spans="1:5" x14ac:dyDescent="0.25">
      <c r="A403" s="1">
        <v>45328</v>
      </c>
      <c r="B403">
        <v>71.099999999999994</v>
      </c>
      <c r="C403">
        <v>0</v>
      </c>
      <c r="D403">
        <v>0</v>
      </c>
      <c r="E403">
        <v>45.6</v>
      </c>
    </row>
    <row r="404" spans="1:5" x14ac:dyDescent="0.25">
      <c r="A404" s="1">
        <v>45329</v>
      </c>
      <c r="B404">
        <v>70.900000000000006</v>
      </c>
      <c r="C404">
        <v>0</v>
      </c>
      <c r="D404">
        <v>0</v>
      </c>
      <c r="E404">
        <v>39.6</v>
      </c>
    </row>
    <row r="405" spans="1:5" x14ac:dyDescent="0.25">
      <c r="A405" s="1">
        <v>45330</v>
      </c>
      <c r="B405">
        <v>68.099999999999994</v>
      </c>
      <c r="C405">
        <v>0</v>
      </c>
      <c r="D405">
        <v>0</v>
      </c>
      <c r="E405">
        <v>39.799999999999997</v>
      </c>
    </row>
    <row r="406" spans="1:5" x14ac:dyDescent="0.25">
      <c r="A406" s="1">
        <v>45331</v>
      </c>
      <c r="B406">
        <v>74.900000000000006</v>
      </c>
      <c r="C406">
        <v>1.19</v>
      </c>
      <c r="D406">
        <v>1</v>
      </c>
      <c r="E406">
        <v>35</v>
      </c>
    </row>
    <row r="407" spans="1:5" x14ac:dyDescent="0.25">
      <c r="A407" s="1">
        <v>45332</v>
      </c>
      <c r="B407">
        <v>65.2</v>
      </c>
      <c r="C407">
        <v>0</v>
      </c>
      <c r="D407">
        <v>0</v>
      </c>
      <c r="E407">
        <v>35</v>
      </c>
    </row>
    <row r="408" spans="1:5" x14ac:dyDescent="0.25">
      <c r="A408" s="1">
        <v>45333</v>
      </c>
      <c r="B408">
        <v>70.400000000000006</v>
      </c>
      <c r="C408">
        <v>0</v>
      </c>
      <c r="D408">
        <v>0</v>
      </c>
      <c r="E408">
        <v>42.1</v>
      </c>
    </row>
    <row r="409" spans="1:5" x14ac:dyDescent="0.25">
      <c r="A409" s="1">
        <v>45334</v>
      </c>
      <c r="B409">
        <v>68</v>
      </c>
      <c r="C409">
        <v>0</v>
      </c>
      <c r="D409">
        <v>0</v>
      </c>
      <c r="E409">
        <v>47.9</v>
      </c>
    </row>
    <row r="410" spans="1:5" x14ac:dyDescent="0.25">
      <c r="A410" s="1">
        <v>45335</v>
      </c>
      <c r="B410">
        <v>63.6</v>
      </c>
      <c r="C410">
        <v>0</v>
      </c>
      <c r="D410">
        <v>0</v>
      </c>
      <c r="E410">
        <v>47.8</v>
      </c>
    </row>
    <row r="411" spans="1:5" x14ac:dyDescent="0.25">
      <c r="A411" s="1">
        <v>45336</v>
      </c>
      <c r="B411">
        <v>67.8</v>
      </c>
      <c r="C411">
        <v>0</v>
      </c>
      <c r="D411">
        <v>0</v>
      </c>
      <c r="E411">
        <v>35</v>
      </c>
    </row>
    <row r="412" spans="1:5" x14ac:dyDescent="0.25">
      <c r="A412" s="1">
        <v>45337</v>
      </c>
      <c r="B412">
        <v>68.3</v>
      </c>
      <c r="C412">
        <v>0</v>
      </c>
      <c r="D412">
        <v>0</v>
      </c>
      <c r="E412">
        <v>41.8</v>
      </c>
    </row>
    <row r="413" spans="1:5" x14ac:dyDescent="0.25">
      <c r="A413" s="1">
        <v>45338</v>
      </c>
      <c r="B413">
        <v>66.8</v>
      </c>
      <c r="C413">
        <v>0</v>
      </c>
      <c r="D413">
        <v>0</v>
      </c>
      <c r="E413">
        <v>35.799999999999997</v>
      </c>
    </row>
    <row r="414" spans="1:5" x14ac:dyDescent="0.25">
      <c r="A414" s="1">
        <v>45339</v>
      </c>
      <c r="B414">
        <v>71.7</v>
      </c>
      <c r="C414">
        <v>0</v>
      </c>
      <c r="D414">
        <v>0</v>
      </c>
      <c r="E414">
        <v>35</v>
      </c>
    </row>
    <row r="415" spans="1:5" x14ac:dyDescent="0.25">
      <c r="A415" s="1">
        <v>45340</v>
      </c>
      <c r="B415">
        <v>64</v>
      </c>
      <c r="C415">
        <v>0.79</v>
      </c>
      <c r="D415">
        <v>1</v>
      </c>
      <c r="E415">
        <v>38.799999999999997</v>
      </c>
    </row>
    <row r="416" spans="1:5" x14ac:dyDescent="0.25">
      <c r="A416" s="1">
        <v>45341</v>
      </c>
      <c r="B416">
        <v>66</v>
      </c>
      <c r="C416">
        <v>0</v>
      </c>
      <c r="D416">
        <v>0</v>
      </c>
      <c r="E416">
        <v>44.6</v>
      </c>
    </row>
    <row r="417" spans="1:5" x14ac:dyDescent="0.25">
      <c r="A417" s="1">
        <v>45342</v>
      </c>
      <c r="B417">
        <v>69.8</v>
      </c>
      <c r="C417">
        <v>0</v>
      </c>
      <c r="D417">
        <v>0</v>
      </c>
      <c r="E417">
        <v>37.700000000000003</v>
      </c>
    </row>
    <row r="418" spans="1:5" x14ac:dyDescent="0.25">
      <c r="A418" s="1">
        <v>45343</v>
      </c>
      <c r="B418">
        <v>70.900000000000006</v>
      </c>
      <c r="C418">
        <v>0</v>
      </c>
      <c r="D418">
        <v>0</v>
      </c>
      <c r="E418">
        <v>36.700000000000003</v>
      </c>
    </row>
    <row r="419" spans="1:5" x14ac:dyDescent="0.25">
      <c r="A419" s="1">
        <v>45344</v>
      </c>
      <c r="B419">
        <v>72</v>
      </c>
      <c r="C419">
        <v>0</v>
      </c>
      <c r="D419">
        <v>0</v>
      </c>
      <c r="E419">
        <v>36.9</v>
      </c>
    </row>
    <row r="420" spans="1:5" x14ac:dyDescent="0.25">
      <c r="A420" s="1">
        <v>45345</v>
      </c>
      <c r="B420">
        <v>65.099999999999994</v>
      </c>
      <c r="C420">
        <v>1.41</v>
      </c>
      <c r="D420">
        <v>1</v>
      </c>
      <c r="E420">
        <v>41.8</v>
      </c>
    </row>
    <row r="421" spans="1:5" x14ac:dyDescent="0.25">
      <c r="A421" s="1">
        <v>45346</v>
      </c>
      <c r="B421">
        <v>63.6</v>
      </c>
      <c r="C421">
        <v>0</v>
      </c>
      <c r="D421">
        <v>0</v>
      </c>
      <c r="E421">
        <v>38</v>
      </c>
    </row>
    <row r="422" spans="1:5" x14ac:dyDescent="0.25">
      <c r="A422" s="1">
        <v>45347</v>
      </c>
      <c r="B422">
        <v>67</v>
      </c>
      <c r="C422">
        <v>0</v>
      </c>
      <c r="D422">
        <v>0</v>
      </c>
      <c r="E422">
        <v>36.299999999999997</v>
      </c>
    </row>
    <row r="423" spans="1:5" x14ac:dyDescent="0.25">
      <c r="A423" s="1">
        <v>45348</v>
      </c>
      <c r="B423">
        <v>67</v>
      </c>
      <c r="C423">
        <v>0</v>
      </c>
      <c r="D423">
        <v>0</v>
      </c>
      <c r="E423">
        <v>38.700000000000003</v>
      </c>
    </row>
    <row r="424" spans="1:5" x14ac:dyDescent="0.25">
      <c r="A424" s="1">
        <v>45349</v>
      </c>
      <c r="B424">
        <v>62.5</v>
      </c>
      <c r="C424">
        <v>0</v>
      </c>
      <c r="D424">
        <v>0</v>
      </c>
      <c r="E424">
        <v>39.700000000000003</v>
      </c>
    </row>
    <row r="425" spans="1:5" x14ac:dyDescent="0.25">
      <c r="A425" s="1">
        <v>45350</v>
      </c>
      <c r="B425">
        <v>64.8</v>
      </c>
      <c r="C425">
        <v>0</v>
      </c>
      <c r="D425">
        <v>0</v>
      </c>
      <c r="E425">
        <v>35</v>
      </c>
    </row>
    <row r="426" spans="1:5" x14ac:dyDescent="0.25">
      <c r="A426" s="1">
        <v>45351</v>
      </c>
      <c r="B426">
        <v>69.5</v>
      </c>
      <c r="C426">
        <v>2.56</v>
      </c>
      <c r="D426">
        <v>1</v>
      </c>
      <c r="E426">
        <v>35.200000000000003</v>
      </c>
    </row>
    <row r="427" spans="1:5" x14ac:dyDescent="0.25">
      <c r="A427" s="1">
        <v>45352</v>
      </c>
      <c r="B427">
        <v>64.8</v>
      </c>
      <c r="C427">
        <v>0.15</v>
      </c>
      <c r="D427">
        <v>1</v>
      </c>
      <c r="E427">
        <v>37.1</v>
      </c>
    </row>
    <row r="428" spans="1:5" x14ac:dyDescent="0.25">
      <c r="A428" s="1">
        <v>45353</v>
      </c>
      <c r="B428">
        <v>63.1</v>
      </c>
      <c r="C428">
        <v>0</v>
      </c>
      <c r="D428">
        <v>0</v>
      </c>
      <c r="E428">
        <v>35</v>
      </c>
    </row>
    <row r="429" spans="1:5" x14ac:dyDescent="0.25">
      <c r="A429" s="1">
        <v>45354</v>
      </c>
      <c r="B429">
        <v>63.9</v>
      </c>
      <c r="C429">
        <v>0</v>
      </c>
      <c r="D429">
        <v>0</v>
      </c>
      <c r="E429">
        <v>36.200000000000003</v>
      </c>
    </row>
    <row r="430" spans="1:5" x14ac:dyDescent="0.25">
      <c r="A430" s="1">
        <v>45355</v>
      </c>
      <c r="B430">
        <v>61.4</v>
      </c>
      <c r="C430">
        <v>1.1000000000000001</v>
      </c>
      <c r="D430">
        <v>1</v>
      </c>
      <c r="E430">
        <v>35</v>
      </c>
    </row>
    <row r="431" spans="1:5" x14ac:dyDescent="0.25">
      <c r="A431" s="1">
        <v>45356</v>
      </c>
      <c r="B431">
        <v>61.4</v>
      </c>
      <c r="C431">
        <v>0</v>
      </c>
      <c r="D431">
        <v>0</v>
      </c>
      <c r="E431">
        <v>43</v>
      </c>
    </row>
    <row r="432" spans="1:5" x14ac:dyDescent="0.25">
      <c r="A432" s="1">
        <v>45357</v>
      </c>
      <c r="B432">
        <v>62.7</v>
      </c>
      <c r="C432">
        <v>0</v>
      </c>
      <c r="D432">
        <v>0</v>
      </c>
      <c r="E432">
        <v>36.700000000000003</v>
      </c>
    </row>
    <row r="433" spans="1:5" x14ac:dyDescent="0.25">
      <c r="A433" s="1">
        <v>45358</v>
      </c>
      <c r="B433">
        <v>64.3</v>
      </c>
      <c r="C433">
        <v>1.42</v>
      </c>
      <c r="D433">
        <v>1</v>
      </c>
      <c r="E433">
        <v>35</v>
      </c>
    </row>
    <row r="434" spans="1:5" x14ac:dyDescent="0.25">
      <c r="A434" s="1">
        <v>45359</v>
      </c>
      <c r="B434">
        <v>64.099999999999994</v>
      </c>
      <c r="C434">
        <v>0</v>
      </c>
      <c r="D434">
        <v>0</v>
      </c>
      <c r="E434">
        <v>35</v>
      </c>
    </row>
    <row r="435" spans="1:5" x14ac:dyDescent="0.25">
      <c r="A435" s="1">
        <v>45360</v>
      </c>
      <c r="B435">
        <v>63.3</v>
      </c>
      <c r="C435">
        <v>0</v>
      </c>
      <c r="D435">
        <v>0</v>
      </c>
      <c r="E435">
        <v>39.1</v>
      </c>
    </row>
    <row r="436" spans="1:5" x14ac:dyDescent="0.25">
      <c r="A436" s="1">
        <v>45361</v>
      </c>
      <c r="B436">
        <v>64.3</v>
      </c>
      <c r="C436">
        <v>0</v>
      </c>
      <c r="D436">
        <v>0</v>
      </c>
      <c r="E436">
        <v>36.200000000000003</v>
      </c>
    </row>
    <row r="437" spans="1:5" x14ac:dyDescent="0.25">
      <c r="A437" s="1">
        <v>45362</v>
      </c>
      <c r="B437">
        <v>68.099999999999994</v>
      </c>
      <c r="C437">
        <v>0.31</v>
      </c>
      <c r="D437">
        <v>1</v>
      </c>
      <c r="E437">
        <v>38.299999999999997</v>
      </c>
    </row>
    <row r="438" spans="1:5" x14ac:dyDescent="0.25">
      <c r="A438" s="1">
        <v>45363</v>
      </c>
      <c r="B438">
        <v>62.9</v>
      </c>
      <c r="C438">
        <v>0</v>
      </c>
      <c r="D438">
        <v>0</v>
      </c>
      <c r="E438">
        <v>35</v>
      </c>
    </row>
    <row r="439" spans="1:5" x14ac:dyDescent="0.25">
      <c r="A439" s="1">
        <v>45364</v>
      </c>
      <c r="B439">
        <v>62.1</v>
      </c>
      <c r="C439">
        <v>0</v>
      </c>
      <c r="D439">
        <v>0</v>
      </c>
      <c r="E439">
        <v>35</v>
      </c>
    </row>
    <row r="440" spans="1:5" x14ac:dyDescent="0.25">
      <c r="A440" s="1">
        <v>45365</v>
      </c>
      <c r="B440">
        <v>72.2</v>
      </c>
      <c r="C440">
        <v>0</v>
      </c>
      <c r="D440">
        <v>0</v>
      </c>
      <c r="E440">
        <v>35</v>
      </c>
    </row>
    <row r="441" spans="1:5" x14ac:dyDescent="0.25">
      <c r="A441" s="1">
        <v>45366</v>
      </c>
      <c r="B441">
        <v>73.099999999999994</v>
      </c>
      <c r="C441">
        <v>0</v>
      </c>
      <c r="D441">
        <v>0</v>
      </c>
      <c r="E441">
        <v>35</v>
      </c>
    </row>
    <row r="442" spans="1:5" x14ac:dyDescent="0.25">
      <c r="A442" s="1">
        <v>45367</v>
      </c>
      <c r="B442">
        <v>67.2</v>
      </c>
      <c r="C442">
        <v>0</v>
      </c>
      <c r="D442">
        <v>0</v>
      </c>
      <c r="E442">
        <v>35</v>
      </c>
    </row>
    <row r="443" spans="1:5" x14ac:dyDescent="0.25">
      <c r="A443" s="1">
        <v>45368</v>
      </c>
      <c r="B443">
        <v>68.3</v>
      </c>
      <c r="C443">
        <v>0</v>
      </c>
      <c r="D443">
        <v>0</v>
      </c>
      <c r="E443">
        <v>37.4</v>
      </c>
    </row>
    <row r="444" spans="1:5" x14ac:dyDescent="0.25">
      <c r="A444" s="1">
        <v>45369</v>
      </c>
      <c r="B444">
        <v>64.099999999999994</v>
      </c>
      <c r="C444">
        <v>0</v>
      </c>
      <c r="D444">
        <v>0</v>
      </c>
      <c r="E444">
        <v>38.9</v>
      </c>
    </row>
    <row r="445" spans="1:5" x14ac:dyDescent="0.25">
      <c r="A445" s="1">
        <v>45370</v>
      </c>
      <c r="B445">
        <v>64.599999999999994</v>
      </c>
      <c r="C445">
        <v>0.4</v>
      </c>
      <c r="D445">
        <v>1</v>
      </c>
      <c r="E445">
        <v>35</v>
      </c>
    </row>
    <row r="446" spans="1:5" x14ac:dyDescent="0.25">
      <c r="A446" s="1">
        <v>45371</v>
      </c>
      <c r="B446">
        <v>64.099999999999994</v>
      </c>
      <c r="C446">
        <v>0.49</v>
      </c>
      <c r="D446">
        <v>1</v>
      </c>
      <c r="E446">
        <v>36.9</v>
      </c>
    </row>
    <row r="447" spans="1:5" x14ac:dyDescent="0.25">
      <c r="A447" s="1">
        <v>45372</v>
      </c>
      <c r="B447">
        <v>66.8</v>
      </c>
      <c r="C447">
        <v>0</v>
      </c>
      <c r="D447">
        <v>0</v>
      </c>
      <c r="E447">
        <v>42.2</v>
      </c>
    </row>
    <row r="448" spans="1:5" x14ac:dyDescent="0.25">
      <c r="A448" s="1">
        <v>45373</v>
      </c>
      <c r="B448">
        <v>69.400000000000006</v>
      </c>
      <c r="C448">
        <v>0.18</v>
      </c>
      <c r="D448">
        <v>1</v>
      </c>
      <c r="E448">
        <v>38.200000000000003</v>
      </c>
    </row>
    <row r="449" spans="1:5" x14ac:dyDescent="0.25">
      <c r="A449" s="1">
        <v>45374</v>
      </c>
      <c r="B449">
        <v>67.099999999999994</v>
      </c>
      <c r="C449">
        <v>0</v>
      </c>
      <c r="D449">
        <v>0</v>
      </c>
      <c r="E449">
        <v>39</v>
      </c>
    </row>
    <row r="450" spans="1:5" x14ac:dyDescent="0.25">
      <c r="A450" s="1">
        <v>45375</v>
      </c>
      <c r="B450">
        <v>63.8</v>
      </c>
      <c r="C450">
        <v>0</v>
      </c>
      <c r="D450">
        <v>0</v>
      </c>
      <c r="E450">
        <v>35</v>
      </c>
    </row>
    <row r="451" spans="1:5" x14ac:dyDescent="0.25">
      <c r="A451" s="1">
        <v>45376</v>
      </c>
      <c r="B451">
        <v>69.3</v>
      </c>
      <c r="C451">
        <v>0</v>
      </c>
      <c r="D451">
        <v>0</v>
      </c>
      <c r="E451">
        <v>37.299999999999997</v>
      </c>
    </row>
    <row r="452" spans="1:5" x14ac:dyDescent="0.25">
      <c r="A452" s="1">
        <v>45377</v>
      </c>
      <c r="B452">
        <v>69.599999999999994</v>
      </c>
      <c r="C452">
        <v>0.45</v>
      </c>
      <c r="D452">
        <v>1</v>
      </c>
      <c r="E452">
        <v>35.1</v>
      </c>
    </row>
    <row r="453" spans="1:5" x14ac:dyDescent="0.25">
      <c r="A453" s="1">
        <v>45378</v>
      </c>
      <c r="B453">
        <v>70.400000000000006</v>
      </c>
      <c r="C453">
        <v>0</v>
      </c>
      <c r="D453">
        <v>0</v>
      </c>
      <c r="E453">
        <v>35.6</v>
      </c>
    </row>
    <row r="454" spans="1:5" x14ac:dyDescent="0.25">
      <c r="A454" s="1">
        <v>45379</v>
      </c>
      <c r="B454">
        <v>72.3</v>
      </c>
      <c r="C454">
        <v>0</v>
      </c>
      <c r="D454">
        <v>0</v>
      </c>
      <c r="E454">
        <v>35</v>
      </c>
    </row>
    <row r="455" spans="1:5" x14ac:dyDescent="0.25">
      <c r="A455" s="1">
        <v>45380</v>
      </c>
      <c r="B455">
        <v>71.2</v>
      </c>
      <c r="C455">
        <v>1.59</v>
      </c>
      <c r="D455">
        <v>1</v>
      </c>
      <c r="E455">
        <v>38.200000000000003</v>
      </c>
    </row>
    <row r="456" spans="1:5" x14ac:dyDescent="0.25">
      <c r="A456" s="1">
        <v>45381</v>
      </c>
      <c r="B456">
        <v>58.8</v>
      </c>
      <c r="C456">
        <v>0</v>
      </c>
      <c r="D456">
        <v>0</v>
      </c>
      <c r="E456">
        <v>38.299999999999997</v>
      </c>
    </row>
    <row r="457" spans="1:5" x14ac:dyDescent="0.25">
      <c r="A457" s="1">
        <v>45382</v>
      </c>
      <c r="B457">
        <v>65.599999999999994</v>
      </c>
      <c r="C457">
        <v>0</v>
      </c>
      <c r="D457">
        <v>0</v>
      </c>
      <c r="E457">
        <v>35.1</v>
      </c>
    </row>
    <row r="458" spans="1:5" x14ac:dyDescent="0.25">
      <c r="A458" s="1">
        <v>45383</v>
      </c>
      <c r="B458">
        <v>58.9</v>
      </c>
      <c r="C458">
        <v>0</v>
      </c>
      <c r="D458">
        <v>0</v>
      </c>
      <c r="E458">
        <v>35</v>
      </c>
    </row>
    <row r="459" spans="1:5" x14ac:dyDescent="0.25">
      <c r="A459" s="1">
        <v>45384</v>
      </c>
      <c r="B459">
        <v>65.5</v>
      </c>
      <c r="C459">
        <v>0</v>
      </c>
      <c r="D459">
        <v>0</v>
      </c>
      <c r="E459">
        <v>42.6</v>
      </c>
    </row>
    <row r="460" spans="1:5" x14ac:dyDescent="0.25">
      <c r="A460" s="1">
        <v>45385</v>
      </c>
      <c r="B460">
        <v>62.8</v>
      </c>
      <c r="C460">
        <v>0.44</v>
      </c>
      <c r="D460">
        <v>1</v>
      </c>
      <c r="E460">
        <v>40.5</v>
      </c>
    </row>
    <row r="461" spans="1:5" x14ac:dyDescent="0.25">
      <c r="A461" s="1">
        <v>45386</v>
      </c>
      <c r="B461">
        <v>63.9</v>
      </c>
      <c r="C461">
        <v>0.5</v>
      </c>
      <c r="D461">
        <v>1</v>
      </c>
      <c r="E461">
        <v>42.5</v>
      </c>
    </row>
    <row r="462" spans="1:5" x14ac:dyDescent="0.25">
      <c r="A462" s="1">
        <v>45387</v>
      </c>
      <c r="B462">
        <v>66.8</v>
      </c>
      <c r="C462">
        <v>0</v>
      </c>
      <c r="D462">
        <v>0</v>
      </c>
      <c r="E462">
        <v>44.1</v>
      </c>
    </row>
    <row r="463" spans="1:5" x14ac:dyDescent="0.25">
      <c r="A463" s="1">
        <v>45388</v>
      </c>
      <c r="B463">
        <v>69.7</v>
      </c>
      <c r="C463">
        <v>0</v>
      </c>
      <c r="D463">
        <v>0</v>
      </c>
      <c r="E463">
        <v>35</v>
      </c>
    </row>
    <row r="464" spans="1:5" x14ac:dyDescent="0.25">
      <c r="A464" s="1">
        <v>45389</v>
      </c>
      <c r="B464">
        <v>62.7</v>
      </c>
      <c r="C464">
        <v>0</v>
      </c>
      <c r="D464">
        <v>0</v>
      </c>
      <c r="E464">
        <v>39.799999999999997</v>
      </c>
    </row>
    <row r="465" spans="1:5" x14ac:dyDescent="0.25">
      <c r="A465" s="1">
        <v>45390</v>
      </c>
      <c r="B465">
        <v>67.3</v>
      </c>
      <c r="C465">
        <v>1.7</v>
      </c>
      <c r="D465">
        <v>1</v>
      </c>
      <c r="E465">
        <v>45.9</v>
      </c>
    </row>
    <row r="466" spans="1:5" x14ac:dyDescent="0.25">
      <c r="A466" s="1">
        <v>45391</v>
      </c>
      <c r="B466">
        <v>68.3</v>
      </c>
      <c r="C466">
        <v>0</v>
      </c>
      <c r="D466">
        <v>0</v>
      </c>
      <c r="E466">
        <v>35</v>
      </c>
    </row>
    <row r="467" spans="1:5" x14ac:dyDescent="0.25">
      <c r="A467" s="1">
        <v>45392</v>
      </c>
      <c r="B467">
        <v>64.7</v>
      </c>
      <c r="C467">
        <v>0</v>
      </c>
      <c r="D467">
        <v>0</v>
      </c>
      <c r="E467">
        <v>36.200000000000003</v>
      </c>
    </row>
    <row r="468" spans="1:5" x14ac:dyDescent="0.25">
      <c r="A468" s="1">
        <v>45393</v>
      </c>
      <c r="B468">
        <v>73.099999999999994</v>
      </c>
      <c r="C468">
        <v>0</v>
      </c>
      <c r="D468">
        <v>0</v>
      </c>
      <c r="E468">
        <v>35.1</v>
      </c>
    </row>
    <row r="469" spans="1:5" x14ac:dyDescent="0.25">
      <c r="A469" s="1">
        <v>45394</v>
      </c>
      <c r="B469">
        <v>67.8</v>
      </c>
      <c r="C469">
        <v>0</v>
      </c>
      <c r="D469">
        <v>0</v>
      </c>
      <c r="E469">
        <v>40.700000000000003</v>
      </c>
    </row>
    <row r="470" spans="1:5" x14ac:dyDescent="0.25">
      <c r="A470" s="1">
        <v>45395</v>
      </c>
      <c r="B470">
        <v>67.900000000000006</v>
      </c>
      <c r="C470">
        <v>0</v>
      </c>
      <c r="D470">
        <v>0</v>
      </c>
      <c r="E470">
        <v>35</v>
      </c>
    </row>
    <row r="471" spans="1:5" x14ac:dyDescent="0.25">
      <c r="A471" s="1">
        <v>45396</v>
      </c>
      <c r="B471">
        <v>67.7</v>
      </c>
      <c r="C471">
        <v>0</v>
      </c>
      <c r="D471">
        <v>0</v>
      </c>
      <c r="E471">
        <v>36.299999999999997</v>
      </c>
    </row>
    <row r="472" spans="1:5" x14ac:dyDescent="0.25">
      <c r="A472" s="1">
        <v>45397</v>
      </c>
      <c r="B472">
        <v>67.7</v>
      </c>
      <c r="C472">
        <v>0</v>
      </c>
      <c r="D472">
        <v>0</v>
      </c>
      <c r="E472">
        <v>37.5</v>
      </c>
    </row>
    <row r="473" spans="1:5" x14ac:dyDescent="0.25">
      <c r="A473" s="1">
        <v>45398</v>
      </c>
      <c r="B473">
        <v>71.3</v>
      </c>
      <c r="C473">
        <v>1.78</v>
      </c>
      <c r="D473">
        <v>1</v>
      </c>
      <c r="E473">
        <v>35</v>
      </c>
    </row>
    <row r="474" spans="1:5" x14ac:dyDescent="0.25">
      <c r="A474" s="1">
        <v>45399</v>
      </c>
      <c r="B474">
        <v>68.900000000000006</v>
      </c>
      <c r="C474">
        <v>0</v>
      </c>
      <c r="D474">
        <v>0</v>
      </c>
      <c r="E474">
        <v>35</v>
      </c>
    </row>
    <row r="475" spans="1:5" x14ac:dyDescent="0.25">
      <c r="A475" s="1">
        <v>45400</v>
      </c>
      <c r="B475">
        <v>67.599999999999994</v>
      </c>
      <c r="C475">
        <v>0</v>
      </c>
      <c r="D475">
        <v>0</v>
      </c>
      <c r="E475">
        <v>39.9</v>
      </c>
    </row>
    <row r="476" spans="1:5" x14ac:dyDescent="0.25">
      <c r="A476" s="1">
        <v>45401</v>
      </c>
      <c r="B476">
        <v>75.8</v>
      </c>
      <c r="C476">
        <v>1.07</v>
      </c>
      <c r="D476">
        <v>1</v>
      </c>
      <c r="E476">
        <v>47.8</v>
      </c>
    </row>
    <row r="477" spans="1:5" x14ac:dyDescent="0.25">
      <c r="A477" s="1">
        <v>45402</v>
      </c>
      <c r="B477">
        <v>69.3</v>
      </c>
      <c r="C477">
        <v>0.42</v>
      </c>
      <c r="D477">
        <v>1</v>
      </c>
      <c r="E477">
        <v>39.299999999999997</v>
      </c>
    </row>
    <row r="478" spans="1:5" x14ac:dyDescent="0.25">
      <c r="A478" s="1">
        <v>45403</v>
      </c>
      <c r="B478">
        <v>67.8</v>
      </c>
      <c r="C478">
        <v>0</v>
      </c>
      <c r="D478">
        <v>0</v>
      </c>
      <c r="E478">
        <v>39.1</v>
      </c>
    </row>
    <row r="479" spans="1:5" x14ac:dyDescent="0.25">
      <c r="A479" s="1">
        <v>45404</v>
      </c>
      <c r="B479">
        <v>70.099999999999994</v>
      </c>
      <c r="C479">
        <v>0</v>
      </c>
      <c r="D479">
        <v>0</v>
      </c>
      <c r="E479">
        <v>35</v>
      </c>
    </row>
    <row r="480" spans="1:5" x14ac:dyDescent="0.25">
      <c r="A480" s="1">
        <v>45405</v>
      </c>
      <c r="B480">
        <v>69.2</v>
      </c>
      <c r="C480">
        <v>0</v>
      </c>
      <c r="D480">
        <v>0</v>
      </c>
      <c r="E480">
        <v>39.1</v>
      </c>
    </row>
    <row r="481" spans="1:5" x14ac:dyDescent="0.25">
      <c r="A481" s="1">
        <v>45406</v>
      </c>
      <c r="B481">
        <v>68.8</v>
      </c>
      <c r="C481">
        <v>0</v>
      </c>
      <c r="D481">
        <v>0</v>
      </c>
      <c r="E481">
        <v>35.5</v>
      </c>
    </row>
    <row r="482" spans="1:5" x14ac:dyDescent="0.25">
      <c r="A482" s="1">
        <v>45407</v>
      </c>
      <c r="B482">
        <v>67</v>
      </c>
      <c r="C482">
        <v>2.58</v>
      </c>
      <c r="D482">
        <v>1</v>
      </c>
      <c r="E482">
        <v>38.1</v>
      </c>
    </row>
    <row r="483" spans="1:5" x14ac:dyDescent="0.25">
      <c r="A483" s="1">
        <v>45408</v>
      </c>
      <c r="B483">
        <v>59.9</v>
      </c>
      <c r="C483">
        <v>0</v>
      </c>
      <c r="D483">
        <v>0</v>
      </c>
      <c r="E483">
        <v>36.299999999999997</v>
      </c>
    </row>
    <row r="484" spans="1:5" x14ac:dyDescent="0.25">
      <c r="A484" s="1">
        <v>45409</v>
      </c>
      <c r="B484">
        <v>70.400000000000006</v>
      </c>
      <c r="C484">
        <v>0</v>
      </c>
      <c r="D484">
        <v>0</v>
      </c>
      <c r="E484">
        <v>47.3</v>
      </c>
    </row>
    <row r="485" spans="1:5" x14ac:dyDescent="0.25">
      <c r="A485" s="1">
        <v>45410</v>
      </c>
      <c r="B485">
        <v>67.099999999999994</v>
      </c>
      <c r="C485">
        <v>0</v>
      </c>
      <c r="D485">
        <v>0</v>
      </c>
      <c r="E485">
        <v>53.8</v>
      </c>
    </row>
    <row r="486" spans="1:5" x14ac:dyDescent="0.25">
      <c r="A486" s="1">
        <v>45411</v>
      </c>
      <c r="B486">
        <v>64.8</v>
      </c>
      <c r="C486">
        <v>0</v>
      </c>
      <c r="D486">
        <v>0</v>
      </c>
      <c r="E486">
        <v>42.9</v>
      </c>
    </row>
    <row r="487" spans="1:5" x14ac:dyDescent="0.25">
      <c r="A487" s="1">
        <v>45412</v>
      </c>
      <c r="B487">
        <v>70.099999999999994</v>
      </c>
      <c r="C487">
        <v>0</v>
      </c>
      <c r="D487">
        <v>0</v>
      </c>
      <c r="E487">
        <v>41.7</v>
      </c>
    </row>
    <row r="488" spans="1:5" x14ac:dyDescent="0.25">
      <c r="A488" s="1">
        <v>45413</v>
      </c>
      <c r="B488">
        <v>66.2</v>
      </c>
      <c r="C488">
        <v>0</v>
      </c>
      <c r="D488">
        <v>0</v>
      </c>
      <c r="E488">
        <v>43.1</v>
      </c>
    </row>
    <row r="489" spans="1:5" x14ac:dyDescent="0.25">
      <c r="A489" s="1">
        <v>45414</v>
      </c>
      <c r="B489">
        <v>72.900000000000006</v>
      </c>
      <c r="C489">
        <v>0.5</v>
      </c>
      <c r="D489">
        <v>1</v>
      </c>
      <c r="E489">
        <v>38.9</v>
      </c>
    </row>
    <row r="490" spans="1:5" x14ac:dyDescent="0.25">
      <c r="A490" s="1">
        <v>45415</v>
      </c>
      <c r="B490">
        <v>71</v>
      </c>
      <c r="C490">
        <v>0</v>
      </c>
      <c r="D490">
        <v>0</v>
      </c>
      <c r="E490">
        <v>39.299999999999997</v>
      </c>
    </row>
    <row r="491" spans="1:5" x14ac:dyDescent="0.25">
      <c r="A491" s="1">
        <v>45416</v>
      </c>
      <c r="B491">
        <v>65.400000000000006</v>
      </c>
      <c r="C491">
        <v>0</v>
      </c>
      <c r="D491">
        <v>0</v>
      </c>
      <c r="E491">
        <v>48.3</v>
      </c>
    </row>
    <row r="492" spans="1:5" x14ac:dyDescent="0.25">
      <c r="A492" s="1">
        <v>45417</v>
      </c>
      <c r="B492">
        <v>68.5</v>
      </c>
      <c r="C492">
        <v>0.22</v>
      </c>
      <c r="D492">
        <v>1</v>
      </c>
      <c r="E492">
        <v>42.6</v>
      </c>
    </row>
    <row r="493" spans="1:5" x14ac:dyDescent="0.25">
      <c r="A493" s="1">
        <v>45418</v>
      </c>
      <c r="B493">
        <v>68.5</v>
      </c>
      <c r="C493">
        <v>0.45</v>
      </c>
      <c r="D493">
        <v>1</v>
      </c>
      <c r="E493">
        <v>52.5</v>
      </c>
    </row>
    <row r="494" spans="1:5" x14ac:dyDescent="0.25">
      <c r="A494" s="1">
        <v>45419</v>
      </c>
      <c r="B494">
        <v>71.3</v>
      </c>
      <c r="C494">
        <v>0</v>
      </c>
      <c r="D494">
        <v>0</v>
      </c>
      <c r="E494">
        <v>52.2</v>
      </c>
    </row>
    <row r="495" spans="1:5" x14ac:dyDescent="0.25">
      <c r="A495" s="1">
        <v>45420</v>
      </c>
      <c r="B495">
        <v>65.599999999999994</v>
      </c>
      <c r="C495">
        <v>1</v>
      </c>
      <c r="D495">
        <v>1</v>
      </c>
      <c r="E495">
        <v>35</v>
      </c>
    </row>
    <row r="496" spans="1:5" x14ac:dyDescent="0.25">
      <c r="A496" s="1">
        <v>45421</v>
      </c>
      <c r="B496">
        <v>74.099999999999994</v>
      </c>
      <c r="C496">
        <v>0</v>
      </c>
      <c r="D496">
        <v>0</v>
      </c>
      <c r="E496">
        <v>42.7</v>
      </c>
    </row>
    <row r="497" spans="1:5" x14ac:dyDescent="0.25">
      <c r="A497" s="1">
        <v>45422</v>
      </c>
      <c r="B497">
        <v>72.400000000000006</v>
      </c>
      <c r="C497">
        <v>0</v>
      </c>
      <c r="D497">
        <v>0</v>
      </c>
      <c r="E497">
        <v>46.8</v>
      </c>
    </row>
    <row r="498" spans="1:5" x14ac:dyDescent="0.25">
      <c r="A498" s="1">
        <v>45423</v>
      </c>
      <c r="B498">
        <v>63.2</v>
      </c>
      <c r="C498">
        <v>1.59</v>
      </c>
      <c r="D498">
        <v>1</v>
      </c>
      <c r="E498">
        <v>49.1</v>
      </c>
    </row>
    <row r="499" spans="1:5" x14ac:dyDescent="0.25">
      <c r="A499" s="1">
        <v>45424</v>
      </c>
      <c r="B499">
        <v>74.099999999999994</v>
      </c>
      <c r="C499">
        <v>0.4</v>
      </c>
      <c r="D499">
        <v>1</v>
      </c>
      <c r="E499">
        <v>48.3</v>
      </c>
    </row>
    <row r="500" spans="1:5" x14ac:dyDescent="0.25">
      <c r="A500" s="1">
        <v>45425</v>
      </c>
      <c r="B500">
        <v>68.900000000000006</v>
      </c>
      <c r="C500">
        <v>0.37</v>
      </c>
      <c r="D500">
        <v>1</v>
      </c>
      <c r="E500">
        <v>49.5</v>
      </c>
    </row>
    <row r="501" spans="1:5" x14ac:dyDescent="0.25">
      <c r="A501" s="1">
        <v>45426</v>
      </c>
      <c r="B501">
        <v>77.400000000000006</v>
      </c>
      <c r="C501">
        <v>0</v>
      </c>
      <c r="D501">
        <v>0</v>
      </c>
      <c r="E501">
        <v>43.2</v>
      </c>
    </row>
    <row r="502" spans="1:5" x14ac:dyDescent="0.25">
      <c r="A502" s="1">
        <v>45427</v>
      </c>
      <c r="B502">
        <v>71.599999999999994</v>
      </c>
      <c r="C502">
        <v>0</v>
      </c>
      <c r="D502">
        <v>0</v>
      </c>
      <c r="E502">
        <v>41.7</v>
      </c>
    </row>
    <row r="503" spans="1:5" x14ac:dyDescent="0.25">
      <c r="A503" s="1">
        <v>45428</v>
      </c>
      <c r="B503">
        <v>73.8</v>
      </c>
      <c r="C503">
        <v>0</v>
      </c>
      <c r="D503">
        <v>0</v>
      </c>
      <c r="E503">
        <v>38.799999999999997</v>
      </c>
    </row>
    <row r="504" spans="1:5" x14ac:dyDescent="0.25">
      <c r="A504" s="1">
        <v>45429</v>
      </c>
      <c r="B504">
        <v>70.599999999999994</v>
      </c>
      <c r="C504">
        <v>0</v>
      </c>
      <c r="D504">
        <v>0</v>
      </c>
      <c r="E504">
        <v>49</v>
      </c>
    </row>
    <row r="505" spans="1:5" x14ac:dyDescent="0.25">
      <c r="A505" s="1">
        <v>45430</v>
      </c>
      <c r="B505">
        <v>74.599999999999994</v>
      </c>
      <c r="C505">
        <v>0</v>
      </c>
      <c r="D505">
        <v>0</v>
      </c>
      <c r="E505">
        <v>46.7</v>
      </c>
    </row>
    <row r="506" spans="1:5" x14ac:dyDescent="0.25">
      <c r="A506" s="1">
        <v>45431</v>
      </c>
      <c r="B506">
        <v>71.099999999999994</v>
      </c>
      <c r="C506">
        <v>0.41</v>
      </c>
      <c r="D506">
        <v>1</v>
      </c>
      <c r="E506">
        <v>53.6</v>
      </c>
    </row>
    <row r="507" spans="1:5" x14ac:dyDescent="0.25">
      <c r="A507" s="1">
        <v>45432</v>
      </c>
      <c r="B507">
        <v>69.3</v>
      </c>
      <c r="C507">
        <v>0</v>
      </c>
      <c r="D507">
        <v>0</v>
      </c>
      <c r="E507">
        <v>55.6</v>
      </c>
    </row>
    <row r="508" spans="1:5" x14ac:dyDescent="0.25">
      <c r="A508" s="1">
        <v>45433</v>
      </c>
      <c r="B508">
        <v>72</v>
      </c>
      <c r="C508">
        <v>0</v>
      </c>
      <c r="D508">
        <v>0</v>
      </c>
      <c r="E508">
        <v>52.1</v>
      </c>
    </row>
    <row r="509" spans="1:5" x14ac:dyDescent="0.25">
      <c r="A509" s="1">
        <v>45434</v>
      </c>
      <c r="B509">
        <v>70.400000000000006</v>
      </c>
      <c r="C509">
        <v>0.26</v>
      </c>
      <c r="D509">
        <v>1</v>
      </c>
      <c r="E509">
        <v>47.9</v>
      </c>
    </row>
    <row r="510" spans="1:5" x14ac:dyDescent="0.25">
      <c r="A510" s="1">
        <v>45435</v>
      </c>
      <c r="B510">
        <v>70.599999999999994</v>
      </c>
      <c r="C510">
        <v>0</v>
      </c>
      <c r="D510">
        <v>0</v>
      </c>
      <c r="E510">
        <v>47.1</v>
      </c>
    </row>
    <row r="511" spans="1:5" x14ac:dyDescent="0.25">
      <c r="A511" s="1">
        <v>45436</v>
      </c>
      <c r="B511">
        <v>83.1</v>
      </c>
      <c r="C511">
        <v>1.65</v>
      </c>
      <c r="D511">
        <v>1</v>
      </c>
      <c r="E511">
        <v>53.9</v>
      </c>
    </row>
    <row r="512" spans="1:5" x14ac:dyDescent="0.25">
      <c r="A512" s="1">
        <v>45437</v>
      </c>
      <c r="B512">
        <v>75.400000000000006</v>
      </c>
      <c r="C512">
        <v>0.71</v>
      </c>
      <c r="D512">
        <v>1</v>
      </c>
      <c r="E512">
        <v>55.1</v>
      </c>
    </row>
    <row r="513" spans="1:5" x14ac:dyDescent="0.25">
      <c r="A513" s="1">
        <v>45438</v>
      </c>
      <c r="B513">
        <v>73.2</v>
      </c>
      <c r="C513">
        <v>0.13</v>
      </c>
      <c r="D513">
        <v>1</v>
      </c>
      <c r="E513">
        <v>57.8</v>
      </c>
    </row>
    <row r="514" spans="1:5" x14ac:dyDescent="0.25">
      <c r="A514" s="1">
        <v>45439</v>
      </c>
      <c r="B514">
        <v>69.900000000000006</v>
      </c>
      <c r="C514">
        <v>0</v>
      </c>
      <c r="D514">
        <v>0</v>
      </c>
      <c r="E514">
        <v>48.7</v>
      </c>
    </row>
    <row r="515" spans="1:5" x14ac:dyDescent="0.25">
      <c r="A515" s="1">
        <v>45440</v>
      </c>
      <c r="B515">
        <v>67.5</v>
      </c>
      <c r="C515">
        <v>0</v>
      </c>
      <c r="D515">
        <v>0</v>
      </c>
      <c r="E515">
        <v>54</v>
      </c>
    </row>
    <row r="516" spans="1:5" x14ac:dyDescent="0.25">
      <c r="A516" s="1">
        <v>45441</v>
      </c>
      <c r="B516">
        <v>71.3</v>
      </c>
      <c r="C516">
        <v>0</v>
      </c>
      <c r="D516">
        <v>0</v>
      </c>
      <c r="E516">
        <v>50.9</v>
      </c>
    </row>
    <row r="517" spans="1:5" x14ac:dyDescent="0.25">
      <c r="A517" s="1">
        <v>45442</v>
      </c>
      <c r="B517">
        <v>77.2</v>
      </c>
      <c r="C517">
        <v>0</v>
      </c>
      <c r="D517">
        <v>0</v>
      </c>
      <c r="E517">
        <v>51.2</v>
      </c>
    </row>
    <row r="518" spans="1:5" x14ac:dyDescent="0.25">
      <c r="A518" s="1">
        <v>45443</v>
      </c>
      <c r="B518">
        <v>78.400000000000006</v>
      </c>
      <c r="C518">
        <v>0.52</v>
      </c>
      <c r="D518">
        <v>1</v>
      </c>
      <c r="E518">
        <v>57.9</v>
      </c>
    </row>
    <row r="519" spans="1:5" x14ac:dyDescent="0.25">
      <c r="A519" s="1">
        <v>45444</v>
      </c>
      <c r="B519">
        <v>74.599999999999994</v>
      </c>
      <c r="C519">
        <v>0.54</v>
      </c>
      <c r="D519">
        <v>1</v>
      </c>
      <c r="E519">
        <v>51.6</v>
      </c>
    </row>
    <row r="520" spans="1:5" x14ac:dyDescent="0.25">
      <c r="A520" s="1">
        <v>45445</v>
      </c>
      <c r="B520">
        <v>66.7</v>
      </c>
      <c r="C520">
        <v>1.07</v>
      </c>
      <c r="D520">
        <v>1</v>
      </c>
      <c r="E520">
        <v>48.5</v>
      </c>
    </row>
    <row r="521" spans="1:5" x14ac:dyDescent="0.25">
      <c r="A521" s="1">
        <v>45446</v>
      </c>
      <c r="B521">
        <v>76.8</v>
      </c>
      <c r="C521">
        <v>1.63</v>
      </c>
      <c r="D521">
        <v>1</v>
      </c>
      <c r="E521">
        <v>55.3</v>
      </c>
    </row>
    <row r="522" spans="1:5" x14ac:dyDescent="0.25">
      <c r="A522" s="1">
        <v>45447</v>
      </c>
      <c r="B522">
        <v>77.400000000000006</v>
      </c>
      <c r="C522">
        <v>0</v>
      </c>
      <c r="D522">
        <v>0</v>
      </c>
      <c r="E522">
        <v>44.1</v>
      </c>
    </row>
    <row r="523" spans="1:5" x14ac:dyDescent="0.25">
      <c r="A523" s="1">
        <v>45448</v>
      </c>
      <c r="B523">
        <v>76.5</v>
      </c>
      <c r="C523">
        <v>0</v>
      </c>
      <c r="D523">
        <v>0</v>
      </c>
      <c r="E523">
        <v>56.7</v>
      </c>
    </row>
    <row r="524" spans="1:5" x14ac:dyDescent="0.25">
      <c r="A524" s="1">
        <v>45449</v>
      </c>
      <c r="B524">
        <v>78.8</v>
      </c>
      <c r="C524">
        <v>0.28999999999999998</v>
      </c>
      <c r="D524">
        <v>1</v>
      </c>
      <c r="E524">
        <v>52.1</v>
      </c>
    </row>
    <row r="525" spans="1:5" x14ac:dyDescent="0.25">
      <c r="A525" s="1">
        <v>45450</v>
      </c>
      <c r="B525">
        <v>74</v>
      </c>
      <c r="C525">
        <v>0</v>
      </c>
      <c r="D525">
        <v>0</v>
      </c>
      <c r="E525">
        <v>52.8</v>
      </c>
    </row>
    <row r="526" spans="1:5" x14ac:dyDescent="0.25">
      <c r="A526" s="1">
        <v>45451</v>
      </c>
      <c r="B526">
        <v>73.599999999999994</v>
      </c>
      <c r="C526">
        <v>0.68</v>
      </c>
      <c r="D526">
        <v>1</v>
      </c>
      <c r="E526">
        <v>52.4</v>
      </c>
    </row>
    <row r="527" spans="1:5" x14ac:dyDescent="0.25">
      <c r="A527" s="1">
        <v>45452</v>
      </c>
      <c r="B527">
        <v>69.3</v>
      </c>
      <c r="C527">
        <v>0.27</v>
      </c>
      <c r="D527">
        <v>1</v>
      </c>
      <c r="E527">
        <v>54.1</v>
      </c>
    </row>
    <row r="528" spans="1:5" x14ac:dyDescent="0.25">
      <c r="A528" s="1">
        <v>45453</v>
      </c>
      <c r="B528">
        <v>69.599999999999994</v>
      </c>
      <c r="C528">
        <v>0</v>
      </c>
      <c r="D528">
        <v>0</v>
      </c>
      <c r="E528">
        <v>58.9</v>
      </c>
    </row>
    <row r="529" spans="1:5" x14ac:dyDescent="0.25">
      <c r="A529" s="1">
        <v>45454</v>
      </c>
      <c r="B529">
        <v>72.8</v>
      </c>
      <c r="C529">
        <v>0</v>
      </c>
      <c r="D529">
        <v>0</v>
      </c>
      <c r="E529">
        <v>61.4</v>
      </c>
    </row>
    <row r="530" spans="1:5" x14ac:dyDescent="0.25">
      <c r="A530" s="1">
        <v>45455</v>
      </c>
      <c r="B530">
        <v>78</v>
      </c>
      <c r="C530">
        <v>0.5</v>
      </c>
      <c r="D530">
        <v>1</v>
      </c>
      <c r="E530">
        <v>45</v>
      </c>
    </row>
    <row r="531" spans="1:5" x14ac:dyDescent="0.25">
      <c r="A531" s="1">
        <v>45456</v>
      </c>
      <c r="B531">
        <v>75.7</v>
      </c>
      <c r="C531">
        <v>0</v>
      </c>
      <c r="D531">
        <v>0</v>
      </c>
      <c r="E531">
        <v>49.5</v>
      </c>
    </row>
    <row r="532" spans="1:5" x14ac:dyDescent="0.25">
      <c r="A532" s="1">
        <v>45457</v>
      </c>
      <c r="B532">
        <v>76.8</v>
      </c>
      <c r="C532">
        <v>0</v>
      </c>
      <c r="D532">
        <v>0</v>
      </c>
      <c r="E532">
        <v>58.7</v>
      </c>
    </row>
    <row r="533" spans="1:5" x14ac:dyDescent="0.25">
      <c r="A533" s="1">
        <v>45458</v>
      </c>
      <c r="B533">
        <v>81.400000000000006</v>
      </c>
      <c r="C533">
        <v>0</v>
      </c>
      <c r="D533">
        <v>0</v>
      </c>
      <c r="E533">
        <v>58.5</v>
      </c>
    </row>
    <row r="534" spans="1:5" x14ac:dyDescent="0.25">
      <c r="A534" s="1">
        <v>45459</v>
      </c>
      <c r="B534">
        <v>73.3</v>
      </c>
      <c r="C534">
        <v>0</v>
      </c>
      <c r="D534">
        <v>0</v>
      </c>
      <c r="E534">
        <v>63.4</v>
      </c>
    </row>
    <row r="535" spans="1:5" x14ac:dyDescent="0.25">
      <c r="A535" s="1">
        <v>45460</v>
      </c>
      <c r="B535">
        <v>78.3</v>
      </c>
      <c r="C535">
        <v>0</v>
      </c>
      <c r="D535">
        <v>0</v>
      </c>
      <c r="E535">
        <v>45.9</v>
      </c>
    </row>
    <row r="536" spans="1:5" x14ac:dyDescent="0.25">
      <c r="A536" s="1">
        <v>45461</v>
      </c>
      <c r="B536">
        <v>73.099999999999994</v>
      </c>
      <c r="C536">
        <v>0</v>
      </c>
      <c r="D536">
        <v>0</v>
      </c>
      <c r="E536">
        <v>62.9</v>
      </c>
    </row>
    <row r="537" spans="1:5" x14ac:dyDescent="0.25">
      <c r="A537" s="1">
        <v>45462</v>
      </c>
      <c r="B537">
        <v>81.3</v>
      </c>
      <c r="C537">
        <v>1.21</v>
      </c>
      <c r="D537">
        <v>1</v>
      </c>
      <c r="E537">
        <v>56.5</v>
      </c>
    </row>
    <row r="538" spans="1:5" x14ac:dyDescent="0.25">
      <c r="A538" s="1">
        <v>45463</v>
      </c>
      <c r="B538">
        <v>73.900000000000006</v>
      </c>
      <c r="C538">
        <v>1.39</v>
      </c>
      <c r="D538">
        <v>1</v>
      </c>
      <c r="E538">
        <v>63.3</v>
      </c>
    </row>
    <row r="539" spans="1:5" x14ac:dyDescent="0.25">
      <c r="A539" s="1">
        <v>45464</v>
      </c>
      <c r="B539">
        <v>76.900000000000006</v>
      </c>
      <c r="C539">
        <v>0</v>
      </c>
      <c r="D539">
        <v>0</v>
      </c>
      <c r="E539">
        <v>62.4</v>
      </c>
    </row>
    <row r="540" spans="1:5" x14ac:dyDescent="0.25">
      <c r="A540" s="1">
        <v>45465</v>
      </c>
      <c r="B540">
        <v>76.400000000000006</v>
      </c>
      <c r="C540">
        <v>0</v>
      </c>
      <c r="D540">
        <v>0</v>
      </c>
      <c r="E540">
        <v>48</v>
      </c>
    </row>
    <row r="541" spans="1:5" x14ac:dyDescent="0.25">
      <c r="A541" s="1">
        <v>45466</v>
      </c>
      <c r="B541">
        <v>77.900000000000006</v>
      </c>
      <c r="C541">
        <v>0</v>
      </c>
      <c r="D541">
        <v>0</v>
      </c>
      <c r="E541">
        <v>51.2</v>
      </c>
    </row>
    <row r="542" spans="1:5" x14ac:dyDescent="0.25">
      <c r="A542" s="1">
        <v>45467</v>
      </c>
      <c r="B542">
        <v>81.599999999999994</v>
      </c>
      <c r="C542">
        <v>0.54</v>
      </c>
      <c r="D542">
        <v>1</v>
      </c>
      <c r="E542">
        <v>67</v>
      </c>
    </row>
    <row r="543" spans="1:5" x14ac:dyDescent="0.25">
      <c r="A543" s="1">
        <v>45468</v>
      </c>
      <c r="B543">
        <v>77.8</v>
      </c>
      <c r="C543">
        <v>0</v>
      </c>
      <c r="D543">
        <v>0</v>
      </c>
      <c r="E543">
        <v>59.2</v>
      </c>
    </row>
    <row r="544" spans="1:5" x14ac:dyDescent="0.25">
      <c r="A544" s="1">
        <v>45469</v>
      </c>
      <c r="B544">
        <v>76.900000000000006</v>
      </c>
      <c r="C544">
        <v>0.28000000000000003</v>
      </c>
      <c r="D544">
        <v>1</v>
      </c>
      <c r="E544">
        <v>56.9</v>
      </c>
    </row>
    <row r="545" spans="1:5" x14ac:dyDescent="0.25">
      <c r="A545" s="1">
        <v>45470</v>
      </c>
      <c r="B545">
        <v>77.5</v>
      </c>
      <c r="C545">
        <v>0.72</v>
      </c>
      <c r="D545">
        <v>1</v>
      </c>
      <c r="E545">
        <v>59.8</v>
      </c>
    </row>
    <row r="546" spans="1:5" x14ac:dyDescent="0.25">
      <c r="A546" s="1">
        <v>45471</v>
      </c>
      <c r="B546">
        <v>83.3</v>
      </c>
      <c r="C546">
        <v>0</v>
      </c>
      <c r="D546">
        <v>0</v>
      </c>
      <c r="E546">
        <v>57</v>
      </c>
    </row>
    <row r="547" spans="1:5" x14ac:dyDescent="0.25">
      <c r="A547" s="1">
        <v>45472</v>
      </c>
      <c r="B547">
        <v>79.2</v>
      </c>
      <c r="C547">
        <v>1.75</v>
      </c>
      <c r="D547">
        <v>1</v>
      </c>
      <c r="E547">
        <v>58.9</v>
      </c>
    </row>
    <row r="548" spans="1:5" x14ac:dyDescent="0.25">
      <c r="A548" s="1">
        <v>45473</v>
      </c>
      <c r="B548">
        <v>80.400000000000006</v>
      </c>
      <c r="C548">
        <v>0</v>
      </c>
      <c r="D548">
        <v>0</v>
      </c>
      <c r="E548">
        <v>56.5</v>
      </c>
    </row>
    <row r="549" spans="1:5" x14ac:dyDescent="0.25">
      <c r="A549" s="1">
        <v>45474</v>
      </c>
      <c r="B549">
        <v>81.900000000000006</v>
      </c>
      <c r="C549">
        <v>0</v>
      </c>
      <c r="D549">
        <v>0</v>
      </c>
      <c r="E549">
        <v>57.6</v>
      </c>
    </row>
    <row r="550" spans="1:5" x14ac:dyDescent="0.25">
      <c r="A550" s="1">
        <v>45475</v>
      </c>
      <c r="B550">
        <v>83.8</v>
      </c>
      <c r="C550">
        <v>0</v>
      </c>
      <c r="D550">
        <v>0</v>
      </c>
      <c r="E550">
        <v>69.400000000000006</v>
      </c>
    </row>
    <row r="551" spans="1:5" x14ac:dyDescent="0.25">
      <c r="A551" s="1">
        <v>45476</v>
      </c>
      <c r="B551">
        <v>85.3</v>
      </c>
      <c r="C551">
        <v>0.26</v>
      </c>
      <c r="D551">
        <v>1</v>
      </c>
      <c r="E551">
        <v>62.1</v>
      </c>
    </row>
    <row r="552" spans="1:5" x14ac:dyDescent="0.25">
      <c r="A552" s="1">
        <v>45477</v>
      </c>
      <c r="B552">
        <v>78.5</v>
      </c>
      <c r="C552">
        <v>0</v>
      </c>
      <c r="D552">
        <v>0</v>
      </c>
      <c r="E552">
        <v>57.6</v>
      </c>
    </row>
    <row r="553" spans="1:5" x14ac:dyDescent="0.25">
      <c r="A553" s="1">
        <v>45478</v>
      </c>
      <c r="B553">
        <v>77</v>
      </c>
      <c r="C553">
        <v>0</v>
      </c>
      <c r="D553">
        <v>0</v>
      </c>
      <c r="E553">
        <v>65</v>
      </c>
    </row>
    <row r="554" spans="1:5" x14ac:dyDescent="0.25">
      <c r="A554" s="1">
        <v>45479</v>
      </c>
      <c r="B554">
        <v>82.1</v>
      </c>
      <c r="C554">
        <v>0</v>
      </c>
      <c r="D554">
        <v>0</v>
      </c>
      <c r="E554">
        <v>57.2</v>
      </c>
    </row>
    <row r="555" spans="1:5" x14ac:dyDescent="0.25">
      <c r="A555" s="1">
        <v>45480</v>
      </c>
      <c r="B555">
        <v>82.3</v>
      </c>
      <c r="C555">
        <v>0</v>
      </c>
      <c r="D555">
        <v>0</v>
      </c>
      <c r="E555">
        <v>61.4</v>
      </c>
    </row>
    <row r="556" spans="1:5" x14ac:dyDescent="0.25">
      <c r="A556" s="1">
        <v>45481</v>
      </c>
      <c r="B556">
        <v>86.2</v>
      </c>
      <c r="C556">
        <v>1.61</v>
      </c>
      <c r="D556">
        <v>1</v>
      </c>
      <c r="E556">
        <v>72.3</v>
      </c>
    </row>
    <row r="557" spans="1:5" x14ac:dyDescent="0.25">
      <c r="A557" s="1">
        <v>45482</v>
      </c>
      <c r="B557">
        <v>81.3</v>
      </c>
      <c r="C557">
        <v>0</v>
      </c>
      <c r="D557">
        <v>0</v>
      </c>
      <c r="E557">
        <v>59</v>
      </c>
    </row>
    <row r="558" spans="1:5" x14ac:dyDescent="0.25">
      <c r="A558" s="1">
        <v>45483</v>
      </c>
      <c r="B558">
        <v>79.099999999999994</v>
      </c>
      <c r="C558">
        <v>0.73</v>
      </c>
      <c r="D558">
        <v>1</v>
      </c>
      <c r="E558">
        <v>59.8</v>
      </c>
    </row>
    <row r="559" spans="1:5" x14ac:dyDescent="0.25">
      <c r="A559" s="1">
        <v>45484</v>
      </c>
      <c r="B559">
        <v>82</v>
      </c>
      <c r="C559">
        <v>0.63</v>
      </c>
      <c r="D559">
        <v>1</v>
      </c>
      <c r="E559">
        <v>65.400000000000006</v>
      </c>
    </row>
    <row r="560" spans="1:5" x14ac:dyDescent="0.25">
      <c r="A560" s="1">
        <v>45485</v>
      </c>
      <c r="B560">
        <v>77.099999999999994</v>
      </c>
      <c r="C560">
        <v>0.73</v>
      </c>
      <c r="D560">
        <v>1</v>
      </c>
      <c r="E560">
        <v>68.5</v>
      </c>
    </row>
    <row r="561" spans="1:5" x14ac:dyDescent="0.25">
      <c r="A561" s="1">
        <v>45486</v>
      </c>
      <c r="B561">
        <v>80.3</v>
      </c>
      <c r="C561">
        <v>0</v>
      </c>
      <c r="D561">
        <v>0</v>
      </c>
      <c r="E561">
        <v>73.400000000000006</v>
      </c>
    </row>
    <row r="562" spans="1:5" x14ac:dyDescent="0.25">
      <c r="A562" s="1">
        <v>45487</v>
      </c>
      <c r="B562">
        <v>80.900000000000006</v>
      </c>
      <c r="C562">
        <v>0</v>
      </c>
      <c r="D562">
        <v>0</v>
      </c>
      <c r="E562">
        <v>71.3</v>
      </c>
    </row>
    <row r="563" spans="1:5" x14ac:dyDescent="0.25">
      <c r="A563" s="1">
        <v>45488</v>
      </c>
      <c r="B563">
        <v>84.4</v>
      </c>
      <c r="C563">
        <v>0.56999999999999995</v>
      </c>
      <c r="D563">
        <v>1</v>
      </c>
      <c r="E563">
        <v>65.2</v>
      </c>
    </row>
    <row r="564" spans="1:5" x14ac:dyDescent="0.25">
      <c r="A564" s="1">
        <v>45489</v>
      </c>
      <c r="B564">
        <v>89.4</v>
      </c>
      <c r="C564">
        <v>0</v>
      </c>
      <c r="D564">
        <v>0</v>
      </c>
      <c r="E564">
        <v>69.5</v>
      </c>
    </row>
    <row r="565" spans="1:5" x14ac:dyDescent="0.25">
      <c r="A565" s="1">
        <v>45490</v>
      </c>
      <c r="B565">
        <v>80.7</v>
      </c>
      <c r="C565">
        <v>0</v>
      </c>
      <c r="D565">
        <v>0</v>
      </c>
      <c r="E565">
        <v>63.8</v>
      </c>
    </row>
    <row r="566" spans="1:5" x14ac:dyDescent="0.25">
      <c r="A566" s="1">
        <v>45491</v>
      </c>
      <c r="B566">
        <v>80.3</v>
      </c>
      <c r="C566">
        <v>0.57999999999999996</v>
      </c>
      <c r="D566">
        <v>1</v>
      </c>
      <c r="E566">
        <v>77.7</v>
      </c>
    </row>
    <row r="567" spans="1:5" x14ac:dyDescent="0.25">
      <c r="A567" s="1">
        <v>45492</v>
      </c>
      <c r="B567">
        <v>81</v>
      </c>
      <c r="C567">
        <v>0</v>
      </c>
      <c r="D567">
        <v>0</v>
      </c>
      <c r="E567">
        <v>68.3</v>
      </c>
    </row>
    <row r="568" spans="1:5" x14ac:dyDescent="0.25">
      <c r="A568" s="1">
        <v>45493</v>
      </c>
      <c r="B568">
        <v>85.9</v>
      </c>
      <c r="C568">
        <v>0</v>
      </c>
      <c r="D568">
        <v>0</v>
      </c>
      <c r="E568">
        <v>77.099999999999994</v>
      </c>
    </row>
    <row r="569" spans="1:5" x14ac:dyDescent="0.25">
      <c r="A569" s="1">
        <v>45494</v>
      </c>
      <c r="B569">
        <v>84.5</v>
      </c>
      <c r="C569">
        <v>0</v>
      </c>
      <c r="D569">
        <v>0</v>
      </c>
      <c r="E569">
        <v>70.2</v>
      </c>
    </row>
    <row r="570" spans="1:5" x14ac:dyDescent="0.25">
      <c r="A570" s="1">
        <v>45495</v>
      </c>
      <c r="B570">
        <v>92.5</v>
      </c>
      <c r="C570">
        <v>0</v>
      </c>
      <c r="D570">
        <v>0</v>
      </c>
      <c r="E570">
        <v>70.900000000000006</v>
      </c>
    </row>
    <row r="571" spans="1:5" x14ac:dyDescent="0.25">
      <c r="A571" s="1">
        <v>45496</v>
      </c>
      <c r="B571">
        <v>87.1</v>
      </c>
      <c r="C571">
        <v>0</v>
      </c>
      <c r="D571">
        <v>0</v>
      </c>
      <c r="E571">
        <v>71.900000000000006</v>
      </c>
    </row>
    <row r="572" spans="1:5" x14ac:dyDescent="0.25">
      <c r="A572" s="1">
        <v>45497</v>
      </c>
      <c r="B572">
        <v>81.3</v>
      </c>
      <c r="C572">
        <v>0.33</v>
      </c>
      <c r="D572">
        <v>1</v>
      </c>
      <c r="E572">
        <v>60.8</v>
      </c>
    </row>
    <row r="573" spans="1:5" x14ac:dyDescent="0.25">
      <c r="A573" s="1">
        <v>45498</v>
      </c>
      <c r="B573">
        <v>87.7</v>
      </c>
      <c r="C573">
        <v>0</v>
      </c>
      <c r="D573">
        <v>0</v>
      </c>
      <c r="E573">
        <v>70.099999999999994</v>
      </c>
    </row>
    <row r="574" spans="1:5" x14ac:dyDescent="0.25">
      <c r="A574" s="1">
        <v>45499</v>
      </c>
      <c r="B574">
        <v>87</v>
      </c>
      <c r="C574">
        <v>1.0900000000000001</v>
      </c>
      <c r="D574">
        <v>1</v>
      </c>
      <c r="E574">
        <v>64.5</v>
      </c>
    </row>
    <row r="575" spans="1:5" x14ac:dyDescent="0.25">
      <c r="A575" s="1">
        <v>45500</v>
      </c>
      <c r="B575">
        <v>82.5</v>
      </c>
      <c r="C575">
        <v>0</v>
      </c>
      <c r="D575">
        <v>0</v>
      </c>
      <c r="E575">
        <v>69.099999999999994</v>
      </c>
    </row>
    <row r="576" spans="1:5" x14ac:dyDescent="0.25">
      <c r="A576" s="1">
        <v>45501</v>
      </c>
      <c r="B576">
        <v>88.3</v>
      </c>
      <c r="C576">
        <v>0</v>
      </c>
      <c r="D576">
        <v>0</v>
      </c>
      <c r="E576">
        <v>66.5</v>
      </c>
    </row>
    <row r="577" spans="1:5" x14ac:dyDescent="0.25">
      <c r="A577" s="1">
        <v>45502</v>
      </c>
      <c r="B577">
        <v>85.5</v>
      </c>
      <c r="C577">
        <v>0</v>
      </c>
      <c r="D577">
        <v>0</v>
      </c>
      <c r="E577">
        <v>68.8</v>
      </c>
    </row>
    <row r="578" spans="1:5" x14ac:dyDescent="0.25">
      <c r="A578" s="1">
        <v>45503</v>
      </c>
      <c r="B578">
        <v>88.2</v>
      </c>
      <c r="C578">
        <v>0.5</v>
      </c>
      <c r="D578">
        <v>1</v>
      </c>
      <c r="E578">
        <v>68.2</v>
      </c>
    </row>
    <row r="579" spans="1:5" x14ac:dyDescent="0.25">
      <c r="A579" s="1">
        <v>45504</v>
      </c>
      <c r="B579">
        <v>86.7</v>
      </c>
      <c r="C579">
        <v>0</v>
      </c>
      <c r="D579">
        <v>0</v>
      </c>
      <c r="E579">
        <v>69.3</v>
      </c>
    </row>
    <row r="580" spans="1:5" x14ac:dyDescent="0.25">
      <c r="A580" s="1">
        <v>45505</v>
      </c>
      <c r="B580">
        <v>88.1</v>
      </c>
      <c r="C580">
        <v>0.99</v>
      </c>
      <c r="D580">
        <v>1</v>
      </c>
      <c r="E580">
        <v>65.7</v>
      </c>
    </row>
    <row r="581" spans="1:5" x14ac:dyDescent="0.25">
      <c r="A581" s="1">
        <v>45506</v>
      </c>
      <c r="B581">
        <v>87.9</v>
      </c>
      <c r="C581">
        <v>0</v>
      </c>
      <c r="D581">
        <v>0</v>
      </c>
      <c r="E581">
        <v>74.2</v>
      </c>
    </row>
    <row r="582" spans="1:5" x14ac:dyDescent="0.25">
      <c r="A582" s="1">
        <v>45507</v>
      </c>
      <c r="B582">
        <v>86.5</v>
      </c>
      <c r="C582">
        <v>0</v>
      </c>
      <c r="D582">
        <v>0</v>
      </c>
      <c r="E582">
        <v>68.599999999999994</v>
      </c>
    </row>
    <row r="583" spans="1:5" x14ac:dyDescent="0.25">
      <c r="A583" s="1">
        <v>45508</v>
      </c>
      <c r="B583">
        <v>86.9</v>
      </c>
      <c r="C583">
        <v>0</v>
      </c>
      <c r="D583">
        <v>0</v>
      </c>
      <c r="E583">
        <v>76.900000000000006</v>
      </c>
    </row>
    <row r="584" spans="1:5" x14ac:dyDescent="0.25">
      <c r="A584" s="1">
        <v>45509</v>
      </c>
      <c r="B584">
        <v>90.7</v>
      </c>
      <c r="C584">
        <v>0</v>
      </c>
      <c r="D584">
        <v>0</v>
      </c>
      <c r="E584">
        <v>71.7</v>
      </c>
    </row>
    <row r="585" spans="1:5" x14ac:dyDescent="0.25">
      <c r="A585" s="1">
        <v>45510</v>
      </c>
      <c r="B585">
        <v>84.8</v>
      </c>
      <c r="C585">
        <v>0</v>
      </c>
      <c r="D585">
        <v>0</v>
      </c>
      <c r="E585">
        <v>84</v>
      </c>
    </row>
    <row r="586" spans="1:5" x14ac:dyDescent="0.25">
      <c r="A586" s="1">
        <v>45511</v>
      </c>
      <c r="B586">
        <v>89.5</v>
      </c>
      <c r="C586">
        <v>1.25</v>
      </c>
      <c r="D586">
        <v>1</v>
      </c>
      <c r="E586">
        <v>73.3</v>
      </c>
    </row>
    <row r="587" spans="1:5" x14ac:dyDescent="0.25">
      <c r="A587" s="1">
        <v>45512</v>
      </c>
      <c r="B587">
        <v>91.6</v>
      </c>
      <c r="C587">
        <v>0</v>
      </c>
      <c r="D587">
        <v>0</v>
      </c>
      <c r="E587">
        <v>73.2</v>
      </c>
    </row>
    <row r="588" spans="1:5" x14ac:dyDescent="0.25">
      <c r="A588" s="1">
        <v>45513</v>
      </c>
      <c r="B588">
        <v>83.8</v>
      </c>
      <c r="C588">
        <v>0.97</v>
      </c>
      <c r="D588">
        <v>1</v>
      </c>
      <c r="E588">
        <v>69.400000000000006</v>
      </c>
    </row>
    <row r="589" spans="1:5" x14ac:dyDescent="0.25">
      <c r="A589" s="1">
        <v>45514</v>
      </c>
      <c r="B589">
        <v>88.7</v>
      </c>
      <c r="C589">
        <v>0</v>
      </c>
      <c r="D589">
        <v>0</v>
      </c>
      <c r="E589">
        <v>78.7</v>
      </c>
    </row>
    <row r="590" spans="1:5" x14ac:dyDescent="0.25">
      <c r="A590" s="1">
        <v>45515</v>
      </c>
      <c r="B590">
        <v>93.2</v>
      </c>
      <c r="C590">
        <v>0</v>
      </c>
      <c r="D590">
        <v>0</v>
      </c>
      <c r="E590">
        <v>69.900000000000006</v>
      </c>
    </row>
    <row r="591" spans="1:5" x14ac:dyDescent="0.25">
      <c r="A591" s="1">
        <v>45516</v>
      </c>
      <c r="B591">
        <v>84.6</v>
      </c>
      <c r="C591">
        <v>0</v>
      </c>
      <c r="D591">
        <v>0</v>
      </c>
      <c r="E591">
        <v>80.099999999999994</v>
      </c>
    </row>
    <row r="592" spans="1:5" x14ac:dyDescent="0.25">
      <c r="A592" s="1">
        <v>45517</v>
      </c>
      <c r="B592">
        <v>85.9</v>
      </c>
      <c r="C592">
        <v>0</v>
      </c>
      <c r="D592">
        <v>0</v>
      </c>
      <c r="E592">
        <v>65.900000000000006</v>
      </c>
    </row>
    <row r="593" spans="1:5" x14ac:dyDescent="0.25">
      <c r="A593" s="1">
        <v>45518</v>
      </c>
      <c r="B593">
        <v>85.5</v>
      </c>
      <c r="C593">
        <v>0</v>
      </c>
      <c r="D593">
        <v>0</v>
      </c>
      <c r="E593">
        <v>76</v>
      </c>
    </row>
    <row r="594" spans="1:5" x14ac:dyDescent="0.25">
      <c r="A594" s="1">
        <v>45519</v>
      </c>
      <c r="B594">
        <v>86.7</v>
      </c>
      <c r="C594">
        <v>0</v>
      </c>
      <c r="D594">
        <v>0</v>
      </c>
      <c r="E594">
        <v>74.2</v>
      </c>
    </row>
    <row r="595" spans="1:5" x14ac:dyDescent="0.25">
      <c r="A595" s="1">
        <v>45520</v>
      </c>
      <c r="B595">
        <v>83.4</v>
      </c>
      <c r="C595">
        <v>0</v>
      </c>
      <c r="D595">
        <v>0</v>
      </c>
      <c r="E595">
        <v>74.8</v>
      </c>
    </row>
    <row r="596" spans="1:5" x14ac:dyDescent="0.25">
      <c r="A596" s="1">
        <v>45521</v>
      </c>
      <c r="B596">
        <v>87.5</v>
      </c>
      <c r="C596">
        <v>1.1599999999999999</v>
      </c>
      <c r="D596">
        <v>1</v>
      </c>
      <c r="E596">
        <v>67.599999999999994</v>
      </c>
    </row>
    <row r="597" spans="1:5" x14ac:dyDescent="0.25">
      <c r="A597" s="1">
        <v>45522</v>
      </c>
      <c r="B597">
        <v>85</v>
      </c>
      <c r="C597">
        <v>0</v>
      </c>
      <c r="D597">
        <v>0</v>
      </c>
      <c r="E597">
        <v>72.099999999999994</v>
      </c>
    </row>
    <row r="598" spans="1:5" x14ac:dyDescent="0.25">
      <c r="A598" s="1">
        <v>45523</v>
      </c>
      <c r="B598">
        <v>85.5</v>
      </c>
      <c r="C598">
        <v>1.25</v>
      </c>
      <c r="D598">
        <v>1</v>
      </c>
      <c r="E598">
        <v>75.5</v>
      </c>
    </row>
    <row r="599" spans="1:5" x14ac:dyDescent="0.25">
      <c r="A599" s="1">
        <v>45524</v>
      </c>
      <c r="B599">
        <v>89</v>
      </c>
      <c r="C599">
        <v>0</v>
      </c>
      <c r="D599">
        <v>0</v>
      </c>
      <c r="E599">
        <v>76.5</v>
      </c>
    </row>
    <row r="600" spans="1:5" x14ac:dyDescent="0.25">
      <c r="A600" s="1">
        <v>45525</v>
      </c>
      <c r="B600">
        <v>89.8</v>
      </c>
      <c r="C600">
        <v>0</v>
      </c>
      <c r="D600">
        <v>0</v>
      </c>
      <c r="E600">
        <v>76.099999999999994</v>
      </c>
    </row>
    <row r="601" spans="1:5" x14ac:dyDescent="0.25">
      <c r="A601" s="1">
        <v>45526</v>
      </c>
      <c r="B601">
        <v>88.5</v>
      </c>
      <c r="C601">
        <v>0</v>
      </c>
      <c r="D601">
        <v>0</v>
      </c>
      <c r="E601">
        <v>86.6</v>
      </c>
    </row>
    <row r="602" spans="1:5" x14ac:dyDescent="0.25">
      <c r="A602" s="1">
        <v>45527</v>
      </c>
      <c r="B602">
        <v>83.9</v>
      </c>
      <c r="C602">
        <v>0</v>
      </c>
      <c r="D602">
        <v>0</v>
      </c>
      <c r="E602">
        <v>69.900000000000006</v>
      </c>
    </row>
    <row r="603" spans="1:5" x14ac:dyDescent="0.25">
      <c r="A603" s="1">
        <v>45528</v>
      </c>
      <c r="B603">
        <v>83.4</v>
      </c>
      <c r="C603">
        <v>0</v>
      </c>
      <c r="D603">
        <v>0</v>
      </c>
      <c r="E603">
        <v>74</v>
      </c>
    </row>
    <row r="604" spans="1:5" x14ac:dyDescent="0.25">
      <c r="A604" s="1">
        <v>45529</v>
      </c>
      <c r="B604">
        <v>85.6</v>
      </c>
      <c r="C604">
        <v>1.89</v>
      </c>
      <c r="D604">
        <v>1</v>
      </c>
      <c r="E604">
        <v>76</v>
      </c>
    </row>
    <row r="605" spans="1:5" x14ac:dyDescent="0.25">
      <c r="A605" s="1">
        <v>45530</v>
      </c>
      <c r="B605">
        <v>92.1</v>
      </c>
      <c r="C605">
        <v>7.0000000000000007E-2</v>
      </c>
      <c r="D605">
        <v>1</v>
      </c>
      <c r="E605">
        <v>73.599999999999994</v>
      </c>
    </row>
    <row r="606" spans="1:5" x14ac:dyDescent="0.25">
      <c r="A606" s="1">
        <v>45531</v>
      </c>
      <c r="B606">
        <v>85.6</v>
      </c>
      <c r="C606">
        <v>0.91</v>
      </c>
      <c r="D606">
        <v>1</v>
      </c>
      <c r="E606">
        <v>77.400000000000006</v>
      </c>
    </row>
    <row r="607" spans="1:5" x14ac:dyDescent="0.25">
      <c r="A607" s="1">
        <v>45532</v>
      </c>
      <c r="B607">
        <v>94.6</v>
      </c>
      <c r="C607">
        <v>0</v>
      </c>
      <c r="D607">
        <v>0</v>
      </c>
      <c r="E607">
        <v>81.099999999999994</v>
      </c>
    </row>
    <row r="608" spans="1:5" x14ac:dyDescent="0.25">
      <c r="A608" s="1">
        <v>45533</v>
      </c>
      <c r="B608">
        <v>87.2</v>
      </c>
      <c r="C608">
        <v>0.19</v>
      </c>
      <c r="D608">
        <v>1</v>
      </c>
      <c r="E608">
        <v>81.900000000000006</v>
      </c>
    </row>
    <row r="609" spans="1:5" x14ac:dyDescent="0.25">
      <c r="A609" s="1">
        <v>45534</v>
      </c>
      <c r="B609">
        <v>91.1</v>
      </c>
      <c r="C609">
        <v>0</v>
      </c>
      <c r="D609">
        <v>0</v>
      </c>
      <c r="E609">
        <v>77</v>
      </c>
    </row>
    <row r="610" spans="1:5" x14ac:dyDescent="0.25">
      <c r="A610" s="1">
        <v>45535</v>
      </c>
      <c r="B610">
        <v>92.4</v>
      </c>
      <c r="C610">
        <v>2.13</v>
      </c>
      <c r="D610">
        <v>1</v>
      </c>
      <c r="E610">
        <v>68.099999999999994</v>
      </c>
    </row>
    <row r="611" spans="1:5" x14ac:dyDescent="0.25">
      <c r="A611" s="1">
        <v>45536</v>
      </c>
      <c r="B611">
        <v>91.2</v>
      </c>
      <c r="C611">
        <v>0.87</v>
      </c>
      <c r="D611">
        <v>1</v>
      </c>
      <c r="E611">
        <v>75.7</v>
      </c>
    </row>
    <row r="612" spans="1:5" x14ac:dyDescent="0.25">
      <c r="A612" s="1">
        <v>45537</v>
      </c>
      <c r="B612">
        <v>94.3</v>
      </c>
      <c r="C612">
        <v>0</v>
      </c>
      <c r="D612">
        <v>0</v>
      </c>
      <c r="E612">
        <v>84.8</v>
      </c>
    </row>
    <row r="613" spans="1:5" x14ac:dyDescent="0.25">
      <c r="A613" s="1">
        <v>45538</v>
      </c>
      <c r="B613">
        <v>90.5</v>
      </c>
      <c r="C613">
        <v>2.5499999999999998</v>
      </c>
      <c r="D613">
        <v>1</v>
      </c>
      <c r="E613">
        <v>71.8</v>
      </c>
    </row>
    <row r="614" spans="1:5" x14ac:dyDescent="0.25">
      <c r="A614" s="1">
        <v>45539</v>
      </c>
      <c r="B614">
        <v>82.6</v>
      </c>
      <c r="C614">
        <v>0</v>
      </c>
      <c r="D614">
        <v>0</v>
      </c>
      <c r="E614">
        <v>84.7</v>
      </c>
    </row>
    <row r="615" spans="1:5" x14ac:dyDescent="0.25">
      <c r="A615" s="1">
        <v>45540</v>
      </c>
      <c r="B615">
        <v>87.4</v>
      </c>
      <c r="C615">
        <v>4.01</v>
      </c>
      <c r="D615">
        <v>1</v>
      </c>
      <c r="E615">
        <v>75.400000000000006</v>
      </c>
    </row>
    <row r="616" spans="1:5" x14ac:dyDescent="0.25">
      <c r="A616" s="1">
        <v>45541</v>
      </c>
      <c r="B616">
        <v>89.8</v>
      </c>
      <c r="C616">
        <v>0</v>
      </c>
      <c r="D616">
        <v>0</v>
      </c>
      <c r="E616">
        <v>74.8</v>
      </c>
    </row>
    <row r="617" spans="1:5" x14ac:dyDescent="0.25">
      <c r="A617" s="1">
        <v>45542</v>
      </c>
      <c r="B617">
        <v>88.6</v>
      </c>
      <c r="C617">
        <v>0</v>
      </c>
      <c r="D617">
        <v>0</v>
      </c>
      <c r="E617">
        <v>72.2</v>
      </c>
    </row>
    <row r="618" spans="1:5" x14ac:dyDescent="0.25">
      <c r="A618" s="1">
        <v>45543</v>
      </c>
      <c r="B618">
        <v>83.8</v>
      </c>
      <c r="C618">
        <v>0.45</v>
      </c>
      <c r="D618">
        <v>1</v>
      </c>
      <c r="E618">
        <v>81.5</v>
      </c>
    </row>
    <row r="619" spans="1:5" x14ac:dyDescent="0.25">
      <c r="A619" s="1">
        <v>45544</v>
      </c>
      <c r="B619">
        <v>87.9</v>
      </c>
      <c r="C619">
        <v>0</v>
      </c>
      <c r="D619">
        <v>0</v>
      </c>
      <c r="E619">
        <v>74.8</v>
      </c>
    </row>
    <row r="620" spans="1:5" x14ac:dyDescent="0.25">
      <c r="A620" s="1">
        <v>45545</v>
      </c>
      <c r="B620">
        <v>96.3</v>
      </c>
      <c r="C620">
        <v>0</v>
      </c>
      <c r="D620">
        <v>0</v>
      </c>
      <c r="E620">
        <v>71.599999999999994</v>
      </c>
    </row>
    <row r="621" spans="1:5" x14ac:dyDescent="0.25">
      <c r="A621" s="1">
        <v>45546</v>
      </c>
      <c r="B621">
        <v>87.3</v>
      </c>
      <c r="C621">
        <v>0</v>
      </c>
      <c r="D621">
        <v>0</v>
      </c>
      <c r="E621">
        <v>72.599999999999994</v>
      </c>
    </row>
    <row r="622" spans="1:5" x14ac:dyDescent="0.25">
      <c r="A622" s="1">
        <v>45547</v>
      </c>
      <c r="B622">
        <v>91.7</v>
      </c>
      <c r="C622">
        <v>0.94</v>
      </c>
      <c r="D622">
        <v>1</v>
      </c>
      <c r="E622">
        <v>68</v>
      </c>
    </row>
    <row r="623" spans="1:5" x14ac:dyDescent="0.25">
      <c r="A623" s="1">
        <v>45548</v>
      </c>
      <c r="B623">
        <v>90.9</v>
      </c>
      <c r="C623">
        <v>0</v>
      </c>
      <c r="D623">
        <v>0</v>
      </c>
      <c r="E623">
        <v>71.3</v>
      </c>
    </row>
    <row r="624" spans="1:5" x14ac:dyDescent="0.25">
      <c r="A624" s="1">
        <v>45549</v>
      </c>
      <c r="B624">
        <v>90.2</v>
      </c>
      <c r="C624">
        <v>0</v>
      </c>
      <c r="D624">
        <v>0</v>
      </c>
      <c r="E624">
        <v>67.5</v>
      </c>
    </row>
    <row r="625" spans="1:5" x14ac:dyDescent="0.25">
      <c r="A625" s="1">
        <v>45550</v>
      </c>
      <c r="B625">
        <v>88.9</v>
      </c>
      <c r="C625">
        <v>0</v>
      </c>
      <c r="D625">
        <v>0</v>
      </c>
      <c r="E625">
        <v>75.5</v>
      </c>
    </row>
    <row r="626" spans="1:5" x14ac:dyDescent="0.25">
      <c r="A626" s="1">
        <v>45551</v>
      </c>
      <c r="B626">
        <v>86.3</v>
      </c>
      <c r="C626">
        <v>0</v>
      </c>
      <c r="D626">
        <v>0</v>
      </c>
      <c r="E626">
        <v>78.8</v>
      </c>
    </row>
    <row r="627" spans="1:5" x14ac:dyDescent="0.25">
      <c r="A627" s="1">
        <v>45552</v>
      </c>
      <c r="B627">
        <v>89.1</v>
      </c>
      <c r="C627">
        <v>0.83</v>
      </c>
      <c r="D627">
        <v>1</v>
      </c>
      <c r="E627">
        <v>82.8</v>
      </c>
    </row>
    <row r="628" spans="1:5" x14ac:dyDescent="0.25">
      <c r="A628" s="1">
        <v>45553</v>
      </c>
      <c r="B628">
        <v>89.8</v>
      </c>
      <c r="C628">
        <v>0.83</v>
      </c>
      <c r="D628">
        <v>1</v>
      </c>
      <c r="E628">
        <v>78.400000000000006</v>
      </c>
    </row>
    <row r="629" spans="1:5" x14ac:dyDescent="0.25">
      <c r="A629" s="1">
        <v>45554</v>
      </c>
      <c r="B629">
        <v>90.5</v>
      </c>
      <c r="C629">
        <v>0.68</v>
      </c>
      <c r="D629">
        <v>1</v>
      </c>
      <c r="E629">
        <v>75.400000000000006</v>
      </c>
    </row>
    <row r="630" spans="1:5" x14ac:dyDescent="0.25">
      <c r="A630" s="1">
        <v>45555</v>
      </c>
      <c r="B630">
        <v>87.4</v>
      </c>
      <c r="C630">
        <v>7.0000000000000007E-2</v>
      </c>
      <c r="D630">
        <v>1</v>
      </c>
      <c r="E630">
        <v>76.900000000000006</v>
      </c>
    </row>
    <row r="631" spans="1:5" x14ac:dyDescent="0.25">
      <c r="A631" s="1">
        <v>45556</v>
      </c>
      <c r="B631">
        <v>89.5</v>
      </c>
      <c r="C631">
        <v>0</v>
      </c>
      <c r="D631">
        <v>0</v>
      </c>
      <c r="E631">
        <v>71.8</v>
      </c>
    </row>
    <row r="632" spans="1:5" x14ac:dyDescent="0.25">
      <c r="A632" s="1">
        <v>45557</v>
      </c>
      <c r="B632">
        <v>89.4</v>
      </c>
      <c r="C632">
        <v>0</v>
      </c>
      <c r="D632">
        <v>0</v>
      </c>
      <c r="E632">
        <v>77.5</v>
      </c>
    </row>
    <row r="633" spans="1:5" x14ac:dyDescent="0.25">
      <c r="A633" s="1">
        <v>45558</v>
      </c>
      <c r="B633">
        <v>91.2</v>
      </c>
      <c r="C633">
        <v>0</v>
      </c>
      <c r="D633">
        <v>0</v>
      </c>
      <c r="E633">
        <v>78.400000000000006</v>
      </c>
    </row>
    <row r="634" spans="1:5" x14ac:dyDescent="0.25">
      <c r="A634" s="1">
        <v>45559</v>
      </c>
      <c r="B634">
        <v>90.2</v>
      </c>
      <c r="C634">
        <v>0</v>
      </c>
      <c r="D634">
        <v>0</v>
      </c>
      <c r="E634">
        <v>69.7</v>
      </c>
    </row>
    <row r="635" spans="1:5" x14ac:dyDescent="0.25">
      <c r="A635" s="1">
        <v>45560</v>
      </c>
      <c r="B635">
        <v>87.6</v>
      </c>
      <c r="C635">
        <v>0</v>
      </c>
      <c r="D635">
        <v>0</v>
      </c>
      <c r="E635">
        <v>82.3</v>
      </c>
    </row>
    <row r="636" spans="1:5" x14ac:dyDescent="0.25">
      <c r="A636" s="1">
        <v>45561</v>
      </c>
      <c r="B636">
        <v>89.3</v>
      </c>
      <c r="C636">
        <v>0.8</v>
      </c>
      <c r="D636">
        <v>1</v>
      </c>
      <c r="E636">
        <v>79.099999999999994</v>
      </c>
    </row>
    <row r="637" spans="1:5" x14ac:dyDescent="0.25">
      <c r="A637" s="1">
        <v>45562</v>
      </c>
      <c r="B637">
        <v>89.2</v>
      </c>
      <c r="C637">
        <v>0.23</v>
      </c>
      <c r="D637">
        <v>1</v>
      </c>
      <c r="E637">
        <v>69.5</v>
      </c>
    </row>
    <row r="638" spans="1:5" x14ac:dyDescent="0.25">
      <c r="A638" s="1">
        <v>45563</v>
      </c>
      <c r="B638">
        <v>89.2</v>
      </c>
      <c r="C638">
        <v>0</v>
      </c>
      <c r="D638">
        <v>0</v>
      </c>
      <c r="E638">
        <v>69.8</v>
      </c>
    </row>
    <row r="639" spans="1:5" x14ac:dyDescent="0.25">
      <c r="A639" s="1">
        <v>45564</v>
      </c>
      <c r="B639">
        <v>89.4</v>
      </c>
      <c r="C639">
        <v>0</v>
      </c>
      <c r="D639">
        <v>0</v>
      </c>
      <c r="E639">
        <v>75</v>
      </c>
    </row>
    <row r="640" spans="1:5" x14ac:dyDescent="0.25">
      <c r="A640" s="1">
        <v>45565</v>
      </c>
      <c r="B640">
        <v>91.3</v>
      </c>
      <c r="C640">
        <v>0</v>
      </c>
      <c r="D640">
        <v>0</v>
      </c>
      <c r="E640">
        <v>59.2</v>
      </c>
    </row>
    <row r="641" spans="1:5" x14ac:dyDescent="0.25">
      <c r="A641" s="1">
        <v>45566</v>
      </c>
      <c r="B641">
        <v>86.8</v>
      </c>
      <c r="C641">
        <v>0</v>
      </c>
      <c r="D641">
        <v>0</v>
      </c>
      <c r="E641">
        <v>71</v>
      </c>
    </row>
    <row r="642" spans="1:5" x14ac:dyDescent="0.25">
      <c r="A642" s="1">
        <v>45567</v>
      </c>
      <c r="B642">
        <v>88.1</v>
      </c>
      <c r="C642">
        <v>0</v>
      </c>
      <c r="D642">
        <v>0</v>
      </c>
      <c r="E642">
        <v>73.8</v>
      </c>
    </row>
    <row r="643" spans="1:5" x14ac:dyDescent="0.25">
      <c r="A643" s="1">
        <v>45568</v>
      </c>
      <c r="B643">
        <v>94.9</v>
      </c>
      <c r="C643">
        <v>0</v>
      </c>
      <c r="D643">
        <v>0</v>
      </c>
      <c r="E643">
        <v>64.900000000000006</v>
      </c>
    </row>
    <row r="644" spans="1:5" x14ac:dyDescent="0.25">
      <c r="A644" s="1">
        <v>45569</v>
      </c>
      <c r="B644">
        <v>90</v>
      </c>
      <c r="C644">
        <v>0</v>
      </c>
      <c r="D644">
        <v>0</v>
      </c>
      <c r="E644">
        <v>67.2</v>
      </c>
    </row>
    <row r="645" spans="1:5" x14ac:dyDescent="0.25">
      <c r="A645" s="1">
        <v>45570</v>
      </c>
      <c r="B645">
        <v>94.9</v>
      </c>
      <c r="C645">
        <v>0</v>
      </c>
      <c r="D645">
        <v>0</v>
      </c>
      <c r="E645">
        <v>77.7</v>
      </c>
    </row>
    <row r="646" spans="1:5" x14ac:dyDescent="0.25">
      <c r="A646" s="1">
        <v>45571</v>
      </c>
      <c r="B646">
        <v>88</v>
      </c>
      <c r="C646">
        <v>0</v>
      </c>
      <c r="D646">
        <v>0</v>
      </c>
      <c r="E646">
        <v>63.1</v>
      </c>
    </row>
    <row r="647" spans="1:5" x14ac:dyDescent="0.25">
      <c r="A647" s="1">
        <v>45572</v>
      </c>
      <c r="B647">
        <v>89</v>
      </c>
      <c r="C647">
        <v>0</v>
      </c>
      <c r="D647">
        <v>0</v>
      </c>
      <c r="E647">
        <v>72.2</v>
      </c>
    </row>
    <row r="648" spans="1:5" x14ac:dyDescent="0.25">
      <c r="A648" s="1">
        <v>45573</v>
      </c>
      <c r="B648">
        <v>90.1</v>
      </c>
      <c r="C648">
        <v>0</v>
      </c>
      <c r="D648">
        <v>0</v>
      </c>
      <c r="E648">
        <v>72.900000000000006</v>
      </c>
    </row>
    <row r="649" spans="1:5" x14ac:dyDescent="0.25">
      <c r="A649" s="1">
        <v>45574</v>
      </c>
      <c r="B649">
        <v>86.9</v>
      </c>
      <c r="C649">
        <v>0</v>
      </c>
      <c r="D649">
        <v>0</v>
      </c>
      <c r="E649">
        <v>69.400000000000006</v>
      </c>
    </row>
    <row r="650" spans="1:5" x14ac:dyDescent="0.25">
      <c r="A650" s="1">
        <v>45575</v>
      </c>
      <c r="B650">
        <v>87.9</v>
      </c>
      <c r="C650">
        <v>0.08</v>
      </c>
      <c r="D650">
        <v>1</v>
      </c>
      <c r="E650">
        <v>73.2</v>
      </c>
    </row>
    <row r="651" spans="1:5" x14ac:dyDescent="0.25">
      <c r="A651" s="1">
        <v>45576</v>
      </c>
      <c r="B651">
        <v>83.1</v>
      </c>
      <c r="C651">
        <v>0</v>
      </c>
      <c r="D651">
        <v>0</v>
      </c>
      <c r="E651">
        <v>80.3</v>
      </c>
    </row>
    <row r="652" spans="1:5" x14ac:dyDescent="0.25">
      <c r="A652" s="1">
        <v>45577</v>
      </c>
      <c r="B652">
        <v>87.8</v>
      </c>
      <c r="C652">
        <v>0</v>
      </c>
      <c r="D652">
        <v>0</v>
      </c>
      <c r="E652">
        <v>78.8</v>
      </c>
    </row>
    <row r="653" spans="1:5" x14ac:dyDescent="0.25">
      <c r="A653" s="1">
        <v>45578</v>
      </c>
      <c r="B653">
        <v>87.7</v>
      </c>
      <c r="C653">
        <v>0</v>
      </c>
      <c r="D653">
        <v>0</v>
      </c>
      <c r="E653">
        <v>71.8</v>
      </c>
    </row>
    <row r="654" spans="1:5" x14ac:dyDescent="0.25">
      <c r="A654" s="1">
        <v>45579</v>
      </c>
      <c r="B654">
        <v>86.3</v>
      </c>
      <c r="C654">
        <v>0</v>
      </c>
      <c r="D654">
        <v>0</v>
      </c>
      <c r="E654">
        <v>63.6</v>
      </c>
    </row>
    <row r="655" spans="1:5" x14ac:dyDescent="0.25">
      <c r="A655" s="1">
        <v>45580</v>
      </c>
      <c r="B655">
        <v>88.5</v>
      </c>
      <c r="C655">
        <v>0</v>
      </c>
      <c r="D655">
        <v>0</v>
      </c>
      <c r="E655">
        <v>63.3</v>
      </c>
    </row>
    <row r="656" spans="1:5" x14ac:dyDescent="0.25">
      <c r="A656" s="1">
        <v>45581</v>
      </c>
      <c r="B656">
        <v>96.1</v>
      </c>
      <c r="C656">
        <v>0</v>
      </c>
      <c r="D656">
        <v>0</v>
      </c>
      <c r="E656">
        <v>68.900000000000006</v>
      </c>
    </row>
    <row r="657" spans="1:5" x14ac:dyDescent="0.25">
      <c r="A657" s="1">
        <v>45582</v>
      </c>
      <c r="B657">
        <v>88.8</v>
      </c>
      <c r="C657">
        <v>0</v>
      </c>
      <c r="D657">
        <v>0</v>
      </c>
      <c r="E657">
        <v>70</v>
      </c>
    </row>
    <row r="658" spans="1:5" x14ac:dyDescent="0.25">
      <c r="A658" s="1">
        <v>45583</v>
      </c>
      <c r="B658">
        <v>89.4</v>
      </c>
      <c r="C658">
        <v>0</v>
      </c>
      <c r="D658">
        <v>0</v>
      </c>
      <c r="E658">
        <v>78.400000000000006</v>
      </c>
    </row>
    <row r="659" spans="1:5" x14ac:dyDescent="0.25">
      <c r="A659" s="1">
        <v>45584</v>
      </c>
      <c r="B659">
        <v>88.6</v>
      </c>
      <c r="C659">
        <v>0</v>
      </c>
      <c r="D659">
        <v>0</v>
      </c>
      <c r="E659">
        <v>69.599999999999994</v>
      </c>
    </row>
    <row r="660" spans="1:5" x14ac:dyDescent="0.25">
      <c r="A660" s="1">
        <v>45585</v>
      </c>
      <c r="B660">
        <v>87.6</v>
      </c>
      <c r="C660">
        <v>0</v>
      </c>
      <c r="D660">
        <v>0</v>
      </c>
      <c r="E660">
        <v>75</v>
      </c>
    </row>
    <row r="661" spans="1:5" x14ac:dyDescent="0.25">
      <c r="A661" s="1">
        <v>45586</v>
      </c>
      <c r="B661">
        <v>87.5</v>
      </c>
      <c r="C661">
        <v>0</v>
      </c>
      <c r="D661">
        <v>0</v>
      </c>
      <c r="E661">
        <v>63.4</v>
      </c>
    </row>
    <row r="662" spans="1:5" x14ac:dyDescent="0.25">
      <c r="A662" s="1">
        <v>45587</v>
      </c>
      <c r="B662">
        <v>86</v>
      </c>
      <c r="C662">
        <v>0</v>
      </c>
      <c r="D662">
        <v>0</v>
      </c>
      <c r="E662">
        <v>59.2</v>
      </c>
    </row>
    <row r="663" spans="1:5" x14ac:dyDescent="0.25">
      <c r="A663" s="1">
        <v>45588</v>
      </c>
      <c r="B663">
        <v>90.4</v>
      </c>
      <c r="C663">
        <v>0.52</v>
      </c>
      <c r="D663">
        <v>1</v>
      </c>
      <c r="E663">
        <v>70.400000000000006</v>
      </c>
    </row>
    <row r="664" spans="1:5" x14ac:dyDescent="0.25">
      <c r="A664" s="1">
        <v>45589</v>
      </c>
      <c r="B664">
        <v>88.1</v>
      </c>
      <c r="C664">
        <v>0</v>
      </c>
      <c r="D664">
        <v>0</v>
      </c>
      <c r="E664">
        <v>66.2</v>
      </c>
    </row>
    <row r="665" spans="1:5" x14ac:dyDescent="0.25">
      <c r="A665" s="1">
        <v>45590</v>
      </c>
      <c r="B665">
        <v>87.7</v>
      </c>
      <c r="C665">
        <v>0</v>
      </c>
      <c r="D665">
        <v>0</v>
      </c>
      <c r="E665">
        <v>67.099999999999994</v>
      </c>
    </row>
    <row r="666" spans="1:5" x14ac:dyDescent="0.25">
      <c r="A666" s="1">
        <v>45591</v>
      </c>
      <c r="B666">
        <v>82.8</v>
      </c>
      <c r="C666">
        <v>0</v>
      </c>
      <c r="D666">
        <v>0</v>
      </c>
      <c r="E666">
        <v>69.8</v>
      </c>
    </row>
    <row r="667" spans="1:5" x14ac:dyDescent="0.25">
      <c r="A667" s="1">
        <v>45592</v>
      </c>
      <c r="B667">
        <v>85.7</v>
      </c>
      <c r="C667">
        <v>0.14000000000000001</v>
      </c>
      <c r="D667">
        <v>1</v>
      </c>
      <c r="E667">
        <v>65.099999999999994</v>
      </c>
    </row>
    <row r="668" spans="1:5" x14ac:dyDescent="0.25">
      <c r="A668" s="1">
        <v>45593</v>
      </c>
      <c r="B668">
        <v>87.5</v>
      </c>
      <c r="C668">
        <v>0</v>
      </c>
      <c r="D668">
        <v>0</v>
      </c>
      <c r="E668">
        <v>66.3</v>
      </c>
    </row>
    <row r="669" spans="1:5" x14ac:dyDescent="0.25">
      <c r="A669" s="1">
        <v>45594</v>
      </c>
      <c r="B669">
        <v>90.1</v>
      </c>
      <c r="C669">
        <v>0</v>
      </c>
      <c r="D669">
        <v>0</v>
      </c>
      <c r="E669">
        <v>61.6</v>
      </c>
    </row>
    <row r="670" spans="1:5" x14ac:dyDescent="0.25">
      <c r="A670" s="1">
        <v>45595</v>
      </c>
      <c r="B670">
        <v>83.3</v>
      </c>
      <c r="C670">
        <v>1.25</v>
      </c>
      <c r="D670">
        <v>1</v>
      </c>
      <c r="E670">
        <v>66</v>
      </c>
    </row>
    <row r="671" spans="1:5" x14ac:dyDescent="0.25">
      <c r="A671" s="1">
        <v>45596</v>
      </c>
      <c r="B671">
        <v>86.7</v>
      </c>
      <c r="C671">
        <v>0</v>
      </c>
      <c r="D671">
        <v>0</v>
      </c>
      <c r="E671">
        <v>64.2</v>
      </c>
    </row>
    <row r="672" spans="1:5" x14ac:dyDescent="0.25">
      <c r="A672" s="1">
        <v>45597</v>
      </c>
      <c r="B672">
        <v>86.6</v>
      </c>
      <c r="C672">
        <v>0.78</v>
      </c>
      <c r="D672">
        <v>1</v>
      </c>
      <c r="E672">
        <v>73.599999999999994</v>
      </c>
    </row>
    <row r="673" spans="1:5" x14ac:dyDescent="0.25">
      <c r="A673" s="1">
        <v>45598</v>
      </c>
      <c r="B673">
        <v>87.6</v>
      </c>
      <c r="C673">
        <v>0</v>
      </c>
      <c r="D673">
        <v>0</v>
      </c>
      <c r="E673">
        <v>62.2</v>
      </c>
    </row>
    <row r="674" spans="1:5" x14ac:dyDescent="0.25">
      <c r="A674" s="1">
        <v>45599</v>
      </c>
      <c r="B674">
        <v>91.9</v>
      </c>
      <c r="C674">
        <v>0</v>
      </c>
      <c r="D674">
        <v>0</v>
      </c>
      <c r="E674">
        <v>66.3</v>
      </c>
    </row>
    <row r="675" spans="1:5" x14ac:dyDescent="0.25">
      <c r="A675" s="1">
        <v>45600</v>
      </c>
      <c r="B675">
        <v>83.3</v>
      </c>
      <c r="C675">
        <v>0</v>
      </c>
      <c r="D675">
        <v>0</v>
      </c>
      <c r="E675">
        <v>72</v>
      </c>
    </row>
    <row r="676" spans="1:5" x14ac:dyDescent="0.25">
      <c r="A676" s="1">
        <v>45601</v>
      </c>
      <c r="B676">
        <v>83.1</v>
      </c>
      <c r="C676">
        <v>0.79</v>
      </c>
      <c r="D676">
        <v>1</v>
      </c>
      <c r="E676">
        <v>65.8</v>
      </c>
    </row>
    <row r="677" spans="1:5" x14ac:dyDescent="0.25">
      <c r="A677" s="1">
        <v>45602</v>
      </c>
      <c r="B677">
        <v>86</v>
      </c>
      <c r="C677">
        <v>0</v>
      </c>
      <c r="D677">
        <v>0</v>
      </c>
      <c r="E677">
        <v>58.8</v>
      </c>
    </row>
    <row r="678" spans="1:5" x14ac:dyDescent="0.25">
      <c r="A678" s="1">
        <v>45603</v>
      </c>
      <c r="B678">
        <v>83.8</v>
      </c>
      <c r="C678">
        <v>1.64</v>
      </c>
      <c r="D678">
        <v>1</v>
      </c>
      <c r="E678">
        <v>61.6</v>
      </c>
    </row>
    <row r="679" spans="1:5" x14ac:dyDescent="0.25">
      <c r="A679" s="1">
        <v>45604</v>
      </c>
      <c r="B679">
        <v>82.8</v>
      </c>
      <c r="C679">
        <v>0</v>
      </c>
      <c r="D679">
        <v>0</v>
      </c>
      <c r="E679">
        <v>76</v>
      </c>
    </row>
    <row r="680" spans="1:5" x14ac:dyDescent="0.25">
      <c r="A680" s="1">
        <v>45605</v>
      </c>
      <c r="B680">
        <v>88</v>
      </c>
      <c r="C680">
        <v>0</v>
      </c>
      <c r="D680">
        <v>0</v>
      </c>
      <c r="E680">
        <v>68.3</v>
      </c>
    </row>
    <row r="681" spans="1:5" x14ac:dyDescent="0.25">
      <c r="A681" s="1">
        <v>45606</v>
      </c>
      <c r="B681">
        <v>86.7</v>
      </c>
      <c r="C681">
        <v>0</v>
      </c>
      <c r="D681">
        <v>0</v>
      </c>
      <c r="E681">
        <v>61.7</v>
      </c>
    </row>
    <row r="682" spans="1:5" x14ac:dyDescent="0.25">
      <c r="A682" s="1">
        <v>45607</v>
      </c>
      <c r="B682">
        <v>85.1</v>
      </c>
      <c r="C682">
        <v>0</v>
      </c>
      <c r="D682">
        <v>0</v>
      </c>
      <c r="E682">
        <v>62.7</v>
      </c>
    </row>
    <row r="683" spans="1:5" x14ac:dyDescent="0.25">
      <c r="A683" s="1">
        <v>45608</v>
      </c>
      <c r="B683">
        <v>84.9</v>
      </c>
      <c r="C683">
        <v>0</v>
      </c>
      <c r="D683">
        <v>0</v>
      </c>
      <c r="E683">
        <v>66.3</v>
      </c>
    </row>
    <row r="684" spans="1:5" x14ac:dyDescent="0.25">
      <c r="A684" s="1">
        <v>45609</v>
      </c>
      <c r="B684">
        <v>85.9</v>
      </c>
      <c r="C684">
        <v>0</v>
      </c>
      <c r="D684">
        <v>0</v>
      </c>
      <c r="E684">
        <v>62</v>
      </c>
    </row>
    <row r="685" spans="1:5" x14ac:dyDescent="0.25">
      <c r="A685" s="1">
        <v>45610</v>
      </c>
      <c r="B685">
        <v>76.2</v>
      </c>
      <c r="C685">
        <v>0</v>
      </c>
      <c r="D685">
        <v>0</v>
      </c>
      <c r="E685">
        <v>61.6</v>
      </c>
    </row>
    <row r="686" spans="1:5" x14ac:dyDescent="0.25">
      <c r="A686" s="1">
        <v>45611</v>
      </c>
      <c r="B686">
        <v>77.599999999999994</v>
      </c>
      <c r="C686">
        <v>0</v>
      </c>
      <c r="D686">
        <v>0</v>
      </c>
      <c r="E686">
        <v>59.7</v>
      </c>
    </row>
    <row r="687" spans="1:5" x14ac:dyDescent="0.25">
      <c r="A687" s="1">
        <v>45612</v>
      </c>
      <c r="B687">
        <v>88.2</v>
      </c>
      <c r="C687">
        <v>0</v>
      </c>
      <c r="D687">
        <v>0</v>
      </c>
      <c r="E687">
        <v>59.8</v>
      </c>
    </row>
    <row r="688" spans="1:5" x14ac:dyDescent="0.25">
      <c r="A688" s="1">
        <v>45613</v>
      </c>
      <c r="B688">
        <v>86.1</v>
      </c>
      <c r="C688">
        <v>2.02</v>
      </c>
      <c r="D688">
        <v>1</v>
      </c>
      <c r="E688">
        <v>56.6</v>
      </c>
    </row>
    <row r="689" spans="1:5" x14ac:dyDescent="0.25">
      <c r="A689" s="1">
        <v>45614</v>
      </c>
      <c r="B689">
        <v>81.099999999999994</v>
      </c>
      <c r="C689">
        <v>0</v>
      </c>
      <c r="D689">
        <v>0</v>
      </c>
      <c r="E689">
        <v>58.6</v>
      </c>
    </row>
    <row r="690" spans="1:5" x14ac:dyDescent="0.25">
      <c r="A690" s="1">
        <v>45615</v>
      </c>
      <c r="B690">
        <v>82.6</v>
      </c>
      <c r="C690">
        <v>0</v>
      </c>
      <c r="D690">
        <v>0</v>
      </c>
      <c r="E690">
        <v>58.3</v>
      </c>
    </row>
    <row r="691" spans="1:5" x14ac:dyDescent="0.25">
      <c r="A691" s="1">
        <v>45616</v>
      </c>
      <c r="B691">
        <v>85.9</v>
      </c>
      <c r="C691">
        <v>0</v>
      </c>
      <c r="D691">
        <v>0</v>
      </c>
      <c r="E691">
        <v>67.400000000000006</v>
      </c>
    </row>
    <row r="692" spans="1:5" x14ac:dyDescent="0.25">
      <c r="A692" s="1">
        <v>45617</v>
      </c>
      <c r="B692">
        <v>82.3</v>
      </c>
      <c r="C692">
        <v>0</v>
      </c>
      <c r="D692">
        <v>0</v>
      </c>
      <c r="E692">
        <v>60.6</v>
      </c>
    </row>
    <row r="693" spans="1:5" x14ac:dyDescent="0.25">
      <c r="A693" s="1">
        <v>45618</v>
      </c>
      <c r="B693">
        <v>77.400000000000006</v>
      </c>
      <c r="C693">
        <v>0</v>
      </c>
      <c r="D693">
        <v>0</v>
      </c>
      <c r="E693">
        <v>67</v>
      </c>
    </row>
    <row r="694" spans="1:5" x14ac:dyDescent="0.25">
      <c r="A694" s="1">
        <v>45619</v>
      </c>
      <c r="B694">
        <v>78.7</v>
      </c>
      <c r="C694">
        <v>0</v>
      </c>
      <c r="D694">
        <v>0</v>
      </c>
      <c r="E694">
        <v>65.5</v>
      </c>
    </row>
    <row r="695" spans="1:5" x14ac:dyDescent="0.25">
      <c r="A695" s="1">
        <v>45620</v>
      </c>
      <c r="B695">
        <v>84.5</v>
      </c>
      <c r="C695">
        <v>0</v>
      </c>
      <c r="D695">
        <v>0</v>
      </c>
      <c r="E695">
        <v>62.6</v>
      </c>
    </row>
    <row r="696" spans="1:5" x14ac:dyDescent="0.25">
      <c r="A696" s="1">
        <v>45621</v>
      </c>
      <c r="B696">
        <v>83.9</v>
      </c>
      <c r="C696">
        <v>0</v>
      </c>
      <c r="D696">
        <v>0</v>
      </c>
      <c r="E696">
        <v>56.8</v>
      </c>
    </row>
    <row r="697" spans="1:5" x14ac:dyDescent="0.25">
      <c r="A697" s="1">
        <v>45622</v>
      </c>
      <c r="B697">
        <v>84.8</v>
      </c>
      <c r="C697">
        <v>0.74</v>
      </c>
      <c r="D697">
        <v>1</v>
      </c>
      <c r="E697">
        <v>59</v>
      </c>
    </row>
    <row r="698" spans="1:5" x14ac:dyDescent="0.25">
      <c r="A698" s="1">
        <v>45623</v>
      </c>
      <c r="B698">
        <v>92.3</v>
      </c>
      <c r="C698">
        <v>0</v>
      </c>
      <c r="D698">
        <v>0</v>
      </c>
      <c r="E698">
        <v>61.9</v>
      </c>
    </row>
    <row r="699" spans="1:5" x14ac:dyDescent="0.25">
      <c r="A699" s="1">
        <v>45624</v>
      </c>
      <c r="B699">
        <v>77.3</v>
      </c>
      <c r="C699">
        <v>0</v>
      </c>
      <c r="D699">
        <v>0</v>
      </c>
      <c r="E699">
        <v>56.7</v>
      </c>
    </row>
    <row r="700" spans="1:5" x14ac:dyDescent="0.25">
      <c r="A700" s="1">
        <v>45625</v>
      </c>
      <c r="B700">
        <v>82.8</v>
      </c>
      <c r="C700">
        <v>0</v>
      </c>
      <c r="D700">
        <v>0</v>
      </c>
      <c r="E700">
        <v>67.900000000000006</v>
      </c>
    </row>
    <row r="701" spans="1:5" x14ac:dyDescent="0.25">
      <c r="A701" s="1">
        <v>45626</v>
      </c>
      <c r="B701">
        <v>81.400000000000006</v>
      </c>
      <c r="C701">
        <v>0</v>
      </c>
      <c r="D701">
        <v>0</v>
      </c>
      <c r="E701">
        <v>57.2</v>
      </c>
    </row>
    <row r="702" spans="1:5" x14ac:dyDescent="0.25">
      <c r="A702" s="1">
        <v>45627</v>
      </c>
      <c r="B702">
        <v>80.5</v>
      </c>
      <c r="C702">
        <v>0</v>
      </c>
      <c r="D702">
        <v>0</v>
      </c>
      <c r="E702">
        <v>57.8</v>
      </c>
    </row>
    <row r="703" spans="1:5" x14ac:dyDescent="0.25">
      <c r="A703" s="1">
        <v>45628</v>
      </c>
      <c r="B703">
        <v>83.8</v>
      </c>
      <c r="C703">
        <v>0</v>
      </c>
      <c r="D703">
        <v>0</v>
      </c>
      <c r="E703">
        <v>60.4</v>
      </c>
    </row>
    <row r="704" spans="1:5" x14ac:dyDescent="0.25">
      <c r="A704" s="1">
        <v>45629</v>
      </c>
      <c r="B704">
        <v>82.8</v>
      </c>
      <c r="C704">
        <v>0.22</v>
      </c>
      <c r="D704">
        <v>1</v>
      </c>
      <c r="E704">
        <v>68.400000000000006</v>
      </c>
    </row>
    <row r="705" spans="1:5" x14ac:dyDescent="0.25">
      <c r="A705" s="1">
        <v>45630</v>
      </c>
      <c r="B705">
        <v>83.7</v>
      </c>
      <c r="C705">
        <v>1.73</v>
      </c>
      <c r="D705">
        <v>1</v>
      </c>
      <c r="E705">
        <v>50</v>
      </c>
    </row>
    <row r="706" spans="1:5" x14ac:dyDescent="0.25">
      <c r="A706" s="1">
        <v>45631</v>
      </c>
      <c r="B706">
        <v>77.5</v>
      </c>
      <c r="C706">
        <v>0</v>
      </c>
      <c r="D706">
        <v>0</v>
      </c>
      <c r="E706">
        <v>56.5</v>
      </c>
    </row>
    <row r="707" spans="1:5" x14ac:dyDescent="0.25">
      <c r="A707" s="1">
        <v>45632</v>
      </c>
      <c r="B707">
        <v>79.900000000000006</v>
      </c>
      <c r="C707">
        <v>0.02</v>
      </c>
      <c r="D707">
        <v>1</v>
      </c>
      <c r="E707">
        <v>56.4</v>
      </c>
    </row>
    <row r="708" spans="1:5" x14ac:dyDescent="0.25">
      <c r="A708" s="1">
        <v>45633</v>
      </c>
      <c r="B708">
        <v>74.599999999999994</v>
      </c>
      <c r="C708">
        <v>0.86</v>
      </c>
      <c r="D708">
        <v>1</v>
      </c>
      <c r="E708">
        <v>52</v>
      </c>
    </row>
    <row r="709" spans="1:5" x14ac:dyDescent="0.25">
      <c r="A709" s="1">
        <v>45634</v>
      </c>
      <c r="B709">
        <v>73.2</v>
      </c>
      <c r="C709">
        <v>0</v>
      </c>
      <c r="D709">
        <v>0</v>
      </c>
      <c r="E709">
        <v>57.6</v>
      </c>
    </row>
    <row r="710" spans="1:5" x14ac:dyDescent="0.25">
      <c r="A710" s="1">
        <v>45635</v>
      </c>
      <c r="B710">
        <v>83.7</v>
      </c>
      <c r="C710">
        <v>0</v>
      </c>
      <c r="D710">
        <v>0</v>
      </c>
      <c r="E710">
        <v>56.6</v>
      </c>
    </row>
    <row r="711" spans="1:5" x14ac:dyDescent="0.25">
      <c r="A711" s="1">
        <v>45636</v>
      </c>
      <c r="B711">
        <v>74.7</v>
      </c>
      <c r="C711">
        <v>0</v>
      </c>
      <c r="D711">
        <v>0</v>
      </c>
      <c r="E711">
        <v>59.1</v>
      </c>
    </row>
    <row r="712" spans="1:5" x14ac:dyDescent="0.25">
      <c r="A712" s="1">
        <v>45637</v>
      </c>
      <c r="B712">
        <v>78.900000000000006</v>
      </c>
      <c r="C712">
        <v>0</v>
      </c>
      <c r="D712">
        <v>0</v>
      </c>
      <c r="E712">
        <v>49.3</v>
      </c>
    </row>
    <row r="713" spans="1:5" x14ac:dyDescent="0.25">
      <c r="A713" s="1">
        <v>45638</v>
      </c>
      <c r="B713">
        <v>75.7</v>
      </c>
      <c r="C713">
        <v>0</v>
      </c>
      <c r="D713">
        <v>0</v>
      </c>
      <c r="E713">
        <v>56.8</v>
      </c>
    </row>
    <row r="714" spans="1:5" x14ac:dyDescent="0.25">
      <c r="A714" s="1">
        <v>45639</v>
      </c>
      <c r="B714">
        <v>72.099999999999994</v>
      </c>
      <c r="C714">
        <v>0</v>
      </c>
      <c r="D714">
        <v>0</v>
      </c>
      <c r="E714">
        <v>54.4</v>
      </c>
    </row>
    <row r="715" spans="1:5" x14ac:dyDescent="0.25">
      <c r="A715" s="1">
        <v>45640</v>
      </c>
      <c r="B715">
        <v>79</v>
      </c>
      <c r="C715">
        <v>0</v>
      </c>
      <c r="D715">
        <v>0</v>
      </c>
      <c r="E715">
        <v>55.3</v>
      </c>
    </row>
    <row r="716" spans="1:5" x14ac:dyDescent="0.25">
      <c r="A716" s="1">
        <v>45641</v>
      </c>
      <c r="B716">
        <v>78.5</v>
      </c>
      <c r="C716">
        <v>1.52</v>
      </c>
      <c r="D716">
        <v>1</v>
      </c>
      <c r="E716">
        <v>49</v>
      </c>
    </row>
    <row r="717" spans="1:5" x14ac:dyDescent="0.25">
      <c r="A717" s="1">
        <v>45642</v>
      </c>
      <c r="B717">
        <v>78.8</v>
      </c>
      <c r="C717">
        <v>0</v>
      </c>
      <c r="D717">
        <v>0</v>
      </c>
      <c r="E717">
        <v>59.7</v>
      </c>
    </row>
    <row r="718" spans="1:5" x14ac:dyDescent="0.25">
      <c r="A718" s="1">
        <v>45643</v>
      </c>
      <c r="B718">
        <v>77</v>
      </c>
      <c r="C718">
        <v>1.75</v>
      </c>
      <c r="D718">
        <v>1</v>
      </c>
      <c r="E718">
        <v>47.3</v>
      </c>
    </row>
    <row r="719" spans="1:5" x14ac:dyDescent="0.25">
      <c r="A719" s="1">
        <v>45644</v>
      </c>
      <c r="B719">
        <v>76.400000000000006</v>
      </c>
      <c r="C719">
        <v>2.21</v>
      </c>
      <c r="D719">
        <v>1</v>
      </c>
      <c r="E719">
        <v>47</v>
      </c>
    </row>
    <row r="720" spans="1:5" x14ac:dyDescent="0.25">
      <c r="A720" s="1">
        <v>45645</v>
      </c>
      <c r="B720">
        <v>73.8</v>
      </c>
      <c r="C720">
        <v>0</v>
      </c>
      <c r="D720">
        <v>0</v>
      </c>
      <c r="E720">
        <v>49</v>
      </c>
    </row>
    <row r="721" spans="1:5" x14ac:dyDescent="0.25">
      <c r="A721" s="1">
        <v>45646</v>
      </c>
      <c r="B721">
        <v>73.5</v>
      </c>
      <c r="C721">
        <v>0</v>
      </c>
      <c r="D721">
        <v>0</v>
      </c>
      <c r="E721">
        <v>55.1</v>
      </c>
    </row>
    <row r="722" spans="1:5" x14ac:dyDescent="0.25">
      <c r="A722" s="1">
        <v>45647</v>
      </c>
      <c r="B722">
        <v>76.7</v>
      </c>
      <c r="C722">
        <v>0</v>
      </c>
      <c r="D722">
        <v>0</v>
      </c>
      <c r="E722">
        <v>50.8</v>
      </c>
    </row>
    <row r="723" spans="1:5" x14ac:dyDescent="0.25">
      <c r="A723" s="1">
        <v>45648</v>
      </c>
      <c r="B723">
        <v>77.900000000000006</v>
      </c>
      <c r="C723">
        <v>0</v>
      </c>
      <c r="D723">
        <v>0</v>
      </c>
      <c r="E723">
        <v>53.3</v>
      </c>
    </row>
    <row r="724" spans="1:5" x14ac:dyDescent="0.25">
      <c r="A724" s="1">
        <v>45649</v>
      </c>
      <c r="B724">
        <v>74.400000000000006</v>
      </c>
      <c r="C724">
        <v>0</v>
      </c>
      <c r="D724">
        <v>0</v>
      </c>
      <c r="E724">
        <v>49.2</v>
      </c>
    </row>
    <row r="725" spans="1:5" x14ac:dyDescent="0.25">
      <c r="A725" s="1">
        <v>45650</v>
      </c>
      <c r="B725">
        <v>77.7</v>
      </c>
      <c r="C725">
        <v>0</v>
      </c>
      <c r="D725">
        <v>0</v>
      </c>
      <c r="E725">
        <v>47.7</v>
      </c>
    </row>
    <row r="726" spans="1:5" x14ac:dyDescent="0.25">
      <c r="A726" s="1">
        <v>45651</v>
      </c>
      <c r="B726">
        <v>76.099999999999994</v>
      </c>
      <c r="C726">
        <v>0.67</v>
      </c>
      <c r="D726">
        <v>1</v>
      </c>
      <c r="E726">
        <v>53.5</v>
      </c>
    </row>
    <row r="727" spans="1:5" x14ac:dyDescent="0.25">
      <c r="A727" s="1">
        <v>45652</v>
      </c>
      <c r="B727">
        <v>79.099999999999994</v>
      </c>
      <c r="C727">
        <v>0</v>
      </c>
      <c r="D727">
        <v>0</v>
      </c>
      <c r="E727">
        <v>35</v>
      </c>
    </row>
    <row r="728" spans="1:5" x14ac:dyDescent="0.25">
      <c r="A728" s="1">
        <v>45653</v>
      </c>
      <c r="B728">
        <v>82.2</v>
      </c>
      <c r="C728">
        <v>0</v>
      </c>
      <c r="D728">
        <v>0</v>
      </c>
      <c r="E728">
        <v>51.6</v>
      </c>
    </row>
    <row r="729" spans="1:5" x14ac:dyDescent="0.25">
      <c r="A729" s="1">
        <v>45654</v>
      </c>
      <c r="B729">
        <v>78.5</v>
      </c>
      <c r="C729">
        <v>1.83</v>
      </c>
      <c r="D729">
        <v>1</v>
      </c>
      <c r="E729">
        <v>43.6</v>
      </c>
    </row>
    <row r="730" spans="1:5" x14ac:dyDescent="0.25">
      <c r="A730" s="1">
        <v>45655</v>
      </c>
      <c r="B730">
        <v>74</v>
      </c>
      <c r="C730">
        <v>0</v>
      </c>
      <c r="D730">
        <v>0</v>
      </c>
      <c r="E730">
        <v>52.1</v>
      </c>
    </row>
    <row r="731" spans="1:5" x14ac:dyDescent="0.25">
      <c r="A731" s="1">
        <v>45656</v>
      </c>
      <c r="B731">
        <v>75.5</v>
      </c>
      <c r="C731">
        <v>0.48</v>
      </c>
      <c r="D731">
        <v>1</v>
      </c>
      <c r="E731">
        <v>39.299999999999997</v>
      </c>
    </row>
    <row r="732" spans="1:5" x14ac:dyDescent="0.25">
      <c r="A732" s="1">
        <v>45657</v>
      </c>
      <c r="B732">
        <v>70.900000000000006</v>
      </c>
      <c r="C732">
        <v>0</v>
      </c>
      <c r="D732">
        <v>0</v>
      </c>
      <c r="E732">
        <v>47.8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541A-4E7F-4E74-97D4-C39A81DEB779}">
  <dimension ref="A1:Q2925"/>
  <sheetViews>
    <sheetView tabSelected="1" topLeftCell="C1" workbookViewId="0">
      <selection activeCell="I7" sqref="I7"/>
    </sheetView>
  </sheetViews>
  <sheetFormatPr defaultRowHeight="15" x14ac:dyDescent="0.25"/>
  <cols>
    <col min="1" max="1" width="14.5703125" bestFit="1" customWidth="1"/>
    <col min="2" max="3" width="14.5703125" customWidth="1"/>
    <col min="4" max="4" width="10.28515625" bestFit="1" customWidth="1"/>
    <col min="5" max="5" width="13.5703125" bestFit="1" customWidth="1"/>
    <col min="6" max="6" width="12.85546875" bestFit="1" customWidth="1"/>
    <col min="7" max="7" width="12.140625" bestFit="1" customWidth="1"/>
    <col min="8" max="8" width="12.140625" customWidth="1"/>
    <col min="9" max="9" width="29.28515625" bestFit="1" customWidth="1"/>
    <col min="10" max="10" width="29.28515625" customWidth="1"/>
    <col min="11" max="11" width="27.28515625" bestFit="1" customWidth="1"/>
    <col min="12" max="12" width="24.85546875" bestFit="1" customWidth="1"/>
    <col min="13" max="13" width="30.85546875" bestFit="1" customWidth="1"/>
    <col min="14" max="14" width="25.85546875" bestFit="1" customWidth="1"/>
    <col min="15" max="15" width="27.85546875" bestFit="1" customWidth="1"/>
    <col min="16" max="16" width="27" bestFit="1" customWidth="1"/>
    <col min="17" max="17" width="26.85546875" bestFit="1" customWidth="1"/>
  </cols>
  <sheetData>
    <row r="1" spans="1:17" x14ac:dyDescent="0.25">
      <c r="A1" t="s">
        <v>0</v>
      </c>
      <c r="B1" t="s">
        <v>17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19</v>
      </c>
      <c r="I1" t="s">
        <v>13</v>
      </c>
      <c r="J1" t="s">
        <v>20</v>
      </c>
      <c r="K1" t="s">
        <v>14</v>
      </c>
      <c r="L1" t="s">
        <v>15</v>
      </c>
      <c r="M1" t="s">
        <v>16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 s="2">
        <v>44927</v>
      </c>
      <c r="B2" s="2" t="str">
        <f t="shared" ref="B2:B65" si="0">TEXT(A2, "dddd")</f>
        <v>Sunday</v>
      </c>
      <c r="C2" s="2" t="b">
        <f t="shared" ref="C2:C65" si="1">IF(WEEKDAY(A2,2)&gt;5,TRUE,FALSE)</f>
        <v>1</v>
      </c>
      <c r="D2">
        <v>1</v>
      </c>
      <c r="E2" t="s">
        <v>5</v>
      </c>
      <c r="F2">
        <v>296</v>
      </c>
      <c r="G2" s="3">
        <v>5440.48</v>
      </c>
      <c r="H2" s="3">
        <f>Miami_Retail[[#This Row],[sales_usd]] / Miami_Retail[[#This Row],[customers]]</f>
        <v>18.38</v>
      </c>
      <c r="I2">
        <v>77.900000000000006</v>
      </c>
      <c r="J2">
        <f>(Miami_Retail[[#This Row],[avg_temp_f]]-32) * (5/9)</f>
        <v>25.500000000000004</v>
      </c>
      <c r="K2">
        <v>0</v>
      </c>
      <c r="L2">
        <v>0</v>
      </c>
      <c r="M2">
        <v>46.3</v>
      </c>
      <c r="N2">
        <v>47.9</v>
      </c>
      <c r="O2">
        <v>52.1</v>
      </c>
      <c r="P2">
        <v>49.4</v>
      </c>
      <c r="Q2">
        <v>50.6</v>
      </c>
    </row>
    <row r="3" spans="1:17" x14ac:dyDescent="0.25">
      <c r="A3" s="2">
        <v>44927</v>
      </c>
      <c r="B3" s="2" t="str">
        <f t="shared" si="0"/>
        <v>Sunday</v>
      </c>
      <c r="C3" s="2" t="b">
        <f t="shared" si="1"/>
        <v>1</v>
      </c>
      <c r="D3">
        <v>2</v>
      </c>
      <c r="E3" t="s">
        <v>6</v>
      </c>
      <c r="F3">
        <v>289</v>
      </c>
      <c r="G3" s="3">
        <v>4887.88</v>
      </c>
      <c r="H3" s="3">
        <f>Miami_Retail[[#This Row],[sales_usd]] / Miami_Retail[[#This Row],[customers]]</f>
        <v>16.913079584775087</v>
      </c>
      <c r="I3">
        <v>77.900000000000006</v>
      </c>
      <c r="J3">
        <f>(Miami_Retail[[#This Row],[avg_temp_f]]-32) * (5/9)</f>
        <v>25.500000000000004</v>
      </c>
      <c r="K3">
        <v>0</v>
      </c>
      <c r="L3">
        <v>0</v>
      </c>
      <c r="M3">
        <v>46.3</v>
      </c>
      <c r="N3">
        <v>47.9</v>
      </c>
      <c r="O3">
        <v>52.1</v>
      </c>
      <c r="P3">
        <v>49.4</v>
      </c>
      <c r="Q3">
        <v>50.6</v>
      </c>
    </row>
    <row r="4" spans="1:17" x14ac:dyDescent="0.25">
      <c r="A4" s="2">
        <v>44928</v>
      </c>
      <c r="B4" s="2" t="str">
        <f t="shared" si="0"/>
        <v>Monday</v>
      </c>
      <c r="C4" s="2" t="b">
        <f t="shared" si="1"/>
        <v>0</v>
      </c>
      <c r="D4">
        <v>1</v>
      </c>
      <c r="E4" t="s">
        <v>5</v>
      </c>
      <c r="F4">
        <v>253</v>
      </c>
      <c r="G4" s="3">
        <v>4754.25</v>
      </c>
      <c r="H4" s="3">
        <f>Miami_Retail[[#This Row],[sales_usd]] / Miami_Retail[[#This Row],[customers]]</f>
        <v>18.791501976284586</v>
      </c>
      <c r="I4">
        <v>73.900000000000006</v>
      </c>
      <c r="J4">
        <f>(Miami_Retail[[#This Row],[avg_temp_f]]-32) * (5/9)</f>
        <v>23.277777777777782</v>
      </c>
      <c r="K4">
        <v>0.31</v>
      </c>
      <c r="L4">
        <v>1</v>
      </c>
      <c r="M4">
        <v>51.1</v>
      </c>
      <c r="N4">
        <v>47.4</v>
      </c>
      <c r="O4">
        <v>52.6</v>
      </c>
      <c r="P4">
        <v>45.6</v>
      </c>
      <c r="Q4">
        <v>54.4</v>
      </c>
    </row>
    <row r="5" spans="1:17" x14ac:dyDescent="0.25">
      <c r="A5" s="2">
        <v>44929</v>
      </c>
      <c r="B5" s="2" t="str">
        <f t="shared" si="0"/>
        <v>Tuesday</v>
      </c>
      <c r="C5" s="2" t="b">
        <f t="shared" si="1"/>
        <v>0</v>
      </c>
      <c r="D5">
        <v>1</v>
      </c>
      <c r="E5" t="s">
        <v>5</v>
      </c>
      <c r="F5">
        <v>225</v>
      </c>
      <c r="G5" s="3">
        <v>4326.42</v>
      </c>
      <c r="H5" s="3">
        <f>Miami_Retail[[#This Row],[sales_usd]] / Miami_Retail[[#This Row],[customers]]</f>
        <v>19.228533333333335</v>
      </c>
      <c r="I5">
        <v>76.3</v>
      </c>
      <c r="J5">
        <f>(Miami_Retail[[#This Row],[avg_temp_f]]-32) * (5/9)</f>
        <v>24.611111111111111</v>
      </c>
      <c r="K5">
        <v>0</v>
      </c>
      <c r="L5">
        <v>0</v>
      </c>
      <c r="M5">
        <v>51.6</v>
      </c>
      <c r="N5">
        <v>50.3</v>
      </c>
      <c r="O5">
        <v>49.7</v>
      </c>
      <c r="P5">
        <v>43.9</v>
      </c>
      <c r="Q5">
        <v>56.1</v>
      </c>
    </row>
    <row r="6" spans="1:17" x14ac:dyDescent="0.25">
      <c r="A6" s="2">
        <v>44930</v>
      </c>
      <c r="B6" s="2" t="str">
        <f t="shared" si="0"/>
        <v>Wednesday</v>
      </c>
      <c r="C6" s="2" t="b">
        <f t="shared" si="1"/>
        <v>0</v>
      </c>
      <c r="D6">
        <v>1</v>
      </c>
      <c r="E6" t="s">
        <v>5</v>
      </c>
      <c r="F6">
        <v>246</v>
      </c>
      <c r="G6" s="3">
        <v>4570.1099999999997</v>
      </c>
      <c r="H6" s="3">
        <f>Miami_Retail[[#This Row],[sales_usd]] / Miami_Retail[[#This Row],[customers]]</f>
        <v>18.577682926829269</v>
      </c>
      <c r="I6">
        <v>74.2</v>
      </c>
      <c r="J6">
        <f>(Miami_Retail[[#This Row],[avg_temp_f]]-32) * (5/9)</f>
        <v>23.444444444444446</v>
      </c>
      <c r="K6">
        <v>0</v>
      </c>
      <c r="L6">
        <v>0</v>
      </c>
      <c r="M6">
        <v>51.6</v>
      </c>
      <c r="N6">
        <v>48.6</v>
      </c>
      <c r="O6">
        <v>51.4</v>
      </c>
      <c r="P6">
        <v>44.8</v>
      </c>
      <c r="Q6">
        <v>55.2</v>
      </c>
    </row>
    <row r="7" spans="1:17" x14ac:dyDescent="0.25">
      <c r="A7" s="2">
        <v>44931</v>
      </c>
      <c r="B7" s="2" t="str">
        <f t="shared" si="0"/>
        <v>Thursday</v>
      </c>
      <c r="C7" s="2" t="b">
        <f t="shared" si="1"/>
        <v>0</v>
      </c>
      <c r="D7">
        <v>1</v>
      </c>
      <c r="E7" t="s">
        <v>5</v>
      </c>
      <c r="F7">
        <v>235</v>
      </c>
      <c r="G7" s="3">
        <v>4202.1099999999997</v>
      </c>
      <c r="H7" s="3">
        <f>Miami_Retail[[#This Row],[sales_usd]] / Miami_Retail[[#This Row],[customers]]</f>
        <v>17.881319148936168</v>
      </c>
      <c r="I7">
        <v>72.7</v>
      </c>
      <c r="J7">
        <f>(Miami_Retail[[#This Row],[avg_temp_f]]-32) * (5/9)</f>
        <v>22.611111111111114</v>
      </c>
      <c r="K7">
        <v>0</v>
      </c>
      <c r="L7">
        <v>0</v>
      </c>
      <c r="M7">
        <v>54.8</v>
      </c>
      <c r="N7">
        <v>50.4</v>
      </c>
      <c r="O7">
        <v>49.6</v>
      </c>
      <c r="P7">
        <v>43.6</v>
      </c>
      <c r="Q7">
        <v>56.4</v>
      </c>
    </row>
    <row r="8" spans="1:17" x14ac:dyDescent="0.25">
      <c r="A8" s="2">
        <v>44932</v>
      </c>
      <c r="B8" s="2" t="str">
        <f t="shared" si="0"/>
        <v>Friday</v>
      </c>
      <c r="C8" s="2" t="b">
        <f t="shared" si="1"/>
        <v>0</v>
      </c>
      <c r="D8">
        <v>1</v>
      </c>
      <c r="E8" t="s">
        <v>5</v>
      </c>
      <c r="F8">
        <v>223</v>
      </c>
      <c r="G8" s="3">
        <v>4067.3</v>
      </c>
      <c r="H8" s="3">
        <f>Miami_Retail[[#This Row],[sales_usd]] / Miami_Retail[[#This Row],[customers]]</f>
        <v>18.239013452914801</v>
      </c>
      <c r="I8">
        <v>73.099999999999994</v>
      </c>
      <c r="J8">
        <f>(Miami_Retail[[#This Row],[avg_temp_f]]-32) * (5/9)</f>
        <v>22.833333333333332</v>
      </c>
      <c r="K8">
        <v>0.33</v>
      </c>
      <c r="L8">
        <v>1</v>
      </c>
      <c r="M8">
        <v>44.1</v>
      </c>
      <c r="N8">
        <v>50.7</v>
      </c>
      <c r="O8">
        <v>49.3</v>
      </c>
      <c r="P8">
        <v>45.3</v>
      </c>
      <c r="Q8">
        <v>54.7</v>
      </c>
    </row>
    <row r="9" spans="1:17" x14ac:dyDescent="0.25">
      <c r="A9" s="2">
        <v>44933</v>
      </c>
      <c r="B9" s="2" t="str">
        <f t="shared" si="0"/>
        <v>Saturday</v>
      </c>
      <c r="C9" s="2" t="b">
        <f t="shared" si="1"/>
        <v>1</v>
      </c>
      <c r="D9">
        <v>1</v>
      </c>
      <c r="E9" t="s">
        <v>5</v>
      </c>
      <c r="F9">
        <v>304</v>
      </c>
      <c r="G9" s="3">
        <v>5141.29</v>
      </c>
      <c r="H9" s="3">
        <f>Miami_Retail[[#This Row],[sales_usd]] / Miami_Retail[[#This Row],[customers]]</f>
        <v>16.912138157894738</v>
      </c>
      <c r="I9">
        <v>74.900000000000006</v>
      </c>
      <c r="J9">
        <f>(Miami_Retail[[#This Row],[avg_temp_f]]-32) * (5/9)</f>
        <v>23.833333333333339</v>
      </c>
      <c r="K9">
        <v>0</v>
      </c>
      <c r="L9">
        <v>0</v>
      </c>
      <c r="M9">
        <v>48.3</v>
      </c>
      <c r="N9">
        <v>49</v>
      </c>
      <c r="O9">
        <v>51</v>
      </c>
      <c r="P9">
        <v>52.5</v>
      </c>
      <c r="Q9">
        <v>47.5</v>
      </c>
    </row>
    <row r="10" spans="1:17" x14ac:dyDescent="0.25">
      <c r="A10" s="2">
        <v>44934</v>
      </c>
      <c r="B10" s="2" t="str">
        <f t="shared" si="0"/>
        <v>Sunday</v>
      </c>
      <c r="C10" s="2" t="b">
        <f t="shared" si="1"/>
        <v>1</v>
      </c>
      <c r="D10">
        <v>1</v>
      </c>
      <c r="E10" t="s">
        <v>5</v>
      </c>
      <c r="F10">
        <v>235</v>
      </c>
      <c r="G10" s="3">
        <v>4270.28</v>
      </c>
      <c r="H10" s="3">
        <f>Miami_Retail[[#This Row],[sales_usd]] / Miami_Retail[[#This Row],[customers]]</f>
        <v>18.171404255319146</v>
      </c>
      <c r="I10">
        <v>68.400000000000006</v>
      </c>
      <c r="J10">
        <f>(Miami_Retail[[#This Row],[avg_temp_f]]-32) * (5/9)</f>
        <v>20.222222222222225</v>
      </c>
      <c r="K10">
        <v>0.48</v>
      </c>
      <c r="L10">
        <v>1</v>
      </c>
      <c r="M10">
        <v>39.700000000000003</v>
      </c>
      <c r="N10">
        <v>49.1</v>
      </c>
      <c r="O10">
        <v>50.9</v>
      </c>
      <c r="P10">
        <v>50.9</v>
      </c>
      <c r="Q10">
        <v>49.1</v>
      </c>
    </row>
    <row r="11" spans="1:17" x14ac:dyDescent="0.25">
      <c r="A11" s="2">
        <v>44935</v>
      </c>
      <c r="B11" s="2" t="str">
        <f t="shared" si="0"/>
        <v>Monday</v>
      </c>
      <c r="C11" s="2" t="b">
        <f t="shared" si="1"/>
        <v>0</v>
      </c>
      <c r="D11">
        <v>1</v>
      </c>
      <c r="E11" t="s">
        <v>5</v>
      </c>
      <c r="F11">
        <v>251</v>
      </c>
      <c r="G11" s="3">
        <v>4431.6400000000003</v>
      </c>
      <c r="H11" s="3">
        <f>Miami_Retail[[#This Row],[sales_usd]] / Miami_Retail[[#This Row],[customers]]</f>
        <v>17.65593625498008</v>
      </c>
      <c r="I11">
        <v>74.3</v>
      </c>
      <c r="J11">
        <f>(Miami_Retail[[#This Row],[avg_temp_f]]-32) * (5/9)</f>
        <v>23.5</v>
      </c>
      <c r="K11">
        <v>0</v>
      </c>
      <c r="L11">
        <v>0</v>
      </c>
      <c r="M11">
        <v>49.8</v>
      </c>
      <c r="N11">
        <v>49.2</v>
      </c>
      <c r="O11">
        <v>50.8</v>
      </c>
      <c r="P11">
        <v>45.9</v>
      </c>
      <c r="Q11">
        <v>54.1</v>
      </c>
    </row>
    <row r="12" spans="1:17" x14ac:dyDescent="0.25">
      <c r="A12" s="2">
        <v>44936</v>
      </c>
      <c r="B12" s="2" t="str">
        <f t="shared" si="0"/>
        <v>Tuesday</v>
      </c>
      <c r="C12" s="2" t="b">
        <f t="shared" si="1"/>
        <v>0</v>
      </c>
      <c r="D12">
        <v>1</v>
      </c>
      <c r="E12" t="s">
        <v>5</v>
      </c>
      <c r="F12">
        <v>215</v>
      </c>
      <c r="G12" s="3">
        <v>3918.9</v>
      </c>
      <c r="H12" s="3">
        <f>Miami_Retail[[#This Row],[sales_usd]] / Miami_Retail[[#This Row],[customers]]</f>
        <v>18.227441860465117</v>
      </c>
      <c r="I12">
        <v>70.3</v>
      </c>
      <c r="J12">
        <f>(Miami_Retail[[#This Row],[avg_temp_f]]-32) * (5/9)</f>
        <v>21.277777777777779</v>
      </c>
      <c r="K12">
        <v>0</v>
      </c>
      <c r="L12">
        <v>0</v>
      </c>
      <c r="M12">
        <v>37.1</v>
      </c>
      <c r="N12">
        <v>48.5</v>
      </c>
      <c r="O12">
        <v>51.5</v>
      </c>
      <c r="P12">
        <v>42.5</v>
      </c>
      <c r="Q12">
        <v>57.5</v>
      </c>
    </row>
    <row r="13" spans="1:17" x14ac:dyDescent="0.25">
      <c r="A13" s="2">
        <v>44937</v>
      </c>
      <c r="B13" s="2" t="str">
        <f t="shared" si="0"/>
        <v>Wednesday</v>
      </c>
      <c r="C13" s="2" t="b">
        <f t="shared" si="1"/>
        <v>0</v>
      </c>
      <c r="D13">
        <v>1</v>
      </c>
      <c r="E13" t="s">
        <v>5</v>
      </c>
      <c r="F13">
        <v>219</v>
      </c>
      <c r="G13" s="3">
        <v>4151.6400000000003</v>
      </c>
      <c r="H13" s="3">
        <f>Miami_Retail[[#This Row],[sales_usd]] / Miami_Retail[[#This Row],[customers]]</f>
        <v>18.957260273972604</v>
      </c>
      <c r="I13">
        <v>71.900000000000006</v>
      </c>
      <c r="J13">
        <f>(Miami_Retail[[#This Row],[avg_temp_f]]-32) * (5/9)</f>
        <v>22.166666666666671</v>
      </c>
      <c r="K13">
        <v>0</v>
      </c>
      <c r="L13">
        <v>0</v>
      </c>
      <c r="M13">
        <v>44.6</v>
      </c>
      <c r="N13">
        <v>50.6</v>
      </c>
      <c r="O13">
        <v>49.4</v>
      </c>
      <c r="P13">
        <v>44.1</v>
      </c>
      <c r="Q13">
        <v>55.9</v>
      </c>
    </row>
    <row r="14" spans="1:17" x14ac:dyDescent="0.25">
      <c r="A14" s="2">
        <v>44938</v>
      </c>
      <c r="B14" s="2" t="str">
        <f t="shared" si="0"/>
        <v>Thursday</v>
      </c>
      <c r="C14" s="2" t="b">
        <f t="shared" si="1"/>
        <v>0</v>
      </c>
      <c r="D14">
        <v>1</v>
      </c>
      <c r="E14" t="s">
        <v>5</v>
      </c>
      <c r="F14">
        <v>211</v>
      </c>
      <c r="G14" s="3">
        <v>3894.75</v>
      </c>
      <c r="H14" s="3">
        <f>Miami_Retail[[#This Row],[sales_usd]] / Miami_Retail[[#This Row],[customers]]</f>
        <v>18.458530805687204</v>
      </c>
      <c r="I14">
        <v>72</v>
      </c>
      <c r="J14">
        <f>(Miami_Retail[[#This Row],[avg_temp_f]]-32) * (5/9)</f>
        <v>22.222222222222221</v>
      </c>
      <c r="K14">
        <v>0</v>
      </c>
      <c r="L14">
        <v>0</v>
      </c>
      <c r="M14">
        <v>42.7</v>
      </c>
      <c r="N14">
        <v>49.7</v>
      </c>
      <c r="O14">
        <v>50.3</v>
      </c>
      <c r="P14">
        <v>45.6</v>
      </c>
      <c r="Q14">
        <v>54.4</v>
      </c>
    </row>
    <row r="15" spans="1:17" x14ac:dyDescent="0.25">
      <c r="A15" s="2">
        <v>44939</v>
      </c>
      <c r="B15" s="2" t="str">
        <f t="shared" si="0"/>
        <v>Friday</v>
      </c>
      <c r="C15" s="2" t="b">
        <f t="shared" si="1"/>
        <v>0</v>
      </c>
      <c r="D15">
        <v>1</v>
      </c>
      <c r="E15" t="s">
        <v>5</v>
      </c>
      <c r="F15">
        <v>237</v>
      </c>
      <c r="G15" s="3">
        <v>4477.8500000000004</v>
      </c>
      <c r="H15" s="3">
        <f>Miami_Retail[[#This Row],[sales_usd]] / Miami_Retail[[#This Row],[customers]]</f>
        <v>18.893881856540087</v>
      </c>
      <c r="I15">
        <v>76.2</v>
      </c>
      <c r="J15">
        <f>(Miami_Retail[[#This Row],[avg_temp_f]]-32) * (5/9)</f>
        <v>24.555555555555557</v>
      </c>
      <c r="K15">
        <v>0</v>
      </c>
      <c r="L15">
        <v>0</v>
      </c>
      <c r="M15">
        <v>40.200000000000003</v>
      </c>
      <c r="N15">
        <v>49.5</v>
      </c>
      <c r="O15">
        <v>50.5</v>
      </c>
      <c r="P15">
        <v>47.3</v>
      </c>
      <c r="Q15">
        <v>52.7</v>
      </c>
    </row>
    <row r="16" spans="1:17" x14ac:dyDescent="0.25">
      <c r="A16" s="2">
        <v>44940</v>
      </c>
      <c r="B16" s="2" t="str">
        <f t="shared" si="0"/>
        <v>Saturday</v>
      </c>
      <c r="C16" s="2" t="b">
        <f t="shared" si="1"/>
        <v>1</v>
      </c>
      <c r="D16">
        <v>1</v>
      </c>
      <c r="E16" t="s">
        <v>5</v>
      </c>
      <c r="F16">
        <v>263</v>
      </c>
      <c r="G16" s="3">
        <v>5073.2299999999996</v>
      </c>
      <c r="H16" s="3">
        <f>Miami_Retail[[#This Row],[sales_usd]] / Miami_Retail[[#This Row],[customers]]</f>
        <v>19.289847908745244</v>
      </c>
      <c r="I16">
        <v>71.2</v>
      </c>
      <c r="J16">
        <f>(Miami_Retail[[#This Row],[avg_temp_f]]-32) * (5/9)</f>
        <v>21.777777777777779</v>
      </c>
      <c r="K16">
        <v>0</v>
      </c>
      <c r="L16">
        <v>0</v>
      </c>
      <c r="M16">
        <v>38.4</v>
      </c>
      <c r="N16">
        <v>50.4</v>
      </c>
      <c r="O16">
        <v>49.6</v>
      </c>
      <c r="P16">
        <v>50.6</v>
      </c>
      <c r="Q16">
        <v>49.4</v>
      </c>
    </row>
    <row r="17" spans="1:17" x14ac:dyDescent="0.25">
      <c r="A17" s="2">
        <v>44941</v>
      </c>
      <c r="B17" s="2" t="str">
        <f t="shared" si="0"/>
        <v>Sunday</v>
      </c>
      <c r="C17" s="2" t="b">
        <f t="shared" si="1"/>
        <v>1</v>
      </c>
      <c r="D17">
        <v>1</v>
      </c>
      <c r="E17" t="s">
        <v>5</v>
      </c>
      <c r="F17">
        <v>270</v>
      </c>
      <c r="G17" s="3">
        <v>4512.7700000000004</v>
      </c>
      <c r="H17" s="3">
        <f>Miami_Retail[[#This Row],[sales_usd]] / Miami_Retail[[#This Row],[customers]]</f>
        <v>16.713962962962963</v>
      </c>
      <c r="I17">
        <v>69.2</v>
      </c>
      <c r="J17">
        <f>(Miami_Retail[[#This Row],[avg_temp_f]]-32) * (5/9)</f>
        <v>20.666666666666668</v>
      </c>
      <c r="K17">
        <v>0</v>
      </c>
      <c r="L17">
        <v>0</v>
      </c>
      <c r="M17">
        <v>39.700000000000003</v>
      </c>
      <c r="N17">
        <v>49</v>
      </c>
      <c r="O17">
        <v>51</v>
      </c>
      <c r="P17">
        <v>51.5</v>
      </c>
      <c r="Q17">
        <v>48.5</v>
      </c>
    </row>
    <row r="18" spans="1:17" x14ac:dyDescent="0.25">
      <c r="A18" s="2">
        <v>44942</v>
      </c>
      <c r="B18" s="2" t="str">
        <f t="shared" si="0"/>
        <v>Monday</v>
      </c>
      <c r="C18" s="2" t="b">
        <f t="shared" si="1"/>
        <v>0</v>
      </c>
      <c r="D18">
        <v>1</v>
      </c>
      <c r="E18" t="s">
        <v>5</v>
      </c>
      <c r="F18">
        <v>230</v>
      </c>
      <c r="G18" s="3">
        <v>4276.97</v>
      </c>
      <c r="H18" s="3">
        <f>Miami_Retail[[#This Row],[sales_usd]] / Miami_Retail[[#This Row],[customers]]</f>
        <v>18.595521739130437</v>
      </c>
      <c r="I18">
        <v>72.5</v>
      </c>
      <c r="J18">
        <f>(Miami_Retail[[#This Row],[avg_temp_f]]-32) * (5/9)</f>
        <v>22.5</v>
      </c>
      <c r="K18">
        <v>0</v>
      </c>
      <c r="L18">
        <v>0</v>
      </c>
      <c r="M18">
        <v>42.2</v>
      </c>
      <c r="N18">
        <v>50.9</v>
      </c>
      <c r="O18">
        <v>49.1</v>
      </c>
      <c r="P18">
        <v>45.1</v>
      </c>
      <c r="Q18">
        <v>54.9</v>
      </c>
    </row>
    <row r="19" spans="1:17" x14ac:dyDescent="0.25">
      <c r="A19" s="2">
        <v>44943</v>
      </c>
      <c r="B19" s="2" t="str">
        <f t="shared" si="0"/>
        <v>Tuesday</v>
      </c>
      <c r="C19" s="2" t="b">
        <f t="shared" si="1"/>
        <v>0</v>
      </c>
      <c r="D19">
        <v>1</v>
      </c>
      <c r="E19" t="s">
        <v>5</v>
      </c>
      <c r="F19">
        <v>254</v>
      </c>
      <c r="G19" s="3">
        <v>4594.63</v>
      </c>
      <c r="H19" s="3">
        <f>Miami_Retail[[#This Row],[sales_usd]] / Miami_Retail[[#This Row],[customers]]</f>
        <v>18.089094488188977</v>
      </c>
      <c r="I19">
        <v>75.2</v>
      </c>
      <c r="J19">
        <f>(Miami_Retail[[#This Row],[avg_temp_f]]-32) * (5/9)</f>
        <v>24.000000000000004</v>
      </c>
      <c r="K19">
        <v>0</v>
      </c>
      <c r="L19">
        <v>0</v>
      </c>
      <c r="M19">
        <v>40.9</v>
      </c>
      <c r="N19">
        <v>48.3</v>
      </c>
      <c r="O19">
        <v>51.7</v>
      </c>
      <c r="P19">
        <v>43</v>
      </c>
      <c r="Q19">
        <v>57</v>
      </c>
    </row>
    <row r="20" spans="1:17" x14ac:dyDescent="0.25">
      <c r="A20" s="2">
        <v>44944</v>
      </c>
      <c r="B20" s="2" t="str">
        <f t="shared" si="0"/>
        <v>Wednesday</v>
      </c>
      <c r="C20" s="2" t="b">
        <f t="shared" si="1"/>
        <v>0</v>
      </c>
      <c r="D20">
        <v>1</v>
      </c>
      <c r="E20" t="s">
        <v>5</v>
      </c>
      <c r="F20">
        <v>216</v>
      </c>
      <c r="G20" s="3">
        <v>3603.99</v>
      </c>
      <c r="H20" s="3">
        <f>Miami_Retail[[#This Row],[sales_usd]] / Miami_Retail[[#This Row],[customers]]</f>
        <v>16.685138888888886</v>
      </c>
      <c r="I20">
        <v>69.2</v>
      </c>
      <c r="J20">
        <f>(Miami_Retail[[#This Row],[avg_temp_f]]-32) * (5/9)</f>
        <v>20.666666666666668</v>
      </c>
      <c r="K20">
        <v>2.5099999999999998</v>
      </c>
      <c r="L20">
        <v>1</v>
      </c>
      <c r="M20">
        <v>44.2</v>
      </c>
      <c r="N20">
        <v>49.7</v>
      </c>
      <c r="O20">
        <v>50.3</v>
      </c>
      <c r="P20">
        <v>44.7</v>
      </c>
      <c r="Q20">
        <v>55.3</v>
      </c>
    </row>
    <row r="21" spans="1:17" x14ac:dyDescent="0.25">
      <c r="A21" s="2">
        <v>44945</v>
      </c>
      <c r="B21" s="2" t="str">
        <f t="shared" si="0"/>
        <v>Thursday</v>
      </c>
      <c r="C21" s="2" t="b">
        <f t="shared" si="1"/>
        <v>0</v>
      </c>
      <c r="D21">
        <v>1</v>
      </c>
      <c r="E21" t="s">
        <v>5</v>
      </c>
      <c r="F21">
        <v>288</v>
      </c>
      <c r="G21" s="3">
        <v>5246.91</v>
      </c>
      <c r="H21" s="3">
        <f>Miami_Retail[[#This Row],[sales_usd]] / Miami_Retail[[#This Row],[customers]]</f>
        <v>18.2184375</v>
      </c>
      <c r="I21">
        <v>77.599999999999994</v>
      </c>
      <c r="J21">
        <f>(Miami_Retail[[#This Row],[avg_temp_f]]-32) * (5/9)</f>
        <v>25.333333333333332</v>
      </c>
      <c r="K21">
        <v>0</v>
      </c>
      <c r="L21">
        <v>0</v>
      </c>
      <c r="M21">
        <v>49.8</v>
      </c>
      <c r="N21">
        <v>49.4</v>
      </c>
      <c r="O21">
        <v>50.6</v>
      </c>
      <c r="P21">
        <v>45.5</v>
      </c>
      <c r="Q21">
        <v>54.5</v>
      </c>
    </row>
    <row r="22" spans="1:17" x14ac:dyDescent="0.25">
      <c r="A22" s="2">
        <v>44946</v>
      </c>
      <c r="B22" s="2" t="str">
        <f t="shared" si="0"/>
        <v>Friday</v>
      </c>
      <c r="C22" s="2" t="b">
        <f t="shared" si="1"/>
        <v>0</v>
      </c>
      <c r="D22">
        <v>1</v>
      </c>
      <c r="E22" t="s">
        <v>5</v>
      </c>
      <c r="F22">
        <v>232</v>
      </c>
      <c r="G22" s="3">
        <v>4301.6400000000003</v>
      </c>
      <c r="H22" s="3">
        <f>Miami_Retail[[#This Row],[sales_usd]] / Miami_Retail[[#This Row],[customers]]</f>
        <v>18.541551724137932</v>
      </c>
      <c r="I22">
        <v>72</v>
      </c>
      <c r="J22">
        <f>(Miami_Retail[[#This Row],[avg_temp_f]]-32) * (5/9)</f>
        <v>22.222222222222221</v>
      </c>
      <c r="K22">
        <v>0</v>
      </c>
      <c r="L22">
        <v>0</v>
      </c>
      <c r="M22">
        <v>45.2</v>
      </c>
      <c r="N22">
        <v>50.2</v>
      </c>
      <c r="O22">
        <v>49.8</v>
      </c>
      <c r="P22">
        <v>43.6</v>
      </c>
      <c r="Q22">
        <v>56.4</v>
      </c>
    </row>
    <row r="23" spans="1:17" x14ac:dyDescent="0.25">
      <c r="A23" s="2">
        <v>44947</v>
      </c>
      <c r="B23" s="2" t="str">
        <f t="shared" si="0"/>
        <v>Saturday</v>
      </c>
      <c r="C23" s="2" t="b">
        <f t="shared" si="1"/>
        <v>1</v>
      </c>
      <c r="D23">
        <v>1</v>
      </c>
      <c r="E23" t="s">
        <v>5</v>
      </c>
      <c r="F23">
        <v>300</v>
      </c>
      <c r="G23" s="3">
        <v>5584.36</v>
      </c>
      <c r="H23" s="3">
        <f>Miami_Retail[[#This Row],[sales_usd]] / Miami_Retail[[#This Row],[customers]]</f>
        <v>18.61453333333333</v>
      </c>
      <c r="I23">
        <v>70.7</v>
      </c>
      <c r="J23">
        <f>(Miami_Retail[[#This Row],[avg_temp_f]]-32) * (5/9)</f>
        <v>21.500000000000004</v>
      </c>
      <c r="K23">
        <v>0</v>
      </c>
      <c r="L23">
        <v>0</v>
      </c>
      <c r="M23">
        <v>36.700000000000003</v>
      </c>
      <c r="N23">
        <v>51.2</v>
      </c>
      <c r="O23">
        <v>48.8</v>
      </c>
      <c r="P23">
        <v>50.4</v>
      </c>
      <c r="Q23">
        <v>49.6</v>
      </c>
    </row>
    <row r="24" spans="1:17" x14ac:dyDescent="0.25">
      <c r="A24" s="2">
        <v>44948</v>
      </c>
      <c r="B24" s="2" t="str">
        <f t="shared" si="0"/>
        <v>Sunday</v>
      </c>
      <c r="C24" s="2" t="b">
        <f t="shared" si="1"/>
        <v>1</v>
      </c>
      <c r="D24">
        <v>1</v>
      </c>
      <c r="E24" t="s">
        <v>5</v>
      </c>
      <c r="F24">
        <v>294</v>
      </c>
      <c r="G24" s="3">
        <v>5686.73</v>
      </c>
      <c r="H24" s="3">
        <f>Miami_Retail[[#This Row],[sales_usd]] / Miami_Retail[[#This Row],[customers]]</f>
        <v>19.342619047619046</v>
      </c>
      <c r="I24">
        <v>69.8</v>
      </c>
      <c r="J24">
        <f>(Miami_Retail[[#This Row],[avg_temp_f]]-32) * (5/9)</f>
        <v>21</v>
      </c>
      <c r="K24">
        <v>0</v>
      </c>
      <c r="L24">
        <v>0</v>
      </c>
      <c r="M24">
        <v>42.4</v>
      </c>
      <c r="N24">
        <v>49.7</v>
      </c>
      <c r="O24">
        <v>50.3</v>
      </c>
      <c r="P24">
        <v>50.7</v>
      </c>
      <c r="Q24">
        <v>49.3</v>
      </c>
    </row>
    <row r="25" spans="1:17" x14ac:dyDescent="0.25">
      <c r="A25" s="2">
        <v>44949</v>
      </c>
      <c r="B25" s="2" t="str">
        <f t="shared" si="0"/>
        <v>Monday</v>
      </c>
      <c r="C25" s="2" t="b">
        <f t="shared" si="1"/>
        <v>0</v>
      </c>
      <c r="D25">
        <v>1</v>
      </c>
      <c r="E25" t="s">
        <v>5</v>
      </c>
      <c r="F25">
        <v>243</v>
      </c>
      <c r="G25" s="3">
        <v>4434.38</v>
      </c>
      <c r="H25" s="3">
        <f>Miami_Retail[[#This Row],[sales_usd]] / Miami_Retail[[#This Row],[customers]]</f>
        <v>18.248477366255145</v>
      </c>
      <c r="I25">
        <v>72</v>
      </c>
      <c r="J25">
        <f>(Miami_Retail[[#This Row],[avg_temp_f]]-32) * (5/9)</f>
        <v>22.222222222222221</v>
      </c>
      <c r="K25">
        <v>0</v>
      </c>
      <c r="L25">
        <v>0</v>
      </c>
      <c r="M25">
        <v>42.4</v>
      </c>
      <c r="N25">
        <v>49.9</v>
      </c>
      <c r="O25">
        <v>50.1</v>
      </c>
      <c r="P25">
        <v>44.1</v>
      </c>
      <c r="Q25">
        <v>55.9</v>
      </c>
    </row>
    <row r="26" spans="1:17" x14ac:dyDescent="0.25">
      <c r="A26" s="2">
        <v>44950</v>
      </c>
      <c r="B26" s="2" t="str">
        <f t="shared" si="0"/>
        <v>Tuesday</v>
      </c>
      <c r="C26" s="2" t="b">
        <f t="shared" si="1"/>
        <v>0</v>
      </c>
      <c r="D26">
        <v>1</v>
      </c>
      <c r="E26" t="s">
        <v>5</v>
      </c>
      <c r="F26">
        <v>206</v>
      </c>
      <c r="G26" s="3">
        <v>3820.07</v>
      </c>
      <c r="H26" s="3">
        <f>Miami_Retail[[#This Row],[sales_usd]] / Miami_Retail[[#This Row],[customers]]</f>
        <v>18.544029126213594</v>
      </c>
      <c r="I26">
        <v>69.099999999999994</v>
      </c>
      <c r="J26">
        <f>(Miami_Retail[[#This Row],[avg_temp_f]]-32) * (5/9)</f>
        <v>20.611111111111107</v>
      </c>
      <c r="K26">
        <v>0</v>
      </c>
      <c r="L26">
        <v>0</v>
      </c>
      <c r="M26">
        <v>46.4</v>
      </c>
      <c r="N26">
        <v>49.9</v>
      </c>
      <c r="O26">
        <v>50.1</v>
      </c>
      <c r="P26">
        <v>45.2</v>
      </c>
      <c r="Q26">
        <v>54.8</v>
      </c>
    </row>
    <row r="27" spans="1:17" x14ac:dyDescent="0.25">
      <c r="A27" s="2">
        <v>44951</v>
      </c>
      <c r="B27" s="2" t="str">
        <f t="shared" si="0"/>
        <v>Wednesday</v>
      </c>
      <c r="C27" s="2" t="b">
        <f t="shared" si="1"/>
        <v>0</v>
      </c>
      <c r="D27">
        <v>1</v>
      </c>
      <c r="E27" t="s">
        <v>5</v>
      </c>
      <c r="F27">
        <v>181</v>
      </c>
      <c r="G27" s="3">
        <v>3660.64</v>
      </c>
      <c r="H27" s="3">
        <f>Miami_Retail[[#This Row],[sales_usd]] / Miami_Retail[[#This Row],[customers]]</f>
        <v>20.22453038674033</v>
      </c>
      <c r="I27">
        <v>65.8</v>
      </c>
      <c r="J27">
        <f>(Miami_Retail[[#This Row],[avg_temp_f]]-32) * (5/9)</f>
        <v>18.777777777777779</v>
      </c>
      <c r="K27">
        <v>3.11</v>
      </c>
      <c r="L27">
        <v>1</v>
      </c>
      <c r="M27">
        <v>46.7</v>
      </c>
      <c r="N27">
        <v>48.7</v>
      </c>
      <c r="O27">
        <v>51.3</v>
      </c>
      <c r="P27">
        <v>46</v>
      </c>
      <c r="Q27">
        <v>54</v>
      </c>
    </row>
    <row r="28" spans="1:17" x14ac:dyDescent="0.25">
      <c r="A28" s="2">
        <v>44952</v>
      </c>
      <c r="B28" s="2" t="str">
        <f t="shared" si="0"/>
        <v>Thursday</v>
      </c>
      <c r="C28" s="2" t="b">
        <f t="shared" si="1"/>
        <v>0</v>
      </c>
      <c r="D28">
        <v>1</v>
      </c>
      <c r="E28" t="s">
        <v>5</v>
      </c>
      <c r="F28">
        <v>206</v>
      </c>
      <c r="G28" s="3">
        <v>3913.96</v>
      </c>
      <c r="H28" s="3">
        <f>Miami_Retail[[#This Row],[sales_usd]] / Miami_Retail[[#This Row],[customers]]</f>
        <v>18.999805825242717</v>
      </c>
      <c r="I28">
        <v>68.5</v>
      </c>
      <c r="J28">
        <f>(Miami_Retail[[#This Row],[avg_temp_f]]-32) * (5/9)</f>
        <v>20.277777777777779</v>
      </c>
      <c r="K28">
        <v>0</v>
      </c>
      <c r="L28">
        <v>0</v>
      </c>
      <c r="M28">
        <v>35</v>
      </c>
      <c r="N28">
        <v>51</v>
      </c>
      <c r="O28">
        <v>49</v>
      </c>
      <c r="P28">
        <v>46.8</v>
      </c>
      <c r="Q28">
        <v>53.2</v>
      </c>
    </row>
    <row r="29" spans="1:17" x14ac:dyDescent="0.25">
      <c r="A29" s="2">
        <v>44953</v>
      </c>
      <c r="B29" s="2" t="str">
        <f t="shared" si="0"/>
        <v>Friday</v>
      </c>
      <c r="C29" s="2" t="b">
        <f t="shared" si="1"/>
        <v>0</v>
      </c>
      <c r="D29">
        <v>1</v>
      </c>
      <c r="E29" t="s">
        <v>5</v>
      </c>
      <c r="F29">
        <v>216</v>
      </c>
      <c r="G29" s="3">
        <v>4253.25</v>
      </c>
      <c r="H29" s="3">
        <f>Miami_Retail[[#This Row],[sales_usd]] / Miami_Retail[[#This Row],[customers]]</f>
        <v>19.690972222222221</v>
      </c>
      <c r="I29">
        <v>67.400000000000006</v>
      </c>
      <c r="J29">
        <f>(Miami_Retail[[#This Row],[avg_temp_f]]-32) * (5/9)</f>
        <v>19.666666666666671</v>
      </c>
      <c r="K29">
        <v>1.5</v>
      </c>
      <c r="L29">
        <v>1</v>
      </c>
      <c r="M29">
        <v>42.3</v>
      </c>
      <c r="N29">
        <v>50.2</v>
      </c>
      <c r="O29">
        <v>49.8</v>
      </c>
      <c r="P29">
        <v>46.3</v>
      </c>
      <c r="Q29">
        <v>53.7</v>
      </c>
    </row>
    <row r="30" spans="1:17" x14ac:dyDescent="0.25">
      <c r="A30" s="2">
        <v>44954</v>
      </c>
      <c r="B30" s="2" t="str">
        <f t="shared" si="0"/>
        <v>Saturday</v>
      </c>
      <c r="C30" s="2" t="b">
        <f t="shared" si="1"/>
        <v>1</v>
      </c>
      <c r="D30">
        <v>1</v>
      </c>
      <c r="E30" t="s">
        <v>5</v>
      </c>
      <c r="F30">
        <v>207</v>
      </c>
      <c r="G30" s="3">
        <v>3817.82</v>
      </c>
      <c r="H30" s="3">
        <f>Miami_Retail[[#This Row],[sales_usd]] / Miami_Retail[[#This Row],[customers]]</f>
        <v>18.443574879227054</v>
      </c>
      <c r="I30">
        <v>70.3</v>
      </c>
      <c r="J30">
        <f>(Miami_Retail[[#This Row],[avg_temp_f]]-32) * (5/9)</f>
        <v>21.277777777777779</v>
      </c>
      <c r="K30">
        <v>0</v>
      </c>
      <c r="L30">
        <v>0</v>
      </c>
      <c r="M30">
        <v>44</v>
      </c>
      <c r="N30">
        <v>51.1</v>
      </c>
      <c r="O30">
        <v>48.9</v>
      </c>
      <c r="P30">
        <v>51.5</v>
      </c>
      <c r="Q30">
        <v>48.5</v>
      </c>
    </row>
    <row r="31" spans="1:17" x14ac:dyDescent="0.25">
      <c r="A31" s="2">
        <v>44955</v>
      </c>
      <c r="B31" s="2" t="str">
        <f t="shared" si="0"/>
        <v>Sunday</v>
      </c>
      <c r="C31" s="2" t="b">
        <f t="shared" si="1"/>
        <v>1</v>
      </c>
      <c r="D31">
        <v>1</v>
      </c>
      <c r="E31" t="s">
        <v>5</v>
      </c>
      <c r="F31">
        <v>278</v>
      </c>
      <c r="G31" s="3">
        <v>5762.8</v>
      </c>
      <c r="H31" s="3">
        <f>Miami_Retail[[#This Row],[sales_usd]] / Miami_Retail[[#This Row],[customers]]</f>
        <v>20.7294964028777</v>
      </c>
      <c r="I31">
        <v>75.099999999999994</v>
      </c>
      <c r="J31">
        <f>(Miami_Retail[[#This Row],[avg_temp_f]]-32) * (5/9)</f>
        <v>23.944444444444443</v>
      </c>
      <c r="K31">
        <v>0</v>
      </c>
      <c r="L31">
        <v>0</v>
      </c>
      <c r="M31">
        <v>35</v>
      </c>
      <c r="N31">
        <v>51.1</v>
      </c>
      <c r="O31">
        <v>48.9</v>
      </c>
      <c r="P31">
        <v>52.8</v>
      </c>
      <c r="Q31">
        <v>47.2</v>
      </c>
    </row>
    <row r="32" spans="1:17" x14ac:dyDescent="0.25">
      <c r="A32" s="2">
        <v>44956</v>
      </c>
      <c r="B32" s="2" t="str">
        <f t="shared" si="0"/>
        <v>Monday</v>
      </c>
      <c r="C32" s="2" t="b">
        <f t="shared" si="1"/>
        <v>0</v>
      </c>
      <c r="D32">
        <v>1</v>
      </c>
      <c r="E32" t="s">
        <v>5</v>
      </c>
      <c r="F32">
        <v>268</v>
      </c>
      <c r="G32" s="3">
        <v>4885.71</v>
      </c>
      <c r="H32" s="3">
        <f>Miami_Retail[[#This Row],[sales_usd]] / Miami_Retail[[#This Row],[customers]]</f>
        <v>18.23026119402985</v>
      </c>
      <c r="I32">
        <v>75.5</v>
      </c>
      <c r="J32">
        <f>(Miami_Retail[[#This Row],[avg_temp_f]]-32) * (5/9)</f>
        <v>24.166666666666668</v>
      </c>
      <c r="K32">
        <v>0</v>
      </c>
      <c r="L32">
        <v>0</v>
      </c>
      <c r="M32">
        <v>38.700000000000003</v>
      </c>
      <c r="N32">
        <v>49.6</v>
      </c>
      <c r="O32">
        <v>50.4</v>
      </c>
      <c r="P32">
        <v>45.8</v>
      </c>
      <c r="Q32">
        <v>54.2</v>
      </c>
    </row>
    <row r="33" spans="1:17" x14ac:dyDescent="0.25">
      <c r="A33" s="2">
        <v>44957</v>
      </c>
      <c r="B33" s="2" t="str">
        <f t="shared" si="0"/>
        <v>Tuesday</v>
      </c>
      <c r="C33" s="2" t="b">
        <f t="shared" si="1"/>
        <v>0</v>
      </c>
      <c r="D33">
        <v>1</v>
      </c>
      <c r="E33" t="s">
        <v>5</v>
      </c>
      <c r="F33">
        <v>214</v>
      </c>
      <c r="G33" s="3">
        <v>3882.07</v>
      </c>
      <c r="H33" s="3">
        <f>Miami_Retail[[#This Row],[sales_usd]] / Miami_Retail[[#This Row],[customers]]</f>
        <v>18.14051401869159</v>
      </c>
      <c r="I33">
        <v>69.2</v>
      </c>
      <c r="J33">
        <f>(Miami_Retail[[#This Row],[avg_temp_f]]-32) * (5/9)</f>
        <v>20.666666666666668</v>
      </c>
      <c r="K33">
        <v>0</v>
      </c>
      <c r="L33">
        <v>0</v>
      </c>
      <c r="M33">
        <v>35</v>
      </c>
      <c r="N33">
        <v>49.5</v>
      </c>
      <c r="O33">
        <v>50.5</v>
      </c>
      <c r="P33">
        <v>45.4</v>
      </c>
      <c r="Q33">
        <v>54.6</v>
      </c>
    </row>
    <row r="34" spans="1:17" x14ac:dyDescent="0.25">
      <c r="A34" s="2">
        <v>44958</v>
      </c>
      <c r="B34" s="2" t="str">
        <f t="shared" si="0"/>
        <v>Wednesday</v>
      </c>
      <c r="C34" s="2" t="b">
        <f t="shared" si="1"/>
        <v>0</v>
      </c>
      <c r="D34">
        <v>1</v>
      </c>
      <c r="E34" t="s">
        <v>5</v>
      </c>
      <c r="F34">
        <v>226</v>
      </c>
      <c r="G34" s="3">
        <v>4031.55</v>
      </c>
      <c r="H34" s="3">
        <f>Miami_Retail[[#This Row],[sales_usd]] / Miami_Retail[[#This Row],[customers]]</f>
        <v>17.838716814159294</v>
      </c>
      <c r="I34">
        <v>68.8</v>
      </c>
      <c r="J34">
        <f>(Miami_Retail[[#This Row],[avg_temp_f]]-32) * (5/9)</f>
        <v>20.444444444444443</v>
      </c>
      <c r="K34">
        <v>0</v>
      </c>
      <c r="L34">
        <v>0</v>
      </c>
      <c r="M34">
        <v>46.9</v>
      </c>
      <c r="N34">
        <v>50.5</v>
      </c>
      <c r="O34">
        <v>49.5</v>
      </c>
      <c r="P34">
        <v>46.4</v>
      </c>
      <c r="Q34">
        <v>53.6</v>
      </c>
    </row>
    <row r="35" spans="1:17" x14ac:dyDescent="0.25">
      <c r="A35" s="2">
        <v>44959</v>
      </c>
      <c r="B35" s="2" t="str">
        <f t="shared" si="0"/>
        <v>Thursday</v>
      </c>
      <c r="C35" s="2" t="b">
        <f t="shared" si="1"/>
        <v>0</v>
      </c>
      <c r="D35">
        <v>1</v>
      </c>
      <c r="E35" t="s">
        <v>5</v>
      </c>
      <c r="F35">
        <v>230</v>
      </c>
      <c r="G35" s="3">
        <v>4403.41</v>
      </c>
      <c r="H35" s="3">
        <f>Miami_Retail[[#This Row],[sales_usd]] / Miami_Retail[[#This Row],[customers]]</f>
        <v>19.145260869565217</v>
      </c>
      <c r="I35">
        <v>73.400000000000006</v>
      </c>
      <c r="J35">
        <f>(Miami_Retail[[#This Row],[avg_temp_f]]-32) * (5/9)</f>
        <v>23.000000000000004</v>
      </c>
      <c r="K35">
        <v>0</v>
      </c>
      <c r="L35">
        <v>0</v>
      </c>
      <c r="M35">
        <v>42.2</v>
      </c>
      <c r="N35">
        <v>50.3</v>
      </c>
      <c r="O35">
        <v>49.7</v>
      </c>
      <c r="P35">
        <v>45.2</v>
      </c>
      <c r="Q35">
        <v>54.8</v>
      </c>
    </row>
    <row r="36" spans="1:17" x14ac:dyDescent="0.25">
      <c r="A36" s="2">
        <v>44960</v>
      </c>
      <c r="B36" s="2" t="str">
        <f t="shared" si="0"/>
        <v>Friday</v>
      </c>
      <c r="C36" s="2" t="b">
        <f t="shared" si="1"/>
        <v>0</v>
      </c>
      <c r="D36">
        <v>1</v>
      </c>
      <c r="E36" t="s">
        <v>5</v>
      </c>
      <c r="F36">
        <v>256</v>
      </c>
      <c r="G36" s="3">
        <v>4474.51</v>
      </c>
      <c r="H36" s="3">
        <f>Miami_Retail[[#This Row],[sales_usd]] / Miami_Retail[[#This Row],[customers]]</f>
        <v>17.478554687500001</v>
      </c>
      <c r="I36">
        <v>74.7</v>
      </c>
      <c r="J36">
        <f>(Miami_Retail[[#This Row],[avg_temp_f]]-32) * (5/9)</f>
        <v>23.722222222222225</v>
      </c>
      <c r="K36">
        <v>0</v>
      </c>
      <c r="L36">
        <v>0</v>
      </c>
      <c r="M36">
        <v>35</v>
      </c>
      <c r="N36">
        <v>51</v>
      </c>
      <c r="O36">
        <v>49</v>
      </c>
      <c r="P36">
        <v>46</v>
      </c>
      <c r="Q36">
        <v>54</v>
      </c>
    </row>
    <row r="37" spans="1:17" x14ac:dyDescent="0.25">
      <c r="A37" s="2">
        <v>44961</v>
      </c>
      <c r="B37" s="2" t="str">
        <f t="shared" si="0"/>
        <v>Saturday</v>
      </c>
      <c r="C37" s="2" t="b">
        <f t="shared" si="1"/>
        <v>1</v>
      </c>
      <c r="D37">
        <v>1</v>
      </c>
      <c r="E37" t="s">
        <v>5</v>
      </c>
      <c r="F37">
        <v>260</v>
      </c>
      <c r="G37" s="3">
        <v>4639.1099999999997</v>
      </c>
      <c r="H37" s="3">
        <f>Miami_Retail[[#This Row],[sales_usd]] / Miami_Retail[[#This Row],[customers]]</f>
        <v>17.842730769230769</v>
      </c>
      <c r="I37">
        <v>66.2</v>
      </c>
      <c r="J37">
        <f>(Miami_Retail[[#This Row],[avg_temp_f]]-32) * (5/9)</f>
        <v>19.000000000000004</v>
      </c>
      <c r="K37">
        <v>0</v>
      </c>
      <c r="L37">
        <v>0</v>
      </c>
      <c r="M37">
        <v>43.6</v>
      </c>
      <c r="N37">
        <v>49.4</v>
      </c>
      <c r="O37">
        <v>50.6</v>
      </c>
      <c r="P37">
        <v>52.9</v>
      </c>
      <c r="Q37">
        <v>47.1</v>
      </c>
    </row>
    <row r="38" spans="1:17" x14ac:dyDescent="0.25">
      <c r="A38" s="2">
        <v>44962</v>
      </c>
      <c r="B38" s="2" t="str">
        <f t="shared" si="0"/>
        <v>Sunday</v>
      </c>
      <c r="C38" s="2" t="b">
        <f t="shared" si="1"/>
        <v>1</v>
      </c>
      <c r="D38">
        <v>1</v>
      </c>
      <c r="E38" t="s">
        <v>5</v>
      </c>
      <c r="F38">
        <v>248</v>
      </c>
      <c r="G38" s="3">
        <v>4864.28</v>
      </c>
      <c r="H38" s="3">
        <f>Miami_Retail[[#This Row],[sales_usd]] / Miami_Retail[[#This Row],[customers]]</f>
        <v>19.614032258064515</v>
      </c>
      <c r="I38">
        <v>66.8</v>
      </c>
      <c r="J38">
        <f>(Miami_Retail[[#This Row],[avg_temp_f]]-32) * (5/9)</f>
        <v>19.333333333333332</v>
      </c>
      <c r="K38">
        <v>0.79</v>
      </c>
      <c r="L38">
        <v>1</v>
      </c>
      <c r="M38">
        <v>36.9</v>
      </c>
      <c r="N38">
        <v>50.2</v>
      </c>
      <c r="O38">
        <v>49.8</v>
      </c>
      <c r="P38">
        <v>51.7</v>
      </c>
      <c r="Q38">
        <v>48.3</v>
      </c>
    </row>
    <row r="39" spans="1:17" x14ac:dyDescent="0.25">
      <c r="A39" s="2">
        <v>44963</v>
      </c>
      <c r="B39" s="2" t="str">
        <f t="shared" si="0"/>
        <v>Monday</v>
      </c>
      <c r="C39" s="2" t="b">
        <f t="shared" si="1"/>
        <v>0</v>
      </c>
      <c r="D39">
        <v>1</v>
      </c>
      <c r="E39" t="s">
        <v>5</v>
      </c>
      <c r="F39">
        <v>241</v>
      </c>
      <c r="G39" s="3">
        <v>4425.4399999999996</v>
      </c>
      <c r="H39" s="3">
        <f>Miami_Retail[[#This Row],[sales_usd]] / Miami_Retail[[#This Row],[customers]]</f>
        <v>18.362821576763483</v>
      </c>
      <c r="I39">
        <v>62</v>
      </c>
      <c r="J39">
        <f>(Miami_Retail[[#This Row],[avg_temp_f]]-32) * (5/9)</f>
        <v>16.666666666666668</v>
      </c>
      <c r="K39">
        <v>0</v>
      </c>
      <c r="L39">
        <v>0</v>
      </c>
      <c r="M39">
        <v>42.5</v>
      </c>
      <c r="N39">
        <v>51.2</v>
      </c>
      <c r="O39">
        <v>48.8</v>
      </c>
      <c r="P39">
        <v>44.9</v>
      </c>
      <c r="Q39">
        <v>55.1</v>
      </c>
    </row>
    <row r="40" spans="1:17" x14ac:dyDescent="0.25">
      <c r="A40" s="2">
        <v>44964</v>
      </c>
      <c r="B40" s="2" t="str">
        <f t="shared" si="0"/>
        <v>Tuesday</v>
      </c>
      <c r="C40" s="2" t="b">
        <f t="shared" si="1"/>
        <v>0</v>
      </c>
      <c r="D40">
        <v>1</v>
      </c>
      <c r="E40" t="s">
        <v>5</v>
      </c>
      <c r="F40">
        <v>181</v>
      </c>
      <c r="G40" s="3">
        <v>3606.07</v>
      </c>
      <c r="H40" s="3">
        <f>Miami_Retail[[#This Row],[sales_usd]] / Miami_Retail[[#This Row],[customers]]</f>
        <v>19.923038674033151</v>
      </c>
      <c r="I40">
        <v>66.099999999999994</v>
      </c>
      <c r="J40">
        <f>(Miami_Retail[[#This Row],[avg_temp_f]]-32) * (5/9)</f>
        <v>18.944444444444443</v>
      </c>
      <c r="K40">
        <v>0</v>
      </c>
      <c r="L40">
        <v>0</v>
      </c>
      <c r="M40">
        <v>35</v>
      </c>
      <c r="N40">
        <v>50.6</v>
      </c>
      <c r="O40">
        <v>49.4</v>
      </c>
      <c r="P40">
        <v>46.9</v>
      </c>
      <c r="Q40">
        <v>53.1</v>
      </c>
    </row>
    <row r="41" spans="1:17" x14ac:dyDescent="0.25">
      <c r="A41" s="2">
        <v>44965</v>
      </c>
      <c r="B41" s="2" t="str">
        <f t="shared" si="0"/>
        <v>Wednesday</v>
      </c>
      <c r="C41" s="2" t="b">
        <f t="shared" si="1"/>
        <v>0</v>
      </c>
      <c r="D41">
        <v>1</v>
      </c>
      <c r="E41" t="s">
        <v>5</v>
      </c>
      <c r="F41">
        <v>166</v>
      </c>
      <c r="G41" s="3">
        <v>2871.62</v>
      </c>
      <c r="H41" s="3">
        <f>Miami_Retail[[#This Row],[sales_usd]] / Miami_Retail[[#This Row],[customers]]</f>
        <v>17.2989156626506</v>
      </c>
      <c r="I41">
        <v>65.5</v>
      </c>
      <c r="J41">
        <f>(Miami_Retail[[#This Row],[avg_temp_f]]-32) * (5/9)</f>
        <v>18.611111111111111</v>
      </c>
      <c r="K41">
        <v>3.29</v>
      </c>
      <c r="L41">
        <v>1</v>
      </c>
      <c r="M41">
        <v>41.9</v>
      </c>
      <c r="N41">
        <v>51.8</v>
      </c>
      <c r="O41">
        <v>48.2</v>
      </c>
      <c r="P41">
        <v>45.3</v>
      </c>
      <c r="Q41">
        <v>54.7</v>
      </c>
    </row>
    <row r="42" spans="1:17" x14ac:dyDescent="0.25">
      <c r="A42" s="2">
        <v>44966</v>
      </c>
      <c r="B42" s="2" t="str">
        <f t="shared" si="0"/>
        <v>Thursday</v>
      </c>
      <c r="C42" s="2" t="b">
        <f t="shared" si="1"/>
        <v>0</v>
      </c>
      <c r="D42">
        <v>1</v>
      </c>
      <c r="E42" t="s">
        <v>5</v>
      </c>
      <c r="F42">
        <v>218</v>
      </c>
      <c r="G42" s="3">
        <v>3916.11</v>
      </c>
      <c r="H42" s="3">
        <f>Miami_Retail[[#This Row],[sales_usd]] / Miami_Retail[[#This Row],[customers]]</f>
        <v>17.963807339449541</v>
      </c>
      <c r="I42">
        <v>70.400000000000006</v>
      </c>
      <c r="J42">
        <f>(Miami_Retail[[#This Row],[avg_temp_f]]-32) * (5/9)</f>
        <v>21.333333333333336</v>
      </c>
      <c r="K42">
        <v>0</v>
      </c>
      <c r="L42">
        <v>0</v>
      </c>
      <c r="M42">
        <v>36.9</v>
      </c>
      <c r="N42">
        <v>49.7</v>
      </c>
      <c r="O42">
        <v>50.3</v>
      </c>
      <c r="P42">
        <v>43.9</v>
      </c>
      <c r="Q42">
        <v>56.1</v>
      </c>
    </row>
    <row r="43" spans="1:17" x14ac:dyDescent="0.25">
      <c r="A43" s="2">
        <v>44967</v>
      </c>
      <c r="B43" s="2" t="str">
        <f t="shared" si="0"/>
        <v>Friday</v>
      </c>
      <c r="C43" s="2" t="b">
        <f t="shared" si="1"/>
        <v>0</v>
      </c>
      <c r="D43">
        <v>1</v>
      </c>
      <c r="E43" t="s">
        <v>5</v>
      </c>
      <c r="F43">
        <v>210</v>
      </c>
      <c r="G43" s="3">
        <v>4044.57</v>
      </c>
      <c r="H43" s="3">
        <f>Miami_Retail[[#This Row],[sales_usd]] / Miami_Retail[[#This Row],[customers]]</f>
        <v>19.259857142857143</v>
      </c>
      <c r="I43">
        <v>65.7</v>
      </c>
      <c r="J43">
        <f>(Miami_Retail[[#This Row],[avg_temp_f]]-32) * (5/9)</f>
        <v>18.722222222222225</v>
      </c>
      <c r="K43">
        <v>0</v>
      </c>
      <c r="L43">
        <v>0</v>
      </c>
      <c r="M43">
        <v>35</v>
      </c>
      <c r="N43">
        <v>51.7</v>
      </c>
      <c r="O43">
        <v>48.3</v>
      </c>
      <c r="P43">
        <v>45.9</v>
      </c>
      <c r="Q43">
        <v>54.1</v>
      </c>
    </row>
    <row r="44" spans="1:17" x14ac:dyDescent="0.25">
      <c r="A44" s="2">
        <v>44968</v>
      </c>
      <c r="B44" s="2" t="str">
        <f t="shared" si="0"/>
        <v>Saturday</v>
      </c>
      <c r="C44" s="2" t="b">
        <f t="shared" si="1"/>
        <v>1</v>
      </c>
      <c r="D44">
        <v>1</v>
      </c>
      <c r="E44" t="s">
        <v>5</v>
      </c>
      <c r="F44">
        <v>225</v>
      </c>
      <c r="G44" s="3">
        <v>3924.84</v>
      </c>
      <c r="H44" s="3">
        <f>Miami_Retail[[#This Row],[sales_usd]] / Miami_Retail[[#This Row],[customers]]</f>
        <v>17.443733333333334</v>
      </c>
      <c r="I44">
        <v>64.7</v>
      </c>
      <c r="J44">
        <f>(Miami_Retail[[#This Row],[avg_temp_f]]-32) * (5/9)</f>
        <v>18.166666666666668</v>
      </c>
      <c r="K44">
        <v>2.4700000000000002</v>
      </c>
      <c r="L44">
        <v>1</v>
      </c>
      <c r="M44">
        <v>40.6</v>
      </c>
      <c r="N44">
        <v>50.1</v>
      </c>
      <c r="O44">
        <v>49.9</v>
      </c>
      <c r="P44">
        <v>50.7</v>
      </c>
      <c r="Q44">
        <v>49.3</v>
      </c>
    </row>
    <row r="45" spans="1:17" x14ac:dyDescent="0.25">
      <c r="A45" s="2">
        <v>44969</v>
      </c>
      <c r="B45" s="2" t="str">
        <f t="shared" si="0"/>
        <v>Sunday</v>
      </c>
      <c r="C45" s="2" t="b">
        <f t="shared" si="1"/>
        <v>1</v>
      </c>
      <c r="D45">
        <v>1</v>
      </c>
      <c r="E45" t="s">
        <v>5</v>
      </c>
      <c r="F45">
        <v>257</v>
      </c>
      <c r="G45" s="3">
        <v>5156.3</v>
      </c>
      <c r="H45" s="3">
        <f>Miami_Retail[[#This Row],[sales_usd]] / Miami_Retail[[#This Row],[customers]]</f>
        <v>20.06342412451362</v>
      </c>
      <c r="I45">
        <v>68.099999999999994</v>
      </c>
      <c r="J45">
        <f>(Miami_Retail[[#This Row],[avg_temp_f]]-32) * (5/9)</f>
        <v>20.055555555555554</v>
      </c>
      <c r="K45">
        <v>0</v>
      </c>
      <c r="L45">
        <v>0</v>
      </c>
      <c r="M45">
        <v>35.700000000000003</v>
      </c>
      <c r="N45">
        <v>51.2</v>
      </c>
      <c r="O45">
        <v>48.8</v>
      </c>
      <c r="P45">
        <v>52.1</v>
      </c>
      <c r="Q45">
        <v>47.9</v>
      </c>
    </row>
    <row r="46" spans="1:17" x14ac:dyDescent="0.25">
      <c r="A46" s="2">
        <v>44970</v>
      </c>
      <c r="B46" s="2" t="str">
        <f t="shared" si="0"/>
        <v>Monday</v>
      </c>
      <c r="C46" s="2" t="b">
        <f t="shared" si="1"/>
        <v>0</v>
      </c>
      <c r="D46">
        <v>1</v>
      </c>
      <c r="E46" t="s">
        <v>5</v>
      </c>
      <c r="F46">
        <v>234</v>
      </c>
      <c r="G46" s="3">
        <v>4036.07</v>
      </c>
      <c r="H46" s="3">
        <f>Miami_Retail[[#This Row],[sales_usd]] / Miami_Retail[[#This Row],[customers]]</f>
        <v>17.248162393162392</v>
      </c>
      <c r="I46">
        <v>69.7</v>
      </c>
      <c r="J46">
        <f>(Miami_Retail[[#This Row],[avg_temp_f]]-32) * (5/9)</f>
        <v>20.944444444444446</v>
      </c>
      <c r="K46">
        <v>0</v>
      </c>
      <c r="L46">
        <v>0</v>
      </c>
      <c r="M46">
        <v>35</v>
      </c>
      <c r="N46">
        <v>52</v>
      </c>
      <c r="O46">
        <v>48</v>
      </c>
      <c r="P46">
        <v>47.6</v>
      </c>
      <c r="Q46">
        <v>52.4</v>
      </c>
    </row>
    <row r="47" spans="1:17" x14ac:dyDescent="0.25">
      <c r="A47" s="2">
        <v>44971</v>
      </c>
      <c r="B47" s="2" t="str">
        <f t="shared" si="0"/>
        <v>Tuesday</v>
      </c>
      <c r="C47" s="2" t="b">
        <f t="shared" si="1"/>
        <v>0</v>
      </c>
      <c r="D47">
        <v>1</v>
      </c>
      <c r="E47" t="s">
        <v>5</v>
      </c>
      <c r="F47">
        <v>201</v>
      </c>
      <c r="G47" s="3">
        <v>3978.71</v>
      </c>
      <c r="H47" s="3">
        <f>Miami_Retail[[#This Row],[sales_usd]] / Miami_Retail[[#This Row],[customers]]</f>
        <v>19.794577114427859</v>
      </c>
      <c r="I47">
        <v>63.7</v>
      </c>
      <c r="J47">
        <f>(Miami_Retail[[#This Row],[avg_temp_f]]-32) * (5/9)</f>
        <v>17.611111111111114</v>
      </c>
      <c r="K47">
        <v>0</v>
      </c>
      <c r="L47">
        <v>0</v>
      </c>
      <c r="M47">
        <v>35</v>
      </c>
      <c r="N47">
        <v>51.4</v>
      </c>
      <c r="O47">
        <v>48.6</v>
      </c>
      <c r="P47">
        <v>45.8</v>
      </c>
      <c r="Q47">
        <v>54.2</v>
      </c>
    </row>
    <row r="48" spans="1:17" x14ac:dyDescent="0.25">
      <c r="A48" s="2">
        <v>44972</v>
      </c>
      <c r="B48" s="2" t="str">
        <f t="shared" si="0"/>
        <v>Wednesday</v>
      </c>
      <c r="C48" s="2" t="b">
        <f t="shared" si="1"/>
        <v>0</v>
      </c>
      <c r="D48">
        <v>1</v>
      </c>
      <c r="E48" t="s">
        <v>5</v>
      </c>
      <c r="F48">
        <v>213</v>
      </c>
      <c r="G48" s="3">
        <v>4020.09</v>
      </c>
      <c r="H48" s="3">
        <f>Miami_Retail[[#This Row],[sales_usd]] / Miami_Retail[[#This Row],[customers]]</f>
        <v>18.873661971830987</v>
      </c>
      <c r="I48">
        <v>59.8</v>
      </c>
      <c r="J48">
        <f>(Miami_Retail[[#This Row],[avg_temp_f]]-32) * (5/9)</f>
        <v>15.444444444444443</v>
      </c>
      <c r="K48">
        <v>0</v>
      </c>
      <c r="L48">
        <v>0</v>
      </c>
      <c r="M48">
        <v>35</v>
      </c>
      <c r="N48">
        <v>52.4</v>
      </c>
      <c r="O48">
        <v>47.6</v>
      </c>
      <c r="P48">
        <v>47.6</v>
      </c>
      <c r="Q48">
        <v>52.4</v>
      </c>
    </row>
    <row r="49" spans="1:17" x14ac:dyDescent="0.25">
      <c r="A49" s="2">
        <v>44973</v>
      </c>
      <c r="B49" s="2" t="str">
        <f t="shared" si="0"/>
        <v>Thursday</v>
      </c>
      <c r="C49" s="2" t="b">
        <f t="shared" si="1"/>
        <v>0</v>
      </c>
      <c r="D49">
        <v>1</v>
      </c>
      <c r="E49" t="s">
        <v>5</v>
      </c>
      <c r="F49">
        <v>229</v>
      </c>
      <c r="G49" s="3">
        <v>4289.53</v>
      </c>
      <c r="H49" s="3">
        <f>Miami_Retail[[#This Row],[sales_usd]] / Miami_Retail[[#This Row],[customers]]</f>
        <v>18.731572052401745</v>
      </c>
      <c r="I49">
        <v>69.400000000000006</v>
      </c>
      <c r="J49">
        <f>(Miami_Retail[[#This Row],[avg_temp_f]]-32) * (5/9)</f>
        <v>20.777777777777782</v>
      </c>
      <c r="K49">
        <v>0.8</v>
      </c>
      <c r="L49">
        <v>1</v>
      </c>
      <c r="M49">
        <v>37.1</v>
      </c>
      <c r="N49">
        <v>50.9</v>
      </c>
      <c r="O49">
        <v>49.1</v>
      </c>
      <c r="P49">
        <v>45.8</v>
      </c>
      <c r="Q49">
        <v>54.2</v>
      </c>
    </row>
    <row r="50" spans="1:17" x14ac:dyDescent="0.25">
      <c r="A50" s="2">
        <v>44974</v>
      </c>
      <c r="B50" s="2" t="str">
        <f t="shared" si="0"/>
        <v>Friday</v>
      </c>
      <c r="C50" s="2" t="b">
        <f t="shared" si="1"/>
        <v>0</v>
      </c>
      <c r="D50">
        <v>1</v>
      </c>
      <c r="E50" t="s">
        <v>5</v>
      </c>
      <c r="F50">
        <v>219</v>
      </c>
      <c r="G50" s="3">
        <v>4180.9399999999996</v>
      </c>
      <c r="H50" s="3">
        <f>Miami_Retail[[#This Row],[sales_usd]] / Miami_Retail[[#This Row],[customers]]</f>
        <v>19.0910502283105</v>
      </c>
      <c r="I50">
        <v>59.8</v>
      </c>
      <c r="J50">
        <f>(Miami_Retail[[#This Row],[avg_temp_f]]-32) * (5/9)</f>
        <v>15.444444444444443</v>
      </c>
      <c r="K50">
        <v>0</v>
      </c>
      <c r="L50">
        <v>0</v>
      </c>
      <c r="M50">
        <v>37.200000000000003</v>
      </c>
      <c r="N50">
        <v>52.5</v>
      </c>
      <c r="O50">
        <v>47.5</v>
      </c>
      <c r="P50">
        <v>45.9</v>
      </c>
      <c r="Q50">
        <v>54.1</v>
      </c>
    </row>
    <row r="51" spans="1:17" x14ac:dyDescent="0.25">
      <c r="A51" s="2">
        <v>44975</v>
      </c>
      <c r="B51" s="2" t="str">
        <f t="shared" si="0"/>
        <v>Saturday</v>
      </c>
      <c r="C51" s="2" t="b">
        <f t="shared" si="1"/>
        <v>1</v>
      </c>
      <c r="D51">
        <v>1</v>
      </c>
      <c r="E51" t="s">
        <v>5</v>
      </c>
      <c r="F51">
        <v>255</v>
      </c>
      <c r="G51" s="3">
        <v>5175.76</v>
      </c>
      <c r="H51" s="3">
        <f>Miami_Retail[[#This Row],[sales_usd]] / Miami_Retail[[#This Row],[customers]]</f>
        <v>20.297098039215687</v>
      </c>
      <c r="I51">
        <v>73.5</v>
      </c>
      <c r="J51">
        <f>(Miami_Retail[[#This Row],[avg_temp_f]]-32) * (5/9)</f>
        <v>23.055555555555557</v>
      </c>
      <c r="K51">
        <v>0</v>
      </c>
      <c r="L51">
        <v>0</v>
      </c>
      <c r="M51">
        <v>35</v>
      </c>
      <c r="N51">
        <v>52.4</v>
      </c>
      <c r="O51">
        <v>47.6</v>
      </c>
      <c r="P51">
        <v>52</v>
      </c>
      <c r="Q51">
        <v>48</v>
      </c>
    </row>
    <row r="52" spans="1:17" x14ac:dyDescent="0.25">
      <c r="A52" s="2">
        <v>44976</v>
      </c>
      <c r="B52" s="2" t="str">
        <f t="shared" si="0"/>
        <v>Sunday</v>
      </c>
      <c r="C52" s="2" t="b">
        <f t="shared" si="1"/>
        <v>1</v>
      </c>
      <c r="D52">
        <v>1</v>
      </c>
      <c r="E52" t="s">
        <v>5</v>
      </c>
      <c r="F52">
        <v>252</v>
      </c>
      <c r="G52" s="3">
        <v>4562.8599999999997</v>
      </c>
      <c r="H52" s="3">
        <f>Miami_Retail[[#This Row],[sales_usd]] / Miami_Retail[[#This Row],[customers]]</f>
        <v>18.1065873015873</v>
      </c>
      <c r="I52">
        <v>67.8</v>
      </c>
      <c r="J52">
        <f>(Miami_Retail[[#This Row],[avg_temp_f]]-32) * (5/9)</f>
        <v>19.888888888888889</v>
      </c>
      <c r="K52">
        <v>0</v>
      </c>
      <c r="L52">
        <v>0</v>
      </c>
      <c r="M52">
        <v>35.200000000000003</v>
      </c>
      <c r="N52">
        <v>52.1</v>
      </c>
      <c r="O52">
        <v>47.9</v>
      </c>
      <c r="P52">
        <v>53.8</v>
      </c>
      <c r="Q52">
        <v>46.2</v>
      </c>
    </row>
    <row r="53" spans="1:17" x14ac:dyDescent="0.25">
      <c r="A53" s="2">
        <v>44977</v>
      </c>
      <c r="B53" s="2" t="str">
        <f t="shared" si="0"/>
        <v>Monday</v>
      </c>
      <c r="C53" s="2" t="b">
        <f t="shared" si="1"/>
        <v>0</v>
      </c>
      <c r="D53">
        <v>1</v>
      </c>
      <c r="E53" t="s">
        <v>5</v>
      </c>
      <c r="F53">
        <v>213</v>
      </c>
      <c r="G53" s="3">
        <v>4157.8999999999996</v>
      </c>
      <c r="H53" s="3">
        <f>Miami_Retail[[#This Row],[sales_usd]] / Miami_Retail[[#This Row],[customers]]</f>
        <v>19.520657276995305</v>
      </c>
      <c r="I53">
        <v>70.900000000000006</v>
      </c>
      <c r="J53">
        <f>(Miami_Retail[[#This Row],[avg_temp_f]]-32) * (5/9)</f>
        <v>21.611111111111114</v>
      </c>
      <c r="K53">
        <v>0.32</v>
      </c>
      <c r="L53">
        <v>1</v>
      </c>
      <c r="M53">
        <v>35.9</v>
      </c>
      <c r="N53">
        <v>51.8</v>
      </c>
      <c r="O53">
        <v>48.2</v>
      </c>
      <c r="P53">
        <v>47.9</v>
      </c>
      <c r="Q53">
        <v>52.1</v>
      </c>
    </row>
    <row r="54" spans="1:17" x14ac:dyDescent="0.25">
      <c r="A54" s="2">
        <v>44978</v>
      </c>
      <c r="B54" s="2" t="str">
        <f t="shared" si="0"/>
        <v>Tuesday</v>
      </c>
      <c r="C54" s="2" t="b">
        <f t="shared" si="1"/>
        <v>0</v>
      </c>
      <c r="D54">
        <v>1</v>
      </c>
      <c r="E54" t="s">
        <v>5</v>
      </c>
      <c r="F54">
        <v>193</v>
      </c>
      <c r="G54" s="3">
        <v>3744.72</v>
      </c>
      <c r="H54" s="3">
        <f>Miami_Retail[[#This Row],[sales_usd]] / Miami_Retail[[#This Row],[customers]]</f>
        <v>19.402694300518135</v>
      </c>
      <c r="I54">
        <v>69.5</v>
      </c>
      <c r="J54">
        <f>(Miami_Retail[[#This Row],[avg_temp_f]]-32) * (5/9)</f>
        <v>20.833333333333336</v>
      </c>
      <c r="K54">
        <v>0.59</v>
      </c>
      <c r="L54">
        <v>1</v>
      </c>
      <c r="M54">
        <v>35</v>
      </c>
      <c r="N54">
        <v>50.7</v>
      </c>
      <c r="O54">
        <v>49.3</v>
      </c>
      <c r="P54">
        <v>46.5</v>
      </c>
      <c r="Q54">
        <v>53.5</v>
      </c>
    </row>
    <row r="55" spans="1:17" x14ac:dyDescent="0.25">
      <c r="A55" s="2">
        <v>44979</v>
      </c>
      <c r="B55" s="2" t="str">
        <f t="shared" si="0"/>
        <v>Wednesday</v>
      </c>
      <c r="C55" s="2" t="b">
        <f t="shared" si="1"/>
        <v>0</v>
      </c>
      <c r="D55">
        <v>1</v>
      </c>
      <c r="E55" t="s">
        <v>5</v>
      </c>
      <c r="F55">
        <v>253</v>
      </c>
      <c r="G55" s="3">
        <v>4481.76</v>
      </c>
      <c r="H55" s="3">
        <f>Miami_Retail[[#This Row],[sales_usd]] / Miami_Retail[[#This Row],[customers]]</f>
        <v>17.714466403162056</v>
      </c>
      <c r="I55">
        <v>69.5</v>
      </c>
      <c r="J55">
        <f>(Miami_Retail[[#This Row],[avg_temp_f]]-32) * (5/9)</f>
        <v>20.833333333333336</v>
      </c>
      <c r="K55">
        <v>0</v>
      </c>
      <c r="L55">
        <v>0</v>
      </c>
      <c r="M55">
        <v>38.6</v>
      </c>
      <c r="N55">
        <v>50.3</v>
      </c>
      <c r="O55">
        <v>49.7</v>
      </c>
      <c r="P55">
        <v>46.2</v>
      </c>
      <c r="Q55">
        <v>53.8</v>
      </c>
    </row>
    <row r="56" spans="1:17" x14ac:dyDescent="0.25">
      <c r="A56" s="2">
        <v>44980</v>
      </c>
      <c r="B56" s="2" t="str">
        <f t="shared" si="0"/>
        <v>Thursday</v>
      </c>
      <c r="C56" s="2" t="b">
        <f t="shared" si="1"/>
        <v>0</v>
      </c>
      <c r="D56">
        <v>1</v>
      </c>
      <c r="E56" t="s">
        <v>5</v>
      </c>
      <c r="F56">
        <v>227</v>
      </c>
      <c r="G56" s="3">
        <v>4303.09</v>
      </c>
      <c r="H56" s="3">
        <f>Miami_Retail[[#This Row],[sales_usd]] / Miami_Retail[[#This Row],[customers]]</f>
        <v>18.956343612334802</v>
      </c>
      <c r="I56">
        <v>67.8</v>
      </c>
      <c r="J56">
        <f>(Miami_Retail[[#This Row],[avg_temp_f]]-32) * (5/9)</f>
        <v>19.888888888888889</v>
      </c>
      <c r="K56">
        <v>0</v>
      </c>
      <c r="L56">
        <v>0</v>
      </c>
      <c r="M56">
        <v>35</v>
      </c>
      <c r="N56">
        <v>50.8</v>
      </c>
      <c r="O56">
        <v>49.2</v>
      </c>
      <c r="P56">
        <v>46.6</v>
      </c>
      <c r="Q56">
        <v>53.4</v>
      </c>
    </row>
    <row r="57" spans="1:17" x14ac:dyDescent="0.25">
      <c r="A57" s="2">
        <v>44981</v>
      </c>
      <c r="B57" s="2" t="str">
        <f t="shared" si="0"/>
        <v>Friday</v>
      </c>
      <c r="C57" s="2" t="b">
        <f t="shared" si="1"/>
        <v>0</v>
      </c>
      <c r="D57">
        <v>1</v>
      </c>
      <c r="E57" t="s">
        <v>5</v>
      </c>
      <c r="F57">
        <v>230</v>
      </c>
      <c r="G57" s="3">
        <v>4161.1099999999997</v>
      </c>
      <c r="H57" s="3">
        <f>Miami_Retail[[#This Row],[sales_usd]] / Miami_Retail[[#This Row],[customers]]</f>
        <v>18.091782608695652</v>
      </c>
      <c r="I57">
        <v>55.5</v>
      </c>
      <c r="J57">
        <f>(Miami_Retail[[#This Row],[avg_temp_f]]-32) * (5/9)</f>
        <v>13.055555555555555</v>
      </c>
      <c r="K57">
        <v>0</v>
      </c>
      <c r="L57">
        <v>0</v>
      </c>
      <c r="M57">
        <v>37.6</v>
      </c>
      <c r="N57">
        <v>52.5</v>
      </c>
      <c r="O57">
        <v>47.5</v>
      </c>
      <c r="P57">
        <v>46.6</v>
      </c>
      <c r="Q57">
        <v>53.4</v>
      </c>
    </row>
    <row r="58" spans="1:17" x14ac:dyDescent="0.25">
      <c r="A58" s="2">
        <v>44982</v>
      </c>
      <c r="B58" s="2" t="str">
        <f t="shared" si="0"/>
        <v>Saturday</v>
      </c>
      <c r="C58" s="2" t="b">
        <f t="shared" si="1"/>
        <v>1</v>
      </c>
      <c r="D58">
        <v>1</v>
      </c>
      <c r="E58" t="s">
        <v>5</v>
      </c>
      <c r="F58">
        <v>249</v>
      </c>
      <c r="G58" s="3">
        <v>4847.5600000000004</v>
      </c>
      <c r="H58" s="3">
        <f>Miami_Retail[[#This Row],[sales_usd]] / Miami_Retail[[#This Row],[customers]]</f>
        <v>19.468112449799197</v>
      </c>
      <c r="I58">
        <v>62.7</v>
      </c>
      <c r="J58">
        <f>(Miami_Retail[[#This Row],[avg_temp_f]]-32) * (5/9)</f>
        <v>17.055555555555557</v>
      </c>
      <c r="K58">
        <v>0.24</v>
      </c>
      <c r="L58">
        <v>1</v>
      </c>
      <c r="M58">
        <v>35.200000000000003</v>
      </c>
      <c r="N58">
        <v>50.5</v>
      </c>
      <c r="O58">
        <v>49.5</v>
      </c>
      <c r="P58">
        <v>54.2</v>
      </c>
      <c r="Q58">
        <v>45.8</v>
      </c>
    </row>
    <row r="59" spans="1:17" x14ac:dyDescent="0.25">
      <c r="A59" s="2">
        <v>44983</v>
      </c>
      <c r="B59" s="2" t="str">
        <f t="shared" si="0"/>
        <v>Sunday</v>
      </c>
      <c r="C59" s="2" t="b">
        <f t="shared" si="1"/>
        <v>1</v>
      </c>
      <c r="D59">
        <v>1</v>
      </c>
      <c r="E59" t="s">
        <v>5</v>
      </c>
      <c r="F59">
        <v>269</v>
      </c>
      <c r="G59" s="3">
        <v>5138.28</v>
      </c>
      <c r="H59" s="3">
        <f>Miami_Retail[[#This Row],[sales_usd]] / Miami_Retail[[#This Row],[customers]]</f>
        <v>19.101412639405204</v>
      </c>
      <c r="I59">
        <v>71.8</v>
      </c>
      <c r="J59">
        <f>(Miami_Retail[[#This Row],[avg_temp_f]]-32) * (5/9)</f>
        <v>22.111111111111111</v>
      </c>
      <c r="K59">
        <v>0</v>
      </c>
      <c r="L59">
        <v>0</v>
      </c>
      <c r="M59">
        <v>41.9</v>
      </c>
      <c r="N59">
        <v>50.6</v>
      </c>
      <c r="O59">
        <v>49.4</v>
      </c>
      <c r="P59">
        <v>51.7</v>
      </c>
      <c r="Q59">
        <v>48.3</v>
      </c>
    </row>
    <row r="60" spans="1:17" x14ac:dyDescent="0.25">
      <c r="A60" s="2">
        <v>44984</v>
      </c>
      <c r="B60" s="2" t="str">
        <f t="shared" si="0"/>
        <v>Monday</v>
      </c>
      <c r="C60" s="2" t="b">
        <f t="shared" si="1"/>
        <v>0</v>
      </c>
      <c r="D60">
        <v>1</v>
      </c>
      <c r="E60" t="s">
        <v>5</v>
      </c>
      <c r="F60">
        <v>240</v>
      </c>
      <c r="G60" s="3">
        <v>4782.3599999999997</v>
      </c>
      <c r="H60" s="3">
        <f>Miami_Retail[[#This Row],[sales_usd]] / Miami_Retail[[#This Row],[customers]]</f>
        <v>19.926499999999997</v>
      </c>
      <c r="I60">
        <v>61.3</v>
      </c>
      <c r="J60">
        <f>(Miami_Retail[[#This Row],[avg_temp_f]]-32) * (5/9)</f>
        <v>16.277777777777779</v>
      </c>
      <c r="K60">
        <v>0</v>
      </c>
      <c r="L60">
        <v>0</v>
      </c>
      <c r="M60">
        <v>39.1</v>
      </c>
      <c r="N60">
        <v>53.1</v>
      </c>
      <c r="O60">
        <v>46.9</v>
      </c>
      <c r="P60">
        <v>48.7</v>
      </c>
      <c r="Q60">
        <v>51.3</v>
      </c>
    </row>
    <row r="61" spans="1:17" x14ac:dyDescent="0.25">
      <c r="A61" s="2">
        <v>44985</v>
      </c>
      <c r="B61" s="2" t="str">
        <f t="shared" si="0"/>
        <v>Tuesday</v>
      </c>
      <c r="C61" s="2" t="b">
        <f t="shared" si="1"/>
        <v>0</v>
      </c>
      <c r="D61">
        <v>1</v>
      </c>
      <c r="E61" t="s">
        <v>5</v>
      </c>
      <c r="F61">
        <v>247</v>
      </c>
      <c r="G61" s="3">
        <v>4942.8</v>
      </c>
      <c r="H61" s="3">
        <f>Miami_Retail[[#This Row],[sales_usd]] / Miami_Retail[[#This Row],[customers]]</f>
        <v>20.011336032388666</v>
      </c>
      <c r="I61">
        <v>65.8</v>
      </c>
      <c r="J61">
        <f>(Miami_Retail[[#This Row],[avg_temp_f]]-32) * (5/9)</f>
        <v>18.777777777777779</v>
      </c>
      <c r="K61">
        <v>0</v>
      </c>
      <c r="L61">
        <v>0</v>
      </c>
      <c r="M61">
        <v>35</v>
      </c>
      <c r="N61">
        <v>50.3</v>
      </c>
      <c r="O61">
        <v>49.7</v>
      </c>
      <c r="P61">
        <v>47.1</v>
      </c>
      <c r="Q61">
        <v>52.9</v>
      </c>
    </row>
    <row r="62" spans="1:17" x14ac:dyDescent="0.25">
      <c r="A62" s="2">
        <v>44986</v>
      </c>
      <c r="B62" s="2" t="str">
        <f t="shared" si="0"/>
        <v>Wednesday</v>
      </c>
      <c r="C62" s="2" t="b">
        <f t="shared" si="1"/>
        <v>0</v>
      </c>
      <c r="D62">
        <v>1</v>
      </c>
      <c r="E62" t="s">
        <v>5</v>
      </c>
      <c r="F62">
        <v>218</v>
      </c>
      <c r="G62" s="3">
        <v>3964.72</v>
      </c>
      <c r="H62" s="3">
        <f>Miami_Retail[[#This Row],[sales_usd]] / Miami_Retail[[#This Row],[customers]]</f>
        <v>18.186788990825686</v>
      </c>
      <c r="I62">
        <v>71.3</v>
      </c>
      <c r="J62">
        <f>(Miami_Retail[[#This Row],[avg_temp_f]]-32) * (5/9)</f>
        <v>21.833333333333332</v>
      </c>
      <c r="K62">
        <v>0.09</v>
      </c>
      <c r="L62">
        <v>1</v>
      </c>
      <c r="M62">
        <v>35</v>
      </c>
      <c r="N62">
        <v>52.8</v>
      </c>
      <c r="O62">
        <v>47.2</v>
      </c>
      <c r="P62">
        <v>45.3</v>
      </c>
      <c r="Q62">
        <v>54.7</v>
      </c>
    </row>
    <row r="63" spans="1:17" x14ac:dyDescent="0.25">
      <c r="A63" s="2">
        <v>44987</v>
      </c>
      <c r="B63" s="2" t="str">
        <f t="shared" si="0"/>
        <v>Thursday</v>
      </c>
      <c r="C63" s="2" t="b">
        <f t="shared" si="1"/>
        <v>0</v>
      </c>
      <c r="D63">
        <v>1</v>
      </c>
      <c r="E63" t="s">
        <v>5</v>
      </c>
      <c r="F63">
        <v>186</v>
      </c>
      <c r="G63" s="3">
        <v>3161.3</v>
      </c>
      <c r="H63" s="3">
        <f>Miami_Retail[[#This Row],[sales_usd]] / Miami_Retail[[#This Row],[customers]]</f>
        <v>16.996236559139785</v>
      </c>
      <c r="I63">
        <v>65.599999999999994</v>
      </c>
      <c r="J63">
        <f>(Miami_Retail[[#This Row],[avg_temp_f]]-32) * (5/9)</f>
        <v>18.666666666666664</v>
      </c>
      <c r="K63">
        <v>0</v>
      </c>
      <c r="L63">
        <v>0</v>
      </c>
      <c r="M63">
        <v>37.200000000000003</v>
      </c>
      <c r="N63">
        <v>50.9</v>
      </c>
      <c r="O63">
        <v>49.1</v>
      </c>
      <c r="P63">
        <v>46.8</v>
      </c>
      <c r="Q63">
        <v>53.2</v>
      </c>
    </row>
    <row r="64" spans="1:17" x14ac:dyDescent="0.25">
      <c r="A64" s="2">
        <v>44988</v>
      </c>
      <c r="B64" s="2" t="str">
        <f t="shared" si="0"/>
        <v>Friday</v>
      </c>
      <c r="C64" s="2" t="b">
        <f t="shared" si="1"/>
        <v>0</v>
      </c>
      <c r="D64">
        <v>1</v>
      </c>
      <c r="E64" t="s">
        <v>5</v>
      </c>
      <c r="F64">
        <v>207</v>
      </c>
      <c r="G64" s="3">
        <v>3658.99</v>
      </c>
      <c r="H64" s="3">
        <f>Miami_Retail[[#This Row],[sales_usd]] / Miami_Retail[[#This Row],[customers]]</f>
        <v>17.676280193236714</v>
      </c>
      <c r="I64">
        <v>66.900000000000006</v>
      </c>
      <c r="J64">
        <f>(Miami_Retail[[#This Row],[avg_temp_f]]-32) * (5/9)</f>
        <v>19.388888888888893</v>
      </c>
      <c r="K64">
        <v>0</v>
      </c>
      <c r="L64">
        <v>0</v>
      </c>
      <c r="M64">
        <v>40.4</v>
      </c>
      <c r="N64">
        <v>51</v>
      </c>
      <c r="O64">
        <v>49</v>
      </c>
      <c r="P64">
        <v>46.8</v>
      </c>
      <c r="Q64">
        <v>53.2</v>
      </c>
    </row>
    <row r="65" spans="1:17" x14ac:dyDescent="0.25">
      <c r="A65" s="2">
        <v>44989</v>
      </c>
      <c r="B65" s="2" t="str">
        <f t="shared" si="0"/>
        <v>Saturday</v>
      </c>
      <c r="C65" s="2" t="b">
        <f t="shared" si="1"/>
        <v>1</v>
      </c>
      <c r="D65">
        <v>1</v>
      </c>
      <c r="E65" t="s">
        <v>5</v>
      </c>
      <c r="F65">
        <v>255</v>
      </c>
      <c r="G65" s="3">
        <v>5310.23</v>
      </c>
      <c r="H65" s="3">
        <f>Miami_Retail[[#This Row],[sales_usd]] / Miami_Retail[[#This Row],[customers]]</f>
        <v>20.824431372549018</v>
      </c>
      <c r="I65">
        <v>67.5</v>
      </c>
      <c r="J65">
        <f>(Miami_Retail[[#This Row],[avg_temp_f]]-32) * (5/9)</f>
        <v>19.722222222222221</v>
      </c>
      <c r="K65">
        <v>0</v>
      </c>
      <c r="L65">
        <v>0</v>
      </c>
      <c r="M65">
        <v>35</v>
      </c>
      <c r="N65">
        <v>51.1</v>
      </c>
      <c r="O65">
        <v>48.9</v>
      </c>
      <c r="P65">
        <v>51.9</v>
      </c>
      <c r="Q65">
        <v>48.1</v>
      </c>
    </row>
    <row r="66" spans="1:17" x14ac:dyDescent="0.25">
      <c r="A66" s="2">
        <v>44990</v>
      </c>
      <c r="B66" s="2" t="str">
        <f t="shared" ref="B66:B129" si="2">TEXT(A66, "dddd")</f>
        <v>Sunday</v>
      </c>
      <c r="C66" s="2" t="b">
        <f t="shared" ref="C66:C129" si="3">IF(WEEKDAY(A66,2)&gt;5,TRUE,FALSE)</f>
        <v>1</v>
      </c>
      <c r="D66">
        <v>1</v>
      </c>
      <c r="E66" t="s">
        <v>5</v>
      </c>
      <c r="F66">
        <v>277</v>
      </c>
      <c r="G66" s="3">
        <v>4952.1899999999996</v>
      </c>
      <c r="H66" s="3">
        <f>Miami_Retail[[#This Row],[sales_usd]] / Miami_Retail[[#This Row],[customers]]</f>
        <v>17.877942238267146</v>
      </c>
      <c r="I66">
        <v>62.1</v>
      </c>
      <c r="J66">
        <f>(Miami_Retail[[#This Row],[avg_temp_f]]-32) * (5/9)</f>
        <v>16.722222222222225</v>
      </c>
      <c r="K66">
        <v>0</v>
      </c>
      <c r="L66">
        <v>0</v>
      </c>
      <c r="M66">
        <v>38</v>
      </c>
      <c r="N66">
        <v>50.8</v>
      </c>
      <c r="O66">
        <v>49.2</v>
      </c>
      <c r="P66">
        <v>53.6</v>
      </c>
      <c r="Q66">
        <v>46.4</v>
      </c>
    </row>
    <row r="67" spans="1:17" x14ac:dyDescent="0.25">
      <c r="A67" s="2">
        <v>44991</v>
      </c>
      <c r="B67" s="2" t="str">
        <f t="shared" si="2"/>
        <v>Monday</v>
      </c>
      <c r="C67" s="2" t="b">
        <f t="shared" si="3"/>
        <v>0</v>
      </c>
      <c r="D67">
        <v>1</v>
      </c>
      <c r="E67" t="s">
        <v>5</v>
      </c>
      <c r="F67">
        <v>222</v>
      </c>
      <c r="G67" s="3">
        <v>3968.55</v>
      </c>
      <c r="H67" s="3">
        <f>Miami_Retail[[#This Row],[sales_usd]] / Miami_Retail[[#This Row],[customers]]</f>
        <v>17.876351351351353</v>
      </c>
      <c r="I67">
        <v>64.7</v>
      </c>
      <c r="J67">
        <f>(Miami_Retail[[#This Row],[avg_temp_f]]-32) * (5/9)</f>
        <v>18.166666666666668</v>
      </c>
      <c r="K67">
        <v>0.44</v>
      </c>
      <c r="L67">
        <v>1</v>
      </c>
      <c r="M67">
        <v>35</v>
      </c>
      <c r="N67">
        <v>51.3</v>
      </c>
      <c r="O67">
        <v>48.7</v>
      </c>
      <c r="P67">
        <v>46.9</v>
      </c>
      <c r="Q67">
        <v>53.1</v>
      </c>
    </row>
    <row r="68" spans="1:17" x14ac:dyDescent="0.25">
      <c r="A68" s="2">
        <v>44992</v>
      </c>
      <c r="B68" s="2" t="str">
        <f t="shared" si="2"/>
        <v>Tuesday</v>
      </c>
      <c r="C68" s="2" t="b">
        <f t="shared" si="3"/>
        <v>0</v>
      </c>
      <c r="D68">
        <v>1</v>
      </c>
      <c r="E68" t="s">
        <v>5</v>
      </c>
      <c r="F68">
        <v>232</v>
      </c>
      <c r="G68" s="3">
        <v>4224.66</v>
      </c>
      <c r="H68" s="3">
        <f>Miami_Retail[[#This Row],[sales_usd]] / Miami_Retail[[#This Row],[customers]]</f>
        <v>18.209741379310344</v>
      </c>
      <c r="I68">
        <v>61</v>
      </c>
      <c r="J68">
        <f>(Miami_Retail[[#This Row],[avg_temp_f]]-32) * (5/9)</f>
        <v>16.111111111111111</v>
      </c>
      <c r="K68">
        <v>0.65</v>
      </c>
      <c r="L68">
        <v>1</v>
      </c>
      <c r="M68">
        <v>37.200000000000003</v>
      </c>
      <c r="N68">
        <v>51.4</v>
      </c>
      <c r="O68">
        <v>48.6</v>
      </c>
      <c r="P68">
        <v>46.6</v>
      </c>
      <c r="Q68">
        <v>53.4</v>
      </c>
    </row>
    <row r="69" spans="1:17" x14ac:dyDescent="0.25">
      <c r="A69" s="2">
        <v>44993</v>
      </c>
      <c r="B69" s="2" t="str">
        <f t="shared" si="2"/>
        <v>Wednesday</v>
      </c>
      <c r="C69" s="2" t="b">
        <f t="shared" si="3"/>
        <v>0</v>
      </c>
      <c r="D69">
        <v>1</v>
      </c>
      <c r="E69" t="s">
        <v>5</v>
      </c>
      <c r="F69">
        <v>225</v>
      </c>
      <c r="G69" s="3">
        <v>4295.8500000000004</v>
      </c>
      <c r="H69" s="3">
        <f>Miami_Retail[[#This Row],[sales_usd]] / Miami_Retail[[#This Row],[customers]]</f>
        <v>19.09266666666667</v>
      </c>
      <c r="I69">
        <v>66.5</v>
      </c>
      <c r="J69">
        <f>(Miami_Retail[[#This Row],[avg_temp_f]]-32) * (5/9)</f>
        <v>19.166666666666668</v>
      </c>
      <c r="K69">
        <v>0</v>
      </c>
      <c r="L69">
        <v>0</v>
      </c>
      <c r="M69">
        <v>35</v>
      </c>
      <c r="N69">
        <v>51.7</v>
      </c>
      <c r="O69">
        <v>48.3</v>
      </c>
      <c r="P69">
        <v>45.4</v>
      </c>
      <c r="Q69">
        <v>54.6</v>
      </c>
    </row>
    <row r="70" spans="1:17" x14ac:dyDescent="0.25">
      <c r="A70" s="2">
        <v>44994</v>
      </c>
      <c r="B70" s="2" t="str">
        <f t="shared" si="2"/>
        <v>Thursday</v>
      </c>
      <c r="C70" s="2" t="b">
        <f t="shared" si="3"/>
        <v>0</v>
      </c>
      <c r="D70">
        <v>1</v>
      </c>
      <c r="E70" t="s">
        <v>5</v>
      </c>
      <c r="F70">
        <v>244</v>
      </c>
      <c r="G70" s="3">
        <v>5123.26</v>
      </c>
      <c r="H70" s="3">
        <f>Miami_Retail[[#This Row],[sales_usd]] / Miami_Retail[[#This Row],[customers]]</f>
        <v>20.996967213114754</v>
      </c>
      <c r="I70">
        <v>63.7</v>
      </c>
      <c r="J70">
        <f>(Miami_Retail[[#This Row],[avg_temp_f]]-32) * (5/9)</f>
        <v>17.611111111111114</v>
      </c>
      <c r="K70">
        <v>0</v>
      </c>
      <c r="L70">
        <v>0</v>
      </c>
      <c r="M70">
        <v>36.9</v>
      </c>
      <c r="N70">
        <v>53.2</v>
      </c>
      <c r="O70">
        <v>46.8</v>
      </c>
      <c r="P70">
        <v>47.9</v>
      </c>
      <c r="Q70">
        <v>52.1</v>
      </c>
    </row>
    <row r="71" spans="1:17" x14ac:dyDescent="0.25">
      <c r="A71" s="2">
        <v>44995</v>
      </c>
      <c r="B71" s="2" t="str">
        <f t="shared" si="2"/>
        <v>Friday</v>
      </c>
      <c r="C71" s="2" t="b">
        <f t="shared" si="3"/>
        <v>0</v>
      </c>
      <c r="D71">
        <v>1</v>
      </c>
      <c r="E71" t="s">
        <v>5</v>
      </c>
      <c r="F71">
        <v>255</v>
      </c>
      <c r="G71" s="3">
        <v>4625.37</v>
      </c>
      <c r="H71" s="3">
        <f>Miami_Retail[[#This Row],[sales_usd]] / Miami_Retail[[#This Row],[customers]]</f>
        <v>18.138705882352941</v>
      </c>
      <c r="I71">
        <v>63.4</v>
      </c>
      <c r="J71">
        <f>(Miami_Retail[[#This Row],[avg_temp_f]]-32) * (5/9)</f>
        <v>17.444444444444443</v>
      </c>
      <c r="K71">
        <v>0</v>
      </c>
      <c r="L71">
        <v>0</v>
      </c>
      <c r="M71">
        <v>35</v>
      </c>
      <c r="N71">
        <v>50.5</v>
      </c>
      <c r="O71">
        <v>49.5</v>
      </c>
      <c r="P71">
        <v>47.2</v>
      </c>
      <c r="Q71">
        <v>52.8</v>
      </c>
    </row>
    <row r="72" spans="1:17" x14ac:dyDescent="0.25">
      <c r="A72" s="2">
        <v>44996</v>
      </c>
      <c r="B72" s="2" t="str">
        <f t="shared" si="2"/>
        <v>Saturday</v>
      </c>
      <c r="C72" s="2" t="b">
        <f t="shared" si="3"/>
        <v>1</v>
      </c>
      <c r="D72">
        <v>1</v>
      </c>
      <c r="E72" t="s">
        <v>5</v>
      </c>
      <c r="F72">
        <v>253</v>
      </c>
      <c r="G72" s="3">
        <v>4573.3500000000004</v>
      </c>
      <c r="H72" s="3">
        <f>Miami_Retail[[#This Row],[sales_usd]] / Miami_Retail[[#This Row],[customers]]</f>
        <v>18.076482213438737</v>
      </c>
      <c r="I72">
        <v>68.7</v>
      </c>
      <c r="J72">
        <f>(Miami_Retail[[#This Row],[avg_temp_f]]-32) * (5/9)</f>
        <v>20.388888888888893</v>
      </c>
      <c r="K72">
        <v>0.03</v>
      </c>
      <c r="L72">
        <v>1</v>
      </c>
      <c r="M72">
        <v>35</v>
      </c>
      <c r="N72">
        <v>50.4</v>
      </c>
      <c r="O72">
        <v>49.6</v>
      </c>
      <c r="P72">
        <v>53.2</v>
      </c>
      <c r="Q72">
        <v>46.8</v>
      </c>
    </row>
    <row r="73" spans="1:17" x14ac:dyDescent="0.25">
      <c r="A73" s="2">
        <v>44997</v>
      </c>
      <c r="B73" s="2" t="str">
        <f t="shared" si="2"/>
        <v>Sunday</v>
      </c>
      <c r="C73" s="2" t="b">
        <f t="shared" si="3"/>
        <v>1</v>
      </c>
      <c r="D73">
        <v>1</v>
      </c>
      <c r="E73" t="s">
        <v>5</v>
      </c>
      <c r="F73">
        <v>261</v>
      </c>
      <c r="G73" s="3">
        <v>5209.2700000000004</v>
      </c>
      <c r="H73" s="3">
        <f>Miami_Retail[[#This Row],[sales_usd]] / Miami_Retail[[#This Row],[customers]]</f>
        <v>19.95888888888889</v>
      </c>
      <c r="I73">
        <v>71.900000000000006</v>
      </c>
      <c r="J73">
        <f>(Miami_Retail[[#This Row],[avg_temp_f]]-32) * (5/9)</f>
        <v>22.166666666666671</v>
      </c>
      <c r="K73">
        <v>0</v>
      </c>
      <c r="L73">
        <v>0</v>
      </c>
      <c r="M73">
        <v>35</v>
      </c>
      <c r="N73">
        <v>51.7</v>
      </c>
      <c r="O73">
        <v>48.3</v>
      </c>
      <c r="P73">
        <v>53.2</v>
      </c>
      <c r="Q73">
        <v>46.8</v>
      </c>
    </row>
    <row r="74" spans="1:17" x14ac:dyDescent="0.25">
      <c r="A74" s="2">
        <v>44998</v>
      </c>
      <c r="B74" s="2" t="str">
        <f t="shared" si="2"/>
        <v>Monday</v>
      </c>
      <c r="C74" s="2" t="b">
        <f t="shared" si="3"/>
        <v>0</v>
      </c>
      <c r="D74">
        <v>1</v>
      </c>
      <c r="E74" t="s">
        <v>5</v>
      </c>
      <c r="F74">
        <v>211</v>
      </c>
      <c r="G74" s="3">
        <v>4085.64</v>
      </c>
      <c r="H74" s="3">
        <f>Miami_Retail[[#This Row],[sales_usd]] / Miami_Retail[[#This Row],[customers]]</f>
        <v>19.363222748815165</v>
      </c>
      <c r="I74">
        <v>66.5</v>
      </c>
      <c r="J74">
        <f>(Miami_Retail[[#This Row],[avg_temp_f]]-32) * (5/9)</f>
        <v>19.166666666666668</v>
      </c>
      <c r="K74">
        <v>0.21</v>
      </c>
      <c r="L74">
        <v>1</v>
      </c>
      <c r="M74">
        <v>43.3</v>
      </c>
      <c r="N74">
        <v>52.4</v>
      </c>
      <c r="O74">
        <v>47.6</v>
      </c>
      <c r="P74">
        <v>49.2</v>
      </c>
      <c r="Q74">
        <v>50.8</v>
      </c>
    </row>
    <row r="75" spans="1:17" x14ac:dyDescent="0.25">
      <c r="A75" s="2">
        <v>44999</v>
      </c>
      <c r="B75" s="2" t="str">
        <f t="shared" si="2"/>
        <v>Tuesday</v>
      </c>
      <c r="C75" s="2" t="b">
        <f t="shared" si="3"/>
        <v>0</v>
      </c>
      <c r="D75">
        <v>1</v>
      </c>
      <c r="E75" t="s">
        <v>5</v>
      </c>
      <c r="F75">
        <v>207</v>
      </c>
      <c r="G75" s="3">
        <v>4017.57</v>
      </c>
      <c r="H75" s="3">
        <f>Miami_Retail[[#This Row],[sales_usd]] / Miami_Retail[[#This Row],[customers]]</f>
        <v>19.408550724637681</v>
      </c>
      <c r="I75">
        <v>65.400000000000006</v>
      </c>
      <c r="J75">
        <f>(Miami_Retail[[#This Row],[avg_temp_f]]-32) * (5/9)</f>
        <v>18.555555555555561</v>
      </c>
      <c r="K75">
        <v>0</v>
      </c>
      <c r="L75">
        <v>0</v>
      </c>
      <c r="M75">
        <v>38.799999999999997</v>
      </c>
      <c r="N75">
        <v>52.5</v>
      </c>
      <c r="O75">
        <v>47.5</v>
      </c>
      <c r="P75">
        <v>46.5</v>
      </c>
      <c r="Q75">
        <v>53.5</v>
      </c>
    </row>
    <row r="76" spans="1:17" x14ac:dyDescent="0.25">
      <c r="A76" s="2">
        <v>45000</v>
      </c>
      <c r="B76" s="2" t="str">
        <f t="shared" si="2"/>
        <v>Wednesday</v>
      </c>
      <c r="C76" s="2" t="b">
        <f t="shared" si="3"/>
        <v>0</v>
      </c>
      <c r="D76">
        <v>1</v>
      </c>
      <c r="E76" t="s">
        <v>5</v>
      </c>
      <c r="F76">
        <v>224</v>
      </c>
      <c r="G76" s="3">
        <v>4171.95</v>
      </c>
      <c r="H76" s="3">
        <f>Miami_Retail[[#This Row],[sales_usd]] / Miami_Retail[[#This Row],[customers]]</f>
        <v>18.624776785714285</v>
      </c>
      <c r="I76">
        <v>66.900000000000006</v>
      </c>
      <c r="J76">
        <f>(Miami_Retail[[#This Row],[avg_temp_f]]-32) * (5/9)</f>
        <v>19.388888888888893</v>
      </c>
      <c r="K76">
        <v>0</v>
      </c>
      <c r="L76">
        <v>0</v>
      </c>
      <c r="M76">
        <v>35</v>
      </c>
      <c r="N76">
        <v>50.5</v>
      </c>
      <c r="O76">
        <v>49.5</v>
      </c>
      <c r="P76">
        <v>47.9</v>
      </c>
      <c r="Q76">
        <v>52.1</v>
      </c>
    </row>
    <row r="77" spans="1:17" x14ac:dyDescent="0.25">
      <c r="A77" s="2">
        <v>45001</v>
      </c>
      <c r="B77" s="2" t="str">
        <f t="shared" si="2"/>
        <v>Thursday</v>
      </c>
      <c r="C77" s="2" t="b">
        <f t="shared" si="3"/>
        <v>0</v>
      </c>
      <c r="D77">
        <v>1</v>
      </c>
      <c r="E77" t="s">
        <v>5</v>
      </c>
      <c r="F77">
        <v>217</v>
      </c>
      <c r="G77" s="3">
        <v>3953.03</v>
      </c>
      <c r="H77" s="3">
        <f>Miami_Retail[[#This Row],[sales_usd]] / Miami_Retail[[#This Row],[customers]]</f>
        <v>18.216728110599078</v>
      </c>
      <c r="I77">
        <v>72.3</v>
      </c>
      <c r="J77">
        <f>(Miami_Retail[[#This Row],[avg_temp_f]]-32) * (5/9)</f>
        <v>22.388888888888889</v>
      </c>
      <c r="K77">
        <v>0</v>
      </c>
      <c r="L77">
        <v>0</v>
      </c>
      <c r="M77">
        <v>35</v>
      </c>
      <c r="N77">
        <v>51.4</v>
      </c>
      <c r="O77">
        <v>48.6</v>
      </c>
      <c r="P77">
        <v>47.1</v>
      </c>
      <c r="Q77">
        <v>52.9</v>
      </c>
    </row>
    <row r="78" spans="1:17" x14ac:dyDescent="0.25">
      <c r="A78" s="2">
        <v>45002</v>
      </c>
      <c r="B78" s="2" t="str">
        <f t="shared" si="2"/>
        <v>Friday</v>
      </c>
      <c r="C78" s="2" t="b">
        <f t="shared" si="3"/>
        <v>0</v>
      </c>
      <c r="D78">
        <v>1</v>
      </c>
      <c r="E78" t="s">
        <v>5</v>
      </c>
      <c r="F78">
        <v>201</v>
      </c>
      <c r="G78" s="3">
        <v>3769.07</v>
      </c>
      <c r="H78" s="3">
        <f>Miami_Retail[[#This Row],[sales_usd]] / Miami_Retail[[#This Row],[customers]]</f>
        <v>18.751592039800997</v>
      </c>
      <c r="I78">
        <v>65</v>
      </c>
      <c r="J78">
        <f>(Miami_Retail[[#This Row],[avg_temp_f]]-32) * (5/9)</f>
        <v>18.333333333333336</v>
      </c>
      <c r="K78">
        <v>0</v>
      </c>
      <c r="L78">
        <v>0</v>
      </c>
      <c r="M78">
        <v>39.700000000000003</v>
      </c>
      <c r="N78">
        <v>51.9</v>
      </c>
      <c r="O78">
        <v>48.1</v>
      </c>
      <c r="P78">
        <v>47.6</v>
      </c>
      <c r="Q78">
        <v>52.4</v>
      </c>
    </row>
    <row r="79" spans="1:17" x14ac:dyDescent="0.25">
      <c r="A79" s="2">
        <v>45003</v>
      </c>
      <c r="B79" s="2" t="str">
        <f t="shared" si="2"/>
        <v>Saturday</v>
      </c>
      <c r="C79" s="2" t="b">
        <f t="shared" si="3"/>
        <v>1</v>
      </c>
      <c r="D79">
        <v>1</v>
      </c>
      <c r="E79" t="s">
        <v>5</v>
      </c>
      <c r="F79">
        <v>204</v>
      </c>
      <c r="G79" s="3">
        <v>3940.3</v>
      </c>
      <c r="H79" s="3">
        <f>Miami_Retail[[#This Row],[sales_usd]] / Miami_Retail[[#This Row],[customers]]</f>
        <v>19.315196078431374</v>
      </c>
      <c r="I79">
        <v>62.4</v>
      </c>
      <c r="J79">
        <f>(Miami_Retail[[#This Row],[avg_temp_f]]-32) * (5/9)</f>
        <v>16.888888888888889</v>
      </c>
      <c r="K79">
        <v>2.29</v>
      </c>
      <c r="L79">
        <v>1</v>
      </c>
      <c r="M79">
        <v>35</v>
      </c>
      <c r="N79">
        <v>53.2</v>
      </c>
      <c r="O79">
        <v>46.8</v>
      </c>
      <c r="P79">
        <v>52.2</v>
      </c>
      <c r="Q79">
        <v>47.8</v>
      </c>
    </row>
    <row r="80" spans="1:17" x14ac:dyDescent="0.25">
      <c r="A80" s="2">
        <v>45004</v>
      </c>
      <c r="B80" s="2" t="str">
        <f t="shared" si="2"/>
        <v>Sunday</v>
      </c>
      <c r="C80" s="2" t="b">
        <f t="shared" si="3"/>
        <v>1</v>
      </c>
      <c r="D80">
        <v>1</v>
      </c>
      <c r="E80" t="s">
        <v>5</v>
      </c>
      <c r="F80">
        <v>279</v>
      </c>
      <c r="G80" s="3">
        <v>5100.2700000000004</v>
      </c>
      <c r="H80" s="3">
        <f>Miami_Retail[[#This Row],[sales_usd]] / Miami_Retail[[#This Row],[customers]]</f>
        <v>18.280537634408603</v>
      </c>
      <c r="I80">
        <v>64.3</v>
      </c>
      <c r="J80">
        <f>(Miami_Retail[[#This Row],[avg_temp_f]]-32) * (5/9)</f>
        <v>17.944444444444443</v>
      </c>
      <c r="K80">
        <v>0</v>
      </c>
      <c r="L80">
        <v>0</v>
      </c>
      <c r="M80">
        <v>35</v>
      </c>
      <c r="N80">
        <v>51.9</v>
      </c>
      <c r="O80">
        <v>48.1</v>
      </c>
      <c r="P80">
        <v>52.8</v>
      </c>
      <c r="Q80">
        <v>47.2</v>
      </c>
    </row>
    <row r="81" spans="1:17" x14ac:dyDescent="0.25">
      <c r="A81" s="2">
        <v>45005</v>
      </c>
      <c r="B81" s="2" t="str">
        <f t="shared" si="2"/>
        <v>Monday</v>
      </c>
      <c r="C81" s="2" t="b">
        <f t="shared" si="3"/>
        <v>0</v>
      </c>
      <c r="D81">
        <v>1</v>
      </c>
      <c r="E81" t="s">
        <v>5</v>
      </c>
      <c r="F81">
        <v>219</v>
      </c>
      <c r="G81" s="3">
        <v>4037.59</v>
      </c>
      <c r="H81" s="3">
        <f>Miami_Retail[[#This Row],[sales_usd]] / Miami_Retail[[#This Row],[customers]]</f>
        <v>18.436484018264842</v>
      </c>
      <c r="I81">
        <v>68.8</v>
      </c>
      <c r="J81">
        <f>(Miami_Retail[[#This Row],[avg_temp_f]]-32) * (5/9)</f>
        <v>20.444444444444443</v>
      </c>
      <c r="K81">
        <v>0.67</v>
      </c>
      <c r="L81">
        <v>1</v>
      </c>
      <c r="M81">
        <v>38.700000000000003</v>
      </c>
      <c r="N81">
        <v>52.6</v>
      </c>
      <c r="O81">
        <v>47.4</v>
      </c>
      <c r="P81">
        <v>47.3</v>
      </c>
      <c r="Q81">
        <v>52.7</v>
      </c>
    </row>
    <row r="82" spans="1:17" x14ac:dyDescent="0.25">
      <c r="A82" s="2">
        <v>45006</v>
      </c>
      <c r="B82" s="2" t="str">
        <f t="shared" si="2"/>
        <v>Tuesday</v>
      </c>
      <c r="C82" s="2" t="b">
        <f t="shared" si="3"/>
        <v>0</v>
      </c>
      <c r="D82">
        <v>1</v>
      </c>
      <c r="E82" t="s">
        <v>5</v>
      </c>
      <c r="F82">
        <v>225</v>
      </c>
      <c r="G82" s="3">
        <v>4197.7299999999996</v>
      </c>
      <c r="H82" s="3">
        <f>Miami_Retail[[#This Row],[sales_usd]] / Miami_Retail[[#This Row],[customers]]</f>
        <v>18.656577777777777</v>
      </c>
      <c r="I82">
        <v>69.8</v>
      </c>
      <c r="J82">
        <f>(Miami_Retail[[#This Row],[avg_temp_f]]-32) * (5/9)</f>
        <v>21</v>
      </c>
      <c r="K82">
        <v>0</v>
      </c>
      <c r="L82">
        <v>0</v>
      </c>
      <c r="M82">
        <v>39.299999999999997</v>
      </c>
      <c r="N82">
        <v>53.8</v>
      </c>
      <c r="O82">
        <v>46.2</v>
      </c>
      <c r="P82">
        <v>48.2</v>
      </c>
      <c r="Q82">
        <v>51.8</v>
      </c>
    </row>
    <row r="83" spans="1:17" x14ac:dyDescent="0.25">
      <c r="A83" s="2">
        <v>45007</v>
      </c>
      <c r="B83" s="2" t="str">
        <f t="shared" si="2"/>
        <v>Wednesday</v>
      </c>
      <c r="C83" s="2" t="b">
        <f t="shared" si="3"/>
        <v>0</v>
      </c>
      <c r="D83">
        <v>1</v>
      </c>
      <c r="E83" t="s">
        <v>5</v>
      </c>
      <c r="F83">
        <v>246</v>
      </c>
      <c r="G83" s="3">
        <v>4260.32</v>
      </c>
      <c r="H83" s="3">
        <f>Miami_Retail[[#This Row],[sales_usd]] / Miami_Retail[[#This Row],[customers]]</f>
        <v>17.318373983739836</v>
      </c>
      <c r="I83">
        <v>60.4</v>
      </c>
      <c r="J83">
        <f>(Miami_Retail[[#This Row],[avg_temp_f]]-32) * (5/9)</f>
        <v>15.777777777777779</v>
      </c>
      <c r="K83">
        <v>0</v>
      </c>
      <c r="L83">
        <v>0</v>
      </c>
      <c r="M83">
        <v>35</v>
      </c>
      <c r="N83">
        <v>53.6</v>
      </c>
      <c r="O83">
        <v>46.4</v>
      </c>
      <c r="P83">
        <v>46.4</v>
      </c>
      <c r="Q83">
        <v>53.6</v>
      </c>
    </row>
    <row r="84" spans="1:17" x14ac:dyDescent="0.25">
      <c r="A84" s="2">
        <v>45008</v>
      </c>
      <c r="B84" s="2" t="str">
        <f t="shared" si="2"/>
        <v>Thursday</v>
      </c>
      <c r="C84" s="2" t="b">
        <f t="shared" si="3"/>
        <v>0</v>
      </c>
      <c r="D84">
        <v>1</v>
      </c>
      <c r="E84" t="s">
        <v>5</v>
      </c>
      <c r="F84">
        <v>207</v>
      </c>
      <c r="G84" s="3">
        <v>3756.61</v>
      </c>
      <c r="H84" s="3">
        <f>Miami_Retail[[#This Row],[sales_usd]] / Miami_Retail[[#This Row],[customers]]</f>
        <v>18.147874396135265</v>
      </c>
      <c r="I84">
        <v>67.900000000000006</v>
      </c>
      <c r="J84">
        <f>(Miami_Retail[[#This Row],[avg_temp_f]]-32) * (5/9)</f>
        <v>19.94444444444445</v>
      </c>
      <c r="K84">
        <v>0</v>
      </c>
      <c r="L84">
        <v>0</v>
      </c>
      <c r="M84">
        <v>38.200000000000003</v>
      </c>
      <c r="N84">
        <v>52.9</v>
      </c>
      <c r="O84">
        <v>47.1</v>
      </c>
      <c r="P84">
        <v>48.6</v>
      </c>
      <c r="Q84">
        <v>51.4</v>
      </c>
    </row>
    <row r="85" spans="1:17" x14ac:dyDescent="0.25">
      <c r="A85" s="2">
        <v>45009</v>
      </c>
      <c r="B85" s="2" t="str">
        <f t="shared" si="2"/>
        <v>Friday</v>
      </c>
      <c r="C85" s="2" t="b">
        <f t="shared" si="3"/>
        <v>0</v>
      </c>
      <c r="D85">
        <v>1</v>
      </c>
      <c r="E85" t="s">
        <v>5</v>
      </c>
      <c r="F85">
        <v>230</v>
      </c>
      <c r="G85" s="3">
        <v>4240.55</v>
      </c>
      <c r="H85" s="3">
        <f>Miami_Retail[[#This Row],[sales_usd]] / Miami_Retail[[#This Row],[customers]]</f>
        <v>18.43717391304348</v>
      </c>
      <c r="I85">
        <v>63.6</v>
      </c>
      <c r="J85">
        <f>(Miami_Retail[[#This Row],[avg_temp_f]]-32) * (5/9)</f>
        <v>17.555555555555557</v>
      </c>
      <c r="K85">
        <v>0</v>
      </c>
      <c r="L85">
        <v>0</v>
      </c>
      <c r="M85">
        <v>39.299999999999997</v>
      </c>
      <c r="N85">
        <v>53.2</v>
      </c>
      <c r="O85">
        <v>46.8</v>
      </c>
      <c r="P85">
        <v>47</v>
      </c>
      <c r="Q85">
        <v>53</v>
      </c>
    </row>
    <row r="86" spans="1:17" x14ac:dyDescent="0.25">
      <c r="A86" s="2">
        <v>45010</v>
      </c>
      <c r="B86" s="2" t="str">
        <f t="shared" si="2"/>
        <v>Saturday</v>
      </c>
      <c r="C86" s="2" t="b">
        <f t="shared" si="3"/>
        <v>1</v>
      </c>
      <c r="D86">
        <v>1</v>
      </c>
      <c r="E86" t="s">
        <v>5</v>
      </c>
      <c r="F86">
        <v>273</v>
      </c>
      <c r="G86" s="3">
        <v>5133.17</v>
      </c>
      <c r="H86" s="3">
        <f>Miami_Retail[[#This Row],[sales_usd]] / Miami_Retail[[#This Row],[customers]]</f>
        <v>18.802820512820514</v>
      </c>
      <c r="I86">
        <v>61.9</v>
      </c>
      <c r="J86">
        <f>(Miami_Retail[[#This Row],[avg_temp_f]]-32) * (5/9)</f>
        <v>16.611111111111111</v>
      </c>
      <c r="K86">
        <v>0</v>
      </c>
      <c r="L86">
        <v>0</v>
      </c>
      <c r="M86">
        <v>41.9</v>
      </c>
      <c r="N86">
        <v>51</v>
      </c>
      <c r="O86">
        <v>49</v>
      </c>
      <c r="P86">
        <v>52.7</v>
      </c>
      <c r="Q86">
        <v>47.3</v>
      </c>
    </row>
    <row r="87" spans="1:17" x14ac:dyDescent="0.25">
      <c r="A87" s="2">
        <v>45011</v>
      </c>
      <c r="B87" s="2" t="str">
        <f t="shared" si="2"/>
        <v>Sunday</v>
      </c>
      <c r="C87" s="2" t="b">
        <f t="shared" si="3"/>
        <v>1</v>
      </c>
      <c r="D87">
        <v>1</v>
      </c>
      <c r="E87" t="s">
        <v>5</v>
      </c>
      <c r="F87">
        <v>241</v>
      </c>
      <c r="G87" s="3">
        <v>4677.63</v>
      </c>
      <c r="H87" s="3">
        <f>Miami_Retail[[#This Row],[sales_usd]] / Miami_Retail[[#This Row],[customers]]</f>
        <v>19.409253112033195</v>
      </c>
      <c r="I87">
        <v>66.5</v>
      </c>
      <c r="J87">
        <f>(Miami_Retail[[#This Row],[avg_temp_f]]-32) * (5/9)</f>
        <v>19.166666666666668</v>
      </c>
      <c r="K87">
        <v>0</v>
      </c>
      <c r="L87">
        <v>0</v>
      </c>
      <c r="M87">
        <v>35</v>
      </c>
      <c r="N87">
        <v>52.6</v>
      </c>
      <c r="O87">
        <v>47.4</v>
      </c>
      <c r="P87">
        <v>53.1</v>
      </c>
      <c r="Q87">
        <v>46.9</v>
      </c>
    </row>
    <row r="88" spans="1:17" x14ac:dyDescent="0.25">
      <c r="A88" s="2">
        <v>45012</v>
      </c>
      <c r="B88" s="2" t="str">
        <f t="shared" si="2"/>
        <v>Monday</v>
      </c>
      <c r="C88" s="2" t="b">
        <f t="shared" si="3"/>
        <v>0</v>
      </c>
      <c r="D88">
        <v>1</v>
      </c>
      <c r="E88" t="s">
        <v>5</v>
      </c>
      <c r="F88">
        <v>215</v>
      </c>
      <c r="G88" s="3">
        <v>3672.85</v>
      </c>
      <c r="H88" s="3">
        <f>Miami_Retail[[#This Row],[sales_usd]] / Miami_Retail[[#This Row],[customers]]</f>
        <v>17.083023255813952</v>
      </c>
      <c r="I88">
        <v>67.8</v>
      </c>
      <c r="J88">
        <f>(Miami_Retail[[#This Row],[avg_temp_f]]-32) * (5/9)</f>
        <v>19.888888888888889</v>
      </c>
      <c r="K88">
        <v>0</v>
      </c>
      <c r="L88">
        <v>0</v>
      </c>
      <c r="M88">
        <v>38.299999999999997</v>
      </c>
      <c r="N88">
        <v>53.3</v>
      </c>
      <c r="O88">
        <v>46.7</v>
      </c>
      <c r="P88">
        <v>47.5</v>
      </c>
      <c r="Q88">
        <v>52.5</v>
      </c>
    </row>
    <row r="89" spans="1:17" x14ac:dyDescent="0.25">
      <c r="A89" s="2">
        <v>45013</v>
      </c>
      <c r="B89" s="2" t="str">
        <f t="shared" si="2"/>
        <v>Tuesday</v>
      </c>
      <c r="C89" s="2" t="b">
        <f t="shared" si="3"/>
        <v>0</v>
      </c>
      <c r="D89">
        <v>1</v>
      </c>
      <c r="E89" t="s">
        <v>5</v>
      </c>
      <c r="F89">
        <v>176</v>
      </c>
      <c r="G89" s="3">
        <v>2986.03</v>
      </c>
      <c r="H89" s="3">
        <f>Miami_Retail[[#This Row],[sales_usd]] / Miami_Retail[[#This Row],[customers]]</f>
        <v>16.966079545454548</v>
      </c>
      <c r="I89">
        <v>62.2</v>
      </c>
      <c r="J89">
        <f>(Miami_Retail[[#This Row],[avg_temp_f]]-32) * (5/9)</f>
        <v>16.777777777777779</v>
      </c>
      <c r="K89">
        <v>0</v>
      </c>
      <c r="L89">
        <v>0</v>
      </c>
      <c r="M89">
        <v>43.5</v>
      </c>
      <c r="N89">
        <v>52.2</v>
      </c>
      <c r="O89">
        <v>47.8</v>
      </c>
      <c r="P89">
        <v>47.7</v>
      </c>
      <c r="Q89">
        <v>52.3</v>
      </c>
    </row>
    <row r="90" spans="1:17" x14ac:dyDescent="0.25">
      <c r="A90" s="2">
        <v>45014</v>
      </c>
      <c r="B90" s="2" t="str">
        <f t="shared" si="2"/>
        <v>Wednesday</v>
      </c>
      <c r="C90" s="2" t="b">
        <f t="shared" si="3"/>
        <v>0</v>
      </c>
      <c r="D90">
        <v>1</v>
      </c>
      <c r="E90" t="s">
        <v>5</v>
      </c>
      <c r="F90">
        <v>237</v>
      </c>
      <c r="G90" s="3">
        <v>4738.16</v>
      </c>
      <c r="H90" s="3">
        <f>Miami_Retail[[#This Row],[sales_usd]] / Miami_Retail[[#This Row],[customers]]</f>
        <v>19.99223628691983</v>
      </c>
      <c r="I90">
        <v>62.5</v>
      </c>
      <c r="J90">
        <f>(Miami_Retail[[#This Row],[avg_temp_f]]-32) * (5/9)</f>
        <v>16.944444444444446</v>
      </c>
      <c r="K90">
        <v>0</v>
      </c>
      <c r="L90">
        <v>0</v>
      </c>
      <c r="M90">
        <v>39.200000000000003</v>
      </c>
      <c r="N90">
        <v>52.5</v>
      </c>
      <c r="O90">
        <v>47.5</v>
      </c>
      <c r="P90">
        <v>45.7</v>
      </c>
      <c r="Q90">
        <v>54.3</v>
      </c>
    </row>
    <row r="91" spans="1:17" x14ac:dyDescent="0.25">
      <c r="A91" s="2">
        <v>45015</v>
      </c>
      <c r="B91" s="2" t="str">
        <f t="shared" si="2"/>
        <v>Thursday</v>
      </c>
      <c r="C91" s="2" t="b">
        <f t="shared" si="3"/>
        <v>0</v>
      </c>
      <c r="D91">
        <v>1</v>
      </c>
      <c r="E91" t="s">
        <v>5</v>
      </c>
      <c r="F91">
        <v>238</v>
      </c>
      <c r="G91" s="3">
        <v>4250.8900000000003</v>
      </c>
      <c r="H91" s="3">
        <f>Miami_Retail[[#This Row],[sales_usd]] / Miami_Retail[[#This Row],[customers]]</f>
        <v>17.860882352941179</v>
      </c>
      <c r="I91">
        <v>70.3</v>
      </c>
      <c r="J91">
        <f>(Miami_Retail[[#This Row],[avg_temp_f]]-32) * (5/9)</f>
        <v>21.277777777777779</v>
      </c>
      <c r="K91">
        <v>0</v>
      </c>
      <c r="L91">
        <v>0</v>
      </c>
      <c r="M91">
        <v>40.5</v>
      </c>
      <c r="N91">
        <v>52.7</v>
      </c>
      <c r="O91">
        <v>47.3</v>
      </c>
      <c r="P91">
        <v>45.7</v>
      </c>
      <c r="Q91">
        <v>54.3</v>
      </c>
    </row>
    <row r="92" spans="1:17" x14ac:dyDescent="0.25">
      <c r="A92" s="2">
        <v>45016</v>
      </c>
      <c r="B92" s="2" t="str">
        <f t="shared" si="2"/>
        <v>Friday</v>
      </c>
      <c r="C92" s="2" t="b">
        <f t="shared" si="3"/>
        <v>0</v>
      </c>
      <c r="D92">
        <v>1</v>
      </c>
      <c r="E92" t="s">
        <v>5</v>
      </c>
      <c r="F92">
        <v>243</v>
      </c>
      <c r="G92" s="3">
        <v>4293.21</v>
      </c>
      <c r="H92" s="3">
        <f>Miami_Retail[[#This Row],[sales_usd]] / Miami_Retail[[#This Row],[customers]]</f>
        <v>17.667530864197531</v>
      </c>
      <c r="I92">
        <v>66.5</v>
      </c>
      <c r="J92">
        <f>(Miami_Retail[[#This Row],[avg_temp_f]]-32) * (5/9)</f>
        <v>19.166666666666668</v>
      </c>
      <c r="K92">
        <v>0</v>
      </c>
      <c r="L92">
        <v>0</v>
      </c>
      <c r="M92">
        <v>42.4</v>
      </c>
      <c r="N92">
        <v>51.8</v>
      </c>
      <c r="O92">
        <v>48.2</v>
      </c>
      <c r="P92">
        <v>47.2</v>
      </c>
      <c r="Q92">
        <v>52.8</v>
      </c>
    </row>
    <row r="93" spans="1:17" x14ac:dyDescent="0.25">
      <c r="A93" s="2">
        <v>45017</v>
      </c>
      <c r="B93" s="2" t="str">
        <f t="shared" si="2"/>
        <v>Saturday</v>
      </c>
      <c r="C93" s="2" t="b">
        <f t="shared" si="3"/>
        <v>1</v>
      </c>
      <c r="D93">
        <v>1</v>
      </c>
      <c r="E93" t="s">
        <v>5</v>
      </c>
      <c r="F93">
        <v>255</v>
      </c>
      <c r="G93" s="3">
        <v>4932.47</v>
      </c>
      <c r="H93" s="3">
        <f>Miami_Retail[[#This Row],[sales_usd]] / Miami_Retail[[#This Row],[customers]]</f>
        <v>19.343019607843139</v>
      </c>
      <c r="I93">
        <v>65.8</v>
      </c>
      <c r="J93">
        <f>(Miami_Retail[[#This Row],[avg_temp_f]]-32) * (5/9)</f>
        <v>18.777777777777779</v>
      </c>
      <c r="K93">
        <v>0</v>
      </c>
      <c r="L93">
        <v>0</v>
      </c>
      <c r="M93">
        <v>37</v>
      </c>
      <c r="N93">
        <v>50.9</v>
      </c>
      <c r="O93">
        <v>49.1</v>
      </c>
      <c r="P93">
        <v>53.4</v>
      </c>
      <c r="Q93">
        <v>46.6</v>
      </c>
    </row>
    <row r="94" spans="1:17" x14ac:dyDescent="0.25">
      <c r="A94" s="2">
        <v>45018</v>
      </c>
      <c r="B94" s="2" t="str">
        <f t="shared" si="2"/>
        <v>Sunday</v>
      </c>
      <c r="C94" s="2" t="b">
        <f t="shared" si="3"/>
        <v>1</v>
      </c>
      <c r="D94">
        <v>1</v>
      </c>
      <c r="E94" t="s">
        <v>5</v>
      </c>
      <c r="F94">
        <v>246</v>
      </c>
      <c r="G94" s="3">
        <v>4579.41</v>
      </c>
      <c r="H94" s="3">
        <f>Miami_Retail[[#This Row],[sales_usd]] / Miami_Retail[[#This Row],[customers]]</f>
        <v>18.615487804878047</v>
      </c>
      <c r="I94">
        <v>67.099999999999994</v>
      </c>
      <c r="J94">
        <f>(Miami_Retail[[#This Row],[avg_temp_f]]-32) * (5/9)</f>
        <v>19.499999999999996</v>
      </c>
      <c r="K94">
        <v>0</v>
      </c>
      <c r="L94">
        <v>0</v>
      </c>
      <c r="M94">
        <v>35</v>
      </c>
      <c r="N94">
        <v>51.6</v>
      </c>
      <c r="O94">
        <v>48.4</v>
      </c>
      <c r="P94">
        <v>52.3</v>
      </c>
      <c r="Q94">
        <v>47.7</v>
      </c>
    </row>
    <row r="95" spans="1:17" x14ac:dyDescent="0.25">
      <c r="A95" s="2">
        <v>45019</v>
      </c>
      <c r="B95" s="2" t="str">
        <f t="shared" si="2"/>
        <v>Monday</v>
      </c>
      <c r="C95" s="2" t="b">
        <f t="shared" si="3"/>
        <v>0</v>
      </c>
      <c r="D95">
        <v>1</v>
      </c>
      <c r="E95" t="s">
        <v>5</v>
      </c>
      <c r="F95">
        <v>250</v>
      </c>
      <c r="G95" s="3">
        <v>4251.84</v>
      </c>
      <c r="H95" s="3">
        <f>Miami_Retail[[#This Row],[sales_usd]] / Miami_Retail[[#This Row],[customers]]</f>
        <v>17.007360000000002</v>
      </c>
      <c r="I95">
        <v>70.5</v>
      </c>
      <c r="J95">
        <f>(Miami_Retail[[#This Row],[avg_temp_f]]-32) * (5/9)</f>
        <v>21.388888888888889</v>
      </c>
      <c r="K95">
        <v>0</v>
      </c>
      <c r="L95">
        <v>0</v>
      </c>
      <c r="M95">
        <v>44</v>
      </c>
      <c r="N95">
        <v>53.3</v>
      </c>
      <c r="O95">
        <v>46.7</v>
      </c>
      <c r="P95">
        <v>46.2</v>
      </c>
      <c r="Q95">
        <v>53.8</v>
      </c>
    </row>
    <row r="96" spans="1:17" x14ac:dyDescent="0.25">
      <c r="A96" s="2">
        <v>45020</v>
      </c>
      <c r="B96" s="2" t="str">
        <f t="shared" si="2"/>
        <v>Tuesday</v>
      </c>
      <c r="C96" s="2" t="b">
        <f t="shared" si="3"/>
        <v>0</v>
      </c>
      <c r="D96">
        <v>1</v>
      </c>
      <c r="E96" t="s">
        <v>5</v>
      </c>
      <c r="F96">
        <v>213</v>
      </c>
      <c r="G96" s="3">
        <v>3719.27</v>
      </c>
      <c r="H96" s="3">
        <f>Miami_Retail[[#This Row],[sales_usd]] / Miami_Retail[[#This Row],[customers]]</f>
        <v>17.461361502347419</v>
      </c>
      <c r="I96">
        <v>68</v>
      </c>
      <c r="J96">
        <f>(Miami_Retail[[#This Row],[avg_temp_f]]-32) * (5/9)</f>
        <v>20</v>
      </c>
      <c r="K96">
        <v>0.17</v>
      </c>
      <c r="L96">
        <v>1</v>
      </c>
      <c r="M96">
        <v>38.1</v>
      </c>
      <c r="N96">
        <v>50.9</v>
      </c>
      <c r="O96">
        <v>49.1</v>
      </c>
      <c r="P96">
        <v>46.7</v>
      </c>
      <c r="Q96">
        <v>53.3</v>
      </c>
    </row>
    <row r="97" spans="1:17" x14ac:dyDescent="0.25">
      <c r="A97" s="2">
        <v>45021</v>
      </c>
      <c r="B97" s="2" t="str">
        <f t="shared" si="2"/>
        <v>Wednesday</v>
      </c>
      <c r="C97" s="2" t="b">
        <f t="shared" si="3"/>
        <v>0</v>
      </c>
      <c r="D97">
        <v>1</v>
      </c>
      <c r="E97" t="s">
        <v>5</v>
      </c>
      <c r="F97">
        <v>210</v>
      </c>
      <c r="G97" s="3">
        <v>4002.25</v>
      </c>
      <c r="H97" s="3">
        <f>Miami_Retail[[#This Row],[sales_usd]] / Miami_Retail[[#This Row],[customers]]</f>
        <v>19.058333333333334</v>
      </c>
      <c r="I97">
        <v>62.9</v>
      </c>
      <c r="J97">
        <f>(Miami_Retail[[#This Row],[avg_temp_f]]-32) * (5/9)</f>
        <v>17.166666666666668</v>
      </c>
      <c r="K97">
        <v>0</v>
      </c>
      <c r="L97">
        <v>0</v>
      </c>
      <c r="M97">
        <v>45.5</v>
      </c>
      <c r="N97">
        <v>53.3</v>
      </c>
      <c r="O97">
        <v>46.7</v>
      </c>
      <c r="P97">
        <v>47.7</v>
      </c>
      <c r="Q97">
        <v>52.3</v>
      </c>
    </row>
    <row r="98" spans="1:17" x14ac:dyDescent="0.25">
      <c r="A98" s="2">
        <v>45022</v>
      </c>
      <c r="B98" s="2" t="str">
        <f t="shared" si="2"/>
        <v>Thursday</v>
      </c>
      <c r="C98" s="2" t="b">
        <f t="shared" si="3"/>
        <v>0</v>
      </c>
      <c r="D98">
        <v>1</v>
      </c>
      <c r="E98" t="s">
        <v>5</v>
      </c>
      <c r="F98">
        <v>270</v>
      </c>
      <c r="G98" s="3">
        <v>4812.1899999999996</v>
      </c>
      <c r="H98" s="3">
        <f>Miami_Retail[[#This Row],[sales_usd]] / Miami_Retail[[#This Row],[customers]]</f>
        <v>17.822925925925926</v>
      </c>
      <c r="I98">
        <v>62.9</v>
      </c>
      <c r="J98">
        <f>(Miami_Retail[[#This Row],[avg_temp_f]]-32) * (5/9)</f>
        <v>17.166666666666668</v>
      </c>
      <c r="K98">
        <v>0</v>
      </c>
      <c r="L98">
        <v>0</v>
      </c>
      <c r="M98">
        <v>36.9</v>
      </c>
      <c r="N98">
        <v>51.2</v>
      </c>
      <c r="O98">
        <v>48.8</v>
      </c>
      <c r="P98">
        <v>47.4</v>
      </c>
      <c r="Q98">
        <v>52.6</v>
      </c>
    </row>
    <row r="99" spans="1:17" x14ac:dyDescent="0.25">
      <c r="A99" s="2">
        <v>45023</v>
      </c>
      <c r="B99" s="2" t="str">
        <f t="shared" si="2"/>
        <v>Friday</v>
      </c>
      <c r="C99" s="2" t="b">
        <f t="shared" si="3"/>
        <v>0</v>
      </c>
      <c r="D99">
        <v>1</v>
      </c>
      <c r="E99" t="s">
        <v>5</v>
      </c>
      <c r="F99">
        <v>247</v>
      </c>
      <c r="G99" s="3">
        <v>4709.58</v>
      </c>
      <c r="H99" s="3">
        <f>Miami_Retail[[#This Row],[sales_usd]] / Miami_Retail[[#This Row],[customers]]</f>
        <v>19.067125506072873</v>
      </c>
      <c r="I99">
        <v>65.3</v>
      </c>
      <c r="J99">
        <f>(Miami_Retail[[#This Row],[avg_temp_f]]-32) * (5/9)</f>
        <v>18.5</v>
      </c>
      <c r="K99">
        <v>0</v>
      </c>
      <c r="L99">
        <v>0</v>
      </c>
      <c r="M99">
        <v>35.4</v>
      </c>
      <c r="N99">
        <v>51.6</v>
      </c>
      <c r="O99">
        <v>48.4</v>
      </c>
      <c r="P99">
        <v>48.5</v>
      </c>
      <c r="Q99">
        <v>51.5</v>
      </c>
    </row>
    <row r="100" spans="1:17" x14ac:dyDescent="0.25">
      <c r="A100" s="2">
        <v>45024</v>
      </c>
      <c r="B100" s="2" t="str">
        <f t="shared" si="2"/>
        <v>Saturday</v>
      </c>
      <c r="C100" s="2" t="b">
        <f t="shared" si="3"/>
        <v>1</v>
      </c>
      <c r="D100">
        <v>1</v>
      </c>
      <c r="E100" t="s">
        <v>5</v>
      </c>
      <c r="F100">
        <v>277</v>
      </c>
      <c r="G100" s="3">
        <v>5250.88</v>
      </c>
      <c r="H100" s="3">
        <f>Miami_Retail[[#This Row],[sales_usd]] / Miami_Retail[[#This Row],[customers]]</f>
        <v>18.956245487364622</v>
      </c>
      <c r="I100">
        <v>61.2</v>
      </c>
      <c r="J100">
        <f>(Miami_Retail[[#This Row],[avg_temp_f]]-32) * (5/9)</f>
        <v>16.222222222222225</v>
      </c>
      <c r="K100">
        <v>0</v>
      </c>
      <c r="L100">
        <v>0</v>
      </c>
      <c r="M100">
        <v>38.4</v>
      </c>
      <c r="N100">
        <v>50.8</v>
      </c>
      <c r="O100">
        <v>49.2</v>
      </c>
      <c r="P100">
        <v>54</v>
      </c>
      <c r="Q100">
        <v>46</v>
      </c>
    </row>
    <row r="101" spans="1:17" x14ac:dyDescent="0.25">
      <c r="A101" s="2">
        <v>45025</v>
      </c>
      <c r="B101" s="2" t="str">
        <f t="shared" si="2"/>
        <v>Sunday</v>
      </c>
      <c r="C101" s="2" t="b">
        <f t="shared" si="3"/>
        <v>1</v>
      </c>
      <c r="D101">
        <v>1</v>
      </c>
      <c r="E101" t="s">
        <v>5</v>
      </c>
      <c r="F101">
        <v>293</v>
      </c>
      <c r="G101" s="3">
        <v>5160.43</v>
      </c>
      <c r="H101" s="3">
        <f>Miami_Retail[[#This Row],[sales_usd]] / Miami_Retail[[#This Row],[customers]]</f>
        <v>17.612389078498296</v>
      </c>
      <c r="I101">
        <v>64.900000000000006</v>
      </c>
      <c r="J101">
        <f>(Miami_Retail[[#This Row],[avg_temp_f]]-32) * (5/9)</f>
        <v>18.277777777777782</v>
      </c>
      <c r="K101">
        <v>0</v>
      </c>
      <c r="L101">
        <v>0</v>
      </c>
      <c r="M101">
        <v>48</v>
      </c>
      <c r="N101">
        <v>52.5</v>
      </c>
      <c r="O101">
        <v>47.5</v>
      </c>
      <c r="P101">
        <v>52.6</v>
      </c>
      <c r="Q101">
        <v>47.4</v>
      </c>
    </row>
    <row r="102" spans="1:17" x14ac:dyDescent="0.25">
      <c r="A102" s="2">
        <v>45026</v>
      </c>
      <c r="B102" s="2" t="str">
        <f t="shared" si="2"/>
        <v>Monday</v>
      </c>
      <c r="C102" s="2" t="b">
        <f t="shared" si="3"/>
        <v>0</v>
      </c>
      <c r="D102">
        <v>1</v>
      </c>
      <c r="E102" t="s">
        <v>5</v>
      </c>
      <c r="F102">
        <v>256</v>
      </c>
      <c r="G102" s="3">
        <v>5057.63</v>
      </c>
      <c r="H102" s="3">
        <f>Miami_Retail[[#This Row],[sales_usd]] / Miami_Retail[[#This Row],[customers]]</f>
        <v>19.7563671875</v>
      </c>
      <c r="I102">
        <v>63.2</v>
      </c>
      <c r="J102">
        <f>(Miami_Retail[[#This Row],[avg_temp_f]]-32) * (5/9)</f>
        <v>17.333333333333336</v>
      </c>
      <c r="K102">
        <v>0</v>
      </c>
      <c r="L102">
        <v>0</v>
      </c>
      <c r="M102">
        <v>35</v>
      </c>
      <c r="N102">
        <v>52.4</v>
      </c>
      <c r="O102">
        <v>47.6</v>
      </c>
      <c r="P102">
        <v>49.3</v>
      </c>
      <c r="Q102">
        <v>50.7</v>
      </c>
    </row>
    <row r="103" spans="1:17" x14ac:dyDescent="0.25">
      <c r="A103" s="2">
        <v>45027</v>
      </c>
      <c r="B103" s="2" t="str">
        <f t="shared" si="2"/>
        <v>Tuesday</v>
      </c>
      <c r="C103" s="2" t="b">
        <f t="shared" si="3"/>
        <v>0</v>
      </c>
      <c r="D103">
        <v>1</v>
      </c>
      <c r="E103" t="s">
        <v>5</v>
      </c>
      <c r="F103">
        <v>189</v>
      </c>
      <c r="G103" s="3">
        <v>3397.79</v>
      </c>
      <c r="H103" s="3">
        <f>Miami_Retail[[#This Row],[sales_usd]] / Miami_Retail[[#This Row],[customers]]</f>
        <v>17.977724867724866</v>
      </c>
      <c r="I103">
        <v>64.3</v>
      </c>
      <c r="J103">
        <f>(Miami_Retail[[#This Row],[avg_temp_f]]-32) * (5/9)</f>
        <v>17.944444444444443</v>
      </c>
      <c r="K103">
        <v>0</v>
      </c>
      <c r="L103">
        <v>0</v>
      </c>
      <c r="M103">
        <v>41.6</v>
      </c>
      <c r="N103">
        <v>52.8</v>
      </c>
      <c r="O103">
        <v>47.2</v>
      </c>
      <c r="P103">
        <v>47.2</v>
      </c>
      <c r="Q103">
        <v>52.8</v>
      </c>
    </row>
    <row r="104" spans="1:17" x14ac:dyDescent="0.25">
      <c r="A104" s="2">
        <v>45028</v>
      </c>
      <c r="B104" s="2" t="str">
        <f t="shared" si="2"/>
        <v>Wednesday</v>
      </c>
      <c r="C104" s="2" t="b">
        <f t="shared" si="3"/>
        <v>0</v>
      </c>
      <c r="D104">
        <v>1</v>
      </c>
      <c r="E104" t="s">
        <v>5</v>
      </c>
      <c r="F104">
        <v>212</v>
      </c>
      <c r="G104" s="3">
        <v>4209.24</v>
      </c>
      <c r="H104" s="3">
        <f>Miami_Retail[[#This Row],[sales_usd]] / Miami_Retail[[#This Row],[customers]]</f>
        <v>19.854905660377359</v>
      </c>
      <c r="I104">
        <v>71.099999999999994</v>
      </c>
      <c r="J104">
        <f>(Miami_Retail[[#This Row],[avg_temp_f]]-32) * (5/9)</f>
        <v>21.722222222222221</v>
      </c>
      <c r="K104">
        <v>0</v>
      </c>
      <c r="L104">
        <v>0</v>
      </c>
      <c r="M104">
        <v>35</v>
      </c>
      <c r="N104">
        <v>51.3</v>
      </c>
      <c r="O104">
        <v>48.7</v>
      </c>
      <c r="P104">
        <v>48.3</v>
      </c>
      <c r="Q104">
        <v>51.7</v>
      </c>
    </row>
    <row r="105" spans="1:17" x14ac:dyDescent="0.25">
      <c r="A105" s="2">
        <v>45029</v>
      </c>
      <c r="B105" s="2" t="str">
        <f t="shared" si="2"/>
        <v>Thursday</v>
      </c>
      <c r="C105" s="2" t="b">
        <f t="shared" si="3"/>
        <v>0</v>
      </c>
      <c r="D105">
        <v>1</v>
      </c>
      <c r="E105" t="s">
        <v>5</v>
      </c>
      <c r="F105">
        <v>242</v>
      </c>
      <c r="G105" s="3">
        <v>4749.0600000000004</v>
      </c>
      <c r="H105" s="3">
        <f>Miami_Retail[[#This Row],[sales_usd]] / Miami_Retail[[#This Row],[customers]]</f>
        <v>19.624214876033058</v>
      </c>
      <c r="I105">
        <v>73.5</v>
      </c>
      <c r="J105">
        <f>(Miami_Retail[[#This Row],[avg_temp_f]]-32) * (5/9)</f>
        <v>23.055555555555557</v>
      </c>
      <c r="K105">
        <v>0</v>
      </c>
      <c r="L105">
        <v>0</v>
      </c>
      <c r="M105">
        <v>42.1</v>
      </c>
      <c r="N105">
        <v>52.7</v>
      </c>
      <c r="O105">
        <v>47.3</v>
      </c>
      <c r="P105">
        <v>46.8</v>
      </c>
      <c r="Q105">
        <v>53.2</v>
      </c>
    </row>
    <row r="106" spans="1:17" x14ac:dyDescent="0.25">
      <c r="A106" s="2">
        <v>45030</v>
      </c>
      <c r="B106" s="2" t="str">
        <f t="shared" si="2"/>
        <v>Friday</v>
      </c>
      <c r="C106" s="2" t="b">
        <f t="shared" si="3"/>
        <v>0</v>
      </c>
      <c r="D106">
        <v>1</v>
      </c>
      <c r="E106" t="s">
        <v>5</v>
      </c>
      <c r="F106">
        <v>179</v>
      </c>
      <c r="G106" s="3">
        <v>3404.74</v>
      </c>
      <c r="H106" s="3">
        <f>Miami_Retail[[#This Row],[sales_usd]] / Miami_Retail[[#This Row],[customers]]</f>
        <v>19.020893854748604</v>
      </c>
      <c r="I106">
        <v>65</v>
      </c>
      <c r="J106">
        <f>(Miami_Retail[[#This Row],[avg_temp_f]]-32) * (5/9)</f>
        <v>18.333333333333336</v>
      </c>
      <c r="K106">
        <v>3.1</v>
      </c>
      <c r="L106">
        <v>1</v>
      </c>
      <c r="M106">
        <v>48.6</v>
      </c>
      <c r="N106">
        <v>53.1</v>
      </c>
      <c r="O106">
        <v>46.9</v>
      </c>
      <c r="P106">
        <v>48.3</v>
      </c>
      <c r="Q106">
        <v>51.7</v>
      </c>
    </row>
    <row r="107" spans="1:17" x14ac:dyDescent="0.25">
      <c r="A107" s="2">
        <v>45031</v>
      </c>
      <c r="B107" s="2" t="str">
        <f t="shared" si="2"/>
        <v>Saturday</v>
      </c>
      <c r="C107" s="2" t="b">
        <f t="shared" si="3"/>
        <v>1</v>
      </c>
      <c r="D107">
        <v>1</v>
      </c>
      <c r="E107" t="s">
        <v>5</v>
      </c>
      <c r="F107">
        <v>248</v>
      </c>
      <c r="G107" s="3">
        <v>4399.38</v>
      </c>
      <c r="H107" s="3">
        <f>Miami_Retail[[#This Row],[sales_usd]] / Miami_Retail[[#This Row],[customers]]</f>
        <v>17.739435483870967</v>
      </c>
      <c r="I107">
        <v>69.599999999999994</v>
      </c>
      <c r="J107">
        <f>(Miami_Retail[[#This Row],[avg_temp_f]]-32) * (5/9)</f>
        <v>20.888888888888886</v>
      </c>
      <c r="K107">
        <v>1.46</v>
      </c>
      <c r="L107">
        <v>1</v>
      </c>
      <c r="M107">
        <v>37.200000000000003</v>
      </c>
      <c r="N107">
        <v>50.9</v>
      </c>
      <c r="O107">
        <v>49.1</v>
      </c>
      <c r="P107">
        <v>53.4</v>
      </c>
      <c r="Q107">
        <v>46.6</v>
      </c>
    </row>
    <row r="108" spans="1:17" x14ac:dyDescent="0.25">
      <c r="A108" s="2">
        <v>45032</v>
      </c>
      <c r="B108" s="2" t="str">
        <f t="shared" si="2"/>
        <v>Sunday</v>
      </c>
      <c r="C108" s="2" t="b">
        <f t="shared" si="3"/>
        <v>1</v>
      </c>
      <c r="D108">
        <v>1</v>
      </c>
      <c r="E108" t="s">
        <v>5</v>
      </c>
      <c r="F108">
        <v>268</v>
      </c>
      <c r="G108" s="3">
        <v>4770.29</v>
      </c>
      <c r="H108" s="3">
        <f>Miami_Retail[[#This Row],[sales_usd]] / Miami_Retail[[#This Row],[customers]]</f>
        <v>17.799589552238807</v>
      </c>
      <c r="I108">
        <v>61</v>
      </c>
      <c r="J108">
        <f>(Miami_Retail[[#This Row],[avg_temp_f]]-32) * (5/9)</f>
        <v>16.111111111111111</v>
      </c>
      <c r="K108">
        <v>0</v>
      </c>
      <c r="L108">
        <v>0</v>
      </c>
      <c r="M108">
        <v>39</v>
      </c>
      <c r="N108">
        <v>51.3</v>
      </c>
      <c r="O108">
        <v>48.7</v>
      </c>
      <c r="P108">
        <v>53.1</v>
      </c>
      <c r="Q108">
        <v>46.9</v>
      </c>
    </row>
    <row r="109" spans="1:17" x14ac:dyDescent="0.25">
      <c r="A109" s="2">
        <v>45033</v>
      </c>
      <c r="B109" s="2" t="str">
        <f t="shared" si="2"/>
        <v>Monday</v>
      </c>
      <c r="C109" s="2" t="b">
        <f t="shared" si="3"/>
        <v>0</v>
      </c>
      <c r="D109">
        <v>1</v>
      </c>
      <c r="E109" t="s">
        <v>5</v>
      </c>
      <c r="F109">
        <v>262</v>
      </c>
      <c r="G109" s="3">
        <v>5366.39</v>
      </c>
      <c r="H109" s="3">
        <f>Miami_Retail[[#This Row],[sales_usd]] / Miami_Retail[[#This Row],[customers]]</f>
        <v>20.482404580152672</v>
      </c>
      <c r="I109">
        <v>64.599999999999994</v>
      </c>
      <c r="J109">
        <f>(Miami_Retail[[#This Row],[avg_temp_f]]-32) * (5/9)</f>
        <v>18.111111111111107</v>
      </c>
      <c r="K109">
        <v>0</v>
      </c>
      <c r="L109">
        <v>0</v>
      </c>
      <c r="M109">
        <v>46.1</v>
      </c>
      <c r="N109">
        <v>51.7</v>
      </c>
      <c r="O109">
        <v>48.3</v>
      </c>
      <c r="P109">
        <v>46.6</v>
      </c>
      <c r="Q109">
        <v>53.4</v>
      </c>
    </row>
    <row r="110" spans="1:17" x14ac:dyDescent="0.25">
      <c r="A110" s="2">
        <v>45034</v>
      </c>
      <c r="B110" s="2" t="str">
        <f t="shared" si="2"/>
        <v>Tuesday</v>
      </c>
      <c r="C110" s="2" t="b">
        <f t="shared" si="3"/>
        <v>0</v>
      </c>
      <c r="D110">
        <v>1</v>
      </c>
      <c r="E110" t="s">
        <v>5</v>
      </c>
      <c r="F110">
        <v>213</v>
      </c>
      <c r="G110" s="3">
        <v>3759.09</v>
      </c>
      <c r="H110" s="3">
        <f>Miami_Retail[[#This Row],[sales_usd]] / Miami_Retail[[#This Row],[customers]]</f>
        <v>17.648309859154931</v>
      </c>
      <c r="I110">
        <v>70.099999999999994</v>
      </c>
      <c r="J110">
        <f>(Miami_Retail[[#This Row],[avg_temp_f]]-32) * (5/9)</f>
        <v>21.166666666666664</v>
      </c>
      <c r="K110">
        <v>0</v>
      </c>
      <c r="L110">
        <v>0</v>
      </c>
      <c r="M110">
        <v>37</v>
      </c>
      <c r="N110">
        <v>52.9</v>
      </c>
      <c r="O110">
        <v>47.1</v>
      </c>
      <c r="P110">
        <v>45.8</v>
      </c>
      <c r="Q110">
        <v>54.2</v>
      </c>
    </row>
    <row r="111" spans="1:17" x14ac:dyDescent="0.25">
      <c r="A111" s="2">
        <v>45035</v>
      </c>
      <c r="B111" s="2" t="str">
        <f t="shared" si="2"/>
        <v>Wednesday</v>
      </c>
      <c r="C111" s="2" t="b">
        <f t="shared" si="3"/>
        <v>0</v>
      </c>
      <c r="D111">
        <v>1</v>
      </c>
      <c r="E111" t="s">
        <v>5</v>
      </c>
      <c r="F111">
        <v>242</v>
      </c>
      <c r="G111" s="3">
        <v>4549.2</v>
      </c>
      <c r="H111" s="3">
        <f>Miami_Retail[[#This Row],[sales_usd]] / Miami_Retail[[#This Row],[customers]]</f>
        <v>18.798347107438016</v>
      </c>
      <c r="I111">
        <v>67.2</v>
      </c>
      <c r="J111">
        <f>(Miami_Retail[[#This Row],[avg_temp_f]]-32) * (5/9)</f>
        <v>19.555555555555557</v>
      </c>
      <c r="K111">
        <v>0</v>
      </c>
      <c r="L111">
        <v>0</v>
      </c>
      <c r="M111">
        <v>41.2</v>
      </c>
      <c r="N111">
        <v>51.5</v>
      </c>
      <c r="O111">
        <v>48.5</v>
      </c>
      <c r="P111">
        <v>47.2</v>
      </c>
      <c r="Q111">
        <v>52.8</v>
      </c>
    </row>
    <row r="112" spans="1:17" x14ac:dyDescent="0.25">
      <c r="A112" s="2">
        <v>45036</v>
      </c>
      <c r="B112" s="2" t="str">
        <f t="shared" si="2"/>
        <v>Thursday</v>
      </c>
      <c r="C112" s="2" t="b">
        <f t="shared" si="3"/>
        <v>0</v>
      </c>
      <c r="D112">
        <v>1</v>
      </c>
      <c r="E112" t="s">
        <v>5</v>
      </c>
      <c r="F112">
        <v>205</v>
      </c>
      <c r="G112" s="3">
        <v>3604.85</v>
      </c>
      <c r="H112" s="3">
        <f>Miami_Retail[[#This Row],[sales_usd]] / Miami_Retail[[#This Row],[customers]]</f>
        <v>17.584634146341465</v>
      </c>
      <c r="I112">
        <v>70.400000000000006</v>
      </c>
      <c r="J112">
        <f>(Miami_Retail[[#This Row],[avg_temp_f]]-32) * (5/9)</f>
        <v>21.333333333333336</v>
      </c>
      <c r="K112">
        <v>0.35</v>
      </c>
      <c r="L112">
        <v>1</v>
      </c>
      <c r="M112">
        <v>35.5</v>
      </c>
      <c r="N112">
        <v>50.2</v>
      </c>
      <c r="O112">
        <v>49.8</v>
      </c>
      <c r="P112">
        <v>48.7</v>
      </c>
      <c r="Q112">
        <v>51.3</v>
      </c>
    </row>
    <row r="113" spans="1:17" x14ac:dyDescent="0.25">
      <c r="A113" s="2">
        <v>45037</v>
      </c>
      <c r="B113" s="2" t="str">
        <f t="shared" si="2"/>
        <v>Friday</v>
      </c>
      <c r="C113" s="2" t="b">
        <f t="shared" si="3"/>
        <v>0</v>
      </c>
      <c r="D113">
        <v>1</v>
      </c>
      <c r="E113" t="s">
        <v>5</v>
      </c>
      <c r="F113">
        <v>226</v>
      </c>
      <c r="G113" s="3">
        <v>3994.69</v>
      </c>
      <c r="H113" s="3">
        <f>Miami_Retail[[#This Row],[sales_usd]] / Miami_Retail[[#This Row],[customers]]</f>
        <v>17.67561946902655</v>
      </c>
      <c r="I113">
        <v>71.900000000000006</v>
      </c>
      <c r="J113">
        <f>(Miami_Retail[[#This Row],[avg_temp_f]]-32) * (5/9)</f>
        <v>22.166666666666671</v>
      </c>
      <c r="K113">
        <v>0</v>
      </c>
      <c r="L113">
        <v>0</v>
      </c>
      <c r="M113">
        <v>37.5</v>
      </c>
      <c r="N113">
        <v>52.1</v>
      </c>
      <c r="O113">
        <v>47.9</v>
      </c>
      <c r="P113">
        <v>48.6</v>
      </c>
      <c r="Q113">
        <v>51.4</v>
      </c>
    </row>
    <row r="114" spans="1:17" x14ac:dyDescent="0.25">
      <c r="A114" s="2">
        <v>45038</v>
      </c>
      <c r="B114" s="2" t="str">
        <f t="shared" si="2"/>
        <v>Saturday</v>
      </c>
      <c r="C114" s="2" t="b">
        <f t="shared" si="3"/>
        <v>1</v>
      </c>
      <c r="D114">
        <v>1</v>
      </c>
      <c r="E114" t="s">
        <v>5</v>
      </c>
      <c r="F114">
        <v>282</v>
      </c>
      <c r="G114" s="3">
        <v>5523.88</v>
      </c>
      <c r="H114" s="3">
        <f>Miami_Retail[[#This Row],[sales_usd]] / Miami_Retail[[#This Row],[customers]]</f>
        <v>19.58822695035461</v>
      </c>
      <c r="I114">
        <v>66.400000000000006</v>
      </c>
      <c r="J114">
        <f>(Miami_Retail[[#This Row],[avg_temp_f]]-32) * (5/9)</f>
        <v>19.111111111111114</v>
      </c>
      <c r="K114">
        <v>0</v>
      </c>
      <c r="L114">
        <v>0</v>
      </c>
      <c r="M114">
        <v>35</v>
      </c>
      <c r="N114">
        <v>53.1</v>
      </c>
      <c r="O114">
        <v>46.9</v>
      </c>
      <c r="P114">
        <v>54.9</v>
      </c>
      <c r="Q114">
        <v>45.1</v>
      </c>
    </row>
    <row r="115" spans="1:17" x14ac:dyDescent="0.25">
      <c r="A115" s="2">
        <v>45039</v>
      </c>
      <c r="B115" s="2" t="str">
        <f t="shared" si="2"/>
        <v>Sunday</v>
      </c>
      <c r="C115" s="2" t="b">
        <f t="shared" si="3"/>
        <v>1</v>
      </c>
      <c r="D115">
        <v>1</v>
      </c>
      <c r="E115" t="s">
        <v>5</v>
      </c>
      <c r="F115">
        <v>266</v>
      </c>
      <c r="G115" s="3">
        <v>5122.08</v>
      </c>
      <c r="H115" s="3">
        <f>Miami_Retail[[#This Row],[sales_usd]] / Miami_Retail[[#This Row],[customers]]</f>
        <v>19.25593984962406</v>
      </c>
      <c r="I115">
        <v>71.099999999999994</v>
      </c>
      <c r="J115">
        <f>(Miami_Retail[[#This Row],[avg_temp_f]]-32) * (5/9)</f>
        <v>21.722222222222221</v>
      </c>
      <c r="K115">
        <v>0</v>
      </c>
      <c r="L115">
        <v>0</v>
      </c>
      <c r="M115">
        <v>35</v>
      </c>
      <c r="N115">
        <v>51.3</v>
      </c>
      <c r="O115">
        <v>48.7</v>
      </c>
      <c r="P115">
        <v>53.2</v>
      </c>
      <c r="Q115">
        <v>46.8</v>
      </c>
    </row>
    <row r="116" spans="1:17" x14ac:dyDescent="0.25">
      <c r="A116" s="2">
        <v>45040</v>
      </c>
      <c r="B116" s="2" t="str">
        <f t="shared" si="2"/>
        <v>Monday</v>
      </c>
      <c r="C116" s="2" t="b">
        <f t="shared" si="3"/>
        <v>0</v>
      </c>
      <c r="D116">
        <v>1</v>
      </c>
      <c r="E116" t="s">
        <v>5</v>
      </c>
      <c r="F116">
        <v>222</v>
      </c>
      <c r="G116" s="3">
        <v>4341.54</v>
      </c>
      <c r="H116" s="3">
        <f>Miami_Retail[[#This Row],[sales_usd]] / Miami_Retail[[#This Row],[customers]]</f>
        <v>19.556486486486488</v>
      </c>
      <c r="I116">
        <v>68.599999999999994</v>
      </c>
      <c r="J116">
        <f>(Miami_Retail[[#This Row],[avg_temp_f]]-32) * (5/9)</f>
        <v>20.333333333333332</v>
      </c>
      <c r="K116">
        <v>0</v>
      </c>
      <c r="L116">
        <v>0</v>
      </c>
      <c r="M116">
        <v>41.2</v>
      </c>
      <c r="N116">
        <v>50.8</v>
      </c>
      <c r="O116">
        <v>49.2</v>
      </c>
      <c r="P116">
        <v>49.2</v>
      </c>
      <c r="Q116">
        <v>50.8</v>
      </c>
    </row>
    <row r="117" spans="1:17" x14ac:dyDescent="0.25">
      <c r="A117" s="2">
        <v>45041</v>
      </c>
      <c r="B117" s="2" t="str">
        <f t="shared" si="2"/>
        <v>Tuesday</v>
      </c>
      <c r="C117" s="2" t="b">
        <f t="shared" si="3"/>
        <v>0</v>
      </c>
      <c r="D117">
        <v>1</v>
      </c>
      <c r="E117" t="s">
        <v>5</v>
      </c>
      <c r="F117">
        <v>229</v>
      </c>
      <c r="G117" s="3">
        <v>3969.74</v>
      </c>
      <c r="H117" s="3">
        <f>Miami_Retail[[#This Row],[sales_usd]] / Miami_Retail[[#This Row],[customers]]</f>
        <v>17.335109170305675</v>
      </c>
      <c r="I117">
        <v>70.5</v>
      </c>
      <c r="J117">
        <f>(Miami_Retail[[#This Row],[avg_temp_f]]-32) * (5/9)</f>
        <v>21.388888888888889</v>
      </c>
      <c r="K117">
        <v>1.79</v>
      </c>
      <c r="L117">
        <v>1</v>
      </c>
      <c r="M117">
        <v>46.2</v>
      </c>
      <c r="N117">
        <v>50.6</v>
      </c>
      <c r="O117">
        <v>49.4</v>
      </c>
      <c r="P117">
        <v>47.3</v>
      </c>
      <c r="Q117">
        <v>52.7</v>
      </c>
    </row>
    <row r="118" spans="1:17" x14ac:dyDescent="0.25">
      <c r="A118" s="2">
        <v>45042</v>
      </c>
      <c r="B118" s="2" t="str">
        <f t="shared" si="2"/>
        <v>Wednesday</v>
      </c>
      <c r="C118" s="2" t="b">
        <f t="shared" si="3"/>
        <v>0</v>
      </c>
      <c r="D118">
        <v>1</v>
      </c>
      <c r="E118" t="s">
        <v>5</v>
      </c>
      <c r="F118">
        <v>236</v>
      </c>
      <c r="G118" s="3">
        <v>4481.8500000000004</v>
      </c>
      <c r="H118" s="3">
        <f>Miami_Retail[[#This Row],[sales_usd]] / Miami_Retail[[#This Row],[customers]]</f>
        <v>18.990889830508475</v>
      </c>
      <c r="I118">
        <v>63.6</v>
      </c>
      <c r="J118">
        <f>(Miami_Retail[[#This Row],[avg_temp_f]]-32) * (5/9)</f>
        <v>17.555555555555557</v>
      </c>
      <c r="K118">
        <v>0</v>
      </c>
      <c r="L118">
        <v>0</v>
      </c>
      <c r="M118">
        <v>38.4</v>
      </c>
      <c r="N118">
        <v>51.6</v>
      </c>
      <c r="O118">
        <v>48.4</v>
      </c>
      <c r="P118">
        <v>47.8</v>
      </c>
      <c r="Q118">
        <v>52.2</v>
      </c>
    </row>
    <row r="119" spans="1:17" x14ac:dyDescent="0.25">
      <c r="A119" s="2">
        <v>45043</v>
      </c>
      <c r="B119" s="2" t="str">
        <f t="shared" si="2"/>
        <v>Thursday</v>
      </c>
      <c r="C119" s="2" t="b">
        <f t="shared" si="3"/>
        <v>0</v>
      </c>
      <c r="D119">
        <v>1</v>
      </c>
      <c r="E119" t="s">
        <v>5</v>
      </c>
      <c r="F119">
        <v>229</v>
      </c>
      <c r="G119" s="3">
        <v>4397.26</v>
      </c>
      <c r="H119" s="3">
        <f>Miami_Retail[[#This Row],[sales_usd]] / Miami_Retail[[#This Row],[customers]]</f>
        <v>19.202008733624456</v>
      </c>
      <c r="I119">
        <v>72.2</v>
      </c>
      <c r="J119">
        <f>(Miami_Retail[[#This Row],[avg_temp_f]]-32) * (5/9)</f>
        <v>22.333333333333336</v>
      </c>
      <c r="K119">
        <v>0.37</v>
      </c>
      <c r="L119">
        <v>1</v>
      </c>
      <c r="M119">
        <v>40.5</v>
      </c>
      <c r="N119">
        <v>51.3</v>
      </c>
      <c r="O119">
        <v>48.7</v>
      </c>
      <c r="P119">
        <v>48.5</v>
      </c>
      <c r="Q119">
        <v>51.5</v>
      </c>
    </row>
    <row r="120" spans="1:17" x14ac:dyDescent="0.25">
      <c r="A120" s="2">
        <v>45044</v>
      </c>
      <c r="B120" s="2" t="str">
        <f t="shared" si="2"/>
        <v>Friday</v>
      </c>
      <c r="C120" s="2" t="b">
        <f t="shared" si="3"/>
        <v>0</v>
      </c>
      <c r="D120">
        <v>1</v>
      </c>
      <c r="E120" t="s">
        <v>5</v>
      </c>
      <c r="F120">
        <v>215</v>
      </c>
      <c r="G120" s="3">
        <v>3830.95</v>
      </c>
      <c r="H120" s="3">
        <f>Miami_Retail[[#This Row],[sales_usd]] / Miami_Retail[[#This Row],[customers]]</f>
        <v>17.818372093023253</v>
      </c>
      <c r="I120">
        <v>68.3</v>
      </c>
      <c r="J120">
        <f>(Miami_Retail[[#This Row],[avg_temp_f]]-32) * (5/9)</f>
        <v>20.166666666666664</v>
      </c>
      <c r="K120">
        <v>0</v>
      </c>
      <c r="L120">
        <v>0</v>
      </c>
      <c r="M120">
        <v>39.9</v>
      </c>
      <c r="N120">
        <v>52.4</v>
      </c>
      <c r="O120">
        <v>47.6</v>
      </c>
      <c r="P120">
        <v>48.1</v>
      </c>
      <c r="Q120">
        <v>51.9</v>
      </c>
    </row>
    <row r="121" spans="1:17" x14ac:dyDescent="0.25">
      <c r="A121" s="2">
        <v>45045</v>
      </c>
      <c r="B121" s="2" t="str">
        <f t="shared" si="2"/>
        <v>Saturday</v>
      </c>
      <c r="C121" s="2" t="b">
        <f t="shared" si="3"/>
        <v>1</v>
      </c>
      <c r="D121">
        <v>1</v>
      </c>
      <c r="E121" t="s">
        <v>5</v>
      </c>
      <c r="F121">
        <v>281</v>
      </c>
      <c r="G121" s="3">
        <v>5754.29</v>
      </c>
      <c r="H121" s="3">
        <f>Miami_Retail[[#This Row],[sales_usd]] / Miami_Retail[[#This Row],[customers]]</f>
        <v>20.477900355871885</v>
      </c>
      <c r="I121">
        <v>72.900000000000006</v>
      </c>
      <c r="J121">
        <f>(Miami_Retail[[#This Row],[avg_temp_f]]-32) * (5/9)</f>
        <v>22.722222222222225</v>
      </c>
      <c r="K121">
        <v>0</v>
      </c>
      <c r="L121">
        <v>0</v>
      </c>
      <c r="M121">
        <v>41</v>
      </c>
      <c r="N121">
        <v>50.4</v>
      </c>
      <c r="O121">
        <v>49.6</v>
      </c>
      <c r="P121">
        <v>53</v>
      </c>
      <c r="Q121">
        <v>47</v>
      </c>
    </row>
    <row r="122" spans="1:17" x14ac:dyDescent="0.25">
      <c r="A122" s="2">
        <v>45046</v>
      </c>
      <c r="B122" s="2" t="str">
        <f t="shared" si="2"/>
        <v>Sunday</v>
      </c>
      <c r="C122" s="2" t="b">
        <f t="shared" si="3"/>
        <v>1</v>
      </c>
      <c r="D122">
        <v>1</v>
      </c>
      <c r="E122" t="s">
        <v>5</v>
      </c>
      <c r="F122">
        <v>264</v>
      </c>
      <c r="G122" s="3">
        <v>5010</v>
      </c>
      <c r="H122" s="3">
        <f>Miami_Retail[[#This Row],[sales_usd]] / Miami_Retail[[#This Row],[customers]]</f>
        <v>18.977272727272727</v>
      </c>
      <c r="I122">
        <v>69.400000000000006</v>
      </c>
      <c r="J122">
        <f>(Miami_Retail[[#This Row],[avg_temp_f]]-32) * (5/9)</f>
        <v>20.777777777777782</v>
      </c>
      <c r="K122">
        <v>0</v>
      </c>
      <c r="L122">
        <v>0</v>
      </c>
      <c r="M122">
        <v>48</v>
      </c>
      <c r="N122">
        <v>52.3</v>
      </c>
      <c r="O122">
        <v>47.7</v>
      </c>
      <c r="P122">
        <v>54.7</v>
      </c>
      <c r="Q122">
        <v>45.3</v>
      </c>
    </row>
    <row r="123" spans="1:17" x14ac:dyDescent="0.25">
      <c r="A123" s="2">
        <v>45047</v>
      </c>
      <c r="B123" s="2" t="str">
        <f t="shared" si="2"/>
        <v>Monday</v>
      </c>
      <c r="C123" s="2" t="b">
        <f t="shared" si="3"/>
        <v>0</v>
      </c>
      <c r="D123">
        <v>1</v>
      </c>
      <c r="E123" t="s">
        <v>5</v>
      </c>
      <c r="F123">
        <v>202</v>
      </c>
      <c r="G123" s="3">
        <v>3756.46</v>
      </c>
      <c r="H123" s="3">
        <f>Miami_Retail[[#This Row],[sales_usd]] / Miami_Retail[[#This Row],[customers]]</f>
        <v>18.596336633663366</v>
      </c>
      <c r="I123">
        <v>68.2</v>
      </c>
      <c r="J123">
        <f>(Miami_Retail[[#This Row],[avg_temp_f]]-32) * (5/9)</f>
        <v>20.111111111111114</v>
      </c>
      <c r="K123">
        <v>0.9</v>
      </c>
      <c r="L123">
        <v>1</v>
      </c>
      <c r="M123">
        <v>40.700000000000003</v>
      </c>
      <c r="N123">
        <v>50.7</v>
      </c>
      <c r="O123">
        <v>49.3</v>
      </c>
      <c r="P123">
        <v>47.2</v>
      </c>
      <c r="Q123">
        <v>52.8</v>
      </c>
    </row>
    <row r="124" spans="1:17" x14ac:dyDescent="0.25">
      <c r="A124" s="2">
        <v>45048</v>
      </c>
      <c r="B124" s="2" t="str">
        <f t="shared" si="2"/>
        <v>Tuesday</v>
      </c>
      <c r="C124" s="2" t="b">
        <f t="shared" si="3"/>
        <v>0</v>
      </c>
      <c r="D124">
        <v>1</v>
      </c>
      <c r="E124" t="s">
        <v>5</v>
      </c>
      <c r="F124">
        <v>201</v>
      </c>
      <c r="G124" s="3">
        <v>3962.55</v>
      </c>
      <c r="H124" s="3">
        <f>Miami_Retail[[#This Row],[sales_usd]] / Miami_Retail[[#This Row],[customers]]</f>
        <v>19.714179104477612</v>
      </c>
      <c r="I124">
        <v>66</v>
      </c>
      <c r="J124">
        <f>(Miami_Retail[[#This Row],[avg_temp_f]]-32) * (5/9)</f>
        <v>18.888888888888889</v>
      </c>
      <c r="K124">
        <v>0.72</v>
      </c>
      <c r="L124">
        <v>1</v>
      </c>
      <c r="M124">
        <v>43.7</v>
      </c>
      <c r="N124">
        <v>52.1</v>
      </c>
      <c r="O124">
        <v>47.9</v>
      </c>
      <c r="P124">
        <v>46.3</v>
      </c>
      <c r="Q124">
        <v>53.7</v>
      </c>
    </row>
    <row r="125" spans="1:17" x14ac:dyDescent="0.25">
      <c r="A125" s="2">
        <v>45049</v>
      </c>
      <c r="B125" s="2" t="str">
        <f t="shared" si="2"/>
        <v>Wednesday</v>
      </c>
      <c r="C125" s="2" t="b">
        <f t="shared" si="3"/>
        <v>0</v>
      </c>
      <c r="D125">
        <v>1</v>
      </c>
      <c r="E125" t="s">
        <v>5</v>
      </c>
      <c r="F125">
        <v>179</v>
      </c>
      <c r="G125" s="3">
        <v>3224.19</v>
      </c>
      <c r="H125" s="3">
        <f>Miami_Retail[[#This Row],[sales_usd]] / Miami_Retail[[#This Row],[customers]]</f>
        <v>18.012234636871508</v>
      </c>
      <c r="I125">
        <v>70.400000000000006</v>
      </c>
      <c r="J125">
        <f>(Miami_Retail[[#This Row],[avg_temp_f]]-32) * (5/9)</f>
        <v>21.333333333333336</v>
      </c>
      <c r="K125">
        <v>2.17</v>
      </c>
      <c r="L125">
        <v>1</v>
      </c>
      <c r="M125">
        <v>40.200000000000003</v>
      </c>
      <c r="N125">
        <v>50.1</v>
      </c>
      <c r="O125">
        <v>49.9</v>
      </c>
      <c r="P125">
        <v>47.5</v>
      </c>
      <c r="Q125">
        <v>52.5</v>
      </c>
    </row>
    <row r="126" spans="1:17" x14ac:dyDescent="0.25">
      <c r="A126" s="2">
        <v>45050</v>
      </c>
      <c r="B126" s="2" t="str">
        <f t="shared" si="2"/>
        <v>Thursday</v>
      </c>
      <c r="C126" s="2" t="b">
        <f t="shared" si="3"/>
        <v>0</v>
      </c>
      <c r="D126">
        <v>1</v>
      </c>
      <c r="E126" t="s">
        <v>5</v>
      </c>
      <c r="F126">
        <v>207</v>
      </c>
      <c r="G126" s="3">
        <v>3682.34</v>
      </c>
      <c r="H126" s="3">
        <f>Miami_Retail[[#This Row],[sales_usd]] / Miami_Retail[[#This Row],[customers]]</f>
        <v>17.789082125603866</v>
      </c>
      <c r="I126">
        <v>69.8</v>
      </c>
      <c r="J126">
        <f>(Miami_Retail[[#This Row],[avg_temp_f]]-32) * (5/9)</f>
        <v>21</v>
      </c>
      <c r="K126">
        <v>0</v>
      </c>
      <c r="L126">
        <v>0</v>
      </c>
      <c r="M126">
        <v>48.8</v>
      </c>
      <c r="N126">
        <v>51</v>
      </c>
      <c r="O126">
        <v>49</v>
      </c>
      <c r="P126">
        <v>47.4</v>
      </c>
      <c r="Q126">
        <v>52.6</v>
      </c>
    </row>
    <row r="127" spans="1:17" x14ac:dyDescent="0.25">
      <c r="A127" s="2">
        <v>45051</v>
      </c>
      <c r="B127" s="2" t="str">
        <f t="shared" si="2"/>
        <v>Friday</v>
      </c>
      <c r="C127" s="2" t="b">
        <f t="shared" si="3"/>
        <v>0</v>
      </c>
      <c r="D127">
        <v>1</v>
      </c>
      <c r="E127" t="s">
        <v>5</v>
      </c>
      <c r="F127">
        <v>228</v>
      </c>
      <c r="G127" s="3">
        <v>4167.37</v>
      </c>
      <c r="H127" s="3">
        <f>Miami_Retail[[#This Row],[sales_usd]] / Miami_Retail[[#This Row],[customers]]</f>
        <v>18.277938596491229</v>
      </c>
      <c r="I127">
        <v>67.400000000000006</v>
      </c>
      <c r="J127">
        <f>(Miami_Retail[[#This Row],[avg_temp_f]]-32) * (5/9)</f>
        <v>19.666666666666671</v>
      </c>
      <c r="K127">
        <v>1.58</v>
      </c>
      <c r="L127">
        <v>1</v>
      </c>
      <c r="M127">
        <v>37</v>
      </c>
      <c r="N127">
        <v>50.5</v>
      </c>
      <c r="O127">
        <v>49.5</v>
      </c>
      <c r="P127">
        <v>47.5</v>
      </c>
      <c r="Q127">
        <v>52.5</v>
      </c>
    </row>
    <row r="128" spans="1:17" x14ac:dyDescent="0.25">
      <c r="A128" s="2">
        <v>45052</v>
      </c>
      <c r="B128" s="2" t="str">
        <f t="shared" si="2"/>
        <v>Saturday</v>
      </c>
      <c r="C128" s="2" t="b">
        <f t="shared" si="3"/>
        <v>1</v>
      </c>
      <c r="D128">
        <v>1</v>
      </c>
      <c r="E128" t="s">
        <v>5</v>
      </c>
      <c r="F128">
        <v>264</v>
      </c>
      <c r="G128" s="3">
        <v>4920</v>
      </c>
      <c r="H128" s="3">
        <f>Miami_Retail[[#This Row],[sales_usd]] / Miami_Retail[[#This Row],[customers]]</f>
        <v>18.636363636363637</v>
      </c>
      <c r="I128">
        <v>70.5</v>
      </c>
      <c r="J128">
        <f>(Miami_Retail[[#This Row],[avg_temp_f]]-32) * (5/9)</f>
        <v>21.388888888888889</v>
      </c>
      <c r="K128">
        <v>0.53</v>
      </c>
      <c r="L128">
        <v>1</v>
      </c>
      <c r="M128">
        <v>44.3</v>
      </c>
      <c r="N128">
        <v>52.4</v>
      </c>
      <c r="O128">
        <v>47.6</v>
      </c>
      <c r="P128">
        <v>55.3</v>
      </c>
      <c r="Q128">
        <v>44.7</v>
      </c>
    </row>
    <row r="129" spans="1:17" x14ac:dyDescent="0.25">
      <c r="A129" s="2">
        <v>45053</v>
      </c>
      <c r="B129" s="2" t="str">
        <f t="shared" si="2"/>
        <v>Sunday</v>
      </c>
      <c r="C129" s="2" t="b">
        <f t="shared" si="3"/>
        <v>1</v>
      </c>
      <c r="D129">
        <v>1</v>
      </c>
      <c r="E129" t="s">
        <v>5</v>
      </c>
      <c r="F129">
        <v>250</v>
      </c>
      <c r="G129" s="3">
        <v>4326.7</v>
      </c>
      <c r="H129" s="3">
        <f>Miami_Retail[[#This Row],[sales_usd]] / Miami_Retail[[#This Row],[customers]]</f>
        <v>17.306799999999999</v>
      </c>
      <c r="I129">
        <v>64.5</v>
      </c>
      <c r="J129">
        <f>(Miami_Retail[[#This Row],[avg_temp_f]]-32) * (5/9)</f>
        <v>18.055555555555557</v>
      </c>
      <c r="K129">
        <v>0</v>
      </c>
      <c r="L129">
        <v>0</v>
      </c>
      <c r="M129">
        <v>44.8</v>
      </c>
      <c r="N129">
        <v>52.9</v>
      </c>
      <c r="O129">
        <v>47.1</v>
      </c>
      <c r="P129">
        <v>53.5</v>
      </c>
      <c r="Q129">
        <v>46.5</v>
      </c>
    </row>
    <row r="130" spans="1:17" x14ac:dyDescent="0.25">
      <c r="A130" s="2">
        <v>45054</v>
      </c>
      <c r="B130" s="2" t="str">
        <f t="shared" ref="B130:B193" si="4">TEXT(A130, "dddd")</f>
        <v>Monday</v>
      </c>
      <c r="C130" s="2" t="b">
        <f t="shared" ref="C130:C193" si="5">IF(WEEKDAY(A130,2)&gt;5,TRUE,FALSE)</f>
        <v>0</v>
      </c>
      <c r="D130">
        <v>1</v>
      </c>
      <c r="E130" t="s">
        <v>5</v>
      </c>
      <c r="F130">
        <v>208</v>
      </c>
      <c r="G130" s="3">
        <v>3456.64</v>
      </c>
      <c r="H130" s="3">
        <f>Miami_Retail[[#This Row],[sales_usd]] / Miami_Retail[[#This Row],[customers]]</f>
        <v>16.618461538461538</v>
      </c>
      <c r="I130">
        <v>70</v>
      </c>
      <c r="J130">
        <f>(Miami_Retail[[#This Row],[avg_temp_f]]-32) * (5/9)</f>
        <v>21.111111111111111</v>
      </c>
      <c r="K130">
        <v>0</v>
      </c>
      <c r="L130">
        <v>0</v>
      </c>
      <c r="M130">
        <v>43.8</v>
      </c>
      <c r="N130">
        <v>51.4</v>
      </c>
      <c r="O130">
        <v>48.6</v>
      </c>
      <c r="P130">
        <v>48.3</v>
      </c>
      <c r="Q130">
        <v>51.7</v>
      </c>
    </row>
    <row r="131" spans="1:17" x14ac:dyDescent="0.25">
      <c r="A131" s="2">
        <v>45055</v>
      </c>
      <c r="B131" s="2" t="str">
        <f t="shared" si="4"/>
        <v>Tuesday</v>
      </c>
      <c r="C131" s="2" t="b">
        <f t="shared" si="5"/>
        <v>0</v>
      </c>
      <c r="D131">
        <v>1</v>
      </c>
      <c r="E131" t="s">
        <v>5</v>
      </c>
      <c r="F131">
        <v>187</v>
      </c>
      <c r="G131" s="3">
        <v>3440.45</v>
      </c>
      <c r="H131" s="3">
        <f>Miami_Retail[[#This Row],[sales_usd]] / Miami_Retail[[#This Row],[customers]]</f>
        <v>18.39812834224599</v>
      </c>
      <c r="I131">
        <v>70.3</v>
      </c>
      <c r="J131">
        <f>(Miami_Retail[[#This Row],[avg_temp_f]]-32) * (5/9)</f>
        <v>21.277777777777779</v>
      </c>
      <c r="K131">
        <v>0.69</v>
      </c>
      <c r="L131">
        <v>1</v>
      </c>
      <c r="M131">
        <v>36.700000000000003</v>
      </c>
      <c r="N131">
        <v>51.6</v>
      </c>
      <c r="O131">
        <v>48.4</v>
      </c>
      <c r="P131">
        <v>50</v>
      </c>
      <c r="Q131">
        <v>50</v>
      </c>
    </row>
    <row r="132" spans="1:17" x14ac:dyDescent="0.25">
      <c r="A132" s="2">
        <v>45056</v>
      </c>
      <c r="B132" s="2" t="str">
        <f t="shared" si="4"/>
        <v>Wednesday</v>
      </c>
      <c r="C132" s="2" t="b">
        <f t="shared" si="5"/>
        <v>0</v>
      </c>
      <c r="D132">
        <v>1</v>
      </c>
      <c r="E132" t="s">
        <v>5</v>
      </c>
      <c r="F132">
        <v>211</v>
      </c>
      <c r="G132" s="3">
        <v>3867.56</v>
      </c>
      <c r="H132" s="3">
        <f>Miami_Retail[[#This Row],[sales_usd]] / Miami_Retail[[#This Row],[customers]]</f>
        <v>18.329668246445497</v>
      </c>
      <c r="I132">
        <v>69.599999999999994</v>
      </c>
      <c r="J132">
        <f>(Miami_Retail[[#This Row],[avg_temp_f]]-32) * (5/9)</f>
        <v>20.888888888888886</v>
      </c>
      <c r="K132">
        <v>0</v>
      </c>
      <c r="L132">
        <v>0</v>
      </c>
      <c r="M132">
        <v>43.3</v>
      </c>
      <c r="N132">
        <v>50.9</v>
      </c>
      <c r="O132">
        <v>49.1</v>
      </c>
      <c r="P132">
        <v>48.2</v>
      </c>
      <c r="Q132">
        <v>51.8</v>
      </c>
    </row>
    <row r="133" spans="1:17" x14ac:dyDescent="0.25">
      <c r="A133" s="2">
        <v>45057</v>
      </c>
      <c r="B133" s="2" t="str">
        <f t="shared" si="4"/>
        <v>Thursday</v>
      </c>
      <c r="C133" s="2" t="b">
        <f t="shared" si="5"/>
        <v>0</v>
      </c>
      <c r="D133">
        <v>1</v>
      </c>
      <c r="E133" t="s">
        <v>5</v>
      </c>
      <c r="F133">
        <v>222</v>
      </c>
      <c r="G133" s="3">
        <v>4227.57</v>
      </c>
      <c r="H133" s="3">
        <f>Miami_Retail[[#This Row],[sales_usd]] / Miami_Retail[[#This Row],[customers]]</f>
        <v>19.043108108108108</v>
      </c>
      <c r="I133">
        <v>67.3</v>
      </c>
      <c r="J133">
        <f>(Miami_Retail[[#This Row],[avg_temp_f]]-32) * (5/9)</f>
        <v>19.611111111111111</v>
      </c>
      <c r="K133">
        <v>0</v>
      </c>
      <c r="L133">
        <v>0</v>
      </c>
      <c r="M133">
        <v>46.5</v>
      </c>
      <c r="N133">
        <v>51.7</v>
      </c>
      <c r="O133">
        <v>48.3</v>
      </c>
      <c r="P133">
        <v>48.4</v>
      </c>
      <c r="Q133">
        <v>51.6</v>
      </c>
    </row>
    <row r="134" spans="1:17" x14ac:dyDescent="0.25">
      <c r="A134" s="2">
        <v>45058</v>
      </c>
      <c r="B134" s="2" t="str">
        <f t="shared" si="4"/>
        <v>Friday</v>
      </c>
      <c r="C134" s="2" t="b">
        <f t="shared" si="5"/>
        <v>0</v>
      </c>
      <c r="D134">
        <v>1</v>
      </c>
      <c r="E134" t="s">
        <v>5</v>
      </c>
      <c r="F134">
        <v>201</v>
      </c>
      <c r="G134" s="3">
        <v>3597.83</v>
      </c>
      <c r="H134" s="3">
        <f>Miami_Retail[[#This Row],[sales_usd]] / Miami_Retail[[#This Row],[customers]]</f>
        <v>17.899651741293532</v>
      </c>
      <c r="I134">
        <v>65.400000000000006</v>
      </c>
      <c r="J134">
        <f>(Miami_Retail[[#This Row],[avg_temp_f]]-32) * (5/9)</f>
        <v>18.555555555555561</v>
      </c>
      <c r="K134">
        <v>0</v>
      </c>
      <c r="L134">
        <v>0</v>
      </c>
      <c r="M134">
        <v>41.1</v>
      </c>
      <c r="N134">
        <v>49.4</v>
      </c>
      <c r="O134">
        <v>50.6</v>
      </c>
      <c r="P134">
        <v>47.5</v>
      </c>
      <c r="Q134">
        <v>52.5</v>
      </c>
    </row>
    <row r="135" spans="1:17" x14ac:dyDescent="0.25">
      <c r="A135" s="2">
        <v>45059</v>
      </c>
      <c r="B135" s="2" t="str">
        <f t="shared" si="4"/>
        <v>Saturday</v>
      </c>
      <c r="C135" s="2" t="b">
        <f t="shared" si="5"/>
        <v>1</v>
      </c>
      <c r="D135">
        <v>1</v>
      </c>
      <c r="E135" t="s">
        <v>5</v>
      </c>
      <c r="F135">
        <v>250</v>
      </c>
      <c r="G135" s="3">
        <v>4934.41</v>
      </c>
      <c r="H135" s="3">
        <f>Miami_Retail[[#This Row],[sales_usd]] / Miami_Retail[[#This Row],[customers]]</f>
        <v>19.737639999999999</v>
      </c>
      <c r="I135">
        <v>70</v>
      </c>
      <c r="J135">
        <f>(Miami_Retail[[#This Row],[avg_temp_f]]-32) * (5/9)</f>
        <v>21.111111111111111</v>
      </c>
      <c r="K135">
        <v>0.88</v>
      </c>
      <c r="L135">
        <v>1</v>
      </c>
      <c r="M135">
        <v>38.1</v>
      </c>
      <c r="N135">
        <v>49.8</v>
      </c>
      <c r="O135">
        <v>50.2</v>
      </c>
      <c r="P135">
        <v>53.1</v>
      </c>
      <c r="Q135">
        <v>46.9</v>
      </c>
    </row>
    <row r="136" spans="1:17" x14ac:dyDescent="0.25">
      <c r="A136" s="2">
        <v>45060</v>
      </c>
      <c r="B136" s="2" t="str">
        <f t="shared" si="4"/>
        <v>Sunday</v>
      </c>
      <c r="C136" s="2" t="b">
        <f t="shared" si="5"/>
        <v>1</v>
      </c>
      <c r="D136">
        <v>1</v>
      </c>
      <c r="E136" t="s">
        <v>5</v>
      </c>
      <c r="F136">
        <v>312</v>
      </c>
      <c r="G136" s="3">
        <v>5888.62</v>
      </c>
      <c r="H136" s="3">
        <f>Miami_Retail[[#This Row],[sales_usd]] / Miami_Retail[[#This Row],[customers]]</f>
        <v>18.873782051282053</v>
      </c>
      <c r="I136">
        <v>72.900000000000006</v>
      </c>
      <c r="J136">
        <f>(Miami_Retail[[#This Row],[avg_temp_f]]-32) * (5/9)</f>
        <v>22.722222222222225</v>
      </c>
      <c r="K136">
        <v>0</v>
      </c>
      <c r="L136">
        <v>0</v>
      </c>
      <c r="M136">
        <v>44.8</v>
      </c>
      <c r="N136">
        <v>53.5</v>
      </c>
      <c r="O136">
        <v>46.5</v>
      </c>
      <c r="P136">
        <v>54.3</v>
      </c>
      <c r="Q136">
        <v>45.7</v>
      </c>
    </row>
    <row r="137" spans="1:17" x14ac:dyDescent="0.25">
      <c r="A137" s="2">
        <v>45061</v>
      </c>
      <c r="B137" s="2" t="str">
        <f t="shared" si="4"/>
        <v>Monday</v>
      </c>
      <c r="C137" s="2" t="b">
        <f t="shared" si="5"/>
        <v>0</v>
      </c>
      <c r="D137">
        <v>1</v>
      </c>
      <c r="E137" t="s">
        <v>5</v>
      </c>
      <c r="F137">
        <v>249</v>
      </c>
      <c r="G137" s="3">
        <v>4798.09</v>
      </c>
      <c r="H137" s="3">
        <f>Miami_Retail[[#This Row],[sales_usd]] / Miami_Retail[[#This Row],[customers]]</f>
        <v>19.269437751004016</v>
      </c>
      <c r="I137">
        <v>74.8</v>
      </c>
      <c r="J137">
        <f>(Miami_Retail[[#This Row],[avg_temp_f]]-32) * (5/9)</f>
        <v>23.777777777777779</v>
      </c>
      <c r="K137">
        <v>0</v>
      </c>
      <c r="L137">
        <v>0</v>
      </c>
      <c r="M137">
        <v>49</v>
      </c>
      <c r="N137">
        <v>52.2</v>
      </c>
      <c r="O137">
        <v>47.8</v>
      </c>
      <c r="P137">
        <v>47.8</v>
      </c>
      <c r="Q137">
        <v>52.2</v>
      </c>
    </row>
    <row r="138" spans="1:17" x14ac:dyDescent="0.25">
      <c r="A138" s="2">
        <v>45062</v>
      </c>
      <c r="B138" s="2" t="str">
        <f t="shared" si="4"/>
        <v>Tuesday</v>
      </c>
      <c r="C138" s="2" t="b">
        <f t="shared" si="5"/>
        <v>0</v>
      </c>
      <c r="D138">
        <v>1</v>
      </c>
      <c r="E138" t="s">
        <v>5</v>
      </c>
      <c r="F138">
        <v>260</v>
      </c>
      <c r="G138" s="3">
        <v>4915.3100000000004</v>
      </c>
      <c r="H138" s="3">
        <f>Miami_Retail[[#This Row],[sales_usd]] / Miami_Retail[[#This Row],[customers]]</f>
        <v>18.905038461538464</v>
      </c>
      <c r="I138">
        <v>74.8</v>
      </c>
      <c r="J138">
        <f>(Miami_Retail[[#This Row],[avg_temp_f]]-32) * (5/9)</f>
        <v>23.777777777777779</v>
      </c>
      <c r="K138">
        <v>0</v>
      </c>
      <c r="L138">
        <v>0</v>
      </c>
      <c r="M138">
        <v>40.5</v>
      </c>
      <c r="N138">
        <v>50.5</v>
      </c>
      <c r="O138">
        <v>49.5</v>
      </c>
      <c r="P138">
        <v>47.4</v>
      </c>
      <c r="Q138">
        <v>52.6</v>
      </c>
    </row>
    <row r="139" spans="1:17" x14ac:dyDescent="0.25">
      <c r="A139" s="2">
        <v>45063</v>
      </c>
      <c r="B139" s="2" t="str">
        <f t="shared" si="4"/>
        <v>Wednesday</v>
      </c>
      <c r="C139" s="2" t="b">
        <f t="shared" si="5"/>
        <v>0</v>
      </c>
      <c r="D139">
        <v>1</v>
      </c>
      <c r="E139" t="s">
        <v>5</v>
      </c>
      <c r="F139">
        <v>223</v>
      </c>
      <c r="G139" s="3">
        <v>4262.0600000000004</v>
      </c>
      <c r="H139" s="3">
        <f>Miami_Retail[[#This Row],[sales_usd]] / Miami_Retail[[#This Row],[customers]]</f>
        <v>19.11237668161435</v>
      </c>
      <c r="I139">
        <v>72.400000000000006</v>
      </c>
      <c r="J139">
        <f>(Miami_Retail[[#This Row],[avg_temp_f]]-32) * (5/9)</f>
        <v>22.44444444444445</v>
      </c>
      <c r="K139">
        <v>0.79</v>
      </c>
      <c r="L139">
        <v>1</v>
      </c>
      <c r="M139">
        <v>47.5</v>
      </c>
      <c r="N139">
        <v>51.2</v>
      </c>
      <c r="O139">
        <v>48.8</v>
      </c>
      <c r="P139">
        <v>46.5</v>
      </c>
      <c r="Q139">
        <v>53.5</v>
      </c>
    </row>
    <row r="140" spans="1:17" x14ac:dyDescent="0.25">
      <c r="A140" s="2">
        <v>45064</v>
      </c>
      <c r="B140" s="2" t="str">
        <f t="shared" si="4"/>
        <v>Thursday</v>
      </c>
      <c r="C140" s="2" t="b">
        <f t="shared" si="5"/>
        <v>0</v>
      </c>
      <c r="D140">
        <v>1</v>
      </c>
      <c r="E140" t="s">
        <v>5</v>
      </c>
      <c r="F140">
        <v>206</v>
      </c>
      <c r="G140" s="3">
        <v>3733.73</v>
      </c>
      <c r="H140" s="3">
        <f>Miami_Retail[[#This Row],[sales_usd]] / Miami_Retail[[#This Row],[customers]]</f>
        <v>18.124902912621359</v>
      </c>
      <c r="I140">
        <v>70</v>
      </c>
      <c r="J140">
        <f>(Miami_Retail[[#This Row],[avg_temp_f]]-32) * (5/9)</f>
        <v>21.111111111111111</v>
      </c>
      <c r="K140">
        <v>0</v>
      </c>
      <c r="L140">
        <v>0</v>
      </c>
      <c r="M140">
        <v>45.5</v>
      </c>
      <c r="N140">
        <v>50.1</v>
      </c>
      <c r="O140">
        <v>49.9</v>
      </c>
      <c r="P140">
        <v>47.8</v>
      </c>
      <c r="Q140">
        <v>52.2</v>
      </c>
    </row>
    <row r="141" spans="1:17" x14ac:dyDescent="0.25">
      <c r="A141" s="2">
        <v>45065</v>
      </c>
      <c r="B141" s="2" t="str">
        <f t="shared" si="4"/>
        <v>Friday</v>
      </c>
      <c r="C141" s="2" t="b">
        <f t="shared" si="5"/>
        <v>0</v>
      </c>
      <c r="D141">
        <v>1</v>
      </c>
      <c r="E141" t="s">
        <v>5</v>
      </c>
      <c r="F141">
        <v>268</v>
      </c>
      <c r="G141" s="3">
        <v>4612.22</v>
      </c>
      <c r="H141" s="3">
        <f>Miami_Retail[[#This Row],[sales_usd]] / Miami_Retail[[#This Row],[customers]]</f>
        <v>17.209776119402985</v>
      </c>
      <c r="I141">
        <v>76.7</v>
      </c>
      <c r="J141">
        <f>(Miami_Retail[[#This Row],[avg_temp_f]]-32) * (5/9)</f>
        <v>24.833333333333336</v>
      </c>
      <c r="K141">
        <v>0</v>
      </c>
      <c r="L141">
        <v>0</v>
      </c>
      <c r="M141">
        <v>47.4</v>
      </c>
      <c r="N141">
        <v>52.9</v>
      </c>
      <c r="O141">
        <v>47.1</v>
      </c>
      <c r="P141">
        <v>47.9</v>
      </c>
      <c r="Q141">
        <v>52.1</v>
      </c>
    </row>
    <row r="142" spans="1:17" x14ac:dyDescent="0.25">
      <c r="A142" s="2">
        <v>45066</v>
      </c>
      <c r="B142" s="2" t="str">
        <f t="shared" si="4"/>
        <v>Saturday</v>
      </c>
      <c r="C142" s="2" t="b">
        <f t="shared" si="5"/>
        <v>1</v>
      </c>
      <c r="D142">
        <v>1</v>
      </c>
      <c r="E142" t="s">
        <v>5</v>
      </c>
      <c r="F142">
        <v>272</v>
      </c>
      <c r="G142" s="3">
        <v>5142.0200000000004</v>
      </c>
      <c r="H142" s="3">
        <f>Miami_Retail[[#This Row],[sales_usd]] / Miami_Retail[[#This Row],[customers]]</f>
        <v>18.904485294117649</v>
      </c>
      <c r="I142">
        <v>67.7</v>
      </c>
      <c r="J142">
        <f>(Miami_Retail[[#This Row],[avg_temp_f]]-32) * (5/9)</f>
        <v>19.833333333333336</v>
      </c>
      <c r="K142">
        <v>0</v>
      </c>
      <c r="L142">
        <v>0</v>
      </c>
      <c r="M142">
        <v>37.200000000000003</v>
      </c>
      <c r="N142">
        <v>51.4</v>
      </c>
      <c r="O142">
        <v>48.6</v>
      </c>
      <c r="P142">
        <v>54</v>
      </c>
      <c r="Q142">
        <v>46</v>
      </c>
    </row>
    <row r="143" spans="1:17" x14ac:dyDescent="0.25">
      <c r="A143" s="2">
        <v>45067</v>
      </c>
      <c r="B143" s="2" t="str">
        <f t="shared" si="4"/>
        <v>Sunday</v>
      </c>
      <c r="C143" s="2" t="b">
        <f t="shared" si="5"/>
        <v>1</v>
      </c>
      <c r="D143">
        <v>1</v>
      </c>
      <c r="E143" t="s">
        <v>5</v>
      </c>
      <c r="F143">
        <v>235</v>
      </c>
      <c r="G143" s="3">
        <v>4476.25</v>
      </c>
      <c r="H143" s="3">
        <f>Miami_Retail[[#This Row],[sales_usd]] / Miami_Retail[[#This Row],[customers]]</f>
        <v>19.047872340425531</v>
      </c>
      <c r="I143">
        <v>66.400000000000006</v>
      </c>
      <c r="J143">
        <f>(Miami_Retail[[#This Row],[avg_temp_f]]-32) * (5/9)</f>
        <v>19.111111111111114</v>
      </c>
      <c r="K143">
        <v>0</v>
      </c>
      <c r="L143">
        <v>0</v>
      </c>
      <c r="M143">
        <v>57.4</v>
      </c>
      <c r="N143">
        <v>51.1</v>
      </c>
      <c r="O143">
        <v>48.9</v>
      </c>
      <c r="P143">
        <v>53.3</v>
      </c>
      <c r="Q143">
        <v>46.7</v>
      </c>
    </row>
    <row r="144" spans="1:17" x14ac:dyDescent="0.25">
      <c r="A144" s="2">
        <v>45068</v>
      </c>
      <c r="B144" s="2" t="str">
        <f t="shared" si="4"/>
        <v>Monday</v>
      </c>
      <c r="C144" s="2" t="b">
        <f t="shared" si="5"/>
        <v>0</v>
      </c>
      <c r="D144">
        <v>1</v>
      </c>
      <c r="E144" t="s">
        <v>5</v>
      </c>
      <c r="F144">
        <v>235</v>
      </c>
      <c r="G144" s="3">
        <v>4390.9399999999996</v>
      </c>
      <c r="H144" s="3">
        <f>Miami_Retail[[#This Row],[sales_usd]] / Miami_Retail[[#This Row],[customers]]</f>
        <v>18.684851063829786</v>
      </c>
      <c r="I144">
        <v>70.7</v>
      </c>
      <c r="J144">
        <f>(Miami_Retail[[#This Row],[avg_temp_f]]-32) * (5/9)</f>
        <v>21.500000000000004</v>
      </c>
      <c r="K144">
        <v>0</v>
      </c>
      <c r="L144">
        <v>0</v>
      </c>
      <c r="M144">
        <v>56.6</v>
      </c>
      <c r="N144">
        <v>50.7</v>
      </c>
      <c r="O144">
        <v>49.3</v>
      </c>
      <c r="P144">
        <v>49</v>
      </c>
      <c r="Q144">
        <v>51</v>
      </c>
    </row>
    <row r="145" spans="1:17" x14ac:dyDescent="0.25">
      <c r="A145" s="2">
        <v>45069</v>
      </c>
      <c r="B145" s="2" t="str">
        <f t="shared" si="4"/>
        <v>Tuesday</v>
      </c>
      <c r="C145" s="2" t="b">
        <f t="shared" si="5"/>
        <v>0</v>
      </c>
      <c r="D145">
        <v>1</v>
      </c>
      <c r="E145" t="s">
        <v>5</v>
      </c>
      <c r="F145">
        <v>270</v>
      </c>
      <c r="G145" s="3">
        <v>4804.33</v>
      </c>
      <c r="H145" s="3">
        <f>Miami_Retail[[#This Row],[sales_usd]] / Miami_Retail[[#This Row],[customers]]</f>
        <v>17.793814814814816</v>
      </c>
      <c r="I145">
        <v>78.400000000000006</v>
      </c>
      <c r="J145">
        <f>(Miami_Retail[[#This Row],[avg_temp_f]]-32) * (5/9)</f>
        <v>25.777777777777782</v>
      </c>
      <c r="K145">
        <v>0</v>
      </c>
      <c r="L145">
        <v>0</v>
      </c>
      <c r="M145">
        <v>44.1</v>
      </c>
      <c r="N145">
        <v>52</v>
      </c>
      <c r="O145">
        <v>48</v>
      </c>
      <c r="P145">
        <v>46.4</v>
      </c>
      <c r="Q145">
        <v>53.6</v>
      </c>
    </row>
    <row r="146" spans="1:17" x14ac:dyDescent="0.25">
      <c r="A146" s="2">
        <v>45070</v>
      </c>
      <c r="B146" s="2" t="str">
        <f t="shared" si="4"/>
        <v>Wednesday</v>
      </c>
      <c r="C146" s="2" t="b">
        <f t="shared" si="5"/>
        <v>0</v>
      </c>
      <c r="D146">
        <v>1</v>
      </c>
      <c r="E146" t="s">
        <v>5</v>
      </c>
      <c r="F146">
        <v>272</v>
      </c>
      <c r="G146" s="3">
        <v>4997.16</v>
      </c>
      <c r="H146" s="3">
        <f>Miami_Retail[[#This Row],[sales_usd]] / Miami_Retail[[#This Row],[customers]]</f>
        <v>18.371911764705882</v>
      </c>
      <c r="I146">
        <v>77.7</v>
      </c>
      <c r="J146">
        <f>(Miami_Retail[[#This Row],[avg_temp_f]]-32) * (5/9)</f>
        <v>25.388888888888893</v>
      </c>
      <c r="K146">
        <v>0</v>
      </c>
      <c r="L146">
        <v>0</v>
      </c>
      <c r="M146">
        <v>52.9</v>
      </c>
      <c r="N146">
        <v>50</v>
      </c>
      <c r="O146">
        <v>50</v>
      </c>
      <c r="P146">
        <v>48.5</v>
      </c>
      <c r="Q146">
        <v>51.5</v>
      </c>
    </row>
    <row r="147" spans="1:17" x14ac:dyDescent="0.25">
      <c r="A147" s="2">
        <v>45071</v>
      </c>
      <c r="B147" s="2" t="str">
        <f t="shared" si="4"/>
        <v>Thursday</v>
      </c>
      <c r="C147" s="2" t="b">
        <f t="shared" si="5"/>
        <v>0</v>
      </c>
      <c r="D147">
        <v>1</v>
      </c>
      <c r="E147" t="s">
        <v>5</v>
      </c>
      <c r="F147">
        <v>261</v>
      </c>
      <c r="G147" s="3">
        <v>5037.0200000000004</v>
      </c>
      <c r="H147" s="3">
        <f>Miami_Retail[[#This Row],[sales_usd]] / Miami_Retail[[#This Row],[customers]]</f>
        <v>19.298927203065137</v>
      </c>
      <c r="I147">
        <v>75.099999999999994</v>
      </c>
      <c r="J147">
        <f>(Miami_Retail[[#This Row],[avg_temp_f]]-32) * (5/9)</f>
        <v>23.944444444444443</v>
      </c>
      <c r="K147">
        <v>0</v>
      </c>
      <c r="L147">
        <v>0</v>
      </c>
      <c r="M147">
        <v>50.1</v>
      </c>
      <c r="N147">
        <v>51.2</v>
      </c>
      <c r="O147">
        <v>48.8</v>
      </c>
      <c r="P147">
        <v>46.6</v>
      </c>
      <c r="Q147">
        <v>53.4</v>
      </c>
    </row>
    <row r="148" spans="1:17" x14ac:dyDescent="0.25">
      <c r="A148" s="2">
        <v>45072</v>
      </c>
      <c r="B148" s="2" t="str">
        <f t="shared" si="4"/>
        <v>Friday</v>
      </c>
      <c r="C148" s="2" t="b">
        <f t="shared" si="5"/>
        <v>0</v>
      </c>
      <c r="D148">
        <v>1</v>
      </c>
      <c r="E148" t="s">
        <v>5</v>
      </c>
      <c r="F148">
        <v>204</v>
      </c>
      <c r="G148" s="3">
        <v>3397.83</v>
      </c>
      <c r="H148" s="3">
        <f>Miami_Retail[[#This Row],[sales_usd]] / Miami_Retail[[#This Row],[customers]]</f>
        <v>16.656029411764706</v>
      </c>
      <c r="I148">
        <v>72.5</v>
      </c>
      <c r="J148">
        <f>(Miami_Retail[[#This Row],[avg_temp_f]]-32) * (5/9)</f>
        <v>22.5</v>
      </c>
      <c r="K148">
        <v>0</v>
      </c>
      <c r="L148">
        <v>0</v>
      </c>
      <c r="M148">
        <v>41.3</v>
      </c>
      <c r="N148">
        <v>50.5</v>
      </c>
      <c r="O148">
        <v>49.5</v>
      </c>
      <c r="P148">
        <v>48.8</v>
      </c>
      <c r="Q148">
        <v>51.2</v>
      </c>
    </row>
    <row r="149" spans="1:17" x14ac:dyDescent="0.25">
      <c r="A149" s="2">
        <v>45073</v>
      </c>
      <c r="B149" s="2" t="str">
        <f t="shared" si="4"/>
        <v>Saturday</v>
      </c>
      <c r="C149" s="2" t="b">
        <f t="shared" si="5"/>
        <v>1</v>
      </c>
      <c r="D149">
        <v>1</v>
      </c>
      <c r="E149" t="s">
        <v>5</v>
      </c>
      <c r="F149">
        <v>272</v>
      </c>
      <c r="G149" s="3">
        <v>4907.07</v>
      </c>
      <c r="H149" s="3">
        <f>Miami_Retail[[#This Row],[sales_usd]] / Miami_Retail[[#This Row],[customers]]</f>
        <v>18.040698529411763</v>
      </c>
      <c r="I149">
        <v>74.900000000000006</v>
      </c>
      <c r="J149">
        <f>(Miami_Retail[[#This Row],[avg_temp_f]]-32) * (5/9)</f>
        <v>23.833333333333339</v>
      </c>
      <c r="K149">
        <v>0.47</v>
      </c>
      <c r="L149">
        <v>1</v>
      </c>
      <c r="M149">
        <v>44.5</v>
      </c>
      <c r="N149">
        <v>49.9</v>
      </c>
      <c r="O149">
        <v>50.1</v>
      </c>
      <c r="P149">
        <v>54.5</v>
      </c>
      <c r="Q149">
        <v>45.5</v>
      </c>
    </row>
    <row r="150" spans="1:17" x14ac:dyDescent="0.25">
      <c r="A150" s="2">
        <v>45074</v>
      </c>
      <c r="B150" s="2" t="str">
        <f t="shared" si="4"/>
        <v>Sunday</v>
      </c>
      <c r="C150" s="2" t="b">
        <f t="shared" si="5"/>
        <v>1</v>
      </c>
      <c r="D150">
        <v>1</v>
      </c>
      <c r="E150" t="s">
        <v>5</v>
      </c>
      <c r="F150">
        <v>264</v>
      </c>
      <c r="G150" s="3">
        <v>4195.87</v>
      </c>
      <c r="H150" s="3">
        <f>Miami_Retail[[#This Row],[sales_usd]] / Miami_Retail[[#This Row],[customers]]</f>
        <v>15.893446969696969</v>
      </c>
      <c r="I150">
        <v>68.2</v>
      </c>
      <c r="J150">
        <f>(Miami_Retail[[#This Row],[avg_temp_f]]-32) * (5/9)</f>
        <v>20.111111111111114</v>
      </c>
      <c r="K150">
        <v>0.76</v>
      </c>
      <c r="L150">
        <v>1</v>
      </c>
      <c r="M150">
        <v>59.8</v>
      </c>
      <c r="N150">
        <v>51.4</v>
      </c>
      <c r="O150">
        <v>48.6</v>
      </c>
      <c r="P150">
        <v>53.4</v>
      </c>
      <c r="Q150">
        <v>46.6</v>
      </c>
    </row>
    <row r="151" spans="1:17" x14ac:dyDescent="0.25">
      <c r="A151" s="2">
        <v>45075</v>
      </c>
      <c r="B151" s="2" t="str">
        <f t="shared" si="4"/>
        <v>Monday</v>
      </c>
      <c r="C151" s="2" t="b">
        <f t="shared" si="5"/>
        <v>0</v>
      </c>
      <c r="D151">
        <v>1</v>
      </c>
      <c r="E151" t="s">
        <v>5</v>
      </c>
      <c r="F151">
        <v>211</v>
      </c>
      <c r="G151" s="3">
        <v>4080.73</v>
      </c>
      <c r="H151" s="3">
        <f>Miami_Retail[[#This Row],[sales_usd]] / Miami_Retail[[#This Row],[customers]]</f>
        <v>19.33995260663507</v>
      </c>
      <c r="I151">
        <v>72.400000000000006</v>
      </c>
      <c r="J151">
        <f>(Miami_Retail[[#This Row],[avg_temp_f]]-32) * (5/9)</f>
        <v>22.44444444444445</v>
      </c>
      <c r="K151">
        <v>0.99</v>
      </c>
      <c r="L151">
        <v>1</v>
      </c>
      <c r="M151">
        <v>53.6</v>
      </c>
      <c r="N151">
        <v>51.8</v>
      </c>
      <c r="O151">
        <v>48.2</v>
      </c>
      <c r="P151">
        <v>48.3</v>
      </c>
      <c r="Q151">
        <v>51.7</v>
      </c>
    </row>
    <row r="152" spans="1:17" x14ac:dyDescent="0.25">
      <c r="A152" s="2">
        <v>45076</v>
      </c>
      <c r="B152" s="2" t="str">
        <f t="shared" si="4"/>
        <v>Tuesday</v>
      </c>
      <c r="C152" s="2" t="b">
        <f t="shared" si="5"/>
        <v>0</v>
      </c>
      <c r="D152">
        <v>1</v>
      </c>
      <c r="E152" t="s">
        <v>5</v>
      </c>
      <c r="F152">
        <v>272</v>
      </c>
      <c r="G152" s="3">
        <v>5220.2299999999996</v>
      </c>
      <c r="H152" s="3">
        <f>Miami_Retail[[#This Row],[sales_usd]] / Miami_Retail[[#This Row],[customers]]</f>
        <v>19.192022058823529</v>
      </c>
      <c r="I152">
        <v>76.8</v>
      </c>
      <c r="J152">
        <f>(Miami_Retail[[#This Row],[avg_temp_f]]-32) * (5/9)</f>
        <v>24.888888888888889</v>
      </c>
      <c r="K152">
        <v>1.28</v>
      </c>
      <c r="L152">
        <v>1</v>
      </c>
      <c r="M152">
        <v>56.8</v>
      </c>
      <c r="N152">
        <v>51.2</v>
      </c>
      <c r="O152">
        <v>48.8</v>
      </c>
      <c r="P152">
        <v>48.4</v>
      </c>
      <c r="Q152">
        <v>51.6</v>
      </c>
    </row>
    <row r="153" spans="1:17" x14ac:dyDescent="0.25">
      <c r="A153" s="2">
        <v>45077</v>
      </c>
      <c r="B153" s="2" t="str">
        <f t="shared" si="4"/>
        <v>Wednesday</v>
      </c>
      <c r="C153" s="2" t="b">
        <f t="shared" si="5"/>
        <v>0</v>
      </c>
      <c r="D153">
        <v>1</v>
      </c>
      <c r="E153" t="s">
        <v>5</v>
      </c>
      <c r="F153">
        <v>237</v>
      </c>
      <c r="G153" s="3">
        <v>4312.78</v>
      </c>
      <c r="H153" s="3">
        <f>Miami_Retail[[#This Row],[sales_usd]] / Miami_Retail[[#This Row],[customers]]</f>
        <v>18.197383966244725</v>
      </c>
      <c r="I153">
        <v>76.400000000000006</v>
      </c>
      <c r="J153">
        <f>(Miami_Retail[[#This Row],[avg_temp_f]]-32) * (5/9)</f>
        <v>24.666666666666671</v>
      </c>
      <c r="K153">
        <v>0</v>
      </c>
      <c r="L153">
        <v>0</v>
      </c>
      <c r="M153">
        <v>46.4</v>
      </c>
      <c r="N153">
        <v>51.4</v>
      </c>
      <c r="O153">
        <v>48.6</v>
      </c>
      <c r="P153">
        <v>45.8</v>
      </c>
      <c r="Q153">
        <v>54.2</v>
      </c>
    </row>
    <row r="154" spans="1:17" x14ac:dyDescent="0.25">
      <c r="A154" s="2">
        <v>45078</v>
      </c>
      <c r="B154" s="2" t="str">
        <f t="shared" si="4"/>
        <v>Thursday</v>
      </c>
      <c r="C154" s="2" t="b">
        <f t="shared" si="5"/>
        <v>0</v>
      </c>
      <c r="D154">
        <v>1</v>
      </c>
      <c r="E154" t="s">
        <v>5</v>
      </c>
      <c r="F154">
        <v>274</v>
      </c>
      <c r="G154" s="3">
        <v>4732.76</v>
      </c>
      <c r="H154" s="3">
        <f>Miami_Retail[[#This Row],[sales_usd]] / Miami_Retail[[#This Row],[customers]]</f>
        <v>17.27284671532847</v>
      </c>
      <c r="I154">
        <v>72.8</v>
      </c>
      <c r="J154">
        <f>(Miami_Retail[[#This Row],[avg_temp_f]]-32) * (5/9)</f>
        <v>22.666666666666668</v>
      </c>
      <c r="K154">
        <v>0</v>
      </c>
      <c r="L154">
        <v>0</v>
      </c>
      <c r="M154">
        <v>59.4</v>
      </c>
      <c r="N154">
        <v>49.3</v>
      </c>
      <c r="O154">
        <v>50.7</v>
      </c>
      <c r="P154">
        <v>47.4</v>
      </c>
      <c r="Q154">
        <v>52.6</v>
      </c>
    </row>
    <row r="155" spans="1:17" x14ac:dyDescent="0.25">
      <c r="A155" s="2">
        <v>45079</v>
      </c>
      <c r="B155" s="2" t="str">
        <f t="shared" si="4"/>
        <v>Friday</v>
      </c>
      <c r="C155" s="2" t="b">
        <f t="shared" si="5"/>
        <v>0</v>
      </c>
      <c r="D155">
        <v>1</v>
      </c>
      <c r="E155" t="s">
        <v>5</v>
      </c>
      <c r="F155">
        <v>267</v>
      </c>
      <c r="G155" s="3">
        <v>5183.1099999999997</v>
      </c>
      <c r="H155" s="3">
        <f>Miami_Retail[[#This Row],[sales_usd]] / Miami_Retail[[#This Row],[customers]]</f>
        <v>19.412397003745316</v>
      </c>
      <c r="I155">
        <v>68.900000000000006</v>
      </c>
      <c r="J155">
        <f>(Miami_Retail[[#This Row],[avg_temp_f]]-32) * (5/9)</f>
        <v>20.500000000000004</v>
      </c>
      <c r="K155">
        <v>0</v>
      </c>
      <c r="L155">
        <v>0</v>
      </c>
      <c r="M155">
        <v>50.8</v>
      </c>
      <c r="N155">
        <v>50.7</v>
      </c>
      <c r="O155">
        <v>49.3</v>
      </c>
      <c r="P155">
        <v>47.7</v>
      </c>
      <c r="Q155">
        <v>52.3</v>
      </c>
    </row>
    <row r="156" spans="1:17" x14ac:dyDescent="0.25">
      <c r="A156" s="2">
        <v>45080</v>
      </c>
      <c r="B156" s="2" t="str">
        <f t="shared" si="4"/>
        <v>Saturday</v>
      </c>
      <c r="C156" s="2" t="b">
        <f t="shared" si="5"/>
        <v>1</v>
      </c>
      <c r="D156">
        <v>1</v>
      </c>
      <c r="E156" t="s">
        <v>5</v>
      </c>
      <c r="F156">
        <v>317</v>
      </c>
      <c r="G156" s="3">
        <v>5482.32</v>
      </c>
      <c r="H156" s="3">
        <f>Miami_Retail[[#This Row],[sales_usd]] / Miami_Retail[[#This Row],[customers]]</f>
        <v>17.294384858044165</v>
      </c>
      <c r="I156">
        <v>74.7</v>
      </c>
      <c r="J156">
        <f>(Miami_Retail[[#This Row],[avg_temp_f]]-32) * (5/9)</f>
        <v>23.722222222222225</v>
      </c>
      <c r="K156">
        <v>0.11</v>
      </c>
      <c r="L156">
        <v>1</v>
      </c>
      <c r="M156">
        <v>41.6</v>
      </c>
      <c r="N156">
        <v>50.9</v>
      </c>
      <c r="O156">
        <v>49.1</v>
      </c>
      <c r="P156">
        <v>55.2</v>
      </c>
      <c r="Q156">
        <v>44.8</v>
      </c>
    </row>
    <row r="157" spans="1:17" x14ac:dyDescent="0.25">
      <c r="A157" s="2">
        <v>45081</v>
      </c>
      <c r="B157" s="2" t="str">
        <f t="shared" si="4"/>
        <v>Sunday</v>
      </c>
      <c r="C157" s="2" t="b">
        <f t="shared" si="5"/>
        <v>1</v>
      </c>
      <c r="D157">
        <v>1</v>
      </c>
      <c r="E157" t="s">
        <v>5</v>
      </c>
      <c r="F157">
        <v>305</v>
      </c>
      <c r="G157" s="3">
        <v>6052.58</v>
      </c>
      <c r="H157" s="3">
        <f>Miami_Retail[[#This Row],[sales_usd]] / Miami_Retail[[#This Row],[customers]]</f>
        <v>19.844524590163935</v>
      </c>
      <c r="I157">
        <v>76.599999999999994</v>
      </c>
      <c r="J157">
        <f>(Miami_Retail[[#This Row],[avg_temp_f]]-32) * (5/9)</f>
        <v>24.777777777777775</v>
      </c>
      <c r="K157">
        <v>0</v>
      </c>
      <c r="L157">
        <v>0</v>
      </c>
      <c r="M157">
        <v>44</v>
      </c>
      <c r="N157">
        <v>49.6</v>
      </c>
      <c r="O157">
        <v>50.4</v>
      </c>
      <c r="P157">
        <v>52.3</v>
      </c>
      <c r="Q157">
        <v>47.7</v>
      </c>
    </row>
    <row r="158" spans="1:17" x14ac:dyDescent="0.25">
      <c r="A158" s="2">
        <v>45082</v>
      </c>
      <c r="B158" s="2" t="str">
        <f t="shared" si="4"/>
        <v>Monday</v>
      </c>
      <c r="C158" s="2" t="b">
        <f t="shared" si="5"/>
        <v>0</v>
      </c>
      <c r="D158">
        <v>1</v>
      </c>
      <c r="E158" t="s">
        <v>5</v>
      </c>
      <c r="F158">
        <v>277</v>
      </c>
      <c r="G158" s="3">
        <v>5057.1000000000004</v>
      </c>
      <c r="H158" s="3">
        <f>Miami_Retail[[#This Row],[sales_usd]] / Miami_Retail[[#This Row],[customers]]</f>
        <v>18.256678700361011</v>
      </c>
      <c r="I158">
        <v>76.5</v>
      </c>
      <c r="J158">
        <f>(Miami_Retail[[#This Row],[avg_temp_f]]-32) * (5/9)</f>
        <v>24.722222222222225</v>
      </c>
      <c r="K158">
        <v>0.63</v>
      </c>
      <c r="L158">
        <v>1</v>
      </c>
      <c r="M158">
        <v>58.1</v>
      </c>
      <c r="N158">
        <v>49.1</v>
      </c>
      <c r="O158">
        <v>50.9</v>
      </c>
      <c r="P158">
        <v>46.4</v>
      </c>
      <c r="Q158">
        <v>53.6</v>
      </c>
    </row>
    <row r="159" spans="1:17" x14ac:dyDescent="0.25">
      <c r="A159" s="2">
        <v>45083</v>
      </c>
      <c r="B159" s="2" t="str">
        <f t="shared" si="4"/>
        <v>Tuesday</v>
      </c>
      <c r="C159" s="2" t="b">
        <f t="shared" si="5"/>
        <v>0</v>
      </c>
      <c r="D159">
        <v>1</v>
      </c>
      <c r="E159" t="s">
        <v>5</v>
      </c>
      <c r="F159">
        <v>283</v>
      </c>
      <c r="G159" s="3">
        <v>5762.19</v>
      </c>
      <c r="H159" s="3">
        <f>Miami_Retail[[#This Row],[sales_usd]] / Miami_Retail[[#This Row],[customers]]</f>
        <v>20.361095406360423</v>
      </c>
      <c r="I159">
        <v>74.900000000000006</v>
      </c>
      <c r="J159">
        <f>(Miami_Retail[[#This Row],[avg_temp_f]]-32) * (5/9)</f>
        <v>23.833333333333339</v>
      </c>
      <c r="K159">
        <v>0</v>
      </c>
      <c r="L159">
        <v>0</v>
      </c>
      <c r="M159">
        <v>58.4</v>
      </c>
      <c r="N159">
        <v>50.6</v>
      </c>
      <c r="O159">
        <v>49.4</v>
      </c>
      <c r="P159">
        <v>46.4</v>
      </c>
      <c r="Q159">
        <v>53.6</v>
      </c>
    </row>
    <row r="160" spans="1:17" x14ac:dyDescent="0.25">
      <c r="A160" s="2">
        <v>45084</v>
      </c>
      <c r="B160" s="2" t="str">
        <f t="shared" si="4"/>
        <v>Wednesday</v>
      </c>
      <c r="C160" s="2" t="b">
        <f t="shared" si="5"/>
        <v>0</v>
      </c>
      <c r="D160">
        <v>1</v>
      </c>
      <c r="E160" t="s">
        <v>5</v>
      </c>
      <c r="F160">
        <v>260</v>
      </c>
      <c r="G160" s="3">
        <v>4847.43</v>
      </c>
      <c r="H160" s="3">
        <f>Miami_Retail[[#This Row],[sales_usd]] / Miami_Retail[[#This Row],[customers]]</f>
        <v>18.643961538461539</v>
      </c>
      <c r="I160">
        <v>73.2</v>
      </c>
      <c r="J160">
        <f>(Miami_Retail[[#This Row],[avg_temp_f]]-32) * (5/9)</f>
        <v>22.888888888888893</v>
      </c>
      <c r="K160">
        <v>1.85</v>
      </c>
      <c r="L160">
        <v>1</v>
      </c>
      <c r="M160">
        <v>53.4</v>
      </c>
      <c r="N160">
        <v>50</v>
      </c>
      <c r="O160">
        <v>50</v>
      </c>
      <c r="P160">
        <v>48.7</v>
      </c>
      <c r="Q160">
        <v>51.3</v>
      </c>
    </row>
    <row r="161" spans="1:17" x14ac:dyDescent="0.25">
      <c r="A161" s="2">
        <v>45085</v>
      </c>
      <c r="B161" s="2" t="str">
        <f t="shared" si="4"/>
        <v>Thursday</v>
      </c>
      <c r="C161" s="2" t="b">
        <f t="shared" si="5"/>
        <v>0</v>
      </c>
      <c r="D161">
        <v>1</v>
      </c>
      <c r="E161" t="s">
        <v>5</v>
      </c>
      <c r="F161">
        <v>257</v>
      </c>
      <c r="G161" s="3">
        <v>4846.99</v>
      </c>
      <c r="H161" s="3">
        <f>Miami_Retail[[#This Row],[sales_usd]] / Miami_Retail[[#This Row],[customers]]</f>
        <v>18.859883268482488</v>
      </c>
      <c r="I161">
        <v>78.599999999999994</v>
      </c>
      <c r="J161">
        <f>(Miami_Retail[[#This Row],[avg_temp_f]]-32) * (5/9)</f>
        <v>25.888888888888886</v>
      </c>
      <c r="K161">
        <v>0.81</v>
      </c>
      <c r="L161">
        <v>1</v>
      </c>
      <c r="M161">
        <v>64.7</v>
      </c>
      <c r="N161">
        <v>48.6</v>
      </c>
      <c r="O161">
        <v>51.4</v>
      </c>
      <c r="P161">
        <v>48.4</v>
      </c>
      <c r="Q161">
        <v>51.6</v>
      </c>
    </row>
    <row r="162" spans="1:17" x14ac:dyDescent="0.25">
      <c r="A162" s="2">
        <v>45086</v>
      </c>
      <c r="B162" s="2" t="str">
        <f t="shared" si="4"/>
        <v>Friday</v>
      </c>
      <c r="C162" s="2" t="b">
        <f t="shared" si="5"/>
        <v>0</v>
      </c>
      <c r="D162">
        <v>1</v>
      </c>
      <c r="E162" t="s">
        <v>5</v>
      </c>
      <c r="F162">
        <v>241</v>
      </c>
      <c r="G162" s="3">
        <v>4702.72</v>
      </c>
      <c r="H162" s="3">
        <f>Miami_Retail[[#This Row],[sales_usd]] / Miami_Retail[[#This Row],[customers]]</f>
        <v>19.513360995850622</v>
      </c>
      <c r="I162">
        <v>74.3</v>
      </c>
      <c r="J162">
        <f>(Miami_Retail[[#This Row],[avg_temp_f]]-32) * (5/9)</f>
        <v>23.5</v>
      </c>
      <c r="K162">
        <v>0.49</v>
      </c>
      <c r="L162">
        <v>1</v>
      </c>
      <c r="M162">
        <v>62.3</v>
      </c>
      <c r="N162">
        <v>50</v>
      </c>
      <c r="O162">
        <v>50</v>
      </c>
      <c r="P162">
        <v>46.1</v>
      </c>
      <c r="Q162">
        <v>53.9</v>
      </c>
    </row>
    <row r="163" spans="1:17" x14ac:dyDescent="0.25">
      <c r="A163" s="2">
        <v>45087</v>
      </c>
      <c r="B163" s="2" t="str">
        <f t="shared" si="4"/>
        <v>Saturday</v>
      </c>
      <c r="C163" s="2" t="b">
        <f t="shared" si="5"/>
        <v>1</v>
      </c>
      <c r="D163">
        <v>1</v>
      </c>
      <c r="E163" t="s">
        <v>5</v>
      </c>
      <c r="F163">
        <v>288</v>
      </c>
      <c r="G163" s="3">
        <v>5400.66</v>
      </c>
      <c r="H163" s="3">
        <f>Miami_Retail[[#This Row],[sales_usd]] / Miami_Retail[[#This Row],[customers]]</f>
        <v>18.752291666666665</v>
      </c>
      <c r="I163">
        <v>74.8</v>
      </c>
      <c r="J163">
        <f>(Miami_Retail[[#This Row],[avg_temp_f]]-32) * (5/9)</f>
        <v>23.777777777777779</v>
      </c>
      <c r="K163">
        <v>0</v>
      </c>
      <c r="L163">
        <v>0</v>
      </c>
      <c r="M163">
        <v>58.9</v>
      </c>
      <c r="N163">
        <v>50.6</v>
      </c>
      <c r="O163">
        <v>49.4</v>
      </c>
      <c r="P163">
        <v>52.6</v>
      </c>
      <c r="Q163">
        <v>47.4</v>
      </c>
    </row>
    <row r="164" spans="1:17" x14ac:dyDescent="0.25">
      <c r="A164" s="2">
        <v>45088</v>
      </c>
      <c r="B164" s="2" t="str">
        <f t="shared" si="4"/>
        <v>Sunday</v>
      </c>
      <c r="C164" s="2" t="b">
        <f t="shared" si="5"/>
        <v>1</v>
      </c>
      <c r="D164">
        <v>1</v>
      </c>
      <c r="E164" t="s">
        <v>5</v>
      </c>
      <c r="F164">
        <v>319</v>
      </c>
      <c r="G164" s="3">
        <v>5711.44</v>
      </c>
      <c r="H164" s="3">
        <f>Miami_Retail[[#This Row],[sales_usd]] / Miami_Retail[[#This Row],[customers]]</f>
        <v>17.904200626959245</v>
      </c>
      <c r="I164">
        <v>78.3</v>
      </c>
      <c r="J164">
        <f>(Miami_Retail[[#This Row],[avg_temp_f]]-32) * (5/9)</f>
        <v>25.722222222222221</v>
      </c>
      <c r="K164">
        <v>0</v>
      </c>
      <c r="L164">
        <v>0</v>
      </c>
      <c r="M164">
        <v>50.2</v>
      </c>
      <c r="N164">
        <v>47.9</v>
      </c>
      <c r="O164">
        <v>52.1</v>
      </c>
      <c r="P164">
        <v>55.8</v>
      </c>
      <c r="Q164">
        <v>44.2</v>
      </c>
    </row>
    <row r="165" spans="1:17" x14ac:dyDescent="0.25">
      <c r="A165" s="2">
        <v>45089</v>
      </c>
      <c r="B165" s="2" t="str">
        <f t="shared" si="4"/>
        <v>Monday</v>
      </c>
      <c r="C165" s="2" t="b">
        <f t="shared" si="5"/>
        <v>0</v>
      </c>
      <c r="D165">
        <v>1</v>
      </c>
      <c r="E165" t="s">
        <v>5</v>
      </c>
      <c r="F165">
        <v>246</v>
      </c>
      <c r="G165" s="3">
        <v>4214.26</v>
      </c>
      <c r="H165" s="3">
        <f>Miami_Retail[[#This Row],[sales_usd]] / Miami_Retail[[#This Row],[customers]]</f>
        <v>17.131138211382115</v>
      </c>
      <c r="I165">
        <v>75.8</v>
      </c>
      <c r="J165">
        <f>(Miami_Retail[[#This Row],[avg_temp_f]]-32) * (5/9)</f>
        <v>24.333333333333332</v>
      </c>
      <c r="K165">
        <v>0</v>
      </c>
      <c r="L165">
        <v>0</v>
      </c>
      <c r="M165">
        <v>55.5</v>
      </c>
      <c r="N165">
        <v>51.1</v>
      </c>
      <c r="O165">
        <v>48.9</v>
      </c>
      <c r="P165">
        <v>47.2</v>
      </c>
      <c r="Q165">
        <v>52.8</v>
      </c>
    </row>
    <row r="166" spans="1:17" x14ac:dyDescent="0.25">
      <c r="A166" s="2">
        <v>45090</v>
      </c>
      <c r="B166" s="2" t="str">
        <f t="shared" si="4"/>
        <v>Tuesday</v>
      </c>
      <c r="C166" s="2" t="b">
        <f t="shared" si="5"/>
        <v>0</v>
      </c>
      <c r="D166">
        <v>1</v>
      </c>
      <c r="E166" t="s">
        <v>5</v>
      </c>
      <c r="F166">
        <v>266</v>
      </c>
      <c r="G166" s="3">
        <v>4521.42</v>
      </c>
      <c r="H166" s="3">
        <f>Miami_Retail[[#This Row],[sales_usd]] / Miami_Retail[[#This Row],[customers]]</f>
        <v>16.997819548872179</v>
      </c>
      <c r="I166">
        <v>82.7</v>
      </c>
      <c r="J166">
        <f>(Miami_Retail[[#This Row],[avg_temp_f]]-32) * (5/9)</f>
        <v>28.166666666666668</v>
      </c>
      <c r="K166">
        <v>0.67</v>
      </c>
      <c r="L166">
        <v>1</v>
      </c>
      <c r="M166">
        <v>57.7</v>
      </c>
      <c r="N166">
        <v>49.9</v>
      </c>
      <c r="O166">
        <v>50.1</v>
      </c>
      <c r="P166">
        <v>48.3</v>
      </c>
      <c r="Q166">
        <v>51.7</v>
      </c>
    </row>
    <row r="167" spans="1:17" x14ac:dyDescent="0.25">
      <c r="A167" s="2">
        <v>45091</v>
      </c>
      <c r="B167" s="2" t="str">
        <f t="shared" si="4"/>
        <v>Wednesday</v>
      </c>
      <c r="C167" s="2" t="b">
        <f t="shared" si="5"/>
        <v>0</v>
      </c>
      <c r="D167">
        <v>1</v>
      </c>
      <c r="E167" t="s">
        <v>5</v>
      </c>
      <c r="F167">
        <v>248</v>
      </c>
      <c r="G167" s="3">
        <v>4666.33</v>
      </c>
      <c r="H167" s="3">
        <f>Miami_Retail[[#This Row],[sales_usd]] / Miami_Retail[[#This Row],[customers]]</f>
        <v>18.815846774193549</v>
      </c>
      <c r="I167">
        <v>76.900000000000006</v>
      </c>
      <c r="J167">
        <f>(Miami_Retail[[#This Row],[avg_temp_f]]-32) * (5/9)</f>
        <v>24.94444444444445</v>
      </c>
      <c r="K167">
        <v>1.6</v>
      </c>
      <c r="L167">
        <v>1</v>
      </c>
      <c r="M167">
        <v>62</v>
      </c>
      <c r="N167">
        <v>49.3</v>
      </c>
      <c r="O167">
        <v>50.7</v>
      </c>
      <c r="P167">
        <v>46.6</v>
      </c>
      <c r="Q167">
        <v>53.4</v>
      </c>
    </row>
    <row r="168" spans="1:17" x14ac:dyDescent="0.25">
      <c r="A168" s="2">
        <v>45092</v>
      </c>
      <c r="B168" s="2" t="str">
        <f t="shared" si="4"/>
        <v>Thursday</v>
      </c>
      <c r="C168" s="2" t="b">
        <f t="shared" si="5"/>
        <v>0</v>
      </c>
      <c r="D168">
        <v>1</v>
      </c>
      <c r="E168" t="s">
        <v>5</v>
      </c>
      <c r="F168">
        <v>297</v>
      </c>
      <c r="G168" s="3">
        <v>5761.75</v>
      </c>
      <c r="H168" s="3">
        <f>Miami_Retail[[#This Row],[sales_usd]] / Miami_Retail[[#This Row],[customers]]</f>
        <v>19.399831649831651</v>
      </c>
      <c r="I168">
        <v>78.5</v>
      </c>
      <c r="J168">
        <f>(Miami_Retail[[#This Row],[avg_temp_f]]-32) * (5/9)</f>
        <v>25.833333333333336</v>
      </c>
      <c r="K168">
        <v>0</v>
      </c>
      <c r="L168">
        <v>0</v>
      </c>
      <c r="M168">
        <v>58.7</v>
      </c>
      <c r="N168">
        <v>49</v>
      </c>
      <c r="O168">
        <v>51</v>
      </c>
      <c r="P168">
        <v>47.1</v>
      </c>
      <c r="Q168">
        <v>52.9</v>
      </c>
    </row>
    <row r="169" spans="1:17" x14ac:dyDescent="0.25">
      <c r="A169" s="2">
        <v>45093</v>
      </c>
      <c r="B169" s="2" t="str">
        <f t="shared" si="4"/>
        <v>Friday</v>
      </c>
      <c r="C169" s="2" t="b">
        <f t="shared" si="5"/>
        <v>0</v>
      </c>
      <c r="D169">
        <v>1</v>
      </c>
      <c r="E169" t="s">
        <v>5</v>
      </c>
      <c r="F169">
        <v>309</v>
      </c>
      <c r="G169" s="3">
        <v>5600.7</v>
      </c>
      <c r="H169" s="3">
        <f>Miami_Retail[[#This Row],[sales_usd]] / Miami_Retail[[#This Row],[customers]]</f>
        <v>18.1252427184466</v>
      </c>
      <c r="I169">
        <v>82.1</v>
      </c>
      <c r="J169">
        <f>(Miami_Retail[[#This Row],[avg_temp_f]]-32) * (5/9)</f>
        <v>27.833333333333332</v>
      </c>
      <c r="K169">
        <v>0</v>
      </c>
      <c r="L169">
        <v>0</v>
      </c>
      <c r="M169">
        <v>57.6</v>
      </c>
      <c r="N169">
        <v>50.6</v>
      </c>
      <c r="O169">
        <v>49.4</v>
      </c>
      <c r="P169">
        <v>47.9</v>
      </c>
      <c r="Q169">
        <v>52.1</v>
      </c>
    </row>
    <row r="170" spans="1:17" x14ac:dyDescent="0.25">
      <c r="A170" s="2">
        <v>45094</v>
      </c>
      <c r="B170" s="2" t="str">
        <f t="shared" si="4"/>
        <v>Saturday</v>
      </c>
      <c r="C170" s="2" t="b">
        <f t="shared" si="5"/>
        <v>1</v>
      </c>
      <c r="D170">
        <v>1</v>
      </c>
      <c r="E170" t="s">
        <v>5</v>
      </c>
      <c r="F170">
        <v>367</v>
      </c>
      <c r="G170" s="3">
        <v>6833.46</v>
      </c>
      <c r="H170" s="3">
        <f>Miami_Retail[[#This Row],[sales_usd]] / Miami_Retail[[#This Row],[customers]]</f>
        <v>18.619782016348775</v>
      </c>
      <c r="I170">
        <v>83.5</v>
      </c>
      <c r="J170">
        <f>(Miami_Retail[[#This Row],[avg_temp_f]]-32) * (5/9)</f>
        <v>28.611111111111111</v>
      </c>
      <c r="K170">
        <v>0</v>
      </c>
      <c r="L170">
        <v>0</v>
      </c>
      <c r="M170">
        <v>56.4</v>
      </c>
      <c r="N170">
        <v>48.8</v>
      </c>
      <c r="O170">
        <v>51.2</v>
      </c>
      <c r="P170">
        <v>53.5</v>
      </c>
      <c r="Q170">
        <v>46.5</v>
      </c>
    </row>
    <row r="171" spans="1:17" x14ac:dyDescent="0.25">
      <c r="A171" s="2">
        <v>45095</v>
      </c>
      <c r="B171" s="2" t="str">
        <f t="shared" si="4"/>
        <v>Sunday</v>
      </c>
      <c r="C171" s="2" t="b">
        <f t="shared" si="5"/>
        <v>1</v>
      </c>
      <c r="D171">
        <v>1</v>
      </c>
      <c r="E171" t="s">
        <v>5</v>
      </c>
      <c r="F171">
        <v>319</v>
      </c>
      <c r="G171" s="3">
        <v>5950.27</v>
      </c>
      <c r="H171" s="3">
        <f>Miami_Retail[[#This Row],[sales_usd]] / Miami_Retail[[#This Row],[customers]]</f>
        <v>18.652884012539186</v>
      </c>
      <c r="I171">
        <v>71.900000000000006</v>
      </c>
      <c r="J171">
        <f>(Miami_Retail[[#This Row],[avg_temp_f]]-32) * (5/9)</f>
        <v>22.166666666666671</v>
      </c>
      <c r="K171">
        <v>0</v>
      </c>
      <c r="L171">
        <v>0</v>
      </c>
      <c r="M171">
        <v>60</v>
      </c>
      <c r="N171">
        <v>49.2</v>
      </c>
      <c r="O171">
        <v>50.8</v>
      </c>
      <c r="P171">
        <v>54.3</v>
      </c>
      <c r="Q171">
        <v>45.7</v>
      </c>
    </row>
    <row r="172" spans="1:17" x14ac:dyDescent="0.25">
      <c r="A172" s="2">
        <v>45096</v>
      </c>
      <c r="B172" s="2" t="str">
        <f t="shared" si="4"/>
        <v>Monday</v>
      </c>
      <c r="C172" s="2" t="b">
        <f t="shared" si="5"/>
        <v>0</v>
      </c>
      <c r="D172">
        <v>1</v>
      </c>
      <c r="E172" t="s">
        <v>5</v>
      </c>
      <c r="F172">
        <v>259</v>
      </c>
      <c r="G172" s="3">
        <v>5006.84</v>
      </c>
      <c r="H172" s="3">
        <f>Miami_Retail[[#This Row],[sales_usd]] / Miami_Retail[[#This Row],[customers]]</f>
        <v>19.331428571428571</v>
      </c>
      <c r="I172">
        <v>78.5</v>
      </c>
      <c r="J172">
        <f>(Miami_Retail[[#This Row],[avg_temp_f]]-32) * (5/9)</f>
        <v>25.833333333333336</v>
      </c>
      <c r="K172">
        <v>7.0000000000000007E-2</v>
      </c>
      <c r="L172">
        <v>1</v>
      </c>
      <c r="M172">
        <v>58.4</v>
      </c>
      <c r="N172">
        <v>48.7</v>
      </c>
      <c r="O172">
        <v>51.3</v>
      </c>
      <c r="P172">
        <v>45.5</v>
      </c>
      <c r="Q172">
        <v>54.5</v>
      </c>
    </row>
    <row r="173" spans="1:17" x14ac:dyDescent="0.25">
      <c r="A173" s="2">
        <v>45097</v>
      </c>
      <c r="B173" s="2" t="str">
        <f t="shared" si="4"/>
        <v>Tuesday</v>
      </c>
      <c r="C173" s="2" t="b">
        <f t="shared" si="5"/>
        <v>0</v>
      </c>
      <c r="D173">
        <v>1</v>
      </c>
      <c r="E173" t="s">
        <v>5</v>
      </c>
      <c r="F173">
        <v>238</v>
      </c>
      <c r="G173" s="3">
        <v>4653.55</v>
      </c>
      <c r="H173" s="3">
        <f>Miami_Retail[[#This Row],[sales_usd]] / Miami_Retail[[#This Row],[customers]]</f>
        <v>19.552731092436975</v>
      </c>
      <c r="I173">
        <v>72.7</v>
      </c>
      <c r="J173">
        <f>(Miami_Retail[[#This Row],[avg_temp_f]]-32) * (5/9)</f>
        <v>22.611111111111114</v>
      </c>
      <c r="K173">
        <v>0</v>
      </c>
      <c r="L173">
        <v>0</v>
      </c>
      <c r="M173">
        <v>64.400000000000006</v>
      </c>
      <c r="N173">
        <v>50.1</v>
      </c>
      <c r="O173">
        <v>49.9</v>
      </c>
      <c r="P173">
        <v>47.8</v>
      </c>
      <c r="Q173">
        <v>52.2</v>
      </c>
    </row>
    <row r="174" spans="1:17" x14ac:dyDescent="0.25">
      <c r="A174" s="2">
        <v>45098</v>
      </c>
      <c r="B174" s="2" t="str">
        <f t="shared" si="4"/>
        <v>Wednesday</v>
      </c>
      <c r="C174" s="2" t="b">
        <f t="shared" si="5"/>
        <v>0</v>
      </c>
      <c r="D174">
        <v>1</v>
      </c>
      <c r="E174" t="s">
        <v>5</v>
      </c>
      <c r="F174">
        <v>296</v>
      </c>
      <c r="G174" s="3">
        <v>5945.58</v>
      </c>
      <c r="H174" s="3">
        <f>Miami_Retail[[#This Row],[sales_usd]] / Miami_Retail[[#This Row],[customers]]</f>
        <v>20.08641891891892</v>
      </c>
      <c r="I174">
        <v>77.3</v>
      </c>
      <c r="J174">
        <f>(Miami_Retail[[#This Row],[avg_temp_f]]-32) * (5/9)</f>
        <v>25.166666666666668</v>
      </c>
      <c r="K174">
        <v>0</v>
      </c>
      <c r="L174">
        <v>0</v>
      </c>
      <c r="M174">
        <v>59</v>
      </c>
      <c r="N174">
        <v>48.1</v>
      </c>
      <c r="O174">
        <v>51.9</v>
      </c>
      <c r="P174">
        <v>48.5</v>
      </c>
      <c r="Q174">
        <v>51.5</v>
      </c>
    </row>
    <row r="175" spans="1:17" x14ac:dyDescent="0.25">
      <c r="A175" s="2">
        <v>45099</v>
      </c>
      <c r="B175" s="2" t="str">
        <f t="shared" si="4"/>
        <v>Thursday</v>
      </c>
      <c r="C175" s="2" t="b">
        <f t="shared" si="5"/>
        <v>0</v>
      </c>
      <c r="D175">
        <v>1</v>
      </c>
      <c r="E175" t="s">
        <v>5</v>
      </c>
      <c r="F175">
        <v>294</v>
      </c>
      <c r="G175" s="3">
        <v>5523.44</v>
      </c>
      <c r="H175" s="3">
        <f>Miami_Retail[[#This Row],[sales_usd]] / Miami_Retail[[#This Row],[customers]]</f>
        <v>18.78721088435374</v>
      </c>
      <c r="I175">
        <v>78.7</v>
      </c>
      <c r="J175">
        <f>(Miami_Retail[[#This Row],[avg_temp_f]]-32) * (5/9)</f>
        <v>25.944444444444446</v>
      </c>
      <c r="K175">
        <v>0</v>
      </c>
      <c r="L175">
        <v>0</v>
      </c>
      <c r="M175">
        <v>48.7</v>
      </c>
      <c r="N175">
        <v>51.2</v>
      </c>
      <c r="O175">
        <v>48.8</v>
      </c>
      <c r="P175">
        <v>47.2</v>
      </c>
      <c r="Q175">
        <v>52.8</v>
      </c>
    </row>
    <row r="176" spans="1:17" x14ac:dyDescent="0.25">
      <c r="A176" s="2">
        <v>45100</v>
      </c>
      <c r="B176" s="2" t="str">
        <f t="shared" si="4"/>
        <v>Friday</v>
      </c>
      <c r="C176" s="2" t="b">
        <f t="shared" si="5"/>
        <v>0</v>
      </c>
      <c r="D176">
        <v>1</v>
      </c>
      <c r="E176" t="s">
        <v>5</v>
      </c>
      <c r="F176">
        <v>279</v>
      </c>
      <c r="G176" s="3">
        <v>5200.95</v>
      </c>
      <c r="H176" s="3">
        <f>Miami_Retail[[#This Row],[sales_usd]] / Miami_Retail[[#This Row],[customers]]</f>
        <v>18.641397849462365</v>
      </c>
      <c r="I176">
        <v>81.400000000000006</v>
      </c>
      <c r="J176">
        <f>(Miami_Retail[[#This Row],[avg_temp_f]]-32) * (5/9)</f>
        <v>27.44444444444445</v>
      </c>
      <c r="K176">
        <v>1.02</v>
      </c>
      <c r="L176">
        <v>1</v>
      </c>
      <c r="M176">
        <v>60.4</v>
      </c>
      <c r="N176">
        <v>48.2</v>
      </c>
      <c r="O176">
        <v>51.8</v>
      </c>
      <c r="P176">
        <v>48.1</v>
      </c>
      <c r="Q176">
        <v>51.9</v>
      </c>
    </row>
    <row r="177" spans="1:17" x14ac:dyDescent="0.25">
      <c r="A177" s="2">
        <v>45101</v>
      </c>
      <c r="B177" s="2" t="str">
        <f t="shared" si="4"/>
        <v>Saturday</v>
      </c>
      <c r="C177" s="2" t="b">
        <f t="shared" si="5"/>
        <v>1</v>
      </c>
      <c r="D177">
        <v>1</v>
      </c>
      <c r="E177" t="s">
        <v>5</v>
      </c>
      <c r="F177">
        <v>339</v>
      </c>
      <c r="G177" s="3">
        <v>6397.86</v>
      </c>
      <c r="H177" s="3">
        <f>Miami_Retail[[#This Row],[sales_usd]] / Miami_Retail[[#This Row],[customers]]</f>
        <v>18.872743362831859</v>
      </c>
      <c r="I177">
        <v>86.1</v>
      </c>
      <c r="J177">
        <f>(Miami_Retail[[#This Row],[avg_temp_f]]-32) * (5/9)</f>
        <v>30.055555555555554</v>
      </c>
      <c r="K177">
        <v>1.04</v>
      </c>
      <c r="L177">
        <v>1</v>
      </c>
      <c r="M177">
        <v>56.7</v>
      </c>
      <c r="N177">
        <v>49.4</v>
      </c>
      <c r="O177">
        <v>50.6</v>
      </c>
      <c r="P177">
        <v>53.2</v>
      </c>
      <c r="Q177">
        <v>46.8</v>
      </c>
    </row>
    <row r="178" spans="1:17" x14ac:dyDescent="0.25">
      <c r="A178" s="2">
        <v>45102</v>
      </c>
      <c r="B178" s="2" t="str">
        <f t="shared" si="4"/>
        <v>Sunday</v>
      </c>
      <c r="C178" s="2" t="b">
        <f t="shared" si="5"/>
        <v>1</v>
      </c>
      <c r="D178">
        <v>1</v>
      </c>
      <c r="E178" t="s">
        <v>5</v>
      </c>
      <c r="F178">
        <v>341</v>
      </c>
      <c r="G178" s="3">
        <v>6696.04</v>
      </c>
      <c r="H178" s="3">
        <f>Miami_Retail[[#This Row],[sales_usd]] / Miami_Retail[[#This Row],[customers]]</f>
        <v>19.636480938416423</v>
      </c>
      <c r="I178">
        <v>73.900000000000006</v>
      </c>
      <c r="J178">
        <f>(Miami_Retail[[#This Row],[avg_temp_f]]-32) * (5/9)</f>
        <v>23.277777777777782</v>
      </c>
      <c r="K178">
        <v>0</v>
      </c>
      <c r="L178">
        <v>0</v>
      </c>
      <c r="M178">
        <v>50.8</v>
      </c>
      <c r="N178">
        <v>48.3</v>
      </c>
      <c r="O178">
        <v>51.7</v>
      </c>
      <c r="P178">
        <v>52.3</v>
      </c>
      <c r="Q178">
        <v>47.7</v>
      </c>
    </row>
    <row r="179" spans="1:17" x14ac:dyDescent="0.25">
      <c r="A179" s="2">
        <v>45103</v>
      </c>
      <c r="B179" s="2" t="str">
        <f t="shared" si="4"/>
        <v>Monday</v>
      </c>
      <c r="C179" s="2" t="b">
        <f t="shared" si="5"/>
        <v>0</v>
      </c>
      <c r="D179">
        <v>1</v>
      </c>
      <c r="E179" t="s">
        <v>5</v>
      </c>
      <c r="F179">
        <v>352</v>
      </c>
      <c r="G179" s="3">
        <v>6698.74</v>
      </c>
      <c r="H179" s="3">
        <f>Miami_Retail[[#This Row],[sales_usd]] / Miami_Retail[[#This Row],[customers]]</f>
        <v>19.030511363636364</v>
      </c>
      <c r="I179">
        <v>85.7</v>
      </c>
      <c r="J179">
        <f>(Miami_Retail[[#This Row],[avg_temp_f]]-32) * (5/9)</f>
        <v>29.833333333333336</v>
      </c>
      <c r="K179">
        <v>0</v>
      </c>
      <c r="L179">
        <v>0</v>
      </c>
      <c r="M179">
        <v>63.4</v>
      </c>
      <c r="N179">
        <v>50.5</v>
      </c>
      <c r="O179">
        <v>49.5</v>
      </c>
      <c r="P179">
        <v>47.4</v>
      </c>
      <c r="Q179">
        <v>52.6</v>
      </c>
    </row>
    <row r="180" spans="1:17" x14ac:dyDescent="0.25">
      <c r="A180" s="2">
        <v>45104</v>
      </c>
      <c r="B180" s="2" t="str">
        <f t="shared" si="4"/>
        <v>Tuesday</v>
      </c>
      <c r="C180" s="2" t="b">
        <f t="shared" si="5"/>
        <v>0</v>
      </c>
      <c r="D180">
        <v>1</v>
      </c>
      <c r="E180" t="s">
        <v>5</v>
      </c>
      <c r="F180">
        <v>257</v>
      </c>
      <c r="G180" s="3">
        <v>5045.32</v>
      </c>
      <c r="H180" s="3">
        <f>Miami_Retail[[#This Row],[sales_usd]] / Miami_Retail[[#This Row],[customers]]</f>
        <v>19.631595330739298</v>
      </c>
      <c r="I180">
        <v>80.3</v>
      </c>
      <c r="J180">
        <f>(Miami_Retail[[#This Row],[avg_temp_f]]-32) * (5/9)</f>
        <v>26.833333333333332</v>
      </c>
      <c r="K180">
        <v>2.4500000000000002</v>
      </c>
      <c r="L180">
        <v>1</v>
      </c>
      <c r="M180">
        <v>56.4</v>
      </c>
      <c r="N180">
        <v>48.9</v>
      </c>
      <c r="O180">
        <v>51.1</v>
      </c>
      <c r="P180">
        <v>47.8</v>
      </c>
      <c r="Q180">
        <v>52.2</v>
      </c>
    </row>
    <row r="181" spans="1:17" x14ac:dyDescent="0.25">
      <c r="A181" s="2">
        <v>45105</v>
      </c>
      <c r="B181" s="2" t="str">
        <f t="shared" si="4"/>
        <v>Wednesday</v>
      </c>
      <c r="C181" s="2" t="b">
        <f t="shared" si="5"/>
        <v>0</v>
      </c>
      <c r="D181">
        <v>1</v>
      </c>
      <c r="E181" t="s">
        <v>5</v>
      </c>
      <c r="F181">
        <v>302</v>
      </c>
      <c r="G181" s="3">
        <v>5901.02</v>
      </c>
      <c r="H181" s="3">
        <f>Miami_Retail[[#This Row],[sales_usd]] / Miami_Retail[[#This Row],[customers]]</f>
        <v>19.539801324503312</v>
      </c>
      <c r="I181">
        <v>79.3</v>
      </c>
      <c r="J181">
        <f>(Miami_Retail[[#This Row],[avg_temp_f]]-32) * (5/9)</f>
        <v>26.277777777777779</v>
      </c>
      <c r="K181">
        <v>0</v>
      </c>
      <c r="L181">
        <v>0</v>
      </c>
      <c r="M181">
        <v>65.5</v>
      </c>
      <c r="N181">
        <v>49.2</v>
      </c>
      <c r="O181">
        <v>50.8</v>
      </c>
      <c r="P181">
        <v>46.8</v>
      </c>
      <c r="Q181">
        <v>53.2</v>
      </c>
    </row>
    <row r="182" spans="1:17" x14ac:dyDescent="0.25">
      <c r="A182" s="2">
        <v>45106</v>
      </c>
      <c r="B182" s="2" t="str">
        <f t="shared" si="4"/>
        <v>Thursday</v>
      </c>
      <c r="C182" s="2" t="b">
        <f t="shared" si="5"/>
        <v>0</v>
      </c>
      <c r="D182">
        <v>1</v>
      </c>
      <c r="E182" t="s">
        <v>5</v>
      </c>
      <c r="F182">
        <v>296</v>
      </c>
      <c r="G182" s="3">
        <v>5546.92</v>
      </c>
      <c r="H182" s="3">
        <f>Miami_Retail[[#This Row],[sales_usd]] / Miami_Retail[[#This Row],[customers]]</f>
        <v>18.739594594594596</v>
      </c>
      <c r="I182">
        <v>83.2</v>
      </c>
      <c r="J182">
        <f>(Miami_Retail[[#This Row],[avg_temp_f]]-32) * (5/9)</f>
        <v>28.444444444444446</v>
      </c>
      <c r="K182">
        <v>0.11</v>
      </c>
      <c r="L182">
        <v>1</v>
      </c>
      <c r="M182">
        <v>75.7</v>
      </c>
      <c r="N182">
        <v>48.5</v>
      </c>
      <c r="O182">
        <v>51.5</v>
      </c>
      <c r="P182">
        <v>47.5</v>
      </c>
      <c r="Q182">
        <v>52.5</v>
      </c>
    </row>
    <row r="183" spans="1:17" x14ac:dyDescent="0.25">
      <c r="A183" s="2">
        <v>45107</v>
      </c>
      <c r="B183" s="2" t="str">
        <f t="shared" si="4"/>
        <v>Friday</v>
      </c>
      <c r="C183" s="2" t="b">
        <f t="shared" si="5"/>
        <v>0</v>
      </c>
      <c r="D183">
        <v>1</v>
      </c>
      <c r="E183" t="s">
        <v>5</v>
      </c>
      <c r="F183">
        <v>269</v>
      </c>
      <c r="G183" s="3">
        <v>4935.63</v>
      </c>
      <c r="H183" s="3">
        <f>Miami_Retail[[#This Row],[sales_usd]] / Miami_Retail[[#This Row],[customers]]</f>
        <v>18.348066914498141</v>
      </c>
      <c r="I183">
        <v>78.099999999999994</v>
      </c>
      <c r="J183">
        <f>(Miami_Retail[[#This Row],[avg_temp_f]]-32) * (5/9)</f>
        <v>25.611111111111111</v>
      </c>
      <c r="K183">
        <v>0.96</v>
      </c>
      <c r="L183">
        <v>1</v>
      </c>
      <c r="M183">
        <v>58.9</v>
      </c>
      <c r="N183">
        <v>48.7</v>
      </c>
      <c r="O183">
        <v>51.3</v>
      </c>
      <c r="P183">
        <v>46.4</v>
      </c>
      <c r="Q183">
        <v>53.6</v>
      </c>
    </row>
    <row r="184" spans="1:17" x14ac:dyDescent="0.25">
      <c r="A184" s="2">
        <v>45108</v>
      </c>
      <c r="B184" s="2" t="str">
        <f t="shared" si="4"/>
        <v>Saturday</v>
      </c>
      <c r="C184" s="2" t="b">
        <f t="shared" si="5"/>
        <v>1</v>
      </c>
      <c r="D184">
        <v>1</v>
      </c>
      <c r="E184" t="s">
        <v>5</v>
      </c>
      <c r="F184">
        <v>358</v>
      </c>
      <c r="G184" s="3">
        <v>6942.89</v>
      </c>
      <c r="H184" s="3">
        <f>Miami_Retail[[#This Row],[sales_usd]] / Miami_Retail[[#This Row],[customers]]</f>
        <v>19.393547486033519</v>
      </c>
      <c r="I184">
        <v>83.5</v>
      </c>
      <c r="J184">
        <f>(Miami_Retail[[#This Row],[avg_temp_f]]-32) * (5/9)</f>
        <v>28.611111111111111</v>
      </c>
      <c r="K184">
        <v>0</v>
      </c>
      <c r="L184">
        <v>0</v>
      </c>
      <c r="M184">
        <v>65.099999999999994</v>
      </c>
      <c r="N184">
        <v>48.9</v>
      </c>
      <c r="O184">
        <v>51.1</v>
      </c>
      <c r="P184">
        <v>53.6</v>
      </c>
      <c r="Q184">
        <v>46.4</v>
      </c>
    </row>
    <row r="185" spans="1:17" x14ac:dyDescent="0.25">
      <c r="A185" s="2">
        <v>45109</v>
      </c>
      <c r="B185" s="2" t="str">
        <f t="shared" si="4"/>
        <v>Sunday</v>
      </c>
      <c r="C185" s="2" t="b">
        <f t="shared" si="5"/>
        <v>1</v>
      </c>
      <c r="D185">
        <v>1</v>
      </c>
      <c r="E185" t="s">
        <v>5</v>
      </c>
      <c r="F185">
        <v>317</v>
      </c>
      <c r="G185" s="3">
        <v>5876.9</v>
      </c>
      <c r="H185" s="3">
        <f>Miami_Retail[[#This Row],[sales_usd]] / Miami_Retail[[#This Row],[customers]]</f>
        <v>18.539116719242902</v>
      </c>
      <c r="I185">
        <v>77</v>
      </c>
      <c r="J185">
        <f>(Miami_Retail[[#This Row],[avg_temp_f]]-32) * (5/9)</f>
        <v>25</v>
      </c>
      <c r="K185">
        <v>2.08</v>
      </c>
      <c r="L185">
        <v>1</v>
      </c>
      <c r="M185">
        <v>61.3</v>
      </c>
      <c r="N185">
        <v>48.3</v>
      </c>
      <c r="O185">
        <v>51.7</v>
      </c>
      <c r="P185">
        <v>53.1</v>
      </c>
      <c r="Q185">
        <v>46.9</v>
      </c>
    </row>
    <row r="186" spans="1:17" x14ac:dyDescent="0.25">
      <c r="A186" s="2">
        <v>45110</v>
      </c>
      <c r="B186" s="2" t="str">
        <f t="shared" si="4"/>
        <v>Monday</v>
      </c>
      <c r="C186" s="2" t="b">
        <f t="shared" si="5"/>
        <v>0</v>
      </c>
      <c r="D186">
        <v>1</v>
      </c>
      <c r="E186" t="s">
        <v>5</v>
      </c>
      <c r="F186">
        <v>315</v>
      </c>
      <c r="G186" s="3">
        <v>6034.82</v>
      </c>
      <c r="H186" s="3">
        <f>Miami_Retail[[#This Row],[sales_usd]] / Miami_Retail[[#This Row],[customers]]</f>
        <v>19.158158730158728</v>
      </c>
      <c r="I186">
        <v>82.9</v>
      </c>
      <c r="J186">
        <f>(Miami_Retail[[#This Row],[avg_temp_f]]-32) * (5/9)</f>
        <v>28.277777777777782</v>
      </c>
      <c r="K186">
        <v>1.27</v>
      </c>
      <c r="L186">
        <v>1</v>
      </c>
      <c r="M186">
        <v>69.5</v>
      </c>
      <c r="N186">
        <v>50.9</v>
      </c>
      <c r="O186">
        <v>49.1</v>
      </c>
      <c r="P186">
        <v>48.8</v>
      </c>
      <c r="Q186">
        <v>51.2</v>
      </c>
    </row>
    <row r="187" spans="1:17" x14ac:dyDescent="0.25">
      <c r="A187" s="2">
        <v>45111</v>
      </c>
      <c r="B187" s="2" t="str">
        <f t="shared" si="4"/>
        <v>Tuesday</v>
      </c>
      <c r="C187" s="2" t="b">
        <f t="shared" si="5"/>
        <v>0</v>
      </c>
      <c r="D187">
        <v>1</v>
      </c>
      <c r="E187" t="s">
        <v>5</v>
      </c>
      <c r="F187">
        <v>302</v>
      </c>
      <c r="G187" s="3">
        <v>5527.81</v>
      </c>
      <c r="H187" s="3">
        <f>Miami_Retail[[#This Row],[sales_usd]] / Miami_Retail[[#This Row],[customers]]</f>
        <v>18.304006622516557</v>
      </c>
      <c r="I187">
        <v>82.7</v>
      </c>
      <c r="J187">
        <f>(Miami_Retail[[#This Row],[avg_temp_f]]-32) * (5/9)</f>
        <v>28.166666666666668</v>
      </c>
      <c r="K187">
        <v>0.51</v>
      </c>
      <c r="L187">
        <v>1</v>
      </c>
      <c r="M187">
        <v>56.7</v>
      </c>
      <c r="N187">
        <v>48.9</v>
      </c>
      <c r="O187">
        <v>51.1</v>
      </c>
      <c r="P187">
        <v>47</v>
      </c>
      <c r="Q187">
        <v>53</v>
      </c>
    </row>
    <row r="188" spans="1:17" x14ac:dyDescent="0.25">
      <c r="A188" s="2">
        <v>45112</v>
      </c>
      <c r="B188" s="2" t="str">
        <f t="shared" si="4"/>
        <v>Wednesday</v>
      </c>
      <c r="C188" s="2" t="b">
        <f t="shared" si="5"/>
        <v>0</v>
      </c>
      <c r="D188">
        <v>1</v>
      </c>
      <c r="E188" t="s">
        <v>5</v>
      </c>
      <c r="F188">
        <v>281</v>
      </c>
      <c r="G188" s="3">
        <v>5080.8599999999997</v>
      </c>
      <c r="H188" s="3">
        <f>Miami_Retail[[#This Row],[sales_usd]] / Miami_Retail[[#This Row],[customers]]</f>
        <v>18.081352313167258</v>
      </c>
      <c r="I188">
        <v>77.599999999999994</v>
      </c>
      <c r="J188">
        <f>(Miami_Retail[[#This Row],[avg_temp_f]]-32) * (5/9)</f>
        <v>25.333333333333332</v>
      </c>
      <c r="K188">
        <v>0</v>
      </c>
      <c r="L188">
        <v>0</v>
      </c>
      <c r="M188">
        <v>64.3</v>
      </c>
      <c r="N188">
        <v>48.3</v>
      </c>
      <c r="O188">
        <v>51.7</v>
      </c>
      <c r="P188">
        <v>46.7</v>
      </c>
      <c r="Q188">
        <v>53.3</v>
      </c>
    </row>
    <row r="189" spans="1:17" x14ac:dyDescent="0.25">
      <c r="A189" s="2">
        <v>45113</v>
      </c>
      <c r="B189" s="2" t="str">
        <f t="shared" si="4"/>
        <v>Thursday</v>
      </c>
      <c r="C189" s="2" t="b">
        <f t="shared" si="5"/>
        <v>0</v>
      </c>
      <c r="D189">
        <v>1</v>
      </c>
      <c r="E189" t="s">
        <v>5</v>
      </c>
      <c r="F189">
        <v>241</v>
      </c>
      <c r="G189" s="3">
        <v>4427.72</v>
      </c>
      <c r="H189" s="3">
        <f>Miami_Retail[[#This Row],[sales_usd]] / Miami_Retail[[#This Row],[customers]]</f>
        <v>18.372282157676349</v>
      </c>
      <c r="I189">
        <v>79.900000000000006</v>
      </c>
      <c r="J189">
        <f>(Miami_Retail[[#This Row],[avg_temp_f]]-32) * (5/9)</f>
        <v>26.611111111111114</v>
      </c>
      <c r="K189">
        <v>0.95</v>
      </c>
      <c r="L189">
        <v>1</v>
      </c>
      <c r="M189">
        <v>68.8</v>
      </c>
      <c r="N189">
        <v>48.6</v>
      </c>
      <c r="O189">
        <v>51.4</v>
      </c>
      <c r="P189">
        <v>46.3</v>
      </c>
      <c r="Q189">
        <v>53.7</v>
      </c>
    </row>
    <row r="190" spans="1:17" x14ac:dyDescent="0.25">
      <c r="A190" s="2">
        <v>45114</v>
      </c>
      <c r="B190" s="2" t="str">
        <f t="shared" si="4"/>
        <v>Friday</v>
      </c>
      <c r="C190" s="2" t="b">
        <f t="shared" si="5"/>
        <v>0</v>
      </c>
      <c r="D190">
        <v>1</v>
      </c>
      <c r="E190" t="s">
        <v>5</v>
      </c>
      <c r="F190">
        <v>272</v>
      </c>
      <c r="G190" s="3">
        <v>5360.12</v>
      </c>
      <c r="H190" s="3">
        <f>Miami_Retail[[#This Row],[sales_usd]] / Miami_Retail[[#This Row],[customers]]</f>
        <v>19.706323529411765</v>
      </c>
      <c r="I190">
        <v>77.3</v>
      </c>
      <c r="J190">
        <f>(Miami_Retail[[#This Row],[avg_temp_f]]-32) * (5/9)</f>
        <v>25.166666666666668</v>
      </c>
      <c r="K190">
        <v>0</v>
      </c>
      <c r="L190">
        <v>0</v>
      </c>
      <c r="M190">
        <v>61</v>
      </c>
      <c r="N190">
        <v>48.9</v>
      </c>
      <c r="O190">
        <v>51.1</v>
      </c>
      <c r="P190">
        <v>45.4</v>
      </c>
      <c r="Q190">
        <v>54.6</v>
      </c>
    </row>
    <row r="191" spans="1:17" x14ac:dyDescent="0.25">
      <c r="A191" s="2">
        <v>45115</v>
      </c>
      <c r="B191" s="2" t="str">
        <f t="shared" si="4"/>
        <v>Saturday</v>
      </c>
      <c r="C191" s="2" t="b">
        <f t="shared" si="5"/>
        <v>1</v>
      </c>
      <c r="D191">
        <v>1</v>
      </c>
      <c r="E191" t="s">
        <v>5</v>
      </c>
      <c r="F191">
        <v>369</v>
      </c>
      <c r="G191" s="3">
        <v>7349.77</v>
      </c>
      <c r="H191" s="3">
        <f>Miami_Retail[[#This Row],[sales_usd]] / Miami_Retail[[#This Row],[customers]]</f>
        <v>19.91807588075881</v>
      </c>
      <c r="I191">
        <v>82</v>
      </c>
      <c r="J191">
        <f>(Miami_Retail[[#This Row],[avg_temp_f]]-32) * (5/9)</f>
        <v>27.777777777777779</v>
      </c>
      <c r="K191">
        <v>0.56999999999999995</v>
      </c>
      <c r="L191">
        <v>1</v>
      </c>
      <c r="M191">
        <v>63.8</v>
      </c>
      <c r="N191">
        <v>49.2</v>
      </c>
      <c r="O191">
        <v>50.8</v>
      </c>
      <c r="P191">
        <v>51.9</v>
      </c>
      <c r="Q191">
        <v>48.1</v>
      </c>
    </row>
    <row r="192" spans="1:17" x14ac:dyDescent="0.25">
      <c r="A192" s="2">
        <v>45116</v>
      </c>
      <c r="B192" s="2" t="str">
        <f t="shared" si="4"/>
        <v>Sunday</v>
      </c>
      <c r="C192" s="2" t="b">
        <f t="shared" si="5"/>
        <v>1</v>
      </c>
      <c r="D192">
        <v>1</v>
      </c>
      <c r="E192" t="s">
        <v>5</v>
      </c>
      <c r="F192">
        <v>308</v>
      </c>
      <c r="G192" s="3">
        <v>4961.76</v>
      </c>
      <c r="H192" s="3">
        <f>Miami_Retail[[#This Row],[sales_usd]] / Miami_Retail[[#This Row],[customers]]</f>
        <v>16.109610389610392</v>
      </c>
      <c r="I192">
        <v>79.099999999999994</v>
      </c>
      <c r="J192">
        <f>(Miami_Retail[[#This Row],[avg_temp_f]]-32) * (5/9)</f>
        <v>26.166666666666664</v>
      </c>
      <c r="K192">
        <v>0</v>
      </c>
      <c r="L192">
        <v>0</v>
      </c>
      <c r="M192">
        <v>61.1</v>
      </c>
      <c r="N192">
        <v>49.3</v>
      </c>
      <c r="O192">
        <v>50.7</v>
      </c>
      <c r="P192">
        <v>52.4</v>
      </c>
      <c r="Q192">
        <v>47.6</v>
      </c>
    </row>
    <row r="193" spans="1:17" x14ac:dyDescent="0.25">
      <c r="A193" s="2">
        <v>45117</v>
      </c>
      <c r="B193" s="2" t="str">
        <f t="shared" si="4"/>
        <v>Monday</v>
      </c>
      <c r="C193" s="2" t="b">
        <f t="shared" si="5"/>
        <v>0</v>
      </c>
      <c r="D193">
        <v>1</v>
      </c>
      <c r="E193" t="s">
        <v>5</v>
      </c>
      <c r="F193">
        <v>325</v>
      </c>
      <c r="G193" s="3">
        <v>5847.55</v>
      </c>
      <c r="H193" s="3">
        <f>Miami_Retail[[#This Row],[sales_usd]] / Miami_Retail[[#This Row],[customers]]</f>
        <v>17.992461538461541</v>
      </c>
      <c r="I193">
        <v>80.7</v>
      </c>
      <c r="J193">
        <f>(Miami_Retail[[#This Row],[avg_temp_f]]-32) * (5/9)</f>
        <v>27.055555555555557</v>
      </c>
      <c r="K193">
        <v>1</v>
      </c>
      <c r="L193">
        <v>1</v>
      </c>
      <c r="M193">
        <v>69.599999999999994</v>
      </c>
      <c r="N193">
        <v>47.3</v>
      </c>
      <c r="O193">
        <v>52.7</v>
      </c>
      <c r="P193">
        <v>46.3</v>
      </c>
      <c r="Q193">
        <v>53.7</v>
      </c>
    </row>
    <row r="194" spans="1:17" x14ac:dyDescent="0.25">
      <c r="A194" s="2">
        <v>45118</v>
      </c>
      <c r="B194" s="2" t="str">
        <f t="shared" ref="B194:B257" si="6">TEXT(A194, "dddd")</f>
        <v>Tuesday</v>
      </c>
      <c r="C194" s="2" t="b">
        <f t="shared" ref="C194:C257" si="7">IF(WEEKDAY(A194,2)&gt;5,TRUE,FALSE)</f>
        <v>0</v>
      </c>
      <c r="D194">
        <v>1</v>
      </c>
      <c r="E194" t="s">
        <v>5</v>
      </c>
      <c r="F194">
        <v>309</v>
      </c>
      <c r="G194" s="3">
        <v>6126.02</v>
      </c>
      <c r="H194" s="3">
        <f>Miami_Retail[[#This Row],[sales_usd]] / Miami_Retail[[#This Row],[customers]]</f>
        <v>19.825307443365698</v>
      </c>
      <c r="I194">
        <v>83.3</v>
      </c>
      <c r="J194">
        <f>(Miami_Retail[[#This Row],[avg_temp_f]]-32) * (5/9)</f>
        <v>28.5</v>
      </c>
      <c r="K194">
        <v>0</v>
      </c>
      <c r="L194">
        <v>0</v>
      </c>
      <c r="M194">
        <v>68.5</v>
      </c>
      <c r="N194">
        <v>49.4</v>
      </c>
      <c r="O194">
        <v>50.6</v>
      </c>
      <c r="P194">
        <v>48.2</v>
      </c>
      <c r="Q194">
        <v>51.8</v>
      </c>
    </row>
    <row r="195" spans="1:17" x14ac:dyDescent="0.25">
      <c r="A195" s="2">
        <v>45119</v>
      </c>
      <c r="B195" s="2" t="str">
        <f t="shared" si="6"/>
        <v>Wednesday</v>
      </c>
      <c r="C195" s="2" t="b">
        <f t="shared" si="7"/>
        <v>0</v>
      </c>
      <c r="D195">
        <v>1</v>
      </c>
      <c r="E195" t="s">
        <v>5</v>
      </c>
      <c r="F195">
        <v>343</v>
      </c>
      <c r="G195" s="3">
        <v>6295.88</v>
      </c>
      <c r="H195" s="3">
        <f>Miami_Retail[[#This Row],[sales_usd]] / Miami_Retail[[#This Row],[customers]]</f>
        <v>18.355335276967931</v>
      </c>
      <c r="I195">
        <v>82.7</v>
      </c>
      <c r="J195">
        <f>(Miami_Retail[[#This Row],[avg_temp_f]]-32) * (5/9)</f>
        <v>28.166666666666668</v>
      </c>
      <c r="K195">
        <v>0</v>
      </c>
      <c r="L195">
        <v>0</v>
      </c>
      <c r="M195">
        <v>70.099999999999994</v>
      </c>
      <c r="N195">
        <v>48.8</v>
      </c>
      <c r="O195">
        <v>51.2</v>
      </c>
      <c r="P195">
        <v>46.7</v>
      </c>
      <c r="Q195">
        <v>53.3</v>
      </c>
    </row>
    <row r="196" spans="1:17" x14ac:dyDescent="0.25">
      <c r="A196" s="2">
        <v>45120</v>
      </c>
      <c r="B196" s="2" t="str">
        <f t="shared" si="6"/>
        <v>Thursday</v>
      </c>
      <c r="C196" s="2" t="b">
        <f t="shared" si="7"/>
        <v>0</v>
      </c>
      <c r="D196">
        <v>1</v>
      </c>
      <c r="E196" t="s">
        <v>5</v>
      </c>
      <c r="F196">
        <v>351</v>
      </c>
      <c r="G196" s="3">
        <v>6422.2</v>
      </c>
      <c r="H196" s="3">
        <f>Miami_Retail[[#This Row],[sales_usd]] / Miami_Retail[[#This Row],[customers]]</f>
        <v>18.296866096866097</v>
      </c>
      <c r="I196">
        <v>84.7</v>
      </c>
      <c r="J196">
        <f>(Miami_Retail[[#This Row],[avg_temp_f]]-32) * (5/9)</f>
        <v>29.277777777777782</v>
      </c>
      <c r="K196">
        <v>1.2</v>
      </c>
      <c r="L196">
        <v>1</v>
      </c>
      <c r="M196">
        <v>68.900000000000006</v>
      </c>
      <c r="N196">
        <v>49</v>
      </c>
      <c r="O196">
        <v>51</v>
      </c>
      <c r="P196">
        <v>45.6</v>
      </c>
      <c r="Q196">
        <v>54.4</v>
      </c>
    </row>
    <row r="197" spans="1:17" x14ac:dyDescent="0.25">
      <c r="A197" s="2">
        <v>45121</v>
      </c>
      <c r="B197" s="2" t="str">
        <f t="shared" si="6"/>
        <v>Friday</v>
      </c>
      <c r="C197" s="2" t="b">
        <f t="shared" si="7"/>
        <v>0</v>
      </c>
      <c r="D197">
        <v>1</v>
      </c>
      <c r="E197" t="s">
        <v>5</v>
      </c>
      <c r="F197">
        <v>334</v>
      </c>
      <c r="G197" s="3">
        <v>5730.79</v>
      </c>
      <c r="H197" s="3">
        <f>Miami_Retail[[#This Row],[sales_usd]] / Miami_Retail[[#This Row],[customers]]</f>
        <v>17.15805389221557</v>
      </c>
      <c r="I197">
        <v>89</v>
      </c>
      <c r="J197">
        <f>(Miami_Retail[[#This Row],[avg_temp_f]]-32) * (5/9)</f>
        <v>31.666666666666668</v>
      </c>
      <c r="K197">
        <v>1.1100000000000001</v>
      </c>
      <c r="L197">
        <v>1</v>
      </c>
      <c r="M197">
        <v>68.8</v>
      </c>
      <c r="N197">
        <v>49.4</v>
      </c>
      <c r="O197">
        <v>50.6</v>
      </c>
      <c r="P197">
        <v>47</v>
      </c>
      <c r="Q197">
        <v>53</v>
      </c>
    </row>
    <row r="198" spans="1:17" x14ac:dyDescent="0.25">
      <c r="A198" s="2">
        <v>45122</v>
      </c>
      <c r="B198" s="2" t="str">
        <f t="shared" si="6"/>
        <v>Saturday</v>
      </c>
      <c r="C198" s="2" t="b">
        <f t="shared" si="7"/>
        <v>1</v>
      </c>
      <c r="D198">
        <v>1</v>
      </c>
      <c r="E198" t="s">
        <v>5</v>
      </c>
      <c r="F198">
        <v>332</v>
      </c>
      <c r="G198" s="3">
        <v>6439.14</v>
      </c>
      <c r="H198" s="3">
        <f>Miami_Retail[[#This Row],[sales_usd]] / Miami_Retail[[#This Row],[customers]]</f>
        <v>19.395</v>
      </c>
      <c r="I198">
        <v>81.3</v>
      </c>
      <c r="J198">
        <f>(Miami_Retail[[#This Row],[avg_temp_f]]-32) * (5/9)</f>
        <v>27.388888888888889</v>
      </c>
      <c r="K198">
        <v>0</v>
      </c>
      <c r="L198">
        <v>0</v>
      </c>
      <c r="M198">
        <v>72.400000000000006</v>
      </c>
      <c r="N198">
        <v>47.9</v>
      </c>
      <c r="O198">
        <v>52.1</v>
      </c>
      <c r="P198">
        <v>52.7</v>
      </c>
      <c r="Q198">
        <v>47.3</v>
      </c>
    </row>
    <row r="199" spans="1:17" x14ac:dyDescent="0.25">
      <c r="A199" s="2">
        <v>45123</v>
      </c>
      <c r="B199" s="2" t="str">
        <f t="shared" si="6"/>
        <v>Sunday</v>
      </c>
      <c r="C199" s="2" t="b">
        <f t="shared" si="7"/>
        <v>1</v>
      </c>
      <c r="D199">
        <v>1</v>
      </c>
      <c r="E199" t="s">
        <v>5</v>
      </c>
      <c r="F199">
        <v>312</v>
      </c>
      <c r="G199" s="3">
        <v>5789.85</v>
      </c>
      <c r="H199" s="3">
        <f>Miami_Retail[[#This Row],[sales_usd]] / Miami_Retail[[#This Row],[customers]]</f>
        <v>18.557211538461541</v>
      </c>
      <c r="I199">
        <v>80.7</v>
      </c>
      <c r="J199">
        <f>(Miami_Retail[[#This Row],[avg_temp_f]]-32) * (5/9)</f>
        <v>27.055555555555557</v>
      </c>
      <c r="K199">
        <v>0.31</v>
      </c>
      <c r="L199">
        <v>1</v>
      </c>
      <c r="M199">
        <v>73.599999999999994</v>
      </c>
      <c r="N199">
        <v>48.3</v>
      </c>
      <c r="O199">
        <v>51.7</v>
      </c>
      <c r="P199">
        <v>55.4</v>
      </c>
      <c r="Q199">
        <v>44.6</v>
      </c>
    </row>
    <row r="200" spans="1:17" x14ac:dyDescent="0.25">
      <c r="A200" s="2">
        <v>45124</v>
      </c>
      <c r="B200" s="2" t="str">
        <f t="shared" si="6"/>
        <v>Monday</v>
      </c>
      <c r="C200" s="2" t="b">
        <f t="shared" si="7"/>
        <v>0</v>
      </c>
      <c r="D200">
        <v>1</v>
      </c>
      <c r="E200" t="s">
        <v>5</v>
      </c>
      <c r="F200">
        <v>323</v>
      </c>
      <c r="G200" s="3">
        <v>6028.08</v>
      </c>
      <c r="H200" s="3">
        <f>Miami_Retail[[#This Row],[sales_usd]] / Miami_Retail[[#This Row],[customers]]</f>
        <v>18.662786377708979</v>
      </c>
      <c r="I200">
        <v>87.8</v>
      </c>
      <c r="J200">
        <f>(Miami_Retail[[#This Row],[avg_temp_f]]-32) * (5/9)</f>
        <v>31</v>
      </c>
      <c r="K200">
        <v>0</v>
      </c>
      <c r="L200">
        <v>0</v>
      </c>
      <c r="M200">
        <v>62.5</v>
      </c>
      <c r="N200">
        <v>45.7</v>
      </c>
      <c r="O200">
        <v>54.3</v>
      </c>
      <c r="P200">
        <v>47</v>
      </c>
      <c r="Q200">
        <v>53</v>
      </c>
    </row>
    <row r="201" spans="1:17" x14ac:dyDescent="0.25">
      <c r="A201" s="2">
        <v>45125</v>
      </c>
      <c r="B201" s="2" t="str">
        <f t="shared" si="6"/>
        <v>Tuesday</v>
      </c>
      <c r="C201" s="2" t="b">
        <f t="shared" si="7"/>
        <v>0</v>
      </c>
      <c r="D201">
        <v>1</v>
      </c>
      <c r="E201" t="s">
        <v>5</v>
      </c>
      <c r="F201">
        <v>322</v>
      </c>
      <c r="G201" s="3">
        <v>6353.7</v>
      </c>
      <c r="H201" s="3">
        <f>Miami_Retail[[#This Row],[sales_usd]] / Miami_Retail[[#This Row],[customers]]</f>
        <v>19.73198757763975</v>
      </c>
      <c r="I201">
        <v>85</v>
      </c>
      <c r="J201">
        <f>(Miami_Retail[[#This Row],[avg_temp_f]]-32) * (5/9)</f>
        <v>29.444444444444446</v>
      </c>
      <c r="K201">
        <v>0</v>
      </c>
      <c r="L201">
        <v>0</v>
      </c>
      <c r="M201">
        <v>70.3</v>
      </c>
      <c r="N201">
        <v>48</v>
      </c>
      <c r="O201">
        <v>52</v>
      </c>
      <c r="P201">
        <v>47.1</v>
      </c>
      <c r="Q201">
        <v>52.9</v>
      </c>
    </row>
    <row r="202" spans="1:17" x14ac:dyDescent="0.25">
      <c r="A202" s="2">
        <v>45126</v>
      </c>
      <c r="B202" s="2" t="str">
        <f t="shared" si="6"/>
        <v>Wednesday</v>
      </c>
      <c r="C202" s="2" t="b">
        <f t="shared" si="7"/>
        <v>0</v>
      </c>
      <c r="D202">
        <v>1</v>
      </c>
      <c r="E202" t="s">
        <v>5</v>
      </c>
      <c r="F202">
        <v>321</v>
      </c>
      <c r="G202" s="3">
        <v>5996.89</v>
      </c>
      <c r="H202" s="3">
        <f>Miami_Retail[[#This Row],[sales_usd]] / Miami_Retail[[#This Row],[customers]]</f>
        <v>18.68190031152648</v>
      </c>
      <c r="I202">
        <v>84.6</v>
      </c>
      <c r="J202">
        <f>(Miami_Retail[[#This Row],[avg_temp_f]]-32) * (5/9)</f>
        <v>29.222222222222221</v>
      </c>
      <c r="K202">
        <v>0</v>
      </c>
      <c r="L202">
        <v>0</v>
      </c>
      <c r="M202">
        <v>72.900000000000006</v>
      </c>
      <c r="N202">
        <v>48.3</v>
      </c>
      <c r="O202">
        <v>51.7</v>
      </c>
      <c r="P202">
        <v>45.9</v>
      </c>
      <c r="Q202">
        <v>54.1</v>
      </c>
    </row>
    <row r="203" spans="1:17" x14ac:dyDescent="0.25">
      <c r="A203" s="2">
        <v>45127</v>
      </c>
      <c r="B203" s="2" t="str">
        <f t="shared" si="6"/>
        <v>Thursday</v>
      </c>
      <c r="C203" s="2" t="b">
        <f t="shared" si="7"/>
        <v>0</v>
      </c>
      <c r="D203">
        <v>1</v>
      </c>
      <c r="E203" t="s">
        <v>5</v>
      </c>
      <c r="F203">
        <v>315</v>
      </c>
      <c r="G203" s="3">
        <v>6058.46</v>
      </c>
      <c r="H203" s="3">
        <f>Miami_Retail[[#This Row],[sales_usd]] / Miami_Retail[[#This Row],[customers]]</f>
        <v>19.233206349206348</v>
      </c>
      <c r="I203">
        <v>85.7</v>
      </c>
      <c r="J203">
        <f>(Miami_Retail[[#This Row],[avg_temp_f]]-32) * (5/9)</f>
        <v>29.833333333333336</v>
      </c>
      <c r="K203">
        <v>0</v>
      </c>
      <c r="L203">
        <v>0</v>
      </c>
      <c r="M203">
        <v>68.3</v>
      </c>
      <c r="N203">
        <v>48.2</v>
      </c>
      <c r="O203">
        <v>51.8</v>
      </c>
      <c r="P203">
        <v>47.6</v>
      </c>
      <c r="Q203">
        <v>52.4</v>
      </c>
    </row>
    <row r="204" spans="1:17" x14ac:dyDescent="0.25">
      <c r="A204" s="2">
        <v>45128</v>
      </c>
      <c r="B204" s="2" t="str">
        <f t="shared" si="6"/>
        <v>Friday</v>
      </c>
      <c r="C204" s="2" t="b">
        <f t="shared" si="7"/>
        <v>0</v>
      </c>
      <c r="D204">
        <v>1</v>
      </c>
      <c r="E204" t="s">
        <v>5</v>
      </c>
      <c r="F204">
        <v>323</v>
      </c>
      <c r="G204" s="3">
        <v>5685.53</v>
      </c>
      <c r="H204" s="3">
        <f>Miami_Retail[[#This Row],[sales_usd]] / Miami_Retail[[#This Row],[customers]]</f>
        <v>17.602260061919505</v>
      </c>
      <c r="I204">
        <v>83.4</v>
      </c>
      <c r="J204">
        <f>(Miami_Retail[[#This Row],[avg_temp_f]]-32) * (5/9)</f>
        <v>28.555555555555561</v>
      </c>
      <c r="K204">
        <v>0</v>
      </c>
      <c r="L204">
        <v>0</v>
      </c>
      <c r="M204">
        <v>68.099999999999994</v>
      </c>
      <c r="N204">
        <v>47.7</v>
      </c>
      <c r="O204">
        <v>52.3</v>
      </c>
      <c r="P204">
        <v>45.6</v>
      </c>
      <c r="Q204">
        <v>54.4</v>
      </c>
    </row>
    <row r="205" spans="1:17" x14ac:dyDescent="0.25">
      <c r="A205" s="2">
        <v>45129</v>
      </c>
      <c r="B205" s="2" t="str">
        <f t="shared" si="6"/>
        <v>Saturday</v>
      </c>
      <c r="C205" s="2" t="b">
        <f t="shared" si="7"/>
        <v>1</v>
      </c>
      <c r="D205">
        <v>1</v>
      </c>
      <c r="E205" t="s">
        <v>5</v>
      </c>
      <c r="F205">
        <v>366</v>
      </c>
      <c r="G205" s="3">
        <v>7136.54</v>
      </c>
      <c r="H205" s="3">
        <f>Miami_Retail[[#This Row],[sales_usd]] / Miami_Retail[[#This Row],[customers]]</f>
        <v>19.498743169398907</v>
      </c>
      <c r="I205">
        <v>83</v>
      </c>
      <c r="J205">
        <f>(Miami_Retail[[#This Row],[avg_temp_f]]-32) * (5/9)</f>
        <v>28.333333333333336</v>
      </c>
      <c r="K205">
        <v>0.49</v>
      </c>
      <c r="L205">
        <v>1</v>
      </c>
      <c r="M205">
        <v>61.9</v>
      </c>
      <c r="N205">
        <v>47.6</v>
      </c>
      <c r="O205">
        <v>52.4</v>
      </c>
      <c r="P205">
        <v>53.7</v>
      </c>
      <c r="Q205">
        <v>46.3</v>
      </c>
    </row>
    <row r="206" spans="1:17" x14ac:dyDescent="0.25">
      <c r="A206" s="2">
        <v>45130</v>
      </c>
      <c r="B206" s="2" t="str">
        <f t="shared" si="6"/>
        <v>Sunday</v>
      </c>
      <c r="C206" s="2" t="b">
        <f t="shared" si="7"/>
        <v>1</v>
      </c>
      <c r="D206">
        <v>1</v>
      </c>
      <c r="E206" t="s">
        <v>5</v>
      </c>
      <c r="F206">
        <v>375</v>
      </c>
      <c r="G206" s="3">
        <v>6685.46</v>
      </c>
      <c r="H206" s="3">
        <f>Miami_Retail[[#This Row],[sales_usd]] / Miami_Retail[[#This Row],[customers]]</f>
        <v>17.827893333333332</v>
      </c>
      <c r="I206">
        <v>84.9</v>
      </c>
      <c r="J206">
        <f>(Miami_Retail[[#This Row],[avg_temp_f]]-32) * (5/9)</f>
        <v>29.388888888888893</v>
      </c>
      <c r="K206">
        <v>0.01</v>
      </c>
      <c r="L206">
        <v>1</v>
      </c>
      <c r="M206">
        <v>70.7</v>
      </c>
      <c r="N206">
        <v>47.1</v>
      </c>
      <c r="O206">
        <v>52.9</v>
      </c>
      <c r="P206">
        <v>54.1</v>
      </c>
      <c r="Q206">
        <v>45.9</v>
      </c>
    </row>
    <row r="207" spans="1:17" x14ac:dyDescent="0.25">
      <c r="A207" s="2">
        <v>45131</v>
      </c>
      <c r="B207" s="2" t="str">
        <f t="shared" si="6"/>
        <v>Monday</v>
      </c>
      <c r="C207" s="2" t="b">
        <f t="shared" si="7"/>
        <v>0</v>
      </c>
      <c r="D207">
        <v>1</v>
      </c>
      <c r="E207" t="s">
        <v>5</v>
      </c>
      <c r="F207">
        <v>330</v>
      </c>
      <c r="G207" s="3">
        <v>6018.72</v>
      </c>
      <c r="H207" s="3">
        <f>Miami_Retail[[#This Row],[sales_usd]] / Miami_Retail[[#This Row],[customers]]</f>
        <v>18.238545454545456</v>
      </c>
      <c r="I207">
        <v>88.9</v>
      </c>
      <c r="J207">
        <f>(Miami_Retail[[#This Row],[avg_temp_f]]-32) * (5/9)</f>
        <v>31.611111111111114</v>
      </c>
      <c r="K207">
        <v>0.48</v>
      </c>
      <c r="L207">
        <v>1</v>
      </c>
      <c r="M207">
        <v>58.4</v>
      </c>
      <c r="N207">
        <v>47.2</v>
      </c>
      <c r="O207">
        <v>52.8</v>
      </c>
      <c r="P207">
        <v>47.1</v>
      </c>
      <c r="Q207">
        <v>52.9</v>
      </c>
    </row>
    <row r="208" spans="1:17" x14ac:dyDescent="0.25">
      <c r="A208" s="2">
        <v>45132</v>
      </c>
      <c r="B208" s="2" t="str">
        <f t="shared" si="6"/>
        <v>Tuesday</v>
      </c>
      <c r="C208" s="2" t="b">
        <f t="shared" si="7"/>
        <v>0</v>
      </c>
      <c r="D208">
        <v>1</v>
      </c>
      <c r="E208" t="s">
        <v>5</v>
      </c>
      <c r="F208">
        <v>292</v>
      </c>
      <c r="G208" s="3">
        <v>5456.83</v>
      </c>
      <c r="H208" s="3">
        <f>Miami_Retail[[#This Row],[sales_usd]] / Miami_Retail[[#This Row],[customers]]</f>
        <v>18.687773972602738</v>
      </c>
      <c r="I208">
        <v>82.1</v>
      </c>
      <c r="J208">
        <f>(Miami_Retail[[#This Row],[avg_temp_f]]-32) * (5/9)</f>
        <v>27.833333333333332</v>
      </c>
      <c r="K208">
        <v>0</v>
      </c>
      <c r="L208">
        <v>0</v>
      </c>
      <c r="M208">
        <v>78.7</v>
      </c>
      <c r="N208">
        <v>48.6</v>
      </c>
      <c r="O208">
        <v>51.4</v>
      </c>
      <c r="P208">
        <v>46.3</v>
      </c>
      <c r="Q208">
        <v>53.7</v>
      </c>
    </row>
    <row r="209" spans="1:17" x14ac:dyDescent="0.25">
      <c r="A209" s="2">
        <v>45133</v>
      </c>
      <c r="B209" s="2" t="str">
        <f t="shared" si="6"/>
        <v>Wednesday</v>
      </c>
      <c r="C209" s="2" t="b">
        <f t="shared" si="7"/>
        <v>0</v>
      </c>
      <c r="D209">
        <v>1</v>
      </c>
      <c r="E209" t="s">
        <v>5</v>
      </c>
      <c r="F209">
        <v>355</v>
      </c>
      <c r="G209" s="3">
        <v>6810.6</v>
      </c>
      <c r="H209" s="3">
        <f>Miami_Retail[[#This Row],[sales_usd]] / Miami_Retail[[#This Row],[customers]]</f>
        <v>19.184788732394367</v>
      </c>
      <c r="I209">
        <v>88.4</v>
      </c>
      <c r="J209">
        <f>(Miami_Retail[[#This Row],[avg_temp_f]]-32) * (5/9)</f>
        <v>31.333333333333339</v>
      </c>
      <c r="K209">
        <v>1.02</v>
      </c>
      <c r="L209">
        <v>1</v>
      </c>
      <c r="M209">
        <v>69.8</v>
      </c>
      <c r="N209">
        <v>47.3</v>
      </c>
      <c r="O209">
        <v>52.7</v>
      </c>
      <c r="P209">
        <v>48.6</v>
      </c>
      <c r="Q209">
        <v>51.4</v>
      </c>
    </row>
    <row r="210" spans="1:17" x14ac:dyDescent="0.25">
      <c r="A210" s="2">
        <v>45134</v>
      </c>
      <c r="B210" s="2" t="str">
        <f t="shared" si="6"/>
        <v>Thursday</v>
      </c>
      <c r="C210" s="2" t="b">
        <f t="shared" si="7"/>
        <v>0</v>
      </c>
      <c r="D210">
        <v>1</v>
      </c>
      <c r="E210" t="s">
        <v>5</v>
      </c>
      <c r="F210">
        <v>329</v>
      </c>
      <c r="G210" s="3">
        <v>5967.78</v>
      </c>
      <c r="H210" s="3">
        <f>Miami_Retail[[#This Row],[sales_usd]] / Miami_Retail[[#This Row],[customers]]</f>
        <v>18.139148936170212</v>
      </c>
      <c r="I210">
        <v>85.4</v>
      </c>
      <c r="J210">
        <f>(Miami_Retail[[#This Row],[avg_temp_f]]-32) * (5/9)</f>
        <v>29.666666666666671</v>
      </c>
      <c r="K210">
        <v>0</v>
      </c>
      <c r="L210">
        <v>0</v>
      </c>
      <c r="M210">
        <v>78.3</v>
      </c>
      <c r="N210">
        <v>47</v>
      </c>
      <c r="O210">
        <v>53</v>
      </c>
      <c r="P210">
        <v>45.7</v>
      </c>
      <c r="Q210">
        <v>54.3</v>
      </c>
    </row>
    <row r="211" spans="1:17" x14ac:dyDescent="0.25">
      <c r="A211" s="2">
        <v>45135</v>
      </c>
      <c r="B211" s="2" t="str">
        <f t="shared" si="6"/>
        <v>Friday</v>
      </c>
      <c r="C211" s="2" t="b">
        <f t="shared" si="7"/>
        <v>0</v>
      </c>
      <c r="D211">
        <v>1</v>
      </c>
      <c r="E211" t="s">
        <v>5</v>
      </c>
      <c r="F211">
        <v>333</v>
      </c>
      <c r="G211" s="3">
        <v>5359.86</v>
      </c>
      <c r="H211" s="3">
        <f>Miami_Retail[[#This Row],[sales_usd]] / Miami_Retail[[#This Row],[customers]]</f>
        <v>16.095675675675675</v>
      </c>
      <c r="I211">
        <v>86.2</v>
      </c>
      <c r="J211">
        <f>(Miami_Retail[[#This Row],[avg_temp_f]]-32) * (5/9)</f>
        <v>30.111111111111114</v>
      </c>
      <c r="K211">
        <v>0</v>
      </c>
      <c r="L211">
        <v>0</v>
      </c>
      <c r="M211">
        <v>62.3</v>
      </c>
      <c r="N211">
        <v>48.7</v>
      </c>
      <c r="O211">
        <v>51.3</v>
      </c>
      <c r="P211">
        <v>47.4</v>
      </c>
      <c r="Q211">
        <v>52.6</v>
      </c>
    </row>
    <row r="212" spans="1:17" x14ac:dyDescent="0.25">
      <c r="A212" s="2">
        <v>45136</v>
      </c>
      <c r="B212" s="2" t="str">
        <f t="shared" si="6"/>
        <v>Saturday</v>
      </c>
      <c r="C212" s="2" t="b">
        <f t="shared" si="7"/>
        <v>1</v>
      </c>
      <c r="D212">
        <v>1</v>
      </c>
      <c r="E212" t="s">
        <v>5</v>
      </c>
      <c r="F212">
        <v>342</v>
      </c>
      <c r="G212" s="3">
        <v>6453.99</v>
      </c>
      <c r="H212" s="3">
        <f>Miami_Retail[[#This Row],[sales_usd]] / Miami_Retail[[#This Row],[customers]]</f>
        <v>18.871315789473684</v>
      </c>
      <c r="I212">
        <v>84.5</v>
      </c>
      <c r="J212">
        <f>(Miami_Retail[[#This Row],[avg_temp_f]]-32) * (5/9)</f>
        <v>29.166666666666668</v>
      </c>
      <c r="K212">
        <v>0</v>
      </c>
      <c r="L212">
        <v>0</v>
      </c>
      <c r="M212">
        <v>63.8</v>
      </c>
      <c r="N212">
        <v>47.9</v>
      </c>
      <c r="O212">
        <v>52.1</v>
      </c>
      <c r="P212">
        <v>52.2</v>
      </c>
      <c r="Q212">
        <v>47.8</v>
      </c>
    </row>
    <row r="213" spans="1:17" x14ac:dyDescent="0.25">
      <c r="A213" s="2">
        <v>45137</v>
      </c>
      <c r="B213" s="2" t="str">
        <f t="shared" si="6"/>
        <v>Sunday</v>
      </c>
      <c r="C213" s="2" t="b">
        <f t="shared" si="7"/>
        <v>1</v>
      </c>
      <c r="D213">
        <v>1</v>
      </c>
      <c r="E213" t="s">
        <v>5</v>
      </c>
      <c r="F213">
        <v>365</v>
      </c>
      <c r="G213" s="3">
        <v>6804.66</v>
      </c>
      <c r="H213" s="3">
        <f>Miami_Retail[[#This Row],[sales_usd]] / Miami_Retail[[#This Row],[customers]]</f>
        <v>18.64290410958904</v>
      </c>
      <c r="I213">
        <v>87.4</v>
      </c>
      <c r="J213">
        <f>(Miami_Retail[[#This Row],[avg_temp_f]]-32) * (5/9)</f>
        <v>30.777777777777782</v>
      </c>
      <c r="K213">
        <v>0</v>
      </c>
      <c r="L213">
        <v>0</v>
      </c>
      <c r="M213">
        <v>72.900000000000006</v>
      </c>
      <c r="N213">
        <v>46.9</v>
      </c>
      <c r="O213">
        <v>53.1</v>
      </c>
      <c r="P213">
        <v>52.3</v>
      </c>
      <c r="Q213">
        <v>47.7</v>
      </c>
    </row>
    <row r="214" spans="1:17" x14ac:dyDescent="0.25">
      <c r="A214" s="2">
        <v>45138</v>
      </c>
      <c r="B214" s="2" t="str">
        <f t="shared" si="6"/>
        <v>Monday</v>
      </c>
      <c r="C214" s="2" t="b">
        <f t="shared" si="7"/>
        <v>0</v>
      </c>
      <c r="D214">
        <v>1</v>
      </c>
      <c r="E214" t="s">
        <v>5</v>
      </c>
      <c r="F214">
        <v>337</v>
      </c>
      <c r="G214" s="3">
        <v>5606.61</v>
      </c>
      <c r="H214" s="3">
        <f>Miami_Retail[[#This Row],[sales_usd]] / Miami_Retail[[#This Row],[customers]]</f>
        <v>16.636824925816022</v>
      </c>
      <c r="I214">
        <v>89.8</v>
      </c>
      <c r="J214">
        <f>(Miami_Retail[[#This Row],[avg_temp_f]]-32) * (5/9)</f>
        <v>32.111111111111114</v>
      </c>
      <c r="K214">
        <v>0.71</v>
      </c>
      <c r="L214">
        <v>1</v>
      </c>
      <c r="M214">
        <v>69</v>
      </c>
      <c r="N214">
        <v>48.1</v>
      </c>
      <c r="O214">
        <v>51.9</v>
      </c>
      <c r="P214">
        <v>45.4</v>
      </c>
      <c r="Q214">
        <v>54.6</v>
      </c>
    </row>
    <row r="215" spans="1:17" x14ac:dyDescent="0.25">
      <c r="A215" s="2">
        <v>45139</v>
      </c>
      <c r="B215" s="2" t="str">
        <f t="shared" si="6"/>
        <v>Tuesday</v>
      </c>
      <c r="C215" s="2" t="b">
        <f t="shared" si="7"/>
        <v>0</v>
      </c>
      <c r="D215">
        <v>1</v>
      </c>
      <c r="E215" t="s">
        <v>5</v>
      </c>
      <c r="F215">
        <v>342</v>
      </c>
      <c r="G215" s="3">
        <v>5674.44</v>
      </c>
      <c r="H215" s="3">
        <f>Miami_Retail[[#This Row],[sales_usd]] / Miami_Retail[[#This Row],[customers]]</f>
        <v>16.591929824561401</v>
      </c>
      <c r="I215">
        <v>86.3</v>
      </c>
      <c r="J215">
        <f>(Miami_Retail[[#This Row],[avg_temp_f]]-32) * (5/9)</f>
        <v>30.166666666666668</v>
      </c>
      <c r="K215">
        <v>0</v>
      </c>
      <c r="L215">
        <v>0</v>
      </c>
      <c r="M215">
        <v>71.599999999999994</v>
      </c>
      <c r="N215">
        <v>48.6</v>
      </c>
      <c r="O215">
        <v>51.4</v>
      </c>
      <c r="P215">
        <v>46.8</v>
      </c>
      <c r="Q215">
        <v>53.2</v>
      </c>
    </row>
    <row r="216" spans="1:17" x14ac:dyDescent="0.25">
      <c r="A216" s="2">
        <v>45140</v>
      </c>
      <c r="B216" s="2" t="str">
        <f t="shared" si="6"/>
        <v>Wednesday</v>
      </c>
      <c r="C216" s="2" t="b">
        <f t="shared" si="7"/>
        <v>0</v>
      </c>
      <c r="D216">
        <v>1</v>
      </c>
      <c r="E216" t="s">
        <v>5</v>
      </c>
      <c r="F216">
        <v>339</v>
      </c>
      <c r="G216" s="3">
        <v>5947.74</v>
      </c>
      <c r="H216" s="3">
        <f>Miami_Retail[[#This Row],[sales_usd]] / Miami_Retail[[#This Row],[customers]]</f>
        <v>17.544955752212388</v>
      </c>
      <c r="I216">
        <v>88</v>
      </c>
      <c r="J216">
        <f>(Miami_Retail[[#This Row],[avg_temp_f]]-32) * (5/9)</f>
        <v>31.111111111111114</v>
      </c>
      <c r="K216">
        <v>0</v>
      </c>
      <c r="L216">
        <v>0</v>
      </c>
      <c r="M216">
        <v>77.2</v>
      </c>
      <c r="N216">
        <v>46.6</v>
      </c>
      <c r="O216">
        <v>53.4</v>
      </c>
      <c r="P216">
        <v>46.8</v>
      </c>
      <c r="Q216">
        <v>53.2</v>
      </c>
    </row>
    <row r="217" spans="1:17" x14ac:dyDescent="0.25">
      <c r="A217" s="2">
        <v>45141</v>
      </c>
      <c r="B217" s="2" t="str">
        <f t="shared" si="6"/>
        <v>Thursday</v>
      </c>
      <c r="C217" s="2" t="b">
        <f t="shared" si="7"/>
        <v>0</v>
      </c>
      <c r="D217">
        <v>1</v>
      </c>
      <c r="E217" t="s">
        <v>5</v>
      </c>
      <c r="F217">
        <v>284</v>
      </c>
      <c r="G217" s="3">
        <v>5407.68</v>
      </c>
      <c r="H217" s="3">
        <f>Miami_Retail[[#This Row],[sales_usd]] / Miami_Retail[[#This Row],[customers]]</f>
        <v>19.04112676056338</v>
      </c>
      <c r="I217">
        <v>84.8</v>
      </c>
      <c r="J217">
        <f>(Miami_Retail[[#This Row],[avg_temp_f]]-32) * (5/9)</f>
        <v>29.333333333333332</v>
      </c>
      <c r="K217">
        <v>2.21</v>
      </c>
      <c r="L217">
        <v>1</v>
      </c>
      <c r="M217">
        <v>61.5</v>
      </c>
      <c r="N217">
        <v>46.1</v>
      </c>
      <c r="O217">
        <v>53.9</v>
      </c>
      <c r="P217">
        <v>46.7</v>
      </c>
      <c r="Q217">
        <v>53.3</v>
      </c>
    </row>
    <row r="218" spans="1:17" x14ac:dyDescent="0.25">
      <c r="A218" s="2">
        <v>45142</v>
      </c>
      <c r="B218" s="2" t="str">
        <f t="shared" si="6"/>
        <v>Friday</v>
      </c>
      <c r="C218" s="2" t="b">
        <f t="shared" si="7"/>
        <v>0</v>
      </c>
      <c r="D218">
        <v>1</v>
      </c>
      <c r="E218" t="s">
        <v>5</v>
      </c>
      <c r="F218">
        <v>328</v>
      </c>
      <c r="G218" s="3">
        <v>6321.29</v>
      </c>
      <c r="H218" s="3">
        <f>Miami_Retail[[#This Row],[sales_usd]] / Miami_Retail[[#This Row],[customers]]</f>
        <v>19.272225609756099</v>
      </c>
      <c r="I218">
        <v>84.1</v>
      </c>
      <c r="J218">
        <f>(Miami_Retail[[#This Row],[avg_temp_f]]-32) * (5/9)</f>
        <v>28.944444444444443</v>
      </c>
      <c r="K218">
        <v>0.42</v>
      </c>
      <c r="L218">
        <v>1</v>
      </c>
      <c r="M218">
        <v>64.7</v>
      </c>
      <c r="N218">
        <v>48.7</v>
      </c>
      <c r="O218">
        <v>51.3</v>
      </c>
      <c r="P218">
        <v>47</v>
      </c>
      <c r="Q218">
        <v>53</v>
      </c>
    </row>
    <row r="219" spans="1:17" x14ac:dyDescent="0.25">
      <c r="A219" s="2">
        <v>45143</v>
      </c>
      <c r="B219" s="2" t="str">
        <f t="shared" si="6"/>
        <v>Saturday</v>
      </c>
      <c r="C219" s="2" t="b">
        <f t="shared" si="7"/>
        <v>1</v>
      </c>
      <c r="D219">
        <v>1</v>
      </c>
      <c r="E219" t="s">
        <v>5</v>
      </c>
      <c r="F219">
        <v>388</v>
      </c>
      <c r="G219" s="3">
        <v>6752.63</v>
      </c>
      <c r="H219" s="3">
        <f>Miami_Retail[[#This Row],[sales_usd]] / Miami_Retail[[#This Row],[customers]]</f>
        <v>17.40368556701031</v>
      </c>
      <c r="I219">
        <v>88.9</v>
      </c>
      <c r="J219">
        <f>(Miami_Retail[[#This Row],[avg_temp_f]]-32) * (5/9)</f>
        <v>31.611111111111114</v>
      </c>
      <c r="K219">
        <v>0</v>
      </c>
      <c r="L219">
        <v>0</v>
      </c>
      <c r="M219">
        <v>67.7</v>
      </c>
      <c r="N219">
        <v>45.7</v>
      </c>
      <c r="O219">
        <v>54.3</v>
      </c>
      <c r="P219">
        <v>53.3</v>
      </c>
      <c r="Q219">
        <v>46.7</v>
      </c>
    </row>
    <row r="220" spans="1:17" x14ac:dyDescent="0.25">
      <c r="A220" s="2">
        <v>45144</v>
      </c>
      <c r="B220" s="2" t="str">
        <f t="shared" si="6"/>
        <v>Sunday</v>
      </c>
      <c r="C220" s="2" t="b">
        <f t="shared" si="7"/>
        <v>1</v>
      </c>
      <c r="D220">
        <v>1</v>
      </c>
      <c r="E220" t="s">
        <v>5</v>
      </c>
      <c r="F220">
        <v>355</v>
      </c>
      <c r="G220" s="3">
        <v>7382.67</v>
      </c>
      <c r="H220" s="3">
        <f>Miami_Retail[[#This Row],[sales_usd]] / Miami_Retail[[#This Row],[customers]]</f>
        <v>20.796253521126761</v>
      </c>
      <c r="I220">
        <v>90.9</v>
      </c>
      <c r="J220">
        <f>(Miami_Retail[[#This Row],[avg_temp_f]]-32) * (5/9)</f>
        <v>32.722222222222229</v>
      </c>
      <c r="K220">
        <v>1.5</v>
      </c>
      <c r="L220">
        <v>1</v>
      </c>
      <c r="M220">
        <v>68.099999999999994</v>
      </c>
      <c r="N220">
        <v>45.5</v>
      </c>
      <c r="O220">
        <v>54.5</v>
      </c>
      <c r="P220">
        <v>51.4</v>
      </c>
      <c r="Q220">
        <v>48.6</v>
      </c>
    </row>
    <row r="221" spans="1:17" x14ac:dyDescent="0.25">
      <c r="A221" s="2">
        <v>45145</v>
      </c>
      <c r="B221" s="2" t="str">
        <f t="shared" si="6"/>
        <v>Monday</v>
      </c>
      <c r="C221" s="2" t="b">
        <f t="shared" si="7"/>
        <v>0</v>
      </c>
      <c r="D221">
        <v>1</v>
      </c>
      <c r="E221" t="s">
        <v>5</v>
      </c>
      <c r="F221">
        <v>326</v>
      </c>
      <c r="G221" s="3">
        <v>5594.46</v>
      </c>
      <c r="H221" s="3">
        <f>Miami_Retail[[#This Row],[sales_usd]] / Miami_Retail[[#This Row],[customers]]</f>
        <v>17.160920245398774</v>
      </c>
      <c r="I221">
        <v>87.4</v>
      </c>
      <c r="J221">
        <f>(Miami_Retail[[#This Row],[avg_temp_f]]-32) * (5/9)</f>
        <v>30.777777777777782</v>
      </c>
      <c r="K221">
        <v>0</v>
      </c>
      <c r="L221">
        <v>0</v>
      </c>
      <c r="M221">
        <v>75.900000000000006</v>
      </c>
      <c r="N221">
        <v>47</v>
      </c>
      <c r="O221">
        <v>53</v>
      </c>
      <c r="P221">
        <v>45.1</v>
      </c>
      <c r="Q221">
        <v>54.9</v>
      </c>
    </row>
    <row r="222" spans="1:17" x14ac:dyDescent="0.25">
      <c r="A222" s="2">
        <v>45146</v>
      </c>
      <c r="B222" s="2" t="str">
        <f t="shared" si="6"/>
        <v>Tuesday</v>
      </c>
      <c r="C222" s="2" t="b">
        <f t="shared" si="7"/>
        <v>0</v>
      </c>
      <c r="D222">
        <v>1</v>
      </c>
      <c r="E222" t="s">
        <v>5</v>
      </c>
      <c r="F222">
        <v>336</v>
      </c>
      <c r="G222" s="3">
        <v>6359.4</v>
      </c>
      <c r="H222" s="3">
        <f>Miami_Retail[[#This Row],[sales_usd]] / Miami_Retail[[#This Row],[customers]]</f>
        <v>18.926785714285714</v>
      </c>
      <c r="I222">
        <v>86.4</v>
      </c>
      <c r="J222">
        <f>(Miami_Retail[[#This Row],[avg_temp_f]]-32) * (5/9)</f>
        <v>30.222222222222225</v>
      </c>
      <c r="K222">
        <v>0.5</v>
      </c>
      <c r="L222">
        <v>1</v>
      </c>
      <c r="M222">
        <v>69.099999999999994</v>
      </c>
      <c r="N222">
        <v>47.6</v>
      </c>
      <c r="O222">
        <v>52.4</v>
      </c>
      <c r="P222">
        <v>46.2</v>
      </c>
      <c r="Q222">
        <v>53.8</v>
      </c>
    </row>
    <row r="223" spans="1:17" x14ac:dyDescent="0.25">
      <c r="A223" s="2">
        <v>45147</v>
      </c>
      <c r="B223" s="2" t="str">
        <f t="shared" si="6"/>
        <v>Wednesday</v>
      </c>
      <c r="C223" s="2" t="b">
        <f t="shared" si="7"/>
        <v>0</v>
      </c>
      <c r="D223">
        <v>1</v>
      </c>
      <c r="E223" t="s">
        <v>5</v>
      </c>
      <c r="F223">
        <v>327</v>
      </c>
      <c r="G223" s="3">
        <v>5869.8</v>
      </c>
      <c r="H223" s="3">
        <f>Miami_Retail[[#This Row],[sales_usd]] / Miami_Retail[[#This Row],[customers]]</f>
        <v>17.95045871559633</v>
      </c>
      <c r="I223">
        <v>83.5</v>
      </c>
      <c r="J223">
        <f>(Miami_Retail[[#This Row],[avg_temp_f]]-32) * (5/9)</f>
        <v>28.611111111111111</v>
      </c>
      <c r="K223">
        <v>0</v>
      </c>
      <c r="L223">
        <v>0</v>
      </c>
      <c r="M223">
        <v>78.2</v>
      </c>
      <c r="N223">
        <v>47.4</v>
      </c>
      <c r="O223">
        <v>52.6</v>
      </c>
      <c r="P223">
        <v>47.4</v>
      </c>
      <c r="Q223">
        <v>52.6</v>
      </c>
    </row>
    <row r="224" spans="1:17" x14ac:dyDescent="0.25">
      <c r="A224" s="2">
        <v>45148</v>
      </c>
      <c r="B224" s="2" t="str">
        <f t="shared" si="6"/>
        <v>Thursday</v>
      </c>
      <c r="C224" s="2" t="b">
        <f t="shared" si="7"/>
        <v>0</v>
      </c>
      <c r="D224">
        <v>1</v>
      </c>
      <c r="E224" t="s">
        <v>5</v>
      </c>
      <c r="F224">
        <v>327</v>
      </c>
      <c r="G224" s="3">
        <v>6464.81</v>
      </c>
      <c r="H224" s="3">
        <f>Miami_Retail[[#This Row],[sales_usd]] / Miami_Retail[[#This Row],[customers]]</f>
        <v>19.770061162079511</v>
      </c>
      <c r="I224">
        <v>86.5</v>
      </c>
      <c r="J224">
        <f>(Miami_Retail[[#This Row],[avg_temp_f]]-32) * (5/9)</f>
        <v>30.277777777777779</v>
      </c>
      <c r="K224">
        <v>0.86</v>
      </c>
      <c r="L224">
        <v>1</v>
      </c>
      <c r="M224">
        <v>71.099999999999994</v>
      </c>
      <c r="N224">
        <v>47</v>
      </c>
      <c r="O224">
        <v>53</v>
      </c>
      <c r="P224">
        <v>45.5</v>
      </c>
      <c r="Q224">
        <v>54.5</v>
      </c>
    </row>
    <row r="225" spans="1:17" x14ac:dyDescent="0.25">
      <c r="A225" s="2">
        <v>45149</v>
      </c>
      <c r="B225" s="2" t="str">
        <f t="shared" si="6"/>
        <v>Friday</v>
      </c>
      <c r="C225" s="2" t="b">
        <f t="shared" si="7"/>
        <v>0</v>
      </c>
      <c r="D225">
        <v>1</v>
      </c>
      <c r="E225" t="s">
        <v>5</v>
      </c>
      <c r="F225">
        <v>313</v>
      </c>
      <c r="G225" s="3">
        <v>5529.5</v>
      </c>
      <c r="H225" s="3">
        <f>Miami_Retail[[#This Row],[sales_usd]] / Miami_Retail[[#This Row],[customers]]</f>
        <v>17.666134185303516</v>
      </c>
      <c r="I225">
        <v>81.3</v>
      </c>
      <c r="J225">
        <f>(Miami_Retail[[#This Row],[avg_temp_f]]-32) * (5/9)</f>
        <v>27.388888888888889</v>
      </c>
      <c r="K225">
        <v>0</v>
      </c>
      <c r="L225">
        <v>0</v>
      </c>
      <c r="M225">
        <v>76.900000000000006</v>
      </c>
      <c r="N225">
        <v>49.6</v>
      </c>
      <c r="O225">
        <v>50.4</v>
      </c>
      <c r="P225">
        <v>45.9</v>
      </c>
      <c r="Q225">
        <v>54.1</v>
      </c>
    </row>
    <row r="226" spans="1:17" x14ac:dyDescent="0.25">
      <c r="A226" s="2">
        <v>45150</v>
      </c>
      <c r="B226" s="2" t="str">
        <f t="shared" si="6"/>
        <v>Saturday</v>
      </c>
      <c r="C226" s="2" t="b">
        <f t="shared" si="7"/>
        <v>1</v>
      </c>
      <c r="D226">
        <v>1</v>
      </c>
      <c r="E226" t="s">
        <v>5</v>
      </c>
      <c r="F226">
        <v>246</v>
      </c>
      <c r="G226" s="3">
        <v>4474.53</v>
      </c>
      <c r="H226" s="3">
        <f>Miami_Retail[[#This Row],[sales_usd]] / Miami_Retail[[#This Row],[customers]]</f>
        <v>18.189146341463413</v>
      </c>
      <c r="I226">
        <v>82.7</v>
      </c>
      <c r="J226">
        <f>(Miami_Retail[[#This Row],[avg_temp_f]]-32) * (5/9)</f>
        <v>28.166666666666668</v>
      </c>
      <c r="K226">
        <v>5.72</v>
      </c>
      <c r="L226">
        <v>1</v>
      </c>
      <c r="M226">
        <v>79.400000000000006</v>
      </c>
      <c r="N226">
        <v>46.8</v>
      </c>
      <c r="O226">
        <v>53.2</v>
      </c>
      <c r="P226">
        <v>51.9</v>
      </c>
      <c r="Q226">
        <v>48.1</v>
      </c>
    </row>
    <row r="227" spans="1:17" x14ac:dyDescent="0.25">
      <c r="A227" s="2">
        <v>45151</v>
      </c>
      <c r="B227" s="2" t="str">
        <f t="shared" si="6"/>
        <v>Sunday</v>
      </c>
      <c r="C227" s="2" t="b">
        <f t="shared" si="7"/>
        <v>1</v>
      </c>
      <c r="D227">
        <v>1</v>
      </c>
      <c r="E227" t="s">
        <v>5</v>
      </c>
      <c r="F227">
        <v>398</v>
      </c>
      <c r="G227" s="3">
        <v>7632.99</v>
      </c>
      <c r="H227" s="3">
        <f>Miami_Retail[[#This Row],[sales_usd]] / Miami_Retail[[#This Row],[customers]]</f>
        <v>19.178366834170852</v>
      </c>
      <c r="I227">
        <v>87.2</v>
      </c>
      <c r="J227">
        <f>(Miami_Retail[[#This Row],[avg_temp_f]]-32) * (5/9)</f>
        <v>30.666666666666668</v>
      </c>
      <c r="K227">
        <v>0</v>
      </c>
      <c r="L227">
        <v>0</v>
      </c>
      <c r="M227">
        <v>75.099999999999994</v>
      </c>
      <c r="N227">
        <v>46</v>
      </c>
      <c r="O227">
        <v>54</v>
      </c>
      <c r="P227">
        <v>49.7</v>
      </c>
      <c r="Q227">
        <v>50.3</v>
      </c>
    </row>
    <row r="228" spans="1:17" x14ac:dyDescent="0.25">
      <c r="A228" s="2">
        <v>45152</v>
      </c>
      <c r="B228" s="2" t="str">
        <f t="shared" si="6"/>
        <v>Monday</v>
      </c>
      <c r="C228" s="2" t="b">
        <f t="shared" si="7"/>
        <v>0</v>
      </c>
      <c r="D228">
        <v>1</v>
      </c>
      <c r="E228" t="s">
        <v>5</v>
      </c>
      <c r="F228">
        <v>324</v>
      </c>
      <c r="G228" s="3">
        <v>6296.08</v>
      </c>
      <c r="H228" s="3">
        <f>Miami_Retail[[#This Row],[sales_usd]] / Miami_Retail[[#This Row],[customers]]</f>
        <v>19.432345679012347</v>
      </c>
      <c r="I228">
        <v>85.6</v>
      </c>
      <c r="J228">
        <f>(Miami_Retail[[#This Row],[avg_temp_f]]-32) * (5/9)</f>
        <v>29.777777777777775</v>
      </c>
      <c r="K228">
        <v>0</v>
      </c>
      <c r="L228">
        <v>0</v>
      </c>
      <c r="M228">
        <v>76.2</v>
      </c>
      <c r="N228">
        <v>46.4</v>
      </c>
      <c r="O228">
        <v>53.6</v>
      </c>
      <c r="P228">
        <v>45.3</v>
      </c>
      <c r="Q228">
        <v>54.7</v>
      </c>
    </row>
    <row r="229" spans="1:17" x14ac:dyDescent="0.25">
      <c r="A229" s="2">
        <v>45153</v>
      </c>
      <c r="B229" s="2" t="str">
        <f t="shared" si="6"/>
        <v>Tuesday</v>
      </c>
      <c r="C229" s="2" t="b">
        <f t="shared" si="7"/>
        <v>0</v>
      </c>
      <c r="D229">
        <v>1</v>
      </c>
      <c r="E229" t="s">
        <v>5</v>
      </c>
      <c r="F229">
        <v>337</v>
      </c>
      <c r="G229" s="3">
        <v>5400.68</v>
      </c>
      <c r="H229" s="3">
        <f>Miami_Retail[[#This Row],[sales_usd]] / Miami_Retail[[#This Row],[customers]]</f>
        <v>16.025756676557865</v>
      </c>
      <c r="I229">
        <v>82.9</v>
      </c>
      <c r="J229">
        <f>(Miami_Retail[[#This Row],[avg_temp_f]]-32) * (5/9)</f>
        <v>28.277777777777782</v>
      </c>
      <c r="K229">
        <v>0</v>
      </c>
      <c r="L229">
        <v>0</v>
      </c>
      <c r="M229">
        <v>65.900000000000006</v>
      </c>
      <c r="N229">
        <v>47.1</v>
      </c>
      <c r="O229">
        <v>52.9</v>
      </c>
      <c r="P229">
        <v>44.4</v>
      </c>
      <c r="Q229">
        <v>55.6</v>
      </c>
    </row>
    <row r="230" spans="1:17" x14ac:dyDescent="0.25">
      <c r="A230" s="2">
        <v>45154</v>
      </c>
      <c r="B230" s="2" t="str">
        <f t="shared" si="6"/>
        <v>Wednesday</v>
      </c>
      <c r="C230" s="2" t="b">
        <f t="shared" si="7"/>
        <v>0</v>
      </c>
      <c r="D230">
        <v>1</v>
      </c>
      <c r="E230" t="s">
        <v>5</v>
      </c>
      <c r="F230">
        <v>315</v>
      </c>
      <c r="G230" s="3">
        <v>5974.25</v>
      </c>
      <c r="H230" s="3">
        <f>Miami_Retail[[#This Row],[sales_usd]] / Miami_Retail[[#This Row],[customers]]</f>
        <v>18.965873015873015</v>
      </c>
      <c r="I230">
        <v>87.1</v>
      </c>
      <c r="J230">
        <f>(Miami_Retail[[#This Row],[avg_temp_f]]-32) * (5/9)</f>
        <v>30.611111111111111</v>
      </c>
      <c r="K230">
        <v>0.69</v>
      </c>
      <c r="L230">
        <v>1</v>
      </c>
      <c r="M230">
        <v>72.3</v>
      </c>
      <c r="N230">
        <v>47.4</v>
      </c>
      <c r="O230">
        <v>52.6</v>
      </c>
      <c r="P230">
        <v>46</v>
      </c>
      <c r="Q230">
        <v>54</v>
      </c>
    </row>
    <row r="231" spans="1:17" x14ac:dyDescent="0.25">
      <c r="A231" s="2">
        <v>45155</v>
      </c>
      <c r="B231" s="2" t="str">
        <f t="shared" si="6"/>
        <v>Thursday</v>
      </c>
      <c r="C231" s="2" t="b">
        <f t="shared" si="7"/>
        <v>0</v>
      </c>
      <c r="D231">
        <v>1</v>
      </c>
      <c r="E231" t="s">
        <v>5</v>
      </c>
      <c r="F231">
        <v>356</v>
      </c>
      <c r="G231" s="3">
        <v>7450.87</v>
      </c>
      <c r="H231" s="3">
        <f>Miami_Retail[[#This Row],[sales_usd]] / Miami_Retail[[#This Row],[customers]]</f>
        <v>20.929410112359552</v>
      </c>
      <c r="I231">
        <v>89</v>
      </c>
      <c r="J231">
        <f>(Miami_Retail[[#This Row],[avg_temp_f]]-32) * (5/9)</f>
        <v>31.666666666666668</v>
      </c>
      <c r="K231">
        <v>1.3</v>
      </c>
      <c r="L231">
        <v>1</v>
      </c>
      <c r="M231">
        <v>75.599999999999994</v>
      </c>
      <c r="N231">
        <v>46.5</v>
      </c>
      <c r="O231">
        <v>53.5</v>
      </c>
      <c r="P231">
        <v>46.4</v>
      </c>
      <c r="Q231">
        <v>53.6</v>
      </c>
    </row>
    <row r="232" spans="1:17" x14ac:dyDescent="0.25">
      <c r="A232" s="2">
        <v>45156</v>
      </c>
      <c r="B232" s="2" t="str">
        <f t="shared" si="6"/>
        <v>Friday</v>
      </c>
      <c r="C232" s="2" t="b">
        <f t="shared" si="7"/>
        <v>0</v>
      </c>
      <c r="D232">
        <v>1</v>
      </c>
      <c r="E232" t="s">
        <v>5</v>
      </c>
      <c r="F232">
        <v>320</v>
      </c>
      <c r="G232" s="3">
        <v>5495.47</v>
      </c>
      <c r="H232" s="3">
        <f>Miami_Retail[[#This Row],[sales_usd]] / Miami_Retail[[#This Row],[customers]]</f>
        <v>17.173343750000001</v>
      </c>
      <c r="I232">
        <v>84.7</v>
      </c>
      <c r="J232">
        <f>(Miami_Retail[[#This Row],[avg_temp_f]]-32) * (5/9)</f>
        <v>29.277777777777782</v>
      </c>
      <c r="K232">
        <v>0.61</v>
      </c>
      <c r="L232">
        <v>1</v>
      </c>
      <c r="M232">
        <v>77.5</v>
      </c>
      <c r="N232">
        <v>46.2</v>
      </c>
      <c r="O232">
        <v>53.8</v>
      </c>
      <c r="P232">
        <v>45.6</v>
      </c>
      <c r="Q232">
        <v>54.4</v>
      </c>
    </row>
    <row r="233" spans="1:17" x14ac:dyDescent="0.25">
      <c r="A233" s="2">
        <v>45157</v>
      </c>
      <c r="B233" s="2" t="str">
        <f t="shared" si="6"/>
        <v>Saturday</v>
      </c>
      <c r="C233" s="2" t="b">
        <f t="shared" si="7"/>
        <v>1</v>
      </c>
      <c r="D233">
        <v>1</v>
      </c>
      <c r="E233" t="s">
        <v>5</v>
      </c>
      <c r="F233">
        <v>350</v>
      </c>
      <c r="G233" s="3">
        <v>6476.08</v>
      </c>
      <c r="H233" s="3">
        <f>Miami_Retail[[#This Row],[sales_usd]] / Miami_Retail[[#This Row],[customers]]</f>
        <v>18.503085714285714</v>
      </c>
      <c r="I233">
        <v>87.2</v>
      </c>
      <c r="J233">
        <f>(Miami_Retail[[#This Row],[avg_temp_f]]-32) * (5/9)</f>
        <v>30.666666666666668</v>
      </c>
      <c r="K233">
        <v>0.76</v>
      </c>
      <c r="L233">
        <v>1</v>
      </c>
      <c r="M233">
        <v>76</v>
      </c>
      <c r="N233">
        <v>46</v>
      </c>
      <c r="O233">
        <v>54</v>
      </c>
      <c r="P233">
        <v>50.7</v>
      </c>
      <c r="Q233">
        <v>49.3</v>
      </c>
    </row>
    <row r="234" spans="1:17" x14ac:dyDescent="0.25">
      <c r="A234" s="2">
        <v>45158</v>
      </c>
      <c r="B234" s="2" t="str">
        <f t="shared" si="6"/>
        <v>Sunday</v>
      </c>
      <c r="C234" s="2" t="b">
        <f t="shared" si="7"/>
        <v>1</v>
      </c>
      <c r="D234">
        <v>1</v>
      </c>
      <c r="E234" t="s">
        <v>5</v>
      </c>
      <c r="F234">
        <v>386</v>
      </c>
      <c r="G234" s="3">
        <v>6396.97</v>
      </c>
      <c r="H234" s="3">
        <f>Miami_Retail[[#This Row],[sales_usd]] / Miami_Retail[[#This Row],[customers]]</f>
        <v>16.572461139896372</v>
      </c>
      <c r="I234">
        <v>89</v>
      </c>
      <c r="J234">
        <f>(Miami_Retail[[#This Row],[avg_temp_f]]-32) * (5/9)</f>
        <v>31.666666666666668</v>
      </c>
      <c r="K234">
        <v>0.62</v>
      </c>
      <c r="L234">
        <v>1</v>
      </c>
      <c r="M234">
        <v>75.599999999999994</v>
      </c>
      <c r="N234">
        <v>46.6</v>
      </c>
      <c r="O234">
        <v>53.4</v>
      </c>
      <c r="P234">
        <v>52.4</v>
      </c>
      <c r="Q234">
        <v>47.6</v>
      </c>
    </row>
    <row r="235" spans="1:17" x14ac:dyDescent="0.25">
      <c r="A235" s="2">
        <v>45159</v>
      </c>
      <c r="B235" s="2" t="str">
        <f t="shared" si="6"/>
        <v>Monday</v>
      </c>
      <c r="C235" s="2" t="b">
        <f t="shared" si="7"/>
        <v>0</v>
      </c>
      <c r="D235">
        <v>1</v>
      </c>
      <c r="E235" t="s">
        <v>5</v>
      </c>
      <c r="F235">
        <v>351</v>
      </c>
      <c r="G235" s="3">
        <v>6470.84</v>
      </c>
      <c r="H235" s="3">
        <f>Miami_Retail[[#This Row],[sales_usd]] / Miami_Retail[[#This Row],[customers]]</f>
        <v>18.435441595441596</v>
      </c>
      <c r="I235">
        <v>87.1</v>
      </c>
      <c r="J235">
        <f>(Miami_Retail[[#This Row],[avg_temp_f]]-32) * (5/9)</f>
        <v>30.611111111111111</v>
      </c>
      <c r="K235">
        <v>0</v>
      </c>
      <c r="L235">
        <v>0</v>
      </c>
      <c r="M235">
        <v>67.3</v>
      </c>
      <c r="N235">
        <v>47</v>
      </c>
      <c r="O235">
        <v>53</v>
      </c>
      <c r="P235">
        <v>46</v>
      </c>
      <c r="Q235">
        <v>54</v>
      </c>
    </row>
    <row r="236" spans="1:17" x14ac:dyDescent="0.25">
      <c r="A236" s="2">
        <v>45160</v>
      </c>
      <c r="B236" s="2" t="str">
        <f t="shared" si="6"/>
        <v>Tuesday</v>
      </c>
      <c r="C236" s="2" t="b">
        <f t="shared" si="7"/>
        <v>0</v>
      </c>
      <c r="D236">
        <v>1</v>
      </c>
      <c r="E236" t="s">
        <v>5</v>
      </c>
      <c r="F236">
        <v>329</v>
      </c>
      <c r="G236" s="3">
        <v>6342.54</v>
      </c>
      <c r="H236" s="3">
        <f>Miami_Retail[[#This Row],[sales_usd]] / Miami_Retail[[#This Row],[customers]]</f>
        <v>19.27823708206687</v>
      </c>
      <c r="I236">
        <v>86.2</v>
      </c>
      <c r="J236">
        <f>(Miami_Retail[[#This Row],[avg_temp_f]]-32) * (5/9)</f>
        <v>30.111111111111114</v>
      </c>
      <c r="K236">
        <v>0</v>
      </c>
      <c r="L236">
        <v>0</v>
      </c>
      <c r="M236">
        <v>66.5</v>
      </c>
      <c r="N236">
        <v>46.2</v>
      </c>
      <c r="O236">
        <v>53.8</v>
      </c>
      <c r="P236">
        <v>45.5</v>
      </c>
      <c r="Q236">
        <v>54.5</v>
      </c>
    </row>
    <row r="237" spans="1:17" x14ac:dyDescent="0.25">
      <c r="A237" s="2">
        <v>45161</v>
      </c>
      <c r="B237" s="2" t="str">
        <f t="shared" si="6"/>
        <v>Wednesday</v>
      </c>
      <c r="C237" s="2" t="b">
        <f t="shared" si="7"/>
        <v>0</v>
      </c>
      <c r="D237">
        <v>1</v>
      </c>
      <c r="E237" t="s">
        <v>5</v>
      </c>
      <c r="F237">
        <v>318</v>
      </c>
      <c r="G237" s="3">
        <v>5770.97</v>
      </c>
      <c r="H237" s="3">
        <f>Miami_Retail[[#This Row],[sales_usd]] / Miami_Retail[[#This Row],[customers]]</f>
        <v>18.147704402515725</v>
      </c>
      <c r="I237">
        <v>84.8</v>
      </c>
      <c r="J237">
        <f>(Miami_Retail[[#This Row],[avg_temp_f]]-32) * (5/9)</f>
        <v>29.333333333333332</v>
      </c>
      <c r="K237">
        <v>0</v>
      </c>
      <c r="L237">
        <v>0</v>
      </c>
      <c r="M237">
        <v>80.2</v>
      </c>
      <c r="N237">
        <v>47.8</v>
      </c>
      <c r="O237">
        <v>52.2</v>
      </c>
      <c r="P237">
        <v>45.9</v>
      </c>
      <c r="Q237">
        <v>54.1</v>
      </c>
    </row>
    <row r="238" spans="1:17" x14ac:dyDescent="0.25">
      <c r="A238" s="2">
        <v>45162</v>
      </c>
      <c r="B238" s="2" t="str">
        <f t="shared" si="6"/>
        <v>Thursday</v>
      </c>
      <c r="C238" s="2" t="b">
        <f t="shared" si="7"/>
        <v>0</v>
      </c>
      <c r="D238">
        <v>1</v>
      </c>
      <c r="E238" t="s">
        <v>5</v>
      </c>
      <c r="F238">
        <v>325</v>
      </c>
      <c r="G238" s="3">
        <v>5951.61</v>
      </c>
      <c r="H238" s="3">
        <f>Miami_Retail[[#This Row],[sales_usd]] / Miami_Retail[[#This Row],[customers]]</f>
        <v>18.312646153846153</v>
      </c>
      <c r="I238">
        <v>89</v>
      </c>
      <c r="J238">
        <f>(Miami_Retail[[#This Row],[avg_temp_f]]-32) * (5/9)</f>
        <v>31.666666666666668</v>
      </c>
      <c r="K238">
        <v>0</v>
      </c>
      <c r="L238">
        <v>0</v>
      </c>
      <c r="M238">
        <v>70.5</v>
      </c>
      <c r="N238">
        <v>46.7</v>
      </c>
      <c r="O238">
        <v>53.3</v>
      </c>
      <c r="P238">
        <v>47.6</v>
      </c>
      <c r="Q238">
        <v>52.4</v>
      </c>
    </row>
    <row r="239" spans="1:17" x14ac:dyDescent="0.25">
      <c r="A239" s="2">
        <v>45163</v>
      </c>
      <c r="B239" s="2" t="str">
        <f t="shared" si="6"/>
        <v>Friday</v>
      </c>
      <c r="C239" s="2" t="b">
        <f t="shared" si="7"/>
        <v>0</v>
      </c>
      <c r="D239">
        <v>1</v>
      </c>
      <c r="E239" t="s">
        <v>5</v>
      </c>
      <c r="F239">
        <v>338</v>
      </c>
      <c r="G239" s="3">
        <v>5954.07</v>
      </c>
      <c r="H239" s="3">
        <f>Miami_Retail[[#This Row],[sales_usd]] / Miami_Retail[[#This Row],[customers]]</f>
        <v>17.615591715976329</v>
      </c>
      <c r="I239">
        <v>88</v>
      </c>
      <c r="J239">
        <f>(Miami_Retail[[#This Row],[avg_temp_f]]-32) * (5/9)</f>
        <v>31.111111111111114</v>
      </c>
      <c r="K239">
        <v>0</v>
      </c>
      <c r="L239">
        <v>0</v>
      </c>
      <c r="M239">
        <v>73.900000000000006</v>
      </c>
      <c r="N239">
        <v>46.2</v>
      </c>
      <c r="O239">
        <v>53.8</v>
      </c>
      <c r="P239">
        <v>45.6</v>
      </c>
      <c r="Q239">
        <v>54.4</v>
      </c>
    </row>
    <row r="240" spans="1:17" x14ac:dyDescent="0.25">
      <c r="A240" s="2">
        <v>45164</v>
      </c>
      <c r="B240" s="2" t="str">
        <f t="shared" si="6"/>
        <v>Saturday</v>
      </c>
      <c r="C240" s="2" t="b">
        <f t="shared" si="7"/>
        <v>1</v>
      </c>
      <c r="D240">
        <v>1</v>
      </c>
      <c r="E240" t="s">
        <v>5</v>
      </c>
      <c r="F240">
        <v>374</v>
      </c>
      <c r="G240" s="3">
        <v>6572.07</v>
      </c>
      <c r="H240" s="3">
        <f>Miami_Retail[[#This Row],[sales_usd]] / Miami_Retail[[#This Row],[customers]]</f>
        <v>17.572379679144383</v>
      </c>
      <c r="I240">
        <v>88.1</v>
      </c>
      <c r="J240">
        <f>(Miami_Retail[[#This Row],[avg_temp_f]]-32) * (5/9)</f>
        <v>31.166666666666664</v>
      </c>
      <c r="K240">
        <v>0</v>
      </c>
      <c r="L240">
        <v>0</v>
      </c>
      <c r="M240">
        <v>63.4</v>
      </c>
      <c r="N240">
        <v>47.1</v>
      </c>
      <c r="O240">
        <v>52.9</v>
      </c>
      <c r="P240">
        <v>51.5</v>
      </c>
      <c r="Q240">
        <v>48.5</v>
      </c>
    </row>
    <row r="241" spans="1:17" x14ac:dyDescent="0.25">
      <c r="A241" s="2">
        <v>45165</v>
      </c>
      <c r="B241" s="2" t="str">
        <f t="shared" si="6"/>
        <v>Sunday</v>
      </c>
      <c r="C241" s="2" t="b">
        <f t="shared" si="7"/>
        <v>1</v>
      </c>
      <c r="D241">
        <v>1</v>
      </c>
      <c r="E241" t="s">
        <v>5</v>
      </c>
      <c r="F241">
        <v>381</v>
      </c>
      <c r="G241" s="3">
        <v>7132.94</v>
      </c>
      <c r="H241" s="3">
        <f>Miami_Retail[[#This Row],[sales_usd]] / Miami_Retail[[#This Row],[customers]]</f>
        <v>18.721627296587926</v>
      </c>
      <c r="I241">
        <v>89.7</v>
      </c>
      <c r="J241">
        <f>(Miami_Retail[[#This Row],[avg_temp_f]]-32) * (5/9)</f>
        <v>32.055555555555557</v>
      </c>
      <c r="K241">
        <v>0.44</v>
      </c>
      <c r="L241">
        <v>1</v>
      </c>
      <c r="M241">
        <v>77.099999999999994</v>
      </c>
      <c r="N241">
        <v>45.9</v>
      </c>
      <c r="O241">
        <v>54.1</v>
      </c>
      <c r="P241">
        <v>50.4</v>
      </c>
      <c r="Q241">
        <v>49.6</v>
      </c>
    </row>
    <row r="242" spans="1:17" x14ac:dyDescent="0.25">
      <c r="A242" s="2">
        <v>45166</v>
      </c>
      <c r="B242" s="2" t="str">
        <f t="shared" si="6"/>
        <v>Monday</v>
      </c>
      <c r="C242" s="2" t="b">
        <f t="shared" si="7"/>
        <v>0</v>
      </c>
      <c r="D242">
        <v>1</v>
      </c>
      <c r="E242" t="s">
        <v>5</v>
      </c>
      <c r="F242">
        <v>330</v>
      </c>
      <c r="G242" s="3">
        <v>6295.42</v>
      </c>
      <c r="H242" s="3">
        <f>Miami_Retail[[#This Row],[sales_usd]] / Miami_Retail[[#This Row],[customers]]</f>
        <v>19.077030303030302</v>
      </c>
      <c r="I242">
        <v>90.1</v>
      </c>
      <c r="J242">
        <f>(Miami_Retail[[#This Row],[avg_temp_f]]-32) * (5/9)</f>
        <v>32.277777777777779</v>
      </c>
      <c r="K242">
        <v>0</v>
      </c>
      <c r="L242">
        <v>0</v>
      </c>
      <c r="M242">
        <v>77.2</v>
      </c>
      <c r="N242">
        <v>47.4</v>
      </c>
      <c r="O242">
        <v>52.6</v>
      </c>
      <c r="P242">
        <v>44.7</v>
      </c>
      <c r="Q242">
        <v>55.3</v>
      </c>
    </row>
    <row r="243" spans="1:17" x14ac:dyDescent="0.25">
      <c r="A243" s="2">
        <v>45167</v>
      </c>
      <c r="B243" s="2" t="str">
        <f t="shared" si="6"/>
        <v>Tuesday</v>
      </c>
      <c r="C243" s="2" t="b">
        <f t="shared" si="7"/>
        <v>0</v>
      </c>
      <c r="D243">
        <v>1</v>
      </c>
      <c r="E243" t="s">
        <v>5</v>
      </c>
      <c r="F243">
        <v>335</v>
      </c>
      <c r="G243" s="3">
        <v>6352.4</v>
      </c>
      <c r="H243" s="3">
        <f>Miami_Retail[[#This Row],[sales_usd]] / Miami_Retail[[#This Row],[customers]]</f>
        <v>18.962388059701492</v>
      </c>
      <c r="I243">
        <v>89.2</v>
      </c>
      <c r="J243">
        <f>(Miami_Retail[[#This Row],[avg_temp_f]]-32) * (5/9)</f>
        <v>31.777777777777782</v>
      </c>
      <c r="K243">
        <v>0.08</v>
      </c>
      <c r="L243">
        <v>1</v>
      </c>
      <c r="M243">
        <v>71.900000000000006</v>
      </c>
      <c r="N243">
        <v>45</v>
      </c>
      <c r="O243">
        <v>55</v>
      </c>
      <c r="P243">
        <v>46.2</v>
      </c>
      <c r="Q243">
        <v>53.8</v>
      </c>
    </row>
    <row r="244" spans="1:17" x14ac:dyDescent="0.25">
      <c r="A244" s="2">
        <v>45168</v>
      </c>
      <c r="B244" s="2" t="str">
        <f t="shared" si="6"/>
        <v>Wednesday</v>
      </c>
      <c r="C244" s="2" t="b">
        <f t="shared" si="7"/>
        <v>0</v>
      </c>
      <c r="D244">
        <v>1</v>
      </c>
      <c r="E244" t="s">
        <v>5</v>
      </c>
      <c r="F244">
        <v>368</v>
      </c>
      <c r="G244" s="3">
        <v>7039.05</v>
      </c>
      <c r="H244" s="3">
        <f>Miami_Retail[[#This Row],[sales_usd]] / Miami_Retail[[#This Row],[customers]]</f>
        <v>19.127853260869564</v>
      </c>
      <c r="I244">
        <v>92.8</v>
      </c>
      <c r="J244">
        <f>(Miami_Retail[[#This Row],[avg_temp_f]]-32) * (5/9)</f>
        <v>33.777777777777779</v>
      </c>
      <c r="K244">
        <v>0</v>
      </c>
      <c r="L244">
        <v>0</v>
      </c>
      <c r="M244">
        <v>72.3</v>
      </c>
      <c r="N244">
        <v>46.5</v>
      </c>
      <c r="O244">
        <v>53.5</v>
      </c>
      <c r="P244">
        <v>43.9</v>
      </c>
      <c r="Q244">
        <v>56.1</v>
      </c>
    </row>
    <row r="245" spans="1:17" x14ac:dyDescent="0.25">
      <c r="A245" s="2">
        <v>45169</v>
      </c>
      <c r="B245" s="2" t="str">
        <f t="shared" si="6"/>
        <v>Thursday</v>
      </c>
      <c r="C245" s="2" t="b">
        <f t="shared" si="7"/>
        <v>0</v>
      </c>
      <c r="D245">
        <v>1</v>
      </c>
      <c r="E245" t="s">
        <v>5</v>
      </c>
      <c r="F245">
        <v>323</v>
      </c>
      <c r="G245" s="3">
        <v>6122.88</v>
      </c>
      <c r="H245" s="3">
        <f>Miami_Retail[[#This Row],[sales_usd]] / Miami_Retail[[#This Row],[customers]]</f>
        <v>18.956284829721362</v>
      </c>
      <c r="I245">
        <v>85.6</v>
      </c>
      <c r="J245">
        <f>(Miami_Retail[[#This Row],[avg_temp_f]]-32) * (5/9)</f>
        <v>29.777777777777775</v>
      </c>
      <c r="K245">
        <v>0</v>
      </c>
      <c r="L245">
        <v>0</v>
      </c>
      <c r="M245">
        <v>75.400000000000006</v>
      </c>
      <c r="N245">
        <v>45.3</v>
      </c>
      <c r="O245">
        <v>54.7</v>
      </c>
      <c r="P245">
        <v>47.5</v>
      </c>
      <c r="Q245">
        <v>52.5</v>
      </c>
    </row>
    <row r="246" spans="1:17" x14ac:dyDescent="0.25">
      <c r="A246" s="2">
        <v>45170</v>
      </c>
      <c r="B246" s="2" t="str">
        <f t="shared" si="6"/>
        <v>Friday</v>
      </c>
      <c r="C246" s="2" t="b">
        <f t="shared" si="7"/>
        <v>0</v>
      </c>
      <c r="D246">
        <v>1</v>
      </c>
      <c r="E246" t="s">
        <v>5</v>
      </c>
      <c r="F246">
        <v>345</v>
      </c>
      <c r="G246" s="3">
        <v>6004.14</v>
      </c>
      <c r="H246" s="3">
        <f>Miami_Retail[[#This Row],[sales_usd]] / Miami_Retail[[#This Row],[customers]]</f>
        <v>17.403304347826086</v>
      </c>
      <c r="I246">
        <v>94.1</v>
      </c>
      <c r="J246">
        <f>(Miami_Retail[[#This Row],[avg_temp_f]]-32) * (5/9)</f>
        <v>34.5</v>
      </c>
      <c r="K246">
        <v>0</v>
      </c>
      <c r="L246">
        <v>0</v>
      </c>
      <c r="M246">
        <v>71.5</v>
      </c>
      <c r="N246">
        <v>46</v>
      </c>
      <c r="O246">
        <v>54</v>
      </c>
      <c r="P246">
        <v>45.1</v>
      </c>
      <c r="Q246">
        <v>54.9</v>
      </c>
    </row>
    <row r="247" spans="1:17" x14ac:dyDescent="0.25">
      <c r="A247" s="2">
        <v>45171</v>
      </c>
      <c r="B247" s="2" t="str">
        <f t="shared" si="6"/>
        <v>Saturday</v>
      </c>
      <c r="C247" s="2" t="b">
        <f t="shared" si="7"/>
        <v>1</v>
      </c>
      <c r="D247">
        <v>1</v>
      </c>
      <c r="E247" t="s">
        <v>5</v>
      </c>
      <c r="F247">
        <v>369</v>
      </c>
      <c r="G247" s="3">
        <v>6862.7</v>
      </c>
      <c r="H247" s="3">
        <f>Miami_Retail[[#This Row],[sales_usd]] / Miami_Retail[[#This Row],[customers]]</f>
        <v>18.598102981029811</v>
      </c>
      <c r="I247">
        <v>87.3</v>
      </c>
      <c r="J247">
        <f>(Miami_Retail[[#This Row],[avg_temp_f]]-32) * (5/9)</f>
        <v>30.722222222222221</v>
      </c>
      <c r="K247">
        <v>0</v>
      </c>
      <c r="L247">
        <v>0</v>
      </c>
      <c r="M247">
        <v>73.599999999999994</v>
      </c>
      <c r="N247">
        <v>46.9</v>
      </c>
      <c r="O247">
        <v>53.1</v>
      </c>
      <c r="P247">
        <v>50.7</v>
      </c>
      <c r="Q247">
        <v>49.3</v>
      </c>
    </row>
    <row r="248" spans="1:17" x14ac:dyDescent="0.25">
      <c r="A248" s="2">
        <v>45172</v>
      </c>
      <c r="B248" s="2" t="str">
        <f t="shared" si="6"/>
        <v>Sunday</v>
      </c>
      <c r="C248" s="2" t="b">
        <f t="shared" si="7"/>
        <v>1</v>
      </c>
      <c r="D248">
        <v>1</v>
      </c>
      <c r="E248" t="s">
        <v>5</v>
      </c>
      <c r="F248">
        <v>340</v>
      </c>
      <c r="G248" s="3">
        <v>6826.9</v>
      </c>
      <c r="H248" s="3">
        <f>Miami_Retail[[#This Row],[sales_usd]] / Miami_Retail[[#This Row],[customers]]</f>
        <v>20.079117647058823</v>
      </c>
      <c r="I248">
        <v>87.3</v>
      </c>
      <c r="J248">
        <f>(Miami_Retail[[#This Row],[avg_temp_f]]-32) * (5/9)</f>
        <v>30.722222222222221</v>
      </c>
      <c r="K248">
        <v>0</v>
      </c>
      <c r="L248">
        <v>0</v>
      </c>
      <c r="M248">
        <v>74.8</v>
      </c>
      <c r="N248">
        <v>47.1</v>
      </c>
      <c r="O248">
        <v>52.9</v>
      </c>
      <c r="P248">
        <v>50.9</v>
      </c>
      <c r="Q248">
        <v>49.1</v>
      </c>
    </row>
    <row r="249" spans="1:17" x14ac:dyDescent="0.25">
      <c r="A249" s="2">
        <v>45173</v>
      </c>
      <c r="B249" s="2" t="str">
        <f t="shared" si="6"/>
        <v>Monday</v>
      </c>
      <c r="C249" s="2" t="b">
        <f t="shared" si="7"/>
        <v>0</v>
      </c>
      <c r="D249">
        <v>1</v>
      </c>
      <c r="E249" t="s">
        <v>5</v>
      </c>
      <c r="F249">
        <v>268</v>
      </c>
      <c r="G249" s="3">
        <v>5086.4399999999996</v>
      </c>
      <c r="H249" s="3">
        <f>Miami_Retail[[#This Row],[sales_usd]] / Miami_Retail[[#This Row],[customers]]</f>
        <v>18.979253731343281</v>
      </c>
      <c r="I249">
        <v>86.8</v>
      </c>
      <c r="J249">
        <f>(Miami_Retail[[#This Row],[avg_temp_f]]-32) * (5/9)</f>
        <v>30.444444444444443</v>
      </c>
      <c r="K249">
        <v>0.68</v>
      </c>
      <c r="L249">
        <v>1</v>
      </c>
      <c r="M249">
        <v>81.3</v>
      </c>
      <c r="N249">
        <v>46</v>
      </c>
      <c r="O249">
        <v>54</v>
      </c>
      <c r="P249">
        <v>46</v>
      </c>
      <c r="Q249">
        <v>54</v>
      </c>
    </row>
    <row r="250" spans="1:17" x14ac:dyDescent="0.25">
      <c r="A250" s="2">
        <v>45174</v>
      </c>
      <c r="B250" s="2" t="str">
        <f t="shared" si="6"/>
        <v>Tuesday</v>
      </c>
      <c r="C250" s="2" t="b">
        <f t="shared" si="7"/>
        <v>0</v>
      </c>
      <c r="D250">
        <v>1</v>
      </c>
      <c r="E250" t="s">
        <v>5</v>
      </c>
      <c r="F250">
        <v>304</v>
      </c>
      <c r="G250" s="3">
        <v>5650.43</v>
      </c>
      <c r="H250" s="3">
        <f>Miami_Retail[[#This Row],[sales_usd]] / Miami_Retail[[#This Row],[customers]]</f>
        <v>18.586940789473687</v>
      </c>
      <c r="I250">
        <v>86.2</v>
      </c>
      <c r="J250">
        <f>(Miami_Retail[[#This Row],[avg_temp_f]]-32) * (5/9)</f>
        <v>30.111111111111114</v>
      </c>
      <c r="K250">
        <v>0</v>
      </c>
      <c r="L250">
        <v>0</v>
      </c>
      <c r="M250">
        <v>72.2</v>
      </c>
      <c r="N250">
        <v>45.5</v>
      </c>
      <c r="O250">
        <v>54.5</v>
      </c>
      <c r="P250">
        <v>45.3</v>
      </c>
      <c r="Q250">
        <v>54.7</v>
      </c>
    </row>
    <row r="251" spans="1:17" x14ac:dyDescent="0.25">
      <c r="A251" s="2">
        <v>45175</v>
      </c>
      <c r="B251" s="2" t="str">
        <f t="shared" si="6"/>
        <v>Wednesday</v>
      </c>
      <c r="C251" s="2" t="b">
        <f t="shared" si="7"/>
        <v>0</v>
      </c>
      <c r="D251">
        <v>1</v>
      </c>
      <c r="E251" t="s">
        <v>5</v>
      </c>
      <c r="F251">
        <v>359</v>
      </c>
      <c r="G251" s="3">
        <v>6732.68</v>
      </c>
      <c r="H251" s="3">
        <f>Miami_Retail[[#This Row],[sales_usd]] / Miami_Retail[[#This Row],[customers]]</f>
        <v>18.753983286908078</v>
      </c>
      <c r="I251">
        <v>95.7</v>
      </c>
      <c r="J251">
        <f>(Miami_Retail[[#This Row],[avg_temp_f]]-32) * (5/9)</f>
        <v>35.388888888888893</v>
      </c>
      <c r="K251">
        <v>0.45</v>
      </c>
      <c r="L251">
        <v>1</v>
      </c>
      <c r="M251">
        <v>78.400000000000006</v>
      </c>
      <c r="N251">
        <v>45.8</v>
      </c>
      <c r="O251">
        <v>54.2</v>
      </c>
      <c r="P251">
        <v>44.9</v>
      </c>
      <c r="Q251">
        <v>55.1</v>
      </c>
    </row>
    <row r="252" spans="1:17" x14ac:dyDescent="0.25">
      <c r="A252" s="2">
        <v>45176</v>
      </c>
      <c r="B252" s="2" t="str">
        <f t="shared" si="6"/>
        <v>Thursday</v>
      </c>
      <c r="C252" s="2" t="b">
        <f t="shared" si="7"/>
        <v>0</v>
      </c>
      <c r="D252">
        <v>1</v>
      </c>
      <c r="E252" t="s">
        <v>5</v>
      </c>
      <c r="F252">
        <v>289</v>
      </c>
      <c r="G252" s="3">
        <v>5910.3</v>
      </c>
      <c r="H252" s="3">
        <f>Miami_Retail[[#This Row],[sales_usd]] / Miami_Retail[[#This Row],[customers]]</f>
        <v>20.450865051903115</v>
      </c>
      <c r="I252">
        <v>87.6</v>
      </c>
      <c r="J252">
        <f>(Miami_Retail[[#This Row],[avg_temp_f]]-32) * (5/9)</f>
        <v>30.888888888888886</v>
      </c>
      <c r="K252">
        <v>0</v>
      </c>
      <c r="L252">
        <v>0</v>
      </c>
      <c r="M252">
        <v>74.900000000000006</v>
      </c>
      <c r="N252">
        <v>46.3</v>
      </c>
      <c r="O252">
        <v>53.7</v>
      </c>
      <c r="P252">
        <v>43.7</v>
      </c>
      <c r="Q252">
        <v>56.3</v>
      </c>
    </row>
    <row r="253" spans="1:17" x14ac:dyDescent="0.25">
      <c r="A253" s="2">
        <v>45177</v>
      </c>
      <c r="B253" s="2" t="str">
        <f t="shared" si="6"/>
        <v>Friday</v>
      </c>
      <c r="C253" s="2" t="b">
        <f t="shared" si="7"/>
        <v>0</v>
      </c>
      <c r="D253">
        <v>1</v>
      </c>
      <c r="E253" t="s">
        <v>5</v>
      </c>
      <c r="F253">
        <v>289</v>
      </c>
      <c r="G253" s="3">
        <v>5419.16</v>
      </c>
      <c r="H253" s="3">
        <f>Miami_Retail[[#This Row],[sales_usd]] / Miami_Retail[[#This Row],[customers]]</f>
        <v>18.751418685121106</v>
      </c>
      <c r="I253">
        <v>88.8</v>
      </c>
      <c r="J253">
        <f>(Miami_Retail[[#This Row],[avg_temp_f]]-32) * (5/9)</f>
        <v>31.555555555555557</v>
      </c>
      <c r="K253">
        <v>1.94</v>
      </c>
      <c r="L253">
        <v>1</v>
      </c>
      <c r="M253">
        <v>75.3</v>
      </c>
      <c r="N253">
        <v>46.7</v>
      </c>
      <c r="O253">
        <v>53.3</v>
      </c>
      <c r="P253">
        <v>44.7</v>
      </c>
      <c r="Q253">
        <v>55.3</v>
      </c>
    </row>
    <row r="254" spans="1:17" x14ac:dyDescent="0.25">
      <c r="A254" s="2">
        <v>45178</v>
      </c>
      <c r="B254" s="2" t="str">
        <f t="shared" si="6"/>
        <v>Saturday</v>
      </c>
      <c r="C254" s="2" t="b">
        <f t="shared" si="7"/>
        <v>1</v>
      </c>
      <c r="D254">
        <v>1</v>
      </c>
      <c r="E254" t="s">
        <v>5</v>
      </c>
      <c r="F254">
        <v>361</v>
      </c>
      <c r="G254" s="3">
        <v>6806.8</v>
      </c>
      <c r="H254" s="3">
        <f>Miami_Retail[[#This Row],[sales_usd]] / Miami_Retail[[#This Row],[customers]]</f>
        <v>18.855401662049861</v>
      </c>
      <c r="I254">
        <v>91.3</v>
      </c>
      <c r="J254">
        <f>(Miami_Retail[[#This Row],[avg_temp_f]]-32) * (5/9)</f>
        <v>32.944444444444443</v>
      </c>
      <c r="K254">
        <v>0.68</v>
      </c>
      <c r="L254">
        <v>1</v>
      </c>
      <c r="M254">
        <v>80.599999999999994</v>
      </c>
      <c r="N254">
        <v>47.2</v>
      </c>
      <c r="O254">
        <v>52.8</v>
      </c>
      <c r="P254">
        <v>51</v>
      </c>
      <c r="Q254">
        <v>49</v>
      </c>
    </row>
    <row r="255" spans="1:17" x14ac:dyDescent="0.25">
      <c r="A255" s="2">
        <v>45179</v>
      </c>
      <c r="B255" s="2" t="str">
        <f t="shared" si="6"/>
        <v>Sunday</v>
      </c>
      <c r="C255" s="2" t="b">
        <f t="shared" si="7"/>
        <v>1</v>
      </c>
      <c r="D255">
        <v>1</v>
      </c>
      <c r="E255" t="s">
        <v>5</v>
      </c>
      <c r="F255">
        <v>370</v>
      </c>
      <c r="G255" s="3">
        <v>6913.9</v>
      </c>
      <c r="H255" s="3">
        <f>Miami_Retail[[#This Row],[sales_usd]] / Miami_Retail[[#This Row],[customers]]</f>
        <v>18.686216216216216</v>
      </c>
      <c r="I255">
        <v>88.8</v>
      </c>
      <c r="J255">
        <f>(Miami_Retail[[#This Row],[avg_temp_f]]-32) * (5/9)</f>
        <v>31.555555555555557</v>
      </c>
      <c r="K255">
        <v>0</v>
      </c>
      <c r="L255">
        <v>0</v>
      </c>
      <c r="M255">
        <v>67.400000000000006</v>
      </c>
      <c r="N255">
        <v>47.2</v>
      </c>
      <c r="O255">
        <v>52.8</v>
      </c>
      <c r="P255">
        <v>52.6</v>
      </c>
      <c r="Q255">
        <v>47.4</v>
      </c>
    </row>
    <row r="256" spans="1:17" x14ac:dyDescent="0.25">
      <c r="A256" s="2">
        <v>45180</v>
      </c>
      <c r="B256" s="2" t="str">
        <f t="shared" si="6"/>
        <v>Monday</v>
      </c>
      <c r="C256" s="2" t="b">
        <f t="shared" si="7"/>
        <v>0</v>
      </c>
      <c r="D256">
        <v>1</v>
      </c>
      <c r="E256" t="s">
        <v>5</v>
      </c>
      <c r="F256">
        <v>300</v>
      </c>
      <c r="G256" s="3">
        <v>6196</v>
      </c>
      <c r="H256" s="3">
        <f>Miami_Retail[[#This Row],[sales_usd]] / Miami_Retail[[#This Row],[customers]]</f>
        <v>20.653333333333332</v>
      </c>
      <c r="I256">
        <v>89.6</v>
      </c>
      <c r="J256">
        <f>(Miami_Retail[[#This Row],[avg_temp_f]]-32) * (5/9)</f>
        <v>32</v>
      </c>
      <c r="K256">
        <v>0</v>
      </c>
      <c r="L256">
        <v>0</v>
      </c>
      <c r="M256">
        <v>81.2</v>
      </c>
      <c r="N256">
        <v>47.1</v>
      </c>
      <c r="O256">
        <v>52.9</v>
      </c>
      <c r="P256">
        <v>44.1</v>
      </c>
      <c r="Q256">
        <v>55.9</v>
      </c>
    </row>
    <row r="257" spans="1:17" x14ac:dyDescent="0.25">
      <c r="A257" s="2">
        <v>45181</v>
      </c>
      <c r="B257" s="2" t="str">
        <f t="shared" si="6"/>
        <v>Tuesday</v>
      </c>
      <c r="C257" s="2" t="b">
        <f t="shared" si="7"/>
        <v>0</v>
      </c>
      <c r="D257">
        <v>1</v>
      </c>
      <c r="E257" t="s">
        <v>5</v>
      </c>
      <c r="F257">
        <v>358</v>
      </c>
      <c r="G257" s="3">
        <v>6413.75</v>
      </c>
      <c r="H257" s="3">
        <f>Miami_Retail[[#This Row],[sales_usd]] / Miami_Retail[[#This Row],[customers]]</f>
        <v>17.915502793296088</v>
      </c>
      <c r="I257">
        <v>96.6</v>
      </c>
      <c r="J257">
        <f>(Miami_Retail[[#This Row],[avg_temp_f]]-32) * (5/9)</f>
        <v>35.888888888888886</v>
      </c>
      <c r="K257">
        <v>0</v>
      </c>
      <c r="L257">
        <v>0</v>
      </c>
      <c r="M257">
        <v>78.5</v>
      </c>
      <c r="N257">
        <v>45.9</v>
      </c>
      <c r="O257">
        <v>54.1</v>
      </c>
      <c r="P257">
        <v>44</v>
      </c>
      <c r="Q257">
        <v>56</v>
      </c>
    </row>
    <row r="258" spans="1:17" x14ac:dyDescent="0.25">
      <c r="A258" s="2">
        <v>45182</v>
      </c>
      <c r="B258" s="2" t="str">
        <f t="shared" ref="B258:B321" si="8">TEXT(A258, "dddd")</f>
        <v>Wednesday</v>
      </c>
      <c r="C258" s="2" t="b">
        <f t="shared" ref="C258:C321" si="9">IF(WEEKDAY(A258,2)&gt;5,TRUE,FALSE)</f>
        <v>0</v>
      </c>
      <c r="D258">
        <v>1</v>
      </c>
      <c r="E258" t="s">
        <v>5</v>
      </c>
      <c r="F258">
        <v>255</v>
      </c>
      <c r="G258" s="3">
        <v>5137.2299999999996</v>
      </c>
      <c r="H258" s="3">
        <f>Miami_Retail[[#This Row],[sales_usd]] / Miami_Retail[[#This Row],[customers]]</f>
        <v>20.145999999999997</v>
      </c>
      <c r="I258">
        <v>88</v>
      </c>
      <c r="J258">
        <f>(Miami_Retail[[#This Row],[avg_temp_f]]-32) * (5/9)</f>
        <v>31.111111111111114</v>
      </c>
      <c r="K258">
        <v>1.95</v>
      </c>
      <c r="L258">
        <v>1</v>
      </c>
      <c r="M258">
        <v>84.5</v>
      </c>
      <c r="N258">
        <v>46.5</v>
      </c>
      <c r="O258">
        <v>53.5</v>
      </c>
      <c r="P258">
        <v>45.4</v>
      </c>
      <c r="Q258">
        <v>54.6</v>
      </c>
    </row>
    <row r="259" spans="1:17" x14ac:dyDescent="0.25">
      <c r="A259" s="2">
        <v>45183</v>
      </c>
      <c r="B259" s="2" t="str">
        <f t="shared" si="8"/>
        <v>Thursday</v>
      </c>
      <c r="C259" s="2" t="b">
        <f t="shared" si="9"/>
        <v>0</v>
      </c>
      <c r="D259">
        <v>1</v>
      </c>
      <c r="E259" t="s">
        <v>5</v>
      </c>
      <c r="F259">
        <v>305</v>
      </c>
      <c r="G259" s="3">
        <v>5836.38</v>
      </c>
      <c r="H259" s="3">
        <f>Miami_Retail[[#This Row],[sales_usd]] / Miami_Retail[[#This Row],[customers]]</f>
        <v>19.13567213114754</v>
      </c>
      <c r="I259">
        <v>87</v>
      </c>
      <c r="J259">
        <f>(Miami_Retail[[#This Row],[avg_temp_f]]-32) * (5/9)</f>
        <v>30.555555555555557</v>
      </c>
      <c r="K259">
        <v>0</v>
      </c>
      <c r="L259">
        <v>0</v>
      </c>
      <c r="M259">
        <v>71.7</v>
      </c>
      <c r="N259">
        <v>47.1</v>
      </c>
      <c r="O259">
        <v>52.9</v>
      </c>
      <c r="P259">
        <v>44.6</v>
      </c>
      <c r="Q259">
        <v>55.4</v>
      </c>
    </row>
    <row r="260" spans="1:17" x14ac:dyDescent="0.25">
      <c r="A260" s="2">
        <v>45184</v>
      </c>
      <c r="B260" s="2" t="str">
        <f t="shared" si="8"/>
        <v>Friday</v>
      </c>
      <c r="C260" s="2" t="b">
        <f t="shared" si="9"/>
        <v>0</v>
      </c>
      <c r="D260">
        <v>1</v>
      </c>
      <c r="E260" t="s">
        <v>5</v>
      </c>
      <c r="F260">
        <v>291</v>
      </c>
      <c r="G260" s="3">
        <v>5697.33</v>
      </c>
      <c r="H260" s="3">
        <f>Miami_Retail[[#This Row],[sales_usd]] / Miami_Retail[[#This Row],[customers]]</f>
        <v>19.578453608247422</v>
      </c>
      <c r="I260">
        <v>91.3</v>
      </c>
      <c r="J260">
        <f>(Miami_Retail[[#This Row],[avg_temp_f]]-32) * (5/9)</f>
        <v>32.944444444444443</v>
      </c>
      <c r="K260">
        <v>0.56999999999999995</v>
      </c>
      <c r="L260">
        <v>1</v>
      </c>
      <c r="M260">
        <v>75.2</v>
      </c>
      <c r="N260">
        <v>46.8</v>
      </c>
      <c r="O260">
        <v>53.2</v>
      </c>
      <c r="P260">
        <v>45.5</v>
      </c>
      <c r="Q260">
        <v>54.5</v>
      </c>
    </row>
    <row r="261" spans="1:17" x14ac:dyDescent="0.25">
      <c r="A261" s="2">
        <v>45185</v>
      </c>
      <c r="B261" s="2" t="str">
        <f t="shared" si="8"/>
        <v>Saturday</v>
      </c>
      <c r="C261" s="2" t="b">
        <f t="shared" si="9"/>
        <v>1</v>
      </c>
      <c r="D261">
        <v>1</v>
      </c>
      <c r="E261" t="s">
        <v>5</v>
      </c>
      <c r="F261">
        <v>313</v>
      </c>
      <c r="G261" s="3">
        <v>5842.99</v>
      </c>
      <c r="H261" s="3">
        <f>Miami_Retail[[#This Row],[sales_usd]] / Miami_Retail[[#This Row],[customers]]</f>
        <v>18.667699680511181</v>
      </c>
      <c r="I261">
        <v>86.5</v>
      </c>
      <c r="J261">
        <f>(Miami_Retail[[#This Row],[avg_temp_f]]-32) * (5/9)</f>
        <v>30.277777777777779</v>
      </c>
      <c r="K261">
        <v>0</v>
      </c>
      <c r="L261">
        <v>0</v>
      </c>
      <c r="M261">
        <v>68.7</v>
      </c>
      <c r="N261">
        <v>45.4</v>
      </c>
      <c r="O261">
        <v>54.6</v>
      </c>
      <c r="P261">
        <v>50.6</v>
      </c>
      <c r="Q261">
        <v>49.4</v>
      </c>
    </row>
    <row r="262" spans="1:17" x14ac:dyDescent="0.25">
      <c r="A262" s="2">
        <v>45186</v>
      </c>
      <c r="B262" s="2" t="str">
        <f t="shared" si="8"/>
        <v>Sunday</v>
      </c>
      <c r="C262" s="2" t="b">
        <f t="shared" si="9"/>
        <v>1</v>
      </c>
      <c r="D262">
        <v>1</v>
      </c>
      <c r="E262" t="s">
        <v>5</v>
      </c>
      <c r="F262">
        <v>333</v>
      </c>
      <c r="G262" s="3">
        <v>5863.08</v>
      </c>
      <c r="H262" s="3">
        <f>Miami_Retail[[#This Row],[sales_usd]] / Miami_Retail[[#This Row],[customers]]</f>
        <v>17.606846846846846</v>
      </c>
      <c r="I262">
        <v>84.5</v>
      </c>
      <c r="J262">
        <f>(Miami_Retail[[#This Row],[avg_temp_f]]-32) * (5/9)</f>
        <v>29.166666666666668</v>
      </c>
      <c r="K262">
        <v>0.36</v>
      </c>
      <c r="L262">
        <v>1</v>
      </c>
      <c r="M262">
        <v>77.400000000000006</v>
      </c>
      <c r="N262">
        <v>45.8</v>
      </c>
      <c r="O262">
        <v>54.2</v>
      </c>
      <c r="P262">
        <v>51.8</v>
      </c>
      <c r="Q262">
        <v>48.2</v>
      </c>
    </row>
    <row r="263" spans="1:17" x14ac:dyDescent="0.25">
      <c r="A263" s="2">
        <v>45187</v>
      </c>
      <c r="B263" s="2" t="str">
        <f t="shared" si="8"/>
        <v>Monday</v>
      </c>
      <c r="C263" s="2" t="b">
        <f t="shared" si="9"/>
        <v>0</v>
      </c>
      <c r="D263">
        <v>1</v>
      </c>
      <c r="E263" t="s">
        <v>5</v>
      </c>
      <c r="F263">
        <v>315</v>
      </c>
      <c r="G263" s="3">
        <v>5545.72</v>
      </c>
      <c r="H263" s="3">
        <f>Miami_Retail[[#This Row],[sales_usd]] / Miami_Retail[[#This Row],[customers]]</f>
        <v>17.605460317460317</v>
      </c>
      <c r="I263">
        <v>90.7</v>
      </c>
      <c r="J263">
        <f>(Miami_Retail[[#This Row],[avg_temp_f]]-32) * (5/9)</f>
        <v>32.611111111111114</v>
      </c>
      <c r="K263">
        <v>0.83</v>
      </c>
      <c r="L263">
        <v>1</v>
      </c>
      <c r="M263">
        <v>72.5</v>
      </c>
      <c r="N263">
        <v>45.3</v>
      </c>
      <c r="O263">
        <v>54.7</v>
      </c>
      <c r="P263">
        <v>45.3</v>
      </c>
      <c r="Q263">
        <v>54.7</v>
      </c>
    </row>
    <row r="264" spans="1:17" x14ac:dyDescent="0.25">
      <c r="A264" s="2">
        <v>45188</v>
      </c>
      <c r="B264" s="2" t="str">
        <f t="shared" si="8"/>
        <v>Tuesday</v>
      </c>
      <c r="C264" s="2" t="b">
        <f t="shared" si="9"/>
        <v>0</v>
      </c>
      <c r="D264">
        <v>1</v>
      </c>
      <c r="E264" t="s">
        <v>5</v>
      </c>
      <c r="F264">
        <v>313</v>
      </c>
      <c r="G264" s="3">
        <v>5543.44</v>
      </c>
      <c r="H264" s="3">
        <f>Miami_Retail[[#This Row],[sales_usd]] / Miami_Retail[[#This Row],[customers]]</f>
        <v>17.710670926517572</v>
      </c>
      <c r="I264">
        <v>86.7</v>
      </c>
      <c r="J264">
        <f>(Miami_Retail[[#This Row],[avg_temp_f]]-32) * (5/9)</f>
        <v>30.388888888888893</v>
      </c>
      <c r="K264">
        <v>0.27</v>
      </c>
      <c r="L264">
        <v>1</v>
      </c>
      <c r="M264">
        <v>74.099999999999994</v>
      </c>
      <c r="N264">
        <v>46.8</v>
      </c>
      <c r="O264">
        <v>53.2</v>
      </c>
      <c r="P264">
        <v>44.3</v>
      </c>
      <c r="Q264">
        <v>55.7</v>
      </c>
    </row>
    <row r="265" spans="1:17" x14ac:dyDescent="0.25">
      <c r="A265" s="2">
        <v>45189</v>
      </c>
      <c r="B265" s="2" t="str">
        <f t="shared" si="8"/>
        <v>Wednesday</v>
      </c>
      <c r="C265" s="2" t="b">
        <f t="shared" si="9"/>
        <v>0</v>
      </c>
      <c r="D265">
        <v>1</v>
      </c>
      <c r="E265" t="s">
        <v>5</v>
      </c>
      <c r="F265">
        <v>294</v>
      </c>
      <c r="G265" s="3">
        <v>5561.39</v>
      </c>
      <c r="H265" s="3">
        <f>Miami_Retail[[#This Row],[sales_usd]] / Miami_Retail[[#This Row],[customers]]</f>
        <v>18.916292517006802</v>
      </c>
      <c r="I265">
        <v>89.9</v>
      </c>
      <c r="J265">
        <f>(Miami_Retail[[#This Row],[avg_temp_f]]-32) * (5/9)</f>
        <v>32.166666666666671</v>
      </c>
      <c r="K265">
        <v>1.5</v>
      </c>
      <c r="L265">
        <v>1</v>
      </c>
      <c r="M265">
        <v>67.099999999999994</v>
      </c>
      <c r="N265">
        <v>44.9</v>
      </c>
      <c r="O265">
        <v>55.1</v>
      </c>
      <c r="P265">
        <v>44.5</v>
      </c>
      <c r="Q265">
        <v>55.5</v>
      </c>
    </row>
    <row r="266" spans="1:17" x14ac:dyDescent="0.25">
      <c r="A266" s="2">
        <v>45190</v>
      </c>
      <c r="B266" s="2" t="str">
        <f t="shared" si="8"/>
        <v>Thursday</v>
      </c>
      <c r="C266" s="2" t="b">
        <f t="shared" si="9"/>
        <v>0</v>
      </c>
      <c r="D266">
        <v>1</v>
      </c>
      <c r="E266" t="s">
        <v>5</v>
      </c>
      <c r="F266">
        <v>258</v>
      </c>
      <c r="G266" s="3">
        <v>4518.79</v>
      </c>
      <c r="H266" s="3">
        <f>Miami_Retail[[#This Row],[sales_usd]] / Miami_Retail[[#This Row],[customers]]</f>
        <v>17.514689922480621</v>
      </c>
      <c r="I266">
        <v>86.3</v>
      </c>
      <c r="J266">
        <f>(Miami_Retail[[#This Row],[avg_temp_f]]-32) * (5/9)</f>
        <v>30.166666666666668</v>
      </c>
      <c r="K266">
        <v>0.11</v>
      </c>
      <c r="L266">
        <v>1</v>
      </c>
      <c r="M266">
        <v>78.900000000000006</v>
      </c>
      <c r="N266">
        <v>46.1</v>
      </c>
      <c r="O266">
        <v>53.9</v>
      </c>
      <c r="P266">
        <v>44.9</v>
      </c>
      <c r="Q266">
        <v>55.1</v>
      </c>
    </row>
    <row r="267" spans="1:17" x14ac:dyDescent="0.25">
      <c r="A267" s="2">
        <v>45191</v>
      </c>
      <c r="B267" s="2" t="str">
        <f t="shared" si="8"/>
        <v>Friday</v>
      </c>
      <c r="C267" s="2" t="b">
        <f t="shared" si="9"/>
        <v>0</v>
      </c>
      <c r="D267">
        <v>1</v>
      </c>
      <c r="E267" t="s">
        <v>5</v>
      </c>
      <c r="F267">
        <v>314</v>
      </c>
      <c r="G267" s="3">
        <v>6045.22</v>
      </c>
      <c r="H267" s="3">
        <f>Miami_Retail[[#This Row],[sales_usd]] / Miami_Retail[[#This Row],[customers]]</f>
        <v>19.252292993630576</v>
      </c>
      <c r="I267">
        <v>91.6</v>
      </c>
      <c r="J267">
        <f>(Miami_Retail[[#This Row],[avg_temp_f]]-32) * (5/9)</f>
        <v>33.111111111111107</v>
      </c>
      <c r="K267">
        <v>1.31</v>
      </c>
      <c r="L267">
        <v>1</v>
      </c>
      <c r="M267">
        <v>81.2</v>
      </c>
      <c r="N267">
        <v>44.9</v>
      </c>
      <c r="O267">
        <v>55.1</v>
      </c>
      <c r="P267">
        <v>44.5</v>
      </c>
      <c r="Q267">
        <v>55.5</v>
      </c>
    </row>
    <row r="268" spans="1:17" x14ac:dyDescent="0.25">
      <c r="A268" s="2">
        <v>45192</v>
      </c>
      <c r="B268" s="2" t="str">
        <f t="shared" si="8"/>
        <v>Saturday</v>
      </c>
      <c r="C268" s="2" t="b">
        <f t="shared" si="9"/>
        <v>1</v>
      </c>
      <c r="D268">
        <v>1</v>
      </c>
      <c r="E268" t="s">
        <v>5</v>
      </c>
      <c r="F268">
        <v>337</v>
      </c>
      <c r="G268" s="3">
        <v>6825.96</v>
      </c>
      <c r="H268" s="3">
        <f>Miami_Retail[[#This Row],[sales_usd]] / Miami_Retail[[#This Row],[customers]]</f>
        <v>20.255074183976262</v>
      </c>
      <c r="I268">
        <v>84.8</v>
      </c>
      <c r="J268">
        <f>(Miami_Retail[[#This Row],[avg_temp_f]]-32) * (5/9)</f>
        <v>29.333333333333332</v>
      </c>
      <c r="K268">
        <v>0.5</v>
      </c>
      <c r="L268">
        <v>1</v>
      </c>
      <c r="M268">
        <v>71.400000000000006</v>
      </c>
      <c r="N268">
        <v>46.1</v>
      </c>
      <c r="O268">
        <v>53.9</v>
      </c>
      <c r="P268">
        <v>48.4</v>
      </c>
      <c r="Q268">
        <v>51.6</v>
      </c>
    </row>
    <row r="269" spans="1:17" x14ac:dyDescent="0.25">
      <c r="A269" s="2">
        <v>45193</v>
      </c>
      <c r="B269" s="2" t="str">
        <f t="shared" si="8"/>
        <v>Sunday</v>
      </c>
      <c r="C269" s="2" t="b">
        <f t="shared" si="9"/>
        <v>1</v>
      </c>
      <c r="D269">
        <v>1</v>
      </c>
      <c r="E269" t="s">
        <v>5</v>
      </c>
      <c r="F269">
        <v>342</v>
      </c>
      <c r="G269" s="3">
        <v>5933.24</v>
      </c>
      <c r="H269" s="3">
        <f>Miami_Retail[[#This Row],[sales_usd]] / Miami_Retail[[#This Row],[customers]]</f>
        <v>17.348654970760233</v>
      </c>
      <c r="I269">
        <v>87</v>
      </c>
      <c r="J269">
        <f>(Miami_Retail[[#This Row],[avg_temp_f]]-32) * (5/9)</f>
        <v>30.555555555555557</v>
      </c>
      <c r="K269">
        <v>0</v>
      </c>
      <c r="L269">
        <v>0</v>
      </c>
      <c r="M269">
        <v>62.2</v>
      </c>
      <c r="N269">
        <v>46.9</v>
      </c>
      <c r="O269">
        <v>53.1</v>
      </c>
      <c r="P269">
        <v>51.5</v>
      </c>
      <c r="Q269">
        <v>48.5</v>
      </c>
    </row>
    <row r="270" spans="1:17" x14ac:dyDescent="0.25">
      <c r="A270" s="2">
        <v>45194</v>
      </c>
      <c r="B270" s="2" t="str">
        <f t="shared" si="8"/>
        <v>Monday</v>
      </c>
      <c r="C270" s="2" t="b">
        <f t="shared" si="9"/>
        <v>0</v>
      </c>
      <c r="D270">
        <v>1</v>
      </c>
      <c r="E270" t="s">
        <v>5</v>
      </c>
      <c r="F270">
        <v>300</v>
      </c>
      <c r="G270" s="3">
        <v>5877.49</v>
      </c>
      <c r="H270" s="3">
        <f>Miami_Retail[[#This Row],[sales_usd]] / Miami_Retail[[#This Row],[customers]]</f>
        <v>19.591633333333334</v>
      </c>
      <c r="I270">
        <v>91</v>
      </c>
      <c r="J270">
        <f>(Miami_Retail[[#This Row],[avg_temp_f]]-32) * (5/9)</f>
        <v>32.777777777777779</v>
      </c>
      <c r="K270">
        <v>0.8</v>
      </c>
      <c r="L270">
        <v>1</v>
      </c>
      <c r="M270">
        <v>81.599999999999994</v>
      </c>
      <c r="N270">
        <v>47.3</v>
      </c>
      <c r="O270">
        <v>52.7</v>
      </c>
      <c r="P270">
        <v>44.6</v>
      </c>
      <c r="Q270">
        <v>55.4</v>
      </c>
    </row>
    <row r="271" spans="1:17" x14ac:dyDescent="0.25">
      <c r="A271" s="2">
        <v>45195</v>
      </c>
      <c r="B271" s="2" t="str">
        <f t="shared" si="8"/>
        <v>Tuesday</v>
      </c>
      <c r="C271" s="2" t="b">
        <f t="shared" si="9"/>
        <v>0</v>
      </c>
      <c r="D271">
        <v>1</v>
      </c>
      <c r="E271" t="s">
        <v>5</v>
      </c>
      <c r="F271">
        <v>338</v>
      </c>
      <c r="G271" s="3">
        <v>6407.74</v>
      </c>
      <c r="H271" s="3">
        <f>Miami_Retail[[#This Row],[sales_usd]] / Miami_Retail[[#This Row],[customers]]</f>
        <v>18.957810650887573</v>
      </c>
      <c r="I271">
        <v>94.3</v>
      </c>
      <c r="J271">
        <f>(Miami_Retail[[#This Row],[avg_temp_f]]-32) * (5/9)</f>
        <v>34.611111111111114</v>
      </c>
      <c r="K271">
        <v>0.34</v>
      </c>
      <c r="L271">
        <v>1</v>
      </c>
      <c r="M271">
        <v>65</v>
      </c>
      <c r="N271">
        <v>44.8</v>
      </c>
      <c r="O271">
        <v>55.2</v>
      </c>
      <c r="P271">
        <v>45.4</v>
      </c>
      <c r="Q271">
        <v>54.6</v>
      </c>
    </row>
    <row r="272" spans="1:17" x14ac:dyDescent="0.25">
      <c r="A272" s="2">
        <v>45196</v>
      </c>
      <c r="B272" s="2" t="str">
        <f t="shared" si="8"/>
        <v>Wednesday</v>
      </c>
      <c r="C272" s="2" t="b">
        <f t="shared" si="9"/>
        <v>0</v>
      </c>
      <c r="D272">
        <v>1</v>
      </c>
      <c r="E272" t="s">
        <v>5</v>
      </c>
      <c r="F272">
        <v>259</v>
      </c>
      <c r="G272" s="3">
        <v>5077.7700000000004</v>
      </c>
      <c r="H272" s="3">
        <f>Miami_Retail[[#This Row],[sales_usd]] / Miami_Retail[[#This Row],[customers]]</f>
        <v>19.605289575289579</v>
      </c>
      <c r="I272">
        <v>86</v>
      </c>
      <c r="J272">
        <f>(Miami_Retail[[#This Row],[avg_temp_f]]-32) * (5/9)</f>
        <v>30</v>
      </c>
      <c r="K272">
        <v>0.28999999999999998</v>
      </c>
      <c r="L272">
        <v>1</v>
      </c>
      <c r="M272">
        <v>70</v>
      </c>
      <c r="N272">
        <v>47.1</v>
      </c>
      <c r="O272">
        <v>52.9</v>
      </c>
      <c r="P272">
        <v>44.4</v>
      </c>
      <c r="Q272">
        <v>55.6</v>
      </c>
    </row>
    <row r="273" spans="1:17" x14ac:dyDescent="0.25">
      <c r="A273" s="2">
        <v>45197</v>
      </c>
      <c r="B273" s="2" t="str">
        <f t="shared" si="8"/>
        <v>Thursday</v>
      </c>
      <c r="C273" s="2" t="b">
        <f t="shared" si="9"/>
        <v>0</v>
      </c>
      <c r="D273">
        <v>1</v>
      </c>
      <c r="E273" t="s">
        <v>5</v>
      </c>
      <c r="F273">
        <v>313</v>
      </c>
      <c r="G273" s="3">
        <v>5249.2</v>
      </c>
      <c r="H273" s="3">
        <f>Miami_Retail[[#This Row],[sales_usd]] / Miami_Retail[[#This Row],[customers]]</f>
        <v>16.770607028753993</v>
      </c>
      <c r="I273">
        <v>86.6</v>
      </c>
      <c r="J273">
        <f>(Miami_Retail[[#This Row],[avg_temp_f]]-32) * (5/9)</f>
        <v>30.333333333333332</v>
      </c>
      <c r="K273">
        <v>0.23</v>
      </c>
      <c r="L273">
        <v>1</v>
      </c>
      <c r="M273">
        <v>73.599999999999994</v>
      </c>
      <c r="N273">
        <v>45.2</v>
      </c>
      <c r="O273">
        <v>54.8</v>
      </c>
      <c r="P273">
        <v>45.7</v>
      </c>
      <c r="Q273">
        <v>54.3</v>
      </c>
    </row>
    <row r="274" spans="1:17" x14ac:dyDescent="0.25">
      <c r="A274" s="2">
        <v>45198</v>
      </c>
      <c r="B274" s="2" t="str">
        <f t="shared" si="8"/>
        <v>Friday</v>
      </c>
      <c r="C274" s="2" t="b">
        <f t="shared" si="9"/>
        <v>0</v>
      </c>
      <c r="D274">
        <v>1</v>
      </c>
      <c r="E274" t="s">
        <v>5</v>
      </c>
      <c r="F274">
        <v>311</v>
      </c>
      <c r="G274" s="3">
        <v>5238.29</v>
      </c>
      <c r="H274" s="3">
        <f>Miami_Retail[[#This Row],[sales_usd]] / Miami_Retail[[#This Row],[customers]]</f>
        <v>16.843376205787781</v>
      </c>
      <c r="I274">
        <v>87.9</v>
      </c>
      <c r="J274">
        <f>(Miami_Retail[[#This Row],[avg_temp_f]]-32) * (5/9)</f>
        <v>31.055555555555561</v>
      </c>
      <c r="K274">
        <v>0</v>
      </c>
      <c r="L274">
        <v>0</v>
      </c>
      <c r="M274">
        <v>74.7</v>
      </c>
      <c r="N274">
        <v>45.5</v>
      </c>
      <c r="O274">
        <v>54.5</v>
      </c>
      <c r="P274">
        <v>43.8</v>
      </c>
      <c r="Q274">
        <v>56.2</v>
      </c>
    </row>
    <row r="275" spans="1:17" x14ac:dyDescent="0.25">
      <c r="A275" s="2">
        <v>45199</v>
      </c>
      <c r="B275" s="2" t="str">
        <f t="shared" si="8"/>
        <v>Saturday</v>
      </c>
      <c r="C275" s="2" t="b">
        <f t="shared" si="9"/>
        <v>1</v>
      </c>
      <c r="D275">
        <v>1</v>
      </c>
      <c r="E275" t="s">
        <v>5</v>
      </c>
      <c r="F275">
        <v>362</v>
      </c>
      <c r="G275" s="3">
        <v>6285.73</v>
      </c>
      <c r="H275" s="3">
        <f>Miami_Retail[[#This Row],[sales_usd]] / Miami_Retail[[#This Row],[customers]]</f>
        <v>17.363895027624309</v>
      </c>
      <c r="I275">
        <v>91.9</v>
      </c>
      <c r="J275">
        <f>(Miami_Retail[[#This Row],[avg_temp_f]]-32) * (5/9)</f>
        <v>33.277777777777786</v>
      </c>
      <c r="K275">
        <v>0.64</v>
      </c>
      <c r="L275">
        <v>1</v>
      </c>
      <c r="M275">
        <v>69.099999999999994</v>
      </c>
      <c r="N275">
        <v>45.9</v>
      </c>
      <c r="O275">
        <v>54.1</v>
      </c>
      <c r="P275">
        <v>49.9</v>
      </c>
      <c r="Q275">
        <v>50.1</v>
      </c>
    </row>
    <row r="276" spans="1:17" x14ac:dyDescent="0.25">
      <c r="A276" s="2">
        <v>45200</v>
      </c>
      <c r="B276" s="2" t="str">
        <f t="shared" si="8"/>
        <v>Sunday</v>
      </c>
      <c r="C276" s="2" t="b">
        <f t="shared" si="9"/>
        <v>1</v>
      </c>
      <c r="D276">
        <v>1</v>
      </c>
      <c r="E276" t="s">
        <v>5</v>
      </c>
      <c r="F276">
        <v>366</v>
      </c>
      <c r="G276" s="3">
        <v>6439.72</v>
      </c>
      <c r="H276" s="3">
        <f>Miami_Retail[[#This Row],[sales_usd]] / Miami_Retail[[#This Row],[customers]]</f>
        <v>17.594863387978144</v>
      </c>
      <c r="I276">
        <v>89.5</v>
      </c>
      <c r="J276">
        <f>(Miami_Retail[[#This Row],[avg_temp_f]]-32) * (5/9)</f>
        <v>31.944444444444446</v>
      </c>
      <c r="K276">
        <v>0</v>
      </c>
      <c r="L276">
        <v>0</v>
      </c>
      <c r="M276">
        <v>68.599999999999994</v>
      </c>
      <c r="N276">
        <v>47</v>
      </c>
      <c r="O276">
        <v>53</v>
      </c>
      <c r="P276">
        <v>48.8</v>
      </c>
      <c r="Q276">
        <v>51.2</v>
      </c>
    </row>
    <row r="277" spans="1:17" x14ac:dyDescent="0.25">
      <c r="A277" s="2">
        <v>45201</v>
      </c>
      <c r="B277" s="2" t="str">
        <f t="shared" si="8"/>
        <v>Monday</v>
      </c>
      <c r="C277" s="2" t="b">
        <f t="shared" si="9"/>
        <v>0</v>
      </c>
      <c r="D277">
        <v>1</v>
      </c>
      <c r="E277" t="s">
        <v>5</v>
      </c>
      <c r="F277">
        <v>339</v>
      </c>
      <c r="G277" s="3">
        <v>6058.6</v>
      </c>
      <c r="H277" s="3">
        <f>Miami_Retail[[#This Row],[sales_usd]] / Miami_Retail[[#This Row],[customers]]</f>
        <v>17.871976401179943</v>
      </c>
      <c r="I277">
        <v>88.6</v>
      </c>
      <c r="J277">
        <f>(Miami_Retail[[#This Row],[avg_temp_f]]-32) * (5/9)</f>
        <v>31.444444444444443</v>
      </c>
      <c r="K277">
        <v>0.23</v>
      </c>
      <c r="L277">
        <v>1</v>
      </c>
      <c r="M277">
        <v>80.5</v>
      </c>
      <c r="N277">
        <v>45</v>
      </c>
      <c r="O277">
        <v>55</v>
      </c>
      <c r="P277">
        <v>44.7</v>
      </c>
      <c r="Q277">
        <v>55.3</v>
      </c>
    </row>
    <row r="278" spans="1:17" x14ac:dyDescent="0.25">
      <c r="A278" s="2">
        <v>45202</v>
      </c>
      <c r="B278" s="2" t="str">
        <f t="shared" si="8"/>
        <v>Tuesday</v>
      </c>
      <c r="C278" s="2" t="b">
        <f t="shared" si="9"/>
        <v>0</v>
      </c>
      <c r="D278">
        <v>1</v>
      </c>
      <c r="E278" t="s">
        <v>5</v>
      </c>
      <c r="F278">
        <v>299</v>
      </c>
      <c r="G278" s="3">
        <v>5224.5</v>
      </c>
      <c r="H278" s="3">
        <f>Miami_Retail[[#This Row],[sales_usd]] / Miami_Retail[[#This Row],[customers]]</f>
        <v>17.473244147157189</v>
      </c>
      <c r="I278">
        <v>87.2</v>
      </c>
      <c r="J278">
        <f>(Miami_Retail[[#This Row],[avg_temp_f]]-32) * (5/9)</f>
        <v>30.666666666666668</v>
      </c>
      <c r="K278">
        <v>0</v>
      </c>
      <c r="L278">
        <v>0</v>
      </c>
      <c r="M278">
        <v>70.900000000000006</v>
      </c>
      <c r="N278">
        <v>45.5</v>
      </c>
      <c r="O278">
        <v>54.5</v>
      </c>
      <c r="P278">
        <v>43.8</v>
      </c>
      <c r="Q278">
        <v>56.2</v>
      </c>
    </row>
    <row r="279" spans="1:17" x14ac:dyDescent="0.25">
      <c r="A279" s="2">
        <v>45203</v>
      </c>
      <c r="B279" s="2" t="str">
        <f t="shared" si="8"/>
        <v>Wednesday</v>
      </c>
      <c r="C279" s="2" t="b">
        <f t="shared" si="9"/>
        <v>0</v>
      </c>
      <c r="D279">
        <v>1</v>
      </c>
      <c r="E279" t="s">
        <v>5</v>
      </c>
      <c r="F279">
        <v>326</v>
      </c>
      <c r="G279" s="3">
        <v>5311.5</v>
      </c>
      <c r="H279" s="3">
        <f>Miami_Retail[[#This Row],[sales_usd]] / Miami_Retail[[#This Row],[customers]]</f>
        <v>16.292944785276074</v>
      </c>
      <c r="I279">
        <v>89.7</v>
      </c>
      <c r="J279">
        <f>(Miami_Retail[[#This Row],[avg_temp_f]]-32) * (5/9)</f>
        <v>32.055555555555557</v>
      </c>
      <c r="K279">
        <v>0</v>
      </c>
      <c r="L279">
        <v>0</v>
      </c>
      <c r="M279">
        <v>79.2</v>
      </c>
      <c r="N279">
        <v>45.2</v>
      </c>
      <c r="O279">
        <v>54.8</v>
      </c>
      <c r="P279">
        <v>43.6</v>
      </c>
      <c r="Q279">
        <v>56.4</v>
      </c>
    </row>
    <row r="280" spans="1:17" x14ac:dyDescent="0.25">
      <c r="A280" s="2">
        <v>45204</v>
      </c>
      <c r="B280" s="2" t="str">
        <f t="shared" si="8"/>
        <v>Thursday</v>
      </c>
      <c r="C280" s="2" t="b">
        <f t="shared" si="9"/>
        <v>0</v>
      </c>
      <c r="D280">
        <v>1</v>
      </c>
      <c r="E280" t="s">
        <v>5</v>
      </c>
      <c r="F280">
        <v>298</v>
      </c>
      <c r="G280" s="3">
        <v>5114.07</v>
      </c>
      <c r="H280" s="3">
        <f>Miami_Retail[[#This Row],[sales_usd]] / Miami_Retail[[#This Row],[customers]]</f>
        <v>17.161308724832214</v>
      </c>
      <c r="I280">
        <v>85.4</v>
      </c>
      <c r="J280">
        <f>(Miami_Retail[[#This Row],[avg_temp_f]]-32) * (5/9)</f>
        <v>29.666666666666671</v>
      </c>
      <c r="K280">
        <v>0</v>
      </c>
      <c r="L280">
        <v>0</v>
      </c>
      <c r="M280">
        <v>75.2</v>
      </c>
      <c r="N280">
        <v>45.1</v>
      </c>
      <c r="O280">
        <v>54.9</v>
      </c>
      <c r="P280">
        <v>44.7</v>
      </c>
      <c r="Q280">
        <v>55.3</v>
      </c>
    </row>
    <row r="281" spans="1:17" x14ac:dyDescent="0.25">
      <c r="A281" s="2">
        <v>45205</v>
      </c>
      <c r="B281" s="2" t="str">
        <f t="shared" si="8"/>
        <v>Friday</v>
      </c>
      <c r="C281" s="2" t="b">
        <f t="shared" si="9"/>
        <v>0</v>
      </c>
      <c r="D281">
        <v>1</v>
      </c>
      <c r="E281" t="s">
        <v>5</v>
      </c>
      <c r="F281">
        <v>319</v>
      </c>
      <c r="G281" s="3">
        <v>6038.88</v>
      </c>
      <c r="H281" s="3">
        <f>Miami_Retail[[#This Row],[sales_usd]] / Miami_Retail[[#This Row],[customers]]</f>
        <v>18.930658307210031</v>
      </c>
      <c r="I281">
        <v>89.5</v>
      </c>
      <c r="J281">
        <f>(Miami_Retail[[#This Row],[avg_temp_f]]-32) * (5/9)</f>
        <v>31.944444444444446</v>
      </c>
      <c r="K281">
        <v>0</v>
      </c>
      <c r="L281">
        <v>0</v>
      </c>
      <c r="M281">
        <v>79.599999999999994</v>
      </c>
      <c r="N281">
        <v>45.2</v>
      </c>
      <c r="O281">
        <v>54.8</v>
      </c>
      <c r="P281">
        <v>45</v>
      </c>
      <c r="Q281">
        <v>55</v>
      </c>
    </row>
    <row r="282" spans="1:17" x14ac:dyDescent="0.25">
      <c r="A282" s="2">
        <v>45206</v>
      </c>
      <c r="B282" s="2" t="str">
        <f t="shared" si="8"/>
        <v>Saturday</v>
      </c>
      <c r="C282" s="2" t="b">
        <f t="shared" si="9"/>
        <v>1</v>
      </c>
      <c r="D282">
        <v>1</v>
      </c>
      <c r="E282" t="s">
        <v>5</v>
      </c>
      <c r="F282">
        <v>320</v>
      </c>
      <c r="G282" s="3">
        <v>6036.71</v>
      </c>
      <c r="H282" s="3">
        <f>Miami_Retail[[#This Row],[sales_usd]] / Miami_Retail[[#This Row],[customers]]</f>
        <v>18.864718750000002</v>
      </c>
      <c r="I282">
        <v>87</v>
      </c>
      <c r="J282">
        <f>(Miami_Retail[[#This Row],[avg_temp_f]]-32) * (5/9)</f>
        <v>30.555555555555557</v>
      </c>
      <c r="K282">
        <v>1.33</v>
      </c>
      <c r="L282">
        <v>1</v>
      </c>
      <c r="M282">
        <v>71.400000000000006</v>
      </c>
      <c r="N282">
        <v>47.3</v>
      </c>
      <c r="O282">
        <v>52.7</v>
      </c>
      <c r="P282">
        <v>51</v>
      </c>
      <c r="Q282">
        <v>49</v>
      </c>
    </row>
    <row r="283" spans="1:17" x14ac:dyDescent="0.25">
      <c r="A283" s="2">
        <v>45207</v>
      </c>
      <c r="B283" s="2" t="str">
        <f t="shared" si="8"/>
        <v>Sunday</v>
      </c>
      <c r="C283" s="2" t="b">
        <f t="shared" si="9"/>
        <v>1</v>
      </c>
      <c r="D283">
        <v>1</v>
      </c>
      <c r="E283" t="s">
        <v>5</v>
      </c>
      <c r="F283">
        <v>354</v>
      </c>
      <c r="G283" s="3">
        <v>6254.88</v>
      </c>
      <c r="H283" s="3">
        <f>Miami_Retail[[#This Row],[sales_usd]] / Miami_Retail[[#This Row],[customers]]</f>
        <v>17.669152542372881</v>
      </c>
      <c r="I283">
        <v>86.3</v>
      </c>
      <c r="J283">
        <f>(Miami_Retail[[#This Row],[avg_temp_f]]-32) * (5/9)</f>
        <v>30.166666666666668</v>
      </c>
      <c r="K283">
        <v>0.33</v>
      </c>
      <c r="L283">
        <v>1</v>
      </c>
      <c r="M283">
        <v>74.3</v>
      </c>
      <c r="N283">
        <v>47</v>
      </c>
      <c r="O283">
        <v>53</v>
      </c>
      <c r="P283">
        <v>50.7</v>
      </c>
      <c r="Q283">
        <v>49.3</v>
      </c>
    </row>
    <row r="284" spans="1:17" x14ac:dyDescent="0.25">
      <c r="A284" s="2">
        <v>45208</v>
      </c>
      <c r="B284" s="2" t="str">
        <f t="shared" si="8"/>
        <v>Monday</v>
      </c>
      <c r="C284" s="2" t="b">
        <f t="shared" si="9"/>
        <v>0</v>
      </c>
      <c r="D284">
        <v>1</v>
      </c>
      <c r="E284" t="s">
        <v>5</v>
      </c>
      <c r="F284">
        <v>353</v>
      </c>
      <c r="G284" s="3">
        <v>6868.01</v>
      </c>
      <c r="H284" s="3">
        <f>Miami_Retail[[#This Row],[sales_usd]] / Miami_Retail[[#This Row],[customers]]</f>
        <v>19.456118980169972</v>
      </c>
      <c r="I284">
        <v>91.5</v>
      </c>
      <c r="J284">
        <f>(Miami_Retail[[#This Row],[avg_temp_f]]-32) * (5/9)</f>
        <v>33.055555555555557</v>
      </c>
      <c r="K284">
        <v>0</v>
      </c>
      <c r="L284">
        <v>0</v>
      </c>
      <c r="M284">
        <v>70.7</v>
      </c>
      <c r="N284">
        <v>44.8</v>
      </c>
      <c r="O284">
        <v>55.2</v>
      </c>
      <c r="P284">
        <v>42.6</v>
      </c>
      <c r="Q284">
        <v>57.4</v>
      </c>
    </row>
    <row r="285" spans="1:17" x14ac:dyDescent="0.25">
      <c r="A285" s="2">
        <v>45209</v>
      </c>
      <c r="B285" s="2" t="str">
        <f t="shared" si="8"/>
        <v>Tuesday</v>
      </c>
      <c r="C285" s="2" t="b">
        <f t="shared" si="9"/>
        <v>0</v>
      </c>
      <c r="D285">
        <v>1</v>
      </c>
      <c r="E285" t="s">
        <v>5</v>
      </c>
      <c r="F285">
        <v>323</v>
      </c>
      <c r="G285" s="3">
        <v>5341.74</v>
      </c>
      <c r="H285" s="3">
        <f>Miami_Retail[[#This Row],[sales_usd]] / Miami_Retail[[#This Row],[customers]]</f>
        <v>16.537894736842105</v>
      </c>
      <c r="I285">
        <v>89.8</v>
      </c>
      <c r="J285">
        <f>(Miami_Retail[[#This Row],[avg_temp_f]]-32) * (5/9)</f>
        <v>32.111111111111114</v>
      </c>
      <c r="K285">
        <v>0</v>
      </c>
      <c r="L285">
        <v>0</v>
      </c>
      <c r="M285">
        <v>75.2</v>
      </c>
      <c r="N285">
        <v>45.6</v>
      </c>
      <c r="O285">
        <v>54.4</v>
      </c>
      <c r="P285">
        <v>44.5</v>
      </c>
      <c r="Q285">
        <v>55.5</v>
      </c>
    </row>
    <row r="286" spans="1:17" x14ac:dyDescent="0.25">
      <c r="A286" s="2">
        <v>45210</v>
      </c>
      <c r="B286" s="2" t="str">
        <f t="shared" si="8"/>
        <v>Wednesday</v>
      </c>
      <c r="C286" s="2" t="b">
        <f t="shared" si="9"/>
        <v>0</v>
      </c>
      <c r="D286">
        <v>1</v>
      </c>
      <c r="E286" t="s">
        <v>5</v>
      </c>
      <c r="F286">
        <v>341</v>
      </c>
      <c r="G286" s="3">
        <v>5829.52</v>
      </c>
      <c r="H286" s="3">
        <f>Miami_Retail[[#This Row],[sales_usd]] / Miami_Retail[[#This Row],[customers]]</f>
        <v>17.095366568914958</v>
      </c>
      <c r="I286">
        <v>87.4</v>
      </c>
      <c r="J286">
        <f>(Miami_Retail[[#This Row],[avg_temp_f]]-32) * (5/9)</f>
        <v>30.777777777777782</v>
      </c>
      <c r="K286">
        <v>0</v>
      </c>
      <c r="L286">
        <v>0</v>
      </c>
      <c r="M286">
        <v>78.599999999999994</v>
      </c>
      <c r="N286">
        <v>45.9</v>
      </c>
      <c r="O286">
        <v>54.1</v>
      </c>
      <c r="P286">
        <v>44.1</v>
      </c>
      <c r="Q286">
        <v>55.9</v>
      </c>
    </row>
    <row r="287" spans="1:17" x14ac:dyDescent="0.25">
      <c r="A287" s="2">
        <v>45211</v>
      </c>
      <c r="B287" s="2" t="str">
        <f t="shared" si="8"/>
        <v>Thursday</v>
      </c>
      <c r="C287" s="2" t="b">
        <f t="shared" si="9"/>
        <v>0</v>
      </c>
      <c r="D287">
        <v>1</v>
      </c>
      <c r="E287" t="s">
        <v>5</v>
      </c>
      <c r="F287">
        <v>314</v>
      </c>
      <c r="G287" s="3">
        <v>6208.48</v>
      </c>
      <c r="H287" s="3">
        <f>Miami_Retail[[#This Row],[sales_usd]] / Miami_Retail[[#This Row],[customers]]</f>
        <v>19.772229299363055</v>
      </c>
      <c r="I287">
        <v>88.1</v>
      </c>
      <c r="J287">
        <f>(Miami_Retail[[#This Row],[avg_temp_f]]-32) * (5/9)</f>
        <v>31.166666666666664</v>
      </c>
      <c r="K287">
        <v>0</v>
      </c>
      <c r="L287">
        <v>0</v>
      </c>
      <c r="M287">
        <v>68.5</v>
      </c>
      <c r="N287">
        <v>46.2</v>
      </c>
      <c r="O287">
        <v>53.8</v>
      </c>
      <c r="P287">
        <v>43.9</v>
      </c>
      <c r="Q287">
        <v>56.1</v>
      </c>
    </row>
    <row r="288" spans="1:17" x14ac:dyDescent="0.25">
      <c r="A288" s="2">
        <v>45212</v>
      </c>
      <c r="B288" s="2" t="str">
        <f t="shared" si="8"/>
        <v>Friday</v>
      </c>
      <c r="C288" s="2" t="b">
        <f t="shared" si="9"/>
        <v>0</v>
      </c>
      <c r="D288">
        <v>1</v>
      </c>
      <c r="E288" t="s">
        <v>5</v>
      </c>
      <c r="F288">
        <v>317</v>
      </c>
      <c r="G288" s="3">
        <v>5848.33</v>
      </c>
      <c r="H288" s="3">
        <f>Miami_Retail[[#This Row],[sales_usd]] / Miami_Retail[[#This Row],[customers]]</f>
        <v>18.448990536277602</v>
      </c>
      <c r="I288">
        <v>90.8</v>
      </c>
      <c r="J288">
        <f>(Miami_Retail[[#This Row],[avg_temp_f]]-32) * (5/9)</f>
        <v>32.666666666666664</v>
      </c>
      <c r="K288">
        <v>0.78</v>
      </c>
      <c r="L288">
        <v>1</v>
      </c>
      <c r="M288">
        <v>72.599999999999994</v>
      </c>
      <c r="N288">
        <v>47.4</v>
      </c>
      <c r="O288">
        <v>52.6</v>
      </c>
      <c r="P288">
        <v>43.6</v>
      </c>
      <c r="Q288">
        <v>56.4</v>
      </c>
    </row>
    <row r="289" spans="1:17" x14ac:dyDescent="0.25">
      <c r="A289" s="2">
        <v>45213</v>
      </c>
      <c r="B289" s="2" t="str">
        <f t="shared" si="8"/>
        <v>Saturday</v>
      </c>
      <c r="C289" s="2" t="b">
        <f t="shared" si="9"/>
        <v>1</v>
      </c>
      <c r="D289">
        <v>1</v>
      </c>
      <c r="E289" t="s">
        <v>5</v>
      </c>
      <c r="F289">
        <v>346</v>
      </c>
      <c r="G289" s="3">
        <v>6482.75</v>
      </c>
      <c r="H289" s="3">
        <f>Miami_Retail[[#This Row],[sales_usd]] / Miami_Retail[[#This Row],[customers]]</f>
        <v>18.736271676300579</v>
      </c>
      <c r="I289">
        <v>90.5</v>
      </c>
      <c r="J289">
        <f>(Miami_Retail[[#This Row],[avg_temp_f]]-32) * (5/9)</f>
        <v>32.5</v>
      </c>
      <c r="K289">
        <v>0</v>
      </c>
      <c r="L289">
        <v>0</v>
      </c>
      <c r="M289">
        <v>71.2</v>
      </c>
      <c r="N289">
        <v>41.9</v>
      </c>
      <c r="O289">
        <v>58.1</v>
      </c>
      <c r="P289">
        <v>48.9</v>
      </c>
      <c r="Q289">
        <v>51.1</v>
      </c>
    </row>
    <row r="290" spans="1:17" x14ac:dyDescent="0.25">
      <c r="A290" s="2">
        <v>45214</v>
      </c>
      <c r="B290" s="2" t="str">
        <f t="shared" si="8"/>
        <v>Sunday</v>
      </c>
      <c r="C290" s="2" t="b">
        <f t="shared" si="9"/>
        <v>1</v>
      </c>
      <c r="D290">
        <v>1</v>
      </c>
      <c r="E290" t="s">
        <v>5</v>
      </c>
      <c r="F290">
        <v>376</v>
      </c>
      <c r="G290" s="3">
        <v>6396.6</v>
      </c>
      <c r="H290" s="3">
        <f>Miami_Retail[[#This Row],[sales_usd]] / Miami_Retail[[#This Row],[customers]]</f>
        <v>17.012234042553192</v>
      </c>
      <c r="I290">
        <v>91.6</v>
      </c>
      <c r="J290">
        <f>(Miami_Retail[[#This Row],[avg_temp_f]]-32) * (5/9)</f>
        <v>33.111111111111107</v>
      </c>
      <c r="K290">
        <v>0.99</v>
      </c>
      <c r="L290">
        <v>1</v>
      </c>
      <c r="M290">
        <v>71.3</v>
      </c>
      <c r="N290">
        <v>47.4</v>
      </c>
      <c r="O290">
        <v>52.6</v>
      </c>
      <c r="P290">
        <v>52.5</v>
      </c>
      <c r="Q290">
        <v>47.5</v>
      </c>
    </row>
    <row r="291" spans="1:17" x14ac:dyDescent="0.25">
      <c r="A291" s="2">
        <v>45215</v>
      </c>
      <c r="B291" s="2" t="str">
        <f t="shared" si="8"/>
        <v>Monday</v>
      </c>
      <c r="C291" s="2" t="b">
        <f t="shared" si="9"/>
        <v>0</v>
      </c>
      <c r="D291">
        <v>1</v>
      </c>
      <c r="E291" t="s">
        <v>5</v>
      </c>
      <c r="F291">
        <v>362</v>
      </c>
      <c r="G291" s="3">
        <v>6704.7</v>
      </c>
      <c r="H291" s="3">
        <f>Miami_Retail[[#This Row],[sales_usd]] / Miami_Retail[[#This Row],[customers]]</f>
        <v>18.521270718232042</v>
      </c>
      <c r="I291">
        <v>88.2</v>
      </c>
      <c r="J291">
        <f>(Miami_Retail[[#This Row],[avg_temp_f]]-32) * (5/9)</f>
        <v>31.222222222222225</v>
      </c>
      <c r="K291">
        <v>0</v>
      </c>
      <c r="L291">
        <v>0</v>
      </c>
      <c r="M291">
        <v>71.3</v>
      </c>
      <c r="N291">
        <v>47</v>
      </c>
      <c r="O291">
        <v>53</v>
      </c>
      <c r="P291">
        <v>44.8</v>
      </c>
      <c r="Q291">
        <v>55.2</v>
      </c>
    </row>
    <row r="292" spans="1:17" x14ac:dyDescent="0.25">
      <c r="A292" s="2">
        <v>45216</v>
      </c>
      <c r="B292" s="2" t="str">
        <f t="shared" si="8"/>
        <v>Tuesday</v>
      </c>
      <c r="C292" s="2" t="b">
        <f t="shared" si="9"/>
        <v>0</v>
      </c>
      <c r="D292">
        <v>1</v>
      </c>
      <c r="E292" t="s">
        <v>5</v>
      </c>
      <c r="F292">
        <v>293</v>
      </c>
      <c r="G292" s="3">
        <v>5384.05</v>
      </c>
      <c r="H292" s="3">
        <f>Miami_Retail[[#This Row],[sales_usd]] / Miami_Retail[[#This Row],[customers]]</f>
        <v>18.375597269624574</v>
      </c>
      <c r="I292">
        <v>89.1</v>
      </c>
      <c r="J292">
        <f>(Miami_Retail[[#This Row],[avg_temp_f]]-32) * (5/9)</f>
        <v>31.722222222222221</v>
      </c>
      <c r="K292">
        <v>0</v>
      </c>
      <c r="L292">
        <v>0</v>
      </c>
      <c r="M292">
        <v>71.3</v>
      </c>
      <c r="N292">
        <v>46.7</v>
      </c>
      <c r="O292">
        <v>53.3</v>
      </c>
      <c r="P292">
        <v>43</v>
      </c>
      <c r="Q292">
        <v>57</v>
      </c>
    </row>
    <row r="293" spans="1:17" x14ac:dyDescent="0.25">
      <c r="A293" s="2">
        <v>45217</v>
      </c>
      <c r="B293" s="2" t="str">
        <f t="shared" si="8"/>
        <v>Wednesday</v>
      </c>
      <c r="C293" s="2" t="b">
        <f t="shared" si="9"/>
        <v>0</v>
      </c>
      <c r="D293">
        <v>1</v>
      </c>
      <c r="E293" t="s">
        <v>5</v>
      </c>
      <c r="F293">
        <v>349</v>
      </c>
      <c r="G293" s="3">
        <v>6434.54</v>
      </c>
      <c r="H293" s="3">
        <f>Miami_Retail[[#This Row],[sales_usd]] / Miami_Retail[[#This Row],[customers]]</f>
        <v>18.437077363896847</v>
      </c>
      <c r="I293">
        <v>91.5</v>
      </c>
      <c r="J293">
        <f>(Miami_Retail[[#This Row],[avg_temp_f]]-32) * (5/9)</f>
        <v>33.055555555555557</v>
      </c>
      <c r="K293">
        <v>0.61</v>
      </c>
      <c r="L293">
        <v>1</v>
      </c>
      <c r="M293">
        <v>74.8</v>
      </c>
      <c r="N293">
        <v>46.4</v>
      </c>
      <c r="O293">
        <v>53.6</v>
      </c>
      <c r="P293">
        <v>45.5</v>
      </c>
      <c r="Q293">
        <v>54.5</v>
      </c>
    </row>
    <row r="294" spans="1:17" x14ac:dyDescent="0.25">
      <c r="A294" s="2">
        <v>45218</v>
      </c>
      <c r="B294" s="2" t="str">
        <f t="shared" si="8"/>
        <v>Thursday</v>
      </c>
      <c r="C294" s="2" t="b">
        <f t="shared" si="9"/>
        <v>0</v>
      </c>
      <c r="D294">
        <v>1</v>
      </c>
      <c r="E294" t="s">
        <v>5</v>
      </c>
      <c r="F294">
        <v>323</v>
      </c>
      <c r="G294" s="3">
        <v>5925.48</v>
      </c>
      <c r="H294" s="3">
        <f>Miami_Retail[[#This Row],[sales_usd]] / Miami_Retail[[#This Row],[customers]]</f>
        <v>18.345139318885447</v>
      </c>
      <c r="I294">
        <v>85.9</v>
      </c>
      <c r="J294">
        <f>(Miami_Retail[[#This Row],[avg_temp_f]]-32) * (5/9)</f>
        <v>29.94444444444445</v>
      </c>
      <c r="K294">
        <v>0</v>
      </c>
      <c r="L294">
        <v>0</v>
      </c>
      <c r="M294">
        <v>60.1</v>
      </c>
      <c r="N294">
        <v>46.1</v>
      </c>
      <c r="O294">
        <v>53.9</v>
      </c>
      <c r="P294">
        <v>45.7</v>
      </c>
      <c r="Q294">
        <v>54.3</v>
      </c>
    </row>
    <row r="295" spans="1:17" x14ac:dyDescent="0.25">
      <c r="A295" s="2">
        <v>45219</v>
      </c>
      <c r="B295" s="2" t="str">
        <f t="shared" si="8"/>
        <v>Friday</v>
      </c>
      <c r="C295" s="2" t="b">
        <f t="shared" si="9"/>
        <v>0</v>
      </c>
      <c r="D295">
        <v>1</v>
      </c>
      <c r="E295" t="s">
        <v>5</v>
      </c>
      <c r="F295">
        <v>314</v>
      </c>
      <c r="G295" s="3">
        <v>6046.69</v>
      </c>
      <c r="H295" s="3">
        <f>Miami_Retail[[#This Row],[sales_usd]] / Miami_Retail[[#This Row],[customers]]</f>
        <v>19.256974522292992</v>
      </c>
      <c r="I295">
        <v>89.3</v>
      </c>
      <c r="J295">
        <f>(Miami_Retail[[#This Row],[avg_temp_f]]-32) * (5/9)</f>
        <v>31.833333333333332</v>
      </c>
      <c r="K295">
        <v>0</v>
      </c>
      <c r="L295">
        <v>0</v>
      </c>
      <c r="M295">
        <v>74.8</v>
      </c>
      <c r="N295">
        <v>47.3</v>
      </c>
      <c r="O295">
        <v>52.7</v>
      </c>
      <c r="P295">
        <v>43.7</v>
      </c>
      <c r="Q295">
        <v>56.3</v>
      </c>
    </row>
    <row r="296" spans="1:17" x14ac:dyDescent="0.25">
      <c r="A296" s="2">
        <v>45220</v>
      </c>
      <c r="B296" s="2" t="str">
        <f t="shared" si="8"/>
        <v>Saturday</v>
      </c>
      <c r="C296" s="2" t="b">
        <f t="shared" si="9"/>
        <v>1</v>
      </c>
      <c r="D296">
        <v>1</v>
      </c>
      <c r="E296" t="s">
        <v>5</v>
      </c>
      <c r="F296">
        <v>370</v>
      </c>
      <c r="G296" s="3">
        <v>7094.63</v>
      </c>
      <c r="H296" s="3">
        <f>Miami_Retail[[#This Row],[sales_usd]] / Miami_Retail[[#This Row],[customers]]</f>
        <v>19.174675675675676</v>
      </c>
      <c r="I296">
        <v>86</v>
      </c>
      <c r="J296">
        <f>(Miami_Retail[[#This Row],[avg_temp_f]]-32) * (5/9)</f>
        <v>30</v>
      </c>
      <c r="K296">
        <v>0</v>
      </c>
      <c r="L296">
        <v>0</v>
      </c>
      <c r="M296">
        <v>73.599999999999994</v>
      </c>
      <c r="N296">
        <v>46</v>
      </c>
      <c r="O296">
        <v>54</v>
      </c>
      <c r="P296">
        <v>50.6</v>
      </c>
      <c r="Q296">
        <v>49.4</v>
      </c>
    </row>
    <row r="297" spans="1:17" x14ac:dyDescent="0.25">
      <c r="A297" s="2">
        <v>45221</v>
      </c>
      <c r="B297" s="2" t="str">
        <f t="shared" si="8"/>
        <v>Sunday</v>
      </c>
      <c r="C297" s="2" t="b">
        <f t="shared" si="9"/>
        <v>1</v>
      </c>
      <c r="D297">
        <v>1</v>
      </c>
      <c r="E297" t="s">
        <v>5</v>
      </c>
      <c r="F297">
        <v>356</v>
      </c>
      <c r="G297" s="3">
        <v>6977.22</v>
      </c>
      <c r="H297" s="3">
        <f>Miami_Retail[[#This Row],[sales_usd]] / Miami_Retail[[#This Row],[customers]]</f>
        <v>19.598932584269665</v>
      </c>
      <c r="I297">
        <v>88.1</v>
      </c>
      <c r="J297">
        <f>(Miami_Retail[[#This Row],[avg_temp_f]]-32) * (5/9)</f>
        <v>31.166666666666664</v>
      </c>
      <c r="K297">
        <v>0</v>
      </c>
      <c r="L297">
        <v>0</v>
      </c>
      <c r="M297">
        <v>72.3</v>
      </c>
      <c r="N297">
        <v>47.1</v>
      </c>
      <c r="O297">
        <v>52.9</v>
      </c>
      <c r="P297">
        <v>48.5</v>
      </c>
      <c r="Q297">
        <v>51.5</v>
      </c>
    </row>
    <row r="298" spans="1:17" x14ac:dyDescent="0.25">
      <c r="A298" s="2">
        <v>45222</v>
      </c>
      <c r="B298" s="2" t="str">
        <f t="shared" si="8"/>
        <v>Monday</v>
      </c>
      <c r="C298" s="2" t="b">
        <f t="shared" si="9"/>
        <v>0</v>
      </c>
      <c r="D298">
        <v>1</v>
      </c>
      <c r="E298" t="s">
        <v>5</v>
      </c>
      <c r="F298">
        <v>293</v>
      </c>
      <c r="G298" s="3">
        <v>5265.31</v>
      </c>
      <c r="H298" s="3">
        <f>Miami_Retail[[#This Row],[sales_usd]] / Miami_Retail[[#This Row],[customers]]</f>
        <v>17.970341296928328</v>
      </c>
      <c r="I298">
        <v>88.7</v>
      </c>
      <c r="J298">
        <f>(Miami_Retail[[#This Row],[avg_temp_f]]-32) * (5/9)</f>
        <v>31.500000000000004</v>
      </c>
      <c r="K298">
        <v>0</v>
      </c>
      <c r="L298">
        <v>0</v>
      </c>
      <c r="M298">
        <v>61.6</v>
      </c>
      <c r="N298">
        <v>44.1</v>
      </c>
      <c r="O298">
        <v>55.9</v>
      </c>
      <c r="P298">
        <v>44.5</v>
      </c>
      <c r="Q298">
        <v>55.5</v>
      </c>
    </row>
    <row r="299" spans="1:17" x14ac:dyDescent="0.25">
      <c r="A299" s="2">
        <v>45223</v>
      </c>
      <c r="B299" s="2" t="str">
        <f t="shared" si="8"/>
        <v>Tuesday</v>
      </c>
      <c r="C299" s="2" t="b">
        <f t="shared" si="9"/>
        <v>0</v>
      </c>
      <c r="D299">
        <v>1</v>
      </c>
      <c r="E299" t="s">
        <v>5</v>
      </c>
      <c r="F299">
        <v>299</v>
      </c>
      <c r="G299" s="3">
        <v>5690.52</v>
      </c>
      <c r="H299" s="3">
        <f>Miami_Retail[[#This Row],[sales_usd]] / Miami_Retail[[#This Row],[customers]]</f>
        <v>19.031839464882946</v>
      </c>
      <c r="I299">
        <v>84.1</v>
      </c>
      <c r="J299">
        <f>(Miami_Retail[[#This Row],[avg_temp_f]]-32) * (5/9)</f>
        <v>28.944444444444443</v>
      </c>
      <c r="K299">
        <v>0</v>
      </c>
      <c r="L299">
        <v>0</v>
      </c>
      <c r="M299">
        <v>72.099999999999994</v>
      </c>
      <c r="N299">
        <v>47.5</v>
      </c>
      <c r="O299">
        <v>52.5</v>
      </c>
      <c r="P299">
        <v>45.2</v>
      </c>
      <c r="Q299">
        <v>54.8</v>
      </c>
    </row>
    <row r="300" spans="1:17" x14ac:dyDescent="0.25">
      <c r="A300" s="2">
        <v>45224</v>
      </c>
      <c r="B300" s="2" t="str">
        <f t="shared" si="8"/>
        <v>Wednesday</v>
      </c>
      <c r="C300" s="2" t="b">
        <f t="shared" si="9"/>
        <v>0</v>
      </c>
      <c r="D300">
        <v>1</v>
      </c>
      <c r="E300" t="s">
        <v>5</v>
      </c>
      <c r="F300">
        <v>290</v>
      </c>
      <c r="G300" s="3">
        <v>5299.51</v>
      </c>
      <c r="H300" s="3">
        <f>Miami_Retail[[#This Row],[sales_usd]] / Miami_Retail[[#This Row],[customers]]</f>
        <v>18.274172413793103</v>
      </c>
      <c r="I300">
        <v>84.2</v>
      </c>
      <c r="J300">
        <f>(Miami_Retail[[#This Row],[avg_temp_f]]-32) * (5/9)</f>
        <v>29.000000000000004</v>
      </c>
      <c r="K300">
        <v>0</v>
      </c>
      <c r="L300">
        <v>0</v>
      </c>
      <c r="M300">
        <v>68.3</v>
      </c>
      <c r="N300">
        <v>45.2</v>
      </c>
      <c r="O300">
        <v>54.8</v>
      </c>
      <c r="P300">
        <v>43.9</v>
      </c>
      <c r="Q300">
        <v>56.1</v>
      </c>
    </row>
    <row r="301" spans="1:17" x14ac:dyDescent="0.25">
      <c r="A301" s="2">
        <v>45225</v>
      </c>
      <c r="B301" s="2" t="str">
        <f t="shared" si="8"/>
        <v>Thursday</v>
      </c>
      <c r="C301" s="2" t="b">
        <f t="shared" si="9"/>
        <v>0</v>
      </c>
      <c r="D301">
        <v>1</v>
      </c>
      <c r="E301" t="s">
        <v>5</v>
      </c>
      <c r="F301">
        <v>295</v>
      </c>
      <c r="G301" s="3">
        <v>5713.45</v>
      </c>
      <c r="H301" s="3">
        <f>Miami_Retail[[#This Row],[sales_usd]] / Miami_Retail[[#This Row],[customers]]</f>
        <v>19.367627118644066</v>
      </c>
      <c r="I301">
        <v>81.8</v>
      </c>
      <c r="J301">
        <f>(Miami_Retail[[#This Row],[avg_temp_f]]-32) * (5/9)</f>
        <v>27.666666666666668</v>
      </c>
      <c r="K301">
        <v>0</v>
      </c>
      <c r="L301">
        <v>0</v>
      </c>
      <c r="M301">
        <v>75.8</v>
      </c>
      <c r="N301">
        <v>47.2</v>
      </c>
      <c r="O301">
        <v>52.8</v>
      </c>
      <c r="P301">
        <v>45.3</v>
      </c>
      <c r="Q301">
        <v>54.7</v>
      </c>
    </row>
    <row r="302" spans="1:17" x14ac:dyDescent="0.25">
      <c r="A302" s="2">
        <v>45226</v>
      </c>
      <c r="B302" s="2" t="str">
        <f t="shared" si="8"/>
        <v>Friday</v>
      </c>
      <c r="C302" s="2" t="b">
        <f t="shared" si="9"/>
        <v>0</v>
      </c>
      <c r="D302">
        <v>1</v>
      </c>
      <c r="E302" t="s">
        <v>5</v>
      </c>
      <c r="F302">
        <v>290</v>
      </c>
      <c r="G302" s="3">
        <v>5310.16</v>
      </c>
      <c r="H302" s="3">
        <f>Miami_Retail[[#This Row],[sales_usd]] / Miami_Retail[[#This Row],[customers]]</f>
        <v>18.310896551724138</v>
      </c>
      <c r="I302">
        <v>85.6</v>
      </c>
      <c r="J302">
        <f>(Miami_Retail[[#This Row],[avg_temp_f]]-32) * (5/9)</f>
        <v>29.777777777777775</v>
      </c>
      <c r="K302">
        <v>0</v>
      </c>
      <c r="L302">
        <v>0</v>
      </c>
      <c r="M302">
        <v>66.8</v>
      </c>
      <c r="N302">
        <v>47.2</v>
      </c>
      <c r="O302">
        <v>52.8</v>
      </c>
      <c r="P302">
        <v>43.7</v>
      </c>
      <c r="Q302">
        <v>56.3</v>
      </c>
    </row>
    <row r="303" spans="1:17" x14ac:dyDescent="0.25">
      <c r="A303" s="2">
        <v>45227</v>
      </c>
      <c r="B303" s="2" t="str">
        <f t="shared" si="8"/>
        <v>Saturday</v>
      </c>
      <c r="C303" s="2" t="b">
        <f t="shared" si="9"/>
        <v>1</v>
      </c>
      <c r="D303">
        <v>1</v>
      </c>
      <c r="E303" t="s">
        <v>5</v>
      </c>
      <c r="F303">
        <v>327</v>
      </c>
      <c r="G303" s="3">
        <v>6512.78</v>
      </c>
      <c r="H303" s="3">
        <f>Miami_Retail[[#This Row],[sales_usd]] / Miami_Retail[[#This Row],[customers]]</f>
        <v>19.916758409785931</v>
      </c>
      <c r="I303">
        <v>86.6</v>
      </c>
      <c r="J303">
        <f>(Miami_Retail[[#This Row],[avg_temp_f]]-32) * (5/9)</f>
        <v>30.333333333333332</v>
      </c>
      <c r="K303">
        <v>0</v>
      </c>
      <c r="L303">
        <v>0</v>
      </c>
      <c r="M303">
        <v>73.7</v>
      </c>
      <c r="N303">
        <v>46.6</v>
      </c>
      <c r="O303">
        <v>53.4</v>
      </c>
      <c r="P303">
        <v>48.6</v>
      </c>
      <c r="Q303">
        <v>51.4</v>
      </c>
    </row>
    <row r="304" spans="1:17" x14ac:dyDescent="0.25">
      <c r="A304" s="2">
        <v>45228</v>
      </c>
      <c r="B304" s="2" t="str">
        <f t="shared" si="8"/>
        <v>Sunday</v>
      </c>
      <c r="C304" s="2" t="b">
        <f t="shared" si="9"/>
        <v>1</v>
      </c>
      <c r="D304">
        <v>1</v>
      </c>
      <c r="E304" t="s">
        <v>5</v>
      </c>
      <c r="F304">
        <v>324</v>
      </c>
      <c r="G304" s="3">
        <v>5755.88</v>
      </c>
      <c r="H304" s="3">
        <f>Miami_Retail[[#This Row],[sales_usd]] / Miami_Retail[[#This Row],[customers]]</f>
        <v>17.765061728395061</v>
      </c>
      <c r="I304">
        <v>83.4</v>
      </c>
      <c r="J304">
        <f>(Miami_Retail[[#This Row],[avg_temp_f]]-32) * (5/9)</f>
        <v>28.555555555555561</v>
      </c>
      <c r="K304">
        <v>0.4</v>
      </c>
      <c r="L304">
        <v>1</v>
      </c>
      <c r="M304">
        <v>73.8</v>
      </c>
      <c r="N304">
        <v>45.7</v>
      </c>
      <c r="O304">
        <v>54.3</v>
      </c>
      <c r="P304">
        <v>49.1</v>
      </c>
      <c r="Q304">
        <v>50.9</v>
      </c>
    </row>
    <row r="305" spans="1:17" x14ac:dyDescent="0.25">
      <c r="A305" s="2">
        <v>45229</v>
      </c>
      <c r="B305" s="2" t="str">
        <f t="shared" si="8"/>
        <v>Monday</v>
      </c>
      <c r="C305" s="2" t="b">
        <f t="shared" si="9"/>
        <v>0</v>
      </c>
      <c r="D305">
        <v>1</v>
      </c>
      <c r="E305" t="s">
        <v>5</v>
      </c>
      <c r="F305">
        <v>302</v>
      </c>
      <c r="G305" s="3">
        <v>5330.69</v>
      </c>
      <c r="H305" s="3">
        <f>Miami_Retail[[#This Row],[sales_usd]] / Miami_Retail[[#This Row],[customers]]</f>
        <v>17.651291390728474</v>
      </c>
      <c r="I305">
        <v>85.5</v>
      </c>
      <c r="J305">
        <f>(Miami_Retail[[#This Row],[avg_temp_f]]-32) * (5/9)</f>
        <v>29.722222222222225</v>
      </c>
      <c r="K305">
        <v>0</v>
      </c>
      <c r="L305">
        <v>0</v>
      </c>
      <c r="M305">
        <v>66.7</v>
      </c>
      <c r="N305">
        <v>45.6</v>
      </c>
      <c r="O305">
        <v>54.4</v>
      </c>
      <c r="P305">
        <v>44</v>
      </c>
      <c r="Q305">
        <v>56</v>
      </c>
    </row>
    <row r="306" spans="1:17" x14ac:dyDescent="0.25">
      <c r="A306" s="2">
        <v>45230</v>
      </c>
      <c r="B306" s="2" t="str">
        <f t="shared" si="8"/>
        <v>Tuesday</v>
      </c>
      <c r="C306" s="2" t="b">
        <f t="shared" si="9"/>
        <v>0</v>
      </c>
      <c r="D306">
        <v>1</v>
      </c>
      <c r="E306" t="s">
        <v>5</v>
      </c>
      <c r="F306">
        <v>324</v>
      </c>
      <c r="G306" s="3">
        <v>6226.2</v>
      </c>
      <c r="H306" s="3">
        <f>Miami_Retail[[#This Row],[sales_usd]] / Miami_Retail[[#This Row],[customers]]</f>
        <v>19.216666666666665</v>
      </c>
      <c r="I306">
        <v>86.3</v>
      </c>
      <c r="J306">
        <f>(Miami_Retail[[#This Row],[avg_temp_f]]-32) * (5/9)</f>
        <v>30.166666666666668</v>
      </c>
      <c r="K306">
        <v>0</v>
      </c>
      <c r="L306">
        <v>0</v>
      </c>
      <c r="M306">
        <v>64.900000000000006</v>
      </c>
      <c r="N306">
        <v>47.1</v>
      </c>
      <c r="O306">
        <v>52.9</v>
      </c>
      <c r="P306">
        <v>44</v>
      </c>
      <c r="Q306">
        <v>56</v>
      </c>
    </row>
    <row r="307" spans="1:17" x14ac:dyDescent="0.25">
      <c r="A307" s="2">
        <v>45231</v>
      </c>
      <c r="B307" s="2" t="str">
        <f t="shared" si="8"/>
        <v>Wednesday</v>
      </c>
      <c r="C307" s="2" t="b">
        <f t="shared" si="9"/>
        <v>0</v>
      </c>
      <c r="D307">
        <v>1</v>
      </c>
      <c r="E307" t="s">
        <v>5</v>
      </c>
      <c r="F307">
        <v>302</v>
      </c>
      <c r="G307" s="3">
        <v>5679.73</v>
      </c>
      <c r="H307" s="3">
        <f>Miami_Retail[[#This Row],[sales_usd]] / Miami_Retail[[#This Row],[customers]]</f>
        <v>18.80705298013245</v>
      </c>
      <c r="I307">
        <v>89.3</v>
      </c>
      <c r="J307">
        <f>(Miami_Retail[[#This Row],[avg_temp_f]]-32) * (5/9)</f>
        <v>31.833333333333332</v>
      </c>
      <c r="K307">
        <v>0</v>
      </c>
      <c r="L307">
        <v>0</v>
      </c>
      <c r="M307">
        <v>75.5</v>
      </c>
      <c r="N307">
        <v>45.8</v>
      </c>
      <c r="O307">
        <v>54.2</v>
      </c>
      <c r="P307">
        <v>44.6</v>
      </c>
      <c r="Q307">
        <v>55.4</v>
      </c>
    </row>
    <row r="308" spans="1:17" x14ac:dyDescent="0.25">
      <c r="A308" s="2">
        <v>45232</v>
      </c>
      <c r="B308" s="2" t="str">
        <f t="shared" si="8"/>
        <v>Thursday</v>
      </c>
      <c r="C308" s="2" t="b">
        <f t="shared" si="9"/>
        <v>0</v>
      </c>
      <c r="D308">
        <v>1</v>
      </c>
      <c r="E308" t="s">
        <v>5</v>
      </c>
      <c r="F308">
        <v>251</v>
      </c>
      <c r="G308" s="3">
        <v>4904.2</v>
      </c>
      <c r="H308" s="3">
        <f>Miami_Retail[[#This Row],[sales_usd]] / Miami_Retail[[#This Row],[customers]]</f>
        <v>19.538645418326691</v>
      </c>
      <c r="I308">
        <v>81.8</v>
      </c>
      <c r="J308">
        <f>(Miami_Retail[[#This Row],[avg_temp_f]]-32) * (5/9)</f>
        <v>27.666666666666668</v>
      </c>
      <c r="K308">
        <v>2.65</v>
      </c>
      <c r="L308">
        <v>1</v>
      </c>
      <c r="M308">
        <v>60.3</v>
      </c>
      <c r="N308">
        <v>44.7</v>
      </c>
      <c r="O308">
        <v>55.3</v>
      </c>
      <c r="P308">
        <v>44.1</v>
      </c>
      <c r="Q308">
        <v>55.9</v>
      </c>
    </row>
    <row r="309" spans="1:17" x14ac:dyDescent="0.25">
      <c r="A309" s="2">
        <v>45233</v>
      </c>
      <c r="B309" s="2" t="str">
        <f t="shared" si="8"/>
        <v>Friday</v>
      </c>
      <c r="C309" s="2" t="b">
        <f t="shared" si="9"/>
        <v>0</v>
      </c>
      <c r="D309">
        <v>1</v>
      </c>
      <c r="E309" t="s">
        <v>5</v>
      </c>
      <c r="F309">
        <v>311</v>
      </c>
      <c r="G309" s="3">
        <v>5609.5</v>
      </c>
      <c r="H309" s="3">
        <f>Miami_Retail[[#This Row],[sales_usd]] / Miami_Retail[[#This Row],[customers]]</f>
        <v>18.036977491961416</v>
      </c>
      <c r="I309">
        <v>92.2</v>
      </c>
      <c r="J309">
        <f>(Miami_Retail[[#This Row],[avg_temp_f]]-32) * (5/9)</f>
        <v>33.44444444444445</v>
      </c>
      <c r="K309">
        <v>0.94</v>
      </c>
      <c r="L309">
        <v>1</v>
      </c>
      <c r="M309">
        <v>74.400000000000006</v>
      </c>
      <c r="N309">
        <v>46.1</v>
      </c>
      <c r="O309">
        <v>53.9</v>
      </c>
      <c r="P309">
        <v>44.6</v>
      </c>
      <c r="Q309">
        <v>55.4</v>
      </c>
    </row>
    <row r="310" spans="1:17" x14ac:dyDescent="0.25">
      <c r="A310" s="2">
        <v>45234</v>
      </c>
      <c r="B310" s="2" t="str">
        <f t="shared" si="8"/>
        <v>Saturday</v>
      </c>
      <c r="C310" s="2" t="b">
        <f t="shared" si="9"/>
        <v>1</v>
      </c>
      <c r="D310">
        <v>1</v>
      </c>
      <c r="E310" t="s">
        <v>5</v>
      </c>
      <c r="F310">
        <v>294</v>
      </c>
      <c r="G310" s="3">
        <v>4854.43</v>
      </c>
      <c r="H310" s="3">
        <f>Miami_Retail[[#This Row],[sales_usd]] / Miami_Retail[[#This Row],[customers]]</f>
        <v>16.511666666666667</v>
      </c>
      <c r="I310">
        <v>82.8</v>
      </c>
      <c r="J310">
        <f>(Miami_Retail[[#This Row],[avg_temp_f]]-32) * (5/9)</f>
        <v>28.222222222222221</v>
      </c>
      <c r="K310">
        <v>0.64</v>
      </c>
      <c r="L310">
        <v>1</v>
      </c>
      <c r="M310">
        <v>68.599999999999994</v>
      </c>
      <c r="N310">
        <v>46.1</v>
      </c>
      <c r="O310">
        <v>53.9</v>
      </c>
      <c r="P310">
        <v>52.4</v>
      </c>
      <c r="Q310">
        <v>47.6</v>
      </c>
    </row>
    <row r="311" spans="1:17" x14ac:dyDescent="0.25">
      <c r="A311" s="2">
        <v>45235</v>
      </c>
      <c r="B311" s="2" t="str">
        <f t="shared" si="8"/>
        <v>Sunday</v>
      </c>
      <c r="C311" s="2" t="b">
        <f t="shared" si="9"/>
        <v>1</v>
      </c>
      <c r="D311">
        <v>1</v>
      </c>
      <c r="E311" t="s">
        <v>5</v>
      </c>
      <c r="F311">
        <v>335</v>
      </c>
      <c r="G311" s="3">
        <v>6870.02</v>
      </c>
      <c r="H311" s="3">
        <f>Miami_Retail[[#This Row],[sales_usd]] / Miami_Retail[[#This Row],[customers]]</f>
        <v>20.507522388059702</v>
      </c>
      <c r="I311">
        <v>83</v>
      </c>
      <c r="J311">
        <f>(Miami_Retail[[#This Row],[avg_temp_f]]-32) * (5/9)</f>
        <v>28.333333333333336</v>
      </c>
      <c r="K311">
        <v>0</v>
      </c>
      <c r="L311">
        <v>0</v>
      </c>
      <c r="M311">
        <v>54.7</v>
      </c>
      <c r="N311">
        <v>46.8</v>
      </c>
      <c r="O311">
        <v>53.2</v>
      </c>
      <c r="P311">
        <v>49</v>
      </c>
      <c r="Q311">
        <v>51</v>
      </c>
    </row>
    <row r="312" spans="1:17" x14ac:dyDescent="0.25">
      <c r="A312" s="2">
        <v>45236</v>
      </c>
      <c r="B312" s="2" t="str">
        <f t="shared" si="8"/>
        <v>Monday</v>
      </c>
      <c r="C312" s="2" t="b">
        <f t="shared" si="9"/>
        <v>0</v>
      </c>
      <c r="D312">
        <v>1</v>
      </c>
      <c r="E312" t="s">
        <v>5</v>
      </c>
      <c r="F312">
        <v>245</v>
      </c>
      <c r="G312" s="3">
        <v>4707.37</v>
      </c>
      <c r="H312" s="3">
        <f>Miami_Retail[[#This Row],[sales_usd]] / Miami_Retail[[#This Row],[customers]]</f>
        <v>19.213755102040817</v>
      </c>
      <c r="I312">
        <v>80.2</v>
      </c>
      <c r="J312">
        <f>(Miami_Retail[[#This Row],[avg_temp_f]]-32) * (5/9)</f>
        <v>26.777777777777782</v>
      </c>
      <c r="K312">
        <v>0</v>
      </c>
      <c r="L312">
        <v>0</v>
      </c>
      <c r="M312">
        <v>67.099999999999994</v>
      </c>
      <c r="N312">
        <v>45.6</v>
      </c>
      <c r="O312">
        <v>54.4</v>
      </c>
      <c r="P312">
        <v>44.3</v>
      </c>
      <c r="Q312">
        <v>55.7</v>
      </c>
    </row>
    <row r="313" spans="1:17" x14ac:dyDescent="0.25">
      <c r="A313" s="2">
        <v>45237</v>
      </c>
      <c r="B313" s="2" t="str">
        <f t="shared" si="8"/>
        <v>Tuesday</v>
      </c>
      <c r="C313" s="2" t="b">
        <f t="shared" si="9"/>
        <v>0</v>
      </c>
      <c r="D313">
        <v>1</v>
      </c>
      <c r="E313" t="s">
        <v>5</v>
      </c>
      <c r="F313">
        <v>274</v>
      </c>
      <c r="G313" s="3">
        <v>4905.8999999999996</v>
      </c>
      <c r="H313" s="3">
        <f>Miami_Retail[[#This Row],[sales_usd]] / Miami_Retail[[#This Row],[customers]]</f>
        <v>17.904744525547443</v>
      </c>
      <c r="I313">
        <v>85.4</v>
      </c>
      <c r="J313">
        <f>(Miami_Retail[[#This Row],[avg_temp_f]]-32) * (5/9)</f>
        <v>29.666666666666671</v>
      </c>
      <c r="K313">
        <v>0</v>
      </c>
      <c r="L313">
        <v>0</v>
      </c>
      <c r="M313">
        <v>70.3</v>
      </c>
      <c r="N313">
        <v>46.3</v>
      </c>
      <c r="O313">
        <v>53.7</v>
      </c>
      <c r="P313">
        <v>41.9</v>
      </c>
      <c r="Q313">
        <v>58.1</v>
      </c>
    </row>
    <row r="314" spans="1:17" x14ac:dyDescent="0.25">
      <c r="A314" s="2">
        <v>45238</v>
      </c>
      <c r="B314" s="2" t="str">
        <f t="shared" si="8"/>
        <v>Wednesday</v>
      </c>
      <c r="C314" s="2" t="b">
        <f t="shared" si="9"/>
        <v>0</v>
      </c>
      <c r="D314">
        <v>1</v>
      </c>
      <c r="E314" t="s">
        <v>5</v>
      </c>
      <c r="F314">
        <v>247</v>
      </c>
      <c r="G314" s="3">
        <v>4441.92</v>
      </c>
      <c r="H314" s="3">
        <f>Miami_Retail[[#This Row],[sales_usd]] / Miami_Retail[[#This Row],[customers]]</f>
        <v>17.983481781376518</v>
      </c>
      <c r="I314">
        <v>78.900000000000006</v>
      </c>
      <c r="J314">
        <f>(Miami_Retail[[#This Row],[avg_temp_f]]-32) * (5/9)</f>
        <v>26.055555555555561</v>
      </c>
      <c r="K314">
        <v>0.46</v>
      </c>
      <c r="L314">
        <v>1</v>
      </c>
      <c r="M314">
        <v>66.3</v>
      </c>
      <c r="N314">
        <v>46.1</v>
      </c>
      <c r="O314">
        <v>53.9</v>
      </c>
      <c r="P314">
        <v>45</v>
      </c>
      <c r="Q314">
        <v>55</v>
      </c>
    </row>
    <row r="315" spans="1:17" x14ac:dyDescent="0.25">
      <c r="A315" s="2">
        <v>45239</v>
      </c>
      <c r="B315" s="2" t="str">
        <f t="shared" si="8"/>
        <v>Thursday</v>
      </c>
      <c r="C315" s="2" t="b">
        <f t="shared" si="9"/>
        <v>0</v>
      </c>
      <c r="D315">
        <v>1</v>
      </c>
      <c r="E315" t="s">
        <v>5</v>
      </c>
      <c r="F315">
        <v>313</v>
      </c>
      <c r="G315" s="3">
        <v>5437.14</v>
      </c>
      <c r="H315" s="3">
        <f>Miami_Retail[[#This Row],[sales_usd]] / Miami_Retail[[#This Row],[customers]]</f>
        <v>17.371054313099041</v>
      </c>
      <c r="I315">
        <v>89.1</v>
      </c>
      <c r="J315">
        <f>(Miami_Retail[[#This Row],[avg_temp_f]]-32) * (5/9)</f>
        <v>31.722222222222221</v>
      </c>
      <c r="K315">
        <v>0.28000000000000003</v>
      </c>
      <c r="L315">
        <v>1</v>
      </c>
      <c r="M315">
        <v>53</v>
      </c>
      <c r="N315">
        <v>48</v>
      </c>
      <c r="O315">
        <v>52</v>
      </c>
      <c r="P315">
        <v>43.5</v>
      </c>
      <c r="Q315">
        <v>56.5</v>
      </c>
    </row>
    <row r="316" spans="1:17" x14ac:dyDescent="0.25">
      <c r="A316" s="2">
        <v>45240</v>
      </c>
      <c r="B316" s="2" t="str">
        <f t="shared" si="8"/>
        <v>Friday</v>
      </c>
      <c r="C316" s="2" t="b">
        <f t="shared" si="9"/>
        <v>0</v>
      </c>
      <c r="D316">
        <v>1</v>
      </c>
      <c r="E316" t="s">
        <v>5</v>
      </c>
      <c r="F316">
        <v>250</v>
      </c>
      <c r="G316" s="3">
        <v>4539.3</v>
      </c>
      <c r="H316" s="3">
        <f>Miami_Retail[[#This Row],[sales_usd]] / Miami_Retail[[#This Row],[customers]]</f>
        <v>18.1572</v>
      </c>
      <c r="I316">
        <v>77.400000000000006</v>
      </c>
      <c r="J316">
        <f>(Miami_Retail[[#This Row],[avg_temp_f]]-32) * (5/9)</f>
        <v>25.222222222222225</v>
      </c>
      <c r="K316">
        <v>0</v>
      </c>
      <c r="L316">
        <v>0</v>
      </c>
      <c r="M316">
        <v>70.5</v>
      </c>
      <c r="N316">
        <v>47.5</v>
      </c>
      <c r="O316">
        <v>52.5</v>
      </c>
      <c r="P316">
        <v>42.3</v>
      </c>
      <c r="Q316">
        <v>57.7</v>
      </c>
    </row>
    <row r="317" spans="1:17" x14ac:dyDescent="0.25">
      <c r="A317" s="2">
        <v>45241</v>
      </c>
      <c r="B317" s="2" t="str">
        <f t="shared" si="8"/>
        <v>Saturday</v>
      </c>
      <c r="C317" s="2" t="b">
        <f t="shared" si="9"/>
        <v>1</v>
      </c>
      <c r="D317">
        <v>1</v>
      </c>
      <c r="E317" t="s">
        <v>5</v>
      </c>
      <c r="F317">
        <v>339</v>
      </c>
      <c r="G317" s="3">
        <v>5932.61</v>
      </c>
      <c r="H317" s="3">
        <f>Miami_Retail[[#This Row],[sales_usd]] / Miami_Retail[[#This Row],[customers]]</f>
        <v>17.50032448377581</v>
      </c>
      <c r="I317">
        <v>86.7</v>
      </c>
      <c r="J317">
        <f>(Miami_Retail[[#This Row],[avg_temp_f]]-32) * (5/9)</f>
        <v>30.388888888888893</v>
      </c>
      <c r="K317">
        <v>0.41</v>
      </c>
      <c r="L317">
        <v>1</v>
      </c>
      <c r="M317">
        <v>59.4</v>
      </c>
      <c r="N317">
        <v>46.7</v>
      </c>
      <c r="O317">
        <v>53.3</v>
      </c>
      <c r="P317">
        <v>50.6</v>
      </c>
      <c r="Q317">
        <v>49.4</v>
      </c>
    </row>
    <row r="318" spans="1:17" x14ac:dyDescent="0.25">
      <c r="A318" s="2">
        <v>45242</v>
      </c>
      <c r="B318" s="2" t="str">
        <f t="shared" si="8"/>
        <v>Sunday</v>
      </c>
      <c r="C318" s="2" t="b">
        <f t="shared" si="9"/>
        <v>1</v>
      </c>
      <c r="D318">
        <v>1</v>
      </c>
      <c r="E318" t="s">
        <v>5</v>
      </c>
      <c r="F318">
        <v>336</v>
      </c>
      <c r="G318" s="3">
        <v>5974.94</v>
      </c>
      <c r="H318" s="3">
        <f>Miami_Retail[[#This Row],[sales_usd]] / Miami_Retail[[#This Row],[customers]]</f>
        <v>17.782559523809521</v>
      </c>
      <c r="I318">
        <v>83.5</v>
      </c>
      <c r="J318">
        <f>(Miami_Retail[[#This Row],[avg_temp_f]]-32) * (5/9)</f>
        <v>28.611111111111111</v>
      </c>
      <c r="K318">
        <v>0.61</v>
      </c>
      <c r="L318">
        <v>1</v>
      </c>
      <c r="M318">
        <v>54.8</v>
      </c>
      <c r="N318">
        <v>45</v>
      </c>
      <c r="O318">
        <v>55</v>
      </c>
      <c r="P318">
        <v>48.6</v>
      </c>
      <c r="Q318">
        <v>51.4</v>
      </c>
    </row>
    <row r="319" spans="1:17" x14ac:dyDescent="0.25">
      <c r="A319" s="2">
        <v>45243</v>
      </c>
      <c r="B319" s="2" t="str">
        <f t="shared" si="8"/>
        <v>Monday</v>
      </c>
      <c r="C319" s="2" t="b">
        <f t="shared" si="9"/>
        <v>0</v>
      </c>
      <c r="D319">
        <v>1</v>
      </c>
      <c r="E319" t="s">
        <v>5</v>
      </c>
      <c r="F319">
        <v>291</v>
      </c>
      <c r="G319" s="3">
        <v>5124.29</v>
      </c>
      <c r="H319" s="3">
        <f>Miami_Retail[[#This Row],[sales_usd]] / Miami_Retail[[#This Row],[customers]]</f>
        <v>17.609243986254295</v>
      </c>
      <c r="I319">
        <v>79.400000000000006</v>
      </c>
      <c r="J319">
        <f>(Miami_Retail[[#This Row],[avg_temp_f]]-32) * (5/9)</f>
        <v>26.333333333333339</v>
      </c>
      <c r="K319">
        <v>0</v>
      </c>
      <c r="L319">
        <v>0</v>
      </c>
      <c r="M319">
        <v>57</v>
      </c>
      <c r="N319">
        <v>48</v>
      </c>
      <c r="O319">
        <v>52</v>
      </c>
      <c r="P319">
        <v>44.1</v>
      </c>
      <c r="Q319">
        <v>55.9</v>
      </c>
    </row>
    <row r="320" spans="1:17" x14ac:dyDescent="0.25">
      <c r="A320" s="2">
        <v>45244</v>
      </c>
      <c r="B320" s="2" t="str">
        <f t="shared" si="8"/>
        <v>Tuesday</v>
      </c>
      <c r="C320" s="2" t="b">
        <f t="shared" si="9"/>
        <v>0</v>
      </c>
      <c r="D320">
        <v>1</v>
      </c>
      <c r="E320" t="s">
        <v>5</v>
      </c>
      <c r="F320">
        <v>285</v>
      </c>
      <c r="G320" s="3">
        <v>5577.02</v>
      </c>
      <c r="H320" s="3">
        <f>Miami_Retail[[#This Row],[sales_usd]] / Miami_Retail[[#This Row],[customers]]</f>
        <v>19.568491228070176</v>
      </c>
      <c r="I320">
        <v>86.2</v>
      </c>
      <c r="J320">
        <f>(Miami_Retail[[#This Row],[avg_temp_f]]-32) * (5/9)</f>
        <v>30.111111111111114</v>
      </c>
      <c r="K320">
        <v>0</v>
      </c>
      <c r="L320">
        <v>0</v>
      </c>
      <c r="M320">
        <v>63.9</v>
      </c>
      <c r="N320">
        <v>47.8</v>
      </c>
      <c r="O320">
        <v>52.2</v>
      </c>
      <c r="P320">
        <v>43.5</v>
      </c>
      <c r="Q320">
        <v>56.5</v>
      </c>
    </row>
    <row r="321" spans="1:17" x14ac:dyDescent="0.25">
      <c r="A321" s="2">
        <v>45245</v>
      </c>
      <c r="B321" s="2" t="str">
        <f t="shared" si="8"/>
        <v>Wednesday</v>
      </c>
      <c r="C321" s="2" t="b">
        <f t="shared" si="9"/>
        <v>0</v>
      </c>
      <c r="D321">
        <v>1</v>
      </c>
      <c r="E321" t="s">
        <v>5</v>
      </c>
      <c r="F321">
        <v>265</v>
      </c>
      <c r="G321" s="3">
        <v>5021.5600000000004</v>
      </c>
      <c r="H321" s="3">
        <f>Miami_Retail[[#This Row],[sales_usd]] / Miami_Retail[[#This Row],[customers]]</f>
        <v>18.949283018867927</v>
      </c>
      <c r="I321">
        <v>80.8</v>
      </c>
      <c r="J321">
        <f>(Miami_Retail[[#This Row],[avg_temp_f]]-32) * (5/9)</f>
        <v>27.111111111111111</v>
      </c>
      <c r="K321">
        <v>0</v>
      </c>
      <c r="L321">
        <v>0</v>
      </c>
      <c r="M321">
        <v>63.6</v>
      </c>
      <c r="N321">
        <v>47.7</v>
      </c>
      <c r="O321">
        <v>52.3</v>
      </c>
      <c r="P321">
        <v>45.6</v>
      </c>
      <c r="Q321">
        <v>54.4</v>
      </c>
    </row>
    <row r="322" spans="1:17" x14ac:dyDescent="0.25">
      <c r="A322" s="2">
        <v>45246</v>
      </c>
      <c r="B322" s="2" t="str">
        <f t="shared" ref="B322:B385" si="10">TEXT(A322, "dddd")</f>
        <v>Thursday</v>
      </c>
      <c r="C322" s="2" t="b">
        <f t="shared" ref="C322:C385" si="11">IF(WEEKDAY(A322,2)&gt;5,TRUE,FALSE)</f>
        <v>0</v>
      </c>
      <c r="D322">
        <v>1</v>
      </c>
      <c r="E322" t="s">
        <v>5</v>
      </c>
      <c r="F322">
        <v>274</v>
      </c>
      <c r="G322" s="3">
        <v>4945.84</v>
      </c>
      <c r="H322" s="3">
        <f>Miami_Retail[[#This Row],[sales_usd]] / Miami_Retail[[#This Row],[customers]]</f>
        <v>18.05051094890511</v>
      </c>
      <c r="I322">
        <v>81.2</v>
      </c>
      <c r="J322">
        <f>(Miami_Retail[[#This Row],[avg_temp_f]]-32) * (5/9)</f>
        <v>27.333333333333336</v>
      </c>
      <c r="K322">
        <v>0</v>
      </c>
      <c r="L322">
        <v>0</v>
      </c>
      <c r="M322">
        <v>58.5</v>
      </c>
      <c r="N322">
        <v>47.1</v>
      </c>
      <c r="O322">
        <v>52.9</v>
      </c>
      <c r="P322">
        <v>44.6</v>
      </c>
      <c r="Q322">
        <v>55.4</v>
      </c>
    </row>
    <row r="323" spans="1:17" x14ac:dyDescent="0.25">
      <c r="A323" s="2">
        <v>45247</v>
      </c>
      <c r="B323" s="2" t="str">
        <f t="shared" si="10"/>
        <v>Friday</v>
      </c>
      <c r="C323" s="2" t="b">
        <f t="shared" si="11"/>
        <v>0</v>
      </c>
      <c r="D323">
        <v>1</v>
      </c>
      <c r="E323" t="s">
        <v>5</v>
      </c>
      <c r="F323">
        <v>256</v>
      </c>
      <c r="G323" s="3">
        <v>4311.91</v>
      </c>
      <c r="H323" s="3">
        <f>Miami_Retail[[#This Row],[sales_usd]] / Miami_Retail[[#This Row],[customers]]</f>
        <v>16.843398437499999</v>
      </c>
      <c r="I323">
        <v>79.2</v>
      </c>
      <c r="J323">
        <f>(Miami_Retail[[#This Row],[avg_temp_f]]-32) * (5/9)</f>
        <v>26.222222222222225</v>
      </c>
      <c r="K323">
        <v>1.1599999999999999</v>
      </c>
      <c r="L323">
        <v>1</v>
      </c>
      <c r="M323">
        <v>61.4</v>
      </c>
      <c r="N323">
        <v>46.2</v>
      </c>
      <c r="O323">
        <v>53.8</v>
      </c>
      <c r="P323">
        <v>46</v>
      </c>
      <c r="Q323">
        <v>54</v>
      </c>
    </row>
    <row r="324" spans="1:17" x14ac:dyDescent="0.25">
      <c r="A324" s="2">
        <v>45248</v>
      </c>
      <c r="B324" s="2" t="str">
        <f t="shared" si="10"/>
        <v>Saturday</v>
      </c>
      <c r="C324" s="2" t="b">
        <f t="shared" si="11"/>
        <v>1</v>
      </c>
      <c r="D324">
        <v>1</v>
      </c>
      <c r="E324" t="s">
        <v>5</v>
      </c>
      <c r="F324">
        <v>349</v>
      </c>
      <c r="G324" s="3">
        <v>6443</v>
      </c>
      <c r="H324" s="3">
        <f>Miami_Retail[[#This Row],[sales_usd]] / Miami_Retail[[#This Row],[customers]]</f>
        <v>18.46131805157593</v>
      </c>
      <c r="I324">
        <v>86.7</v>
      </c>
      <c r="J324">
        <f>(Miami_Retail[[#This Row],[avg_temp_f]]-32) * (5/9)</f>
        <v>30.388888888888893</v>
      </c>
      <c r="K324">
        <v>0</v>
      </c>
      <c r="L324">
        <v>0</v>
      </c>
      <c r="M324">
        <v>68.8</v>
      </c>
      <c r="N324">
        <v>45</v>
      </c>
      <c r="O324">
        <v>55</v>
      </c>
      <c r="P324">
        <v>50.4</v>
      </c>
      <c r="Q324">
        <v>49.6</v>
      </c>
    </row>
    <row r="325" spans="1:17" x14ac:dyDescent="0.25">
      <c r="A325" s="2">
        <v>45249</v>
      </c>
      <c r="B325" s="2" t="str">
        <f t="shared" si="10"/>
        <v>Sunday</v>
      </c>
      <c r="C325" s="2" t="b">
        <f t="shared" si="11"/>
        <v>1</v>
      </c>
      <c r="D325">
        <v>1</v>
      </c>
      <c r="E325" t="s">
        <v>5</v>
      </c>
      <c r="F325">
        <v>296</v>
      </c>
      <c r="G325" s="3">
        <v>5744.18</v>
      </c>
      <c r="H325" s="3">
        <f>Miami_Retail[[#This Row],[sales_usd]] / Miami_Retail[[#This Row],[customers]]</f>
        <v>19.406013513513514</v>
      </c>
      <c r="I325">
        <v>83.7</v>
      </c>
      <c r="J325">
        <f>(Miami_Retail[[#This Row],[avg_temp_f]]-32) * (5/9)</f>
        <v>28.722222222222225</v>
      </c>
      <c r="K325">
        <v>1.03</v>
      </c>
      <c r="L325">
        <v>1</v>
      </c>
      <c r="M325">
        <v>55</v>
      </c>
      <c r="N325">
        <v>47</v>
      </c>
      <c r="O325">
        <v>53</v>
      </c>
      <c r="P325">
        <v>48</v>
      </c>
      <c r="Q325">
        <v>52</v>
      </c>
    </row>
    <row r="326" spans="1:17" x14ac:dyDescent="0.25">
      <c r="A326" s="2">
        <v>45250</v>
      </c>
      <c r="B326" s="2" t="str">
        <f t="shared" si="10"/>
        <v>Monday</v>
      </c>
      <c r="C326" s="2" t="b">
        <f t="shared" si="11"/>
        <v>0</v>
      </c>
      <c r="D326">
        <v>1</v>
      </c>
      <c r="E326" t="s">
        <v>5</v>
      </c>
      <c r="F326">
        <v>271</v>
      </c>
      <c r="G326" s="3">
        <v>4806.8999999999996</v>
      </c>
      <c r="H326" s="3">
        <f>Miami_Retail[[#This Row],[sales_usd]] / Miami_Retail[[#This Row],[customers]]</f>
        <v>17.737638376383764</v>
      </c>
      <c r="I326">
        <v>78.8</v>
      </c>
      <c r="J326">
        <f>(Miami_Retail[[#This Row],[avg_temp_f]]-32) * (5/9)</f>
        <v>26</v>
      </c>
      <c r="K326">
        <v>0</v>
      </c>
      <c r="L326">
        <v>0</v>
      </c>
      <c r="M326">
        <v>59.8</v>
      </c>
      <c r="N326">
        <v>48</v>
      </c>
      <c r="O326">
        <v>52</v>
      </c>
      <c r="P326">
        <v>44.9</v>
      </c>
      <c r="Q326">
        <v>55.1</v>
      </c>
    </row>
    <row r="327" spans="1:17" x14ac:dyDescent="0.25">
      <c r="A327" s="2">
        <v>45251</v>
      </c>
      <c r="B327" s="2" t="str">
        <f t="shared" si="10"/>
        <v>Tuesday</v>
      </c>
      <c r="C327" s="2" t="b">
        <f t="shared" si="11"/>
        <v>0</v>
      </c>
      <c r="D327">
        <v>1</v>
      </c>
      <c r="E327" t="s">
        <v>5</v>
      </c>
      <c r="F327">
        <v>273</v>
      </c>
      <c r="G327" s="3">
        <v>4967.47</v>
      </c>
      <c r="H327" s="3">
        <f>Miami_Retail[[#This Row],[sales_usd]] / Miami_Retail[[#This Row],[customers]]</f>
        <v>18.195860805860807</v>
      </c>
      <c r="I327">
        <v>80.5</v>
      </c>
      <c r="J327">
        <f>(Miami_Retail[[#This Row],[avg_temp_f]]-32) * (5/9)</f>
        <v>26.944444444444446</v>
      </c>
      <c r="K327">
        <v>0</v>
      </c>
      <c r="L327">
        <v>0</v>
      </c>
      <c r="M327">
        <v>68.3</v>
      </c>
      <c r="N327">
        <v>45.7</v>
      </c>
      <c r="O327">
        <v>54.3</v>
      </c>
      <c r="P327">
        <v>44.8</v>
      </c>
      <c r="Q327">
        <v>55.2</v>
      </c>
    </row>
    <row r="328" spans="1:17" x14ac:dyDescent="0.25">
      <c r="A328" s="2">
        <v>45252</v>
      </c>
      <c r="B328" s="2" t="str">
        <f t="shared" si="10"/>
        <v>Wednesday</v>
      </c>
      <c r="C328" s="2" t="b">
        <f t="shared" si="11"/>
        <v>0</v>
      </c>
      <c r="D328">
        <v>1</v>
      </c>
      <c r="E328" t="s">
        <v>5</v>
      </c>
      <c r="F328">
        <v>324</v>
      </c>
      <c r="G328" s="3">
        <v>5700.22</v>
      </c>
      <c r="H328" s="3">
        <f>Miami_Retail[[#This Row],[sales_usd]] / Miami_Retail[[#This Row],[customers]]</f>
        <v>17.593271604938273</v>
      </c>
      <c r="I328">
        <v>83</v>
      </c>
      <c r="J328">
        <f>(Miami_Retail[[#This Row],[avg_temp_f]]-32) * (5/9)</f>
        <v>28.333333333333336</v>
      </c>
      <c r="K328">
        <v>0</v>
      </c>
      <c r="L328">
        <v>0</v>
      </c>
      <c r="M328">
        <v>58.6</v>
      </c>
      <c r="N328">
        <v>45.2</v>
      </c>
      <c r="O328">
        <v>54.8</v>
      </c>
      <c r="P328">
        <v>43.3</v>
      </c>
      <c r="Q328">
        <v>56.7</v>
      </c>
    </row>
    <row r="329" spans="1:17" x14ac:dyDescent="0.25">
      <c r="A329" s="2">
        <v>45253</v>
      </c>
      <c r="B329" s="2" t="str">
        <f t="shared" si="10"/>
        <v>Thursday</v>
      </c>
      <c r="C329" s="2" t="b">
        <f t="shared" si="11"/>
        <v>0</v>
      </c>
      <c r="D329">
        <v>1</v>
      </c>
      <c r="E329" t="s">
        <v>5</v>
      </c>
      <c r="F329">
        <v>257</v>
      </c>
      <c r="G329" s="3">
        <v>4757.3999999999996</v>
      </c>
      <c r="H329" s="3">
        <f>Miami_Retail[[#This Row],[sales_usd]] / Miami_Retail[[#This Row],[customers]]</f>
        <v>18.511284046692605</v>
      </c>
      <c r="I329">
        <v>80.3</v>
      </c>
      <c r="J329">
        <f>(Miami_Retail[[#This Row],[avg_temp_f]]-32) * (5/9)</f>
        <v>26.833333333333332</v>
      </c>
      <c r="K329">
        <v>0.1</v>
      </c>
      <c r="L329">
        <v>1</v>
      </c>
      <c r="M329">
        <v>69.2</v>
      </c>
      <c r="N329">
        <v>46.7</v>
      </c>
      <c r="O329">
        <v>53.3</v>
      </c>
      <c r="P329">
        <v>43.5</v>
      </c>
      <c r="Q329">
        <v>56.5</v>
      </c>
    </row>
    <row r="330" spans="1:17" x14ac:dyDescent="0.25">
      <c r="A330" s="2">
        <v>45254</v>
      </c>
      <c r="B330" s="2" t="str">
        <f t="shared" si="10"/>
        <v>Friday</v>
      </c>
      <c r="C330" s="2" t="b">
        <f t="shared" si="11"/>
        <v>0</v>
      </c>
      <c r="D330">
        <v>1</v>
      </c>
      <c r="E330" t="s">
        <v>5</v>
      </c>
      <c r="F330">
        <v>290</v>
      </c>
      <c r="G330" s="3">
        <v>5374.31</v>
      </c>
      <c r="H330" s="3">
        <f>Miami_Retail[[#This Row],[sales_usd]] / Miami_Retail[[#This Row],[customers]]</f>
        <v>18.532103448275862</v>
      </c>
      <c r="I330">
        <v>78.8</v>
      </c>
      <c r="J330">
        <f>(Miami_Retail[[#This Row],[avg_temp_f]]-32) * (5/9)</f>
        <v>26</v>
      </c>
      <c r="K330">
        <v>0</v>
      </c>
      <c r="L330">
        <v>0</v>
      </c>
      <c r="M330">
        <v>57.8</v>
      </c>
      <c r="N330">
        <v>46.2</v>
      </c>
      <c r="O330">
        <v>53.8</v>
      </c>
      <c r="P330">
        <v>43.2</v>
      </c>
      <c r="Q330">
        <v>56.8</v>
      </c>
    </row>
    <row r="331" spans="1:17" x14ac:dyDescent="0.25">
      <c r="A331" s="2">
        <v>45255</v>
      </c>
      <c r="B331" s="2" t="str">
        <f t="shared" si="10"/>
        <v>Saturday</v>
      </c>
      <c r="C331" s="2" t="b">
        <f t="shared" si="11"/>
        <v>1</v>
      </c>
      <c r="D331">
        <v>1</v>
      </c>
      <c r="E331" t="s">
        <v>5</v>
      </c>
      <c r="F331">
        <v>325</v>
      </c>
      <c r="G331" s="3">
        <v>6141.56</v>
      </c>
      <c r="H331" s="3">
        <f>Miami_Retail[[#This Row],[sales_usd]] / Miami_Retail[[#This Row],[customers]]</f>
        <v>18.897107692307692</v>
      </c>
      <c r="I331">
        <v>86.1</v>
      </c>
      <c r="J331">
        <f>(Miami_Retail[[#This Row],[avg_temp_f]]-32) * (5/9)</f>
        <v>30.055555555555554</v>
      </c>
      <c r="K331">
        <v>0</v>
      </c>
      <c r="L331">
        <v>0</v>
      </c>
      <c r="M331">
        <v>59.5</v>
      </c>
      <c r="N331">
        <v>47.4</v>
      </c>
      <c r="O331">
        <v>52.6</v>
      </c>
      <c r="P331">
        <v>51.9</v>
      </c>
      <c r="Q331">
        <v>48.1</v>
      </c>
    </row>
    <row r="332" spans="1:17" x14ac:dyDescent="0.25">
      <c r="A332" s="2">
        <v>45256</v>
      </c>
      <c r="B332" s="2" t="str">
        <f t="shared" si="10"/>
        <v>Sunday</v>
      </c>
      <c r="C332" s="2" t="b">
        <f t="shared" si="11"/>
        <v>1</v>
      </c>
      <c r="D332">
        <v>1</v>
      </c>
      <c r="E332" t="s">
        <v>5</v>
      </c>
      <c r="F332">
        <v>373</v>
      </c>
      <c r="G332" s="3">
        <v>7415.89</v>
      </c>
      <c r="H332" s="3">
        <f>Miami_Retail[[#This Row],[sales_usd]] / Miami_Retail[[#This Row],[customers]]</f>
        <v>19.881742627345844</v>
      </c>
      <c r="I332">
        <v>88.3</v>
      </c>
      <c r="J332">
        <f>(Miami_Retail[[#This Row],[avg_temp_f]]-32) * (5/9)</f>
        <v>31.277777777777779</v>
      </c>
      <c r="K332">
        <v>0</v>
      </c>
      <c r="L332">
        <v>0</v>
      </c>
      <c r="M332">
        <v>62.9</v>
      </c>
      <c r="N332">
        <v>47.8</v>
      </c>
      <c r="O332">
        <v>52.2</v>
      </c>
      <c r="P332">
        <v>49.8</v>
      </c>
      <c r="Q332">
        <v>50.2</v>
      </c>
    </row>
    <row r="333" spans="1:17" x14ac:dyDescent="0.25">
      <c r="A333" s="2">
        <v>45257</v>
      </c>
      <c r="B333" s="2" t="str">
        <f t="shared" si="10"/>
        <v>Monday</v>
      </c>
      <c r="C333" s="2" t="b">
        <f t="shared" si="11"/>
        <v>0</v>
      </c>
      <c r="D333">
        <v>1</v>
      </c>
      <c r="E333" t="s">
        <v>5</v>
      </c>
      <c r="F333">
        <v>291</v>
      </c>
      <c r="G333" s="3">
        <v>5177.8100000000004</v>
      </c>
      <c r="H333" s="3">
        <f>Miami_Retail[[#This Row],[sales_usd]] / Miami_Retail[[#This Row],[customers]]</f>
        <v>17.793161512027492</v>
      </c>
      <c r="I333">
        <v>85.7</v>
      </c>
      <c r="J333">
        <f>(Miami_Retail[[#This Row],[avg_temp_f]]-32) * (5/9)</f>
        <v>29.833333333333336</v>
      </c>
      <c r="K333">
        <v>0</v>
      </c>
      <c r="L333">
        <v>0</v>
      </c>
      <c r="M333">
        <v>48.7</v>
      </c>
      <c r="N333">
        <v>47</v>
      </c>
      <c r="O333">
        <v>53</v>
      </c>
      <c r="P333">
        <v>43.1</v>
      </c>
      <c r="Q333">
        <v>56.9</v>
      </c>
    </row>
    <row r="334" spans="1:17" x14ac:dyDescent="0.25">
      <c r="A334" s="2">
        <v>45258</v>
      </c>
      <c r="B334" s="2" t="str">
        <f t="shared" si="10"/>
        <v>Tuesday</v>
      </c>
      <c r="C334" s="2" t="b">
        <f t="shared" si="11"/>
        <v>0</v>
      </c>
      <c r="D334">
        <v>1</v>
      </c>
      <c r="E334" t="s">
        <v>5</v>
      </c>
      <c r="F334">
        <v>263</v>
      </c>
      <c r="G334" s="3">
        <v>4748.05</v>
      </c>
      <c r="H334" s="3">
        <f>Miami_Retail[[#This Row],[sales_usd]] / Miami_Retail[[#This Row],[customers]]</f>
        <v>18.053422053231941</v>
      </c>
      <c r="I334">
        <v>82.8</v>
      </c>
      <c r="J334">
        <f>(Miami_Retail[[#This Row],[avg_temp_f]]-32) * (5/9)</f>
        <v>28.222222222222221</v>
      </c>
      <c r="K334">
        <v>0</v>
      </c>
      <c r="L334">
        <v>0</v>
      </c>
      <c r="M334">
        <v>52.6</v>
      </c>
      <c r="N334">
        <v>48</v>
      </c>
      <c r="O334">
        <v>52</v>
      </c>
      <c r="P334">
        <v>43.5</v>
      </c>
      <c r="Q334">
        <v>56.5</v>
      </c>
    </row>
    <row r="335" spans="1:17" x14ac:dyDescent="0.25">
      <c r="A335" s="2">
        <v>45259</v>
      </c>
      <c r="B335" s="2" t="str">
        <f t="shared" si="10"/>
        <v>Wednesday</v>
      </c>
      <c r="C335" s="2" t="b">
        <f t="shared" si="11"/>
        <v>0</v>
      </c>
      <c r="D335">
        <v>1</v>
      </c>
      <c r="E335" t="s">
        <v>5</v>
      </c>
      <c r="F335">
        <v>266</v>
      </c>
      <c r="G335" s="3">
        <v>4556.84</v>
      </c>
      <c r="H335" s="3">
        <f>Miami_Retail[[#This Row],[sales_usd]] / Miami_Retail[[#This Row],[customers]]</f>
        <v>17.130977443609023</v>
      </c>
      <c r="I335">
        <v>81.099999999999994</v>
      </c>
      <c r="J335">
        <f>(Miami_Retail[[#This Row],[avg_temp_f]]-32) * (5/9)</f>
        <v>27.277777777777775</v>
      </c>
      <c r="K335">
        <v>0</v>
      </c>
      <c r="L335">
        <v>0</v>
      </c>
      <c r="M335">
        <v>59.2</v>
      </c>
      <c r="N335">
        <v>47.5</v>
      </c>
      <c r="O335">
        <v>52.5</v>
      </c>
      <c r="P335">
        <v>43.8</v>
      </c>
      <c r="Q335">
        <v>56.2</v>
      </c>
    </row>
    <row r="336" spans="1:17" x14ac:dyDescent="0.25">
      <c r="A336" s="2">
        <v>45260</v>
      </c>
      <c r="B336" s="2" t="str">
        <f t="shared" si="10"/>
        <v>Thursday</v>
      </c>
      <c r="C336" s="2" t="b">
        <f t="shared" si="11"/>
        <v>0</v>
      </c>
      <c r="D336">
        <v>1</v>
      </c>
      <c r="E336" t="s">
        <v>5</v>
      </c>
      <c r="F336">
        <v>259</v>
      </c>
      <c r="G336" s="3">
        <v>4970.8100000000004</v>
      </c>
      <c r="H336" s="3">
        <f>Miami_Retail[[#This Row],[sales_usd]] / Miami_Retail[[#This Row],[customers]]</f>
        <v>19.192316602316605</v>
      </c>
      <c r="I336">
        <v>78.099999999999994</v>
      </c>
      <c r="J336">
        <f>(Miami_Retail[[#This Row],[avg_temp_f]]-32) * (5/9)</f>
        <v>25.611111111111111</v>
      </c>
      <c r="K336">
        <v>0</v>
      </c>
      <c r="L336">
        <v>0</v>
      </c>
      <c r="M336">
        <v>57.1</v>
      </c>
      <c r="N336">
        <v>47.7</v>
      </c>
      <c r="O336">
        <v>52.3</v>
      </c>
      <c r="P336">
        <v>42.9</v>
      </c>
      <c r="Q336">
        <v>57.1</v>
      </c>
    </row>
    <row r="337" spans="1:17" x14ac:dyDescent="0.25">
      <c r="A337" s="2">
        <v>45261</v>
      </c>
      <c r="B337" s="2" t="str">
        <f t="shared" si="10"/>
        <v>Friday</v>
      </c>
      <c r="C337" s="2" t="b">
        <f t="shared" si="11"/>
        <v>0</v>
      </c>
      <c r="D337">
        <v>1</v>
      </c>
      <c r="E337" t="s">
        <v>5</v>
      </c>
      <c r="F337">
        <v>297</v>
      </c>
      <c r="G337" s="3">
        <v>5043.88</v>
      </c>
      <c r="H337" s="3">
        <f>Miami_Retail[[#This Row],[sales_usd]] / Miami_Retail[[#This Row],[customers]]</f>
        <v>16.982760942760944</v>
      </c>
      <c r="I337">
        <v>79</v>
      </c>
      <c r="J337">
        <f>(Miami_Retail[[#This Row],[avg_temp_f]]-32) * (5/9)</f>
        <v>26.111111111111111</v>
      </c>
      <c r="K337">
        <v>0</v>
      </c>
      <c r="L337">
        <v>0</v>
      </c>
      <c r="M337">
        <v>60.5</v>
      </c>
      <c r="N337">
        <v>47.1</v>
      </c>
      <c r="O337">
        <v>52.9</v>
      </c>
      <c r="P337">
        <v>44.2</v>
      </c>
      <c r="Q337">
        <v>55.8</v>
      </c>
    </row>
    <row r="338" spans="1:17" x14ac:dyDescent="0.25">
      <c r="A338" s="2">
        <v>45262</v>
      </c>
      <c r="B338" s="2" t="str">
        <f t="shared" si="10"/>
        <v>Saturday</v>
      </c>
      <c r="C338" s="2" t="b">
        <f t="shared" si="11"/>
        <v>1</v>
      </c>
      <c r="D338">
        <v>1</v>
      </c>
      <c r="E338" t="s">
        <v>5</v>
      </c>
      <c r="F338">
        <v>269</v>
      </c>
      <c r="G338" s="3">
        <v>5129.33</v>
      </c>
      <c r="H338" s="3">
        <f>Miami_Retail[[#This Row],[sales_usd]] / Miami_Retail[[#This Row],[customers]]</f>
        <v>19.068141263940522</v>
      </c>
      <c r="I338">
        <v>78.8</v>
      </c>
      <c r="J338">
        <f>(Miami_Retail[[#This Row],[avg_temp_f]]-32) * (5/9)</f>
        <v>26</v>
      </c>
      <c r="K338">
        <v>0</v>
      </c>
      <c r="L338">
        <v>0</v>
      </c>
      <c r="M338">
        <v>55.3</v>
      </c>
      <c r="N338">
        <v>48.4</v>
      </c>
      <c r="O338">
        <v>51.6</v>
      </c>
      <c r="P338">
        <v>48.4</v>
      </c>
      <c r="Q338">
        <v>51.6</v>
      </c>
    </row>
    <row r="339" spans="1:17" x14ac:dyDescent="0.25">
      <c r="A339" s="2">
        <v>45263</v>
      </c>
      <c r="B339" s="2" t="str">
        <f t="shared" si="10"/>
        <v>Sunday</v>
      </c>
      <c r="C339" s="2" t="b">
        <f t="shared" si="11"/>
        <v>1</v>
      </c>
      <c r="D339">
        <v>1</v>
      </c>
      <c r="E339" t="s">
        <v>5</v>
      </c>
      <c r="F339">
        <v>298</v>
      </c>
      <c r="G339" s="3">
        <v>5105.3599999999997</v>
      </c>
      <c r="H339" s="3">
        <f>Miami_Retail[[#This Row],[sales_usd]] / Miami_Retail[[#This Row],[customers]]</f>
        <v>17.132080536912749</v>
      </c>
      <c r="I339">
        <v>79.099999999999994</v>
      </c>
      <c r="J339">
        <f>(Miami_Retail[[#This Row],[avg_temp_f]]-32) * (5/9)</f>
        <v>26.166666666666664</v>
      </c>
      <c r="K339">
        <v>0</v>
      </c>
      <c r="L339">
        <v>0</v>
      </c>
      <c r="M339">
        <v>57.2</v>
      </c>
      <c r="N339">
        <v>46.5</v>
      </c>
      <c r="O339">
        <v>53.5</v>
      </c>
      <c r="P339">
        <v>50.8</v>
      </c>
      <c r="Q339">
        <v>49.2</v>
      </c>
    </row>
    <row r="340" spans="1:17" x14ac:dyDescent="0.25">
      <c r="A340" s="2">
        <v>45264</v>
      </c>
      <c r="B340" s="2" t="str">
        <f t="shared" si="10"/>
        <v>Monday</v>
      </c>
      <c r="C340" s="2" t="b">
        <f t="shared" si="11"/>
        <v>0</v>
      </c>
      <c r="D340">
        <v>1</v>
      </c>
      <c r="E340" t="s">
        <v>5</v>
      </c>
      <c r="F340">
        <v>251</v>
      </c>
      <c r="G340" s="3">
        <v>4419.7299999999996</v>
      </c>
      <c r="H340" s="3">
        <f>Miami_Retail[[#This Row],[sales_usd]] / Miami_Retail[[#This Row],[customers]]</f>
        <v>17.60848605577689</v>
      </c>
      <c r="I340">
        <v>76.099999999999994</v>
      </c>
      <c r="J340">
        <f>(Miami_Retail[[#This Row],[avg_temp_f]]-32) * (5/9)</f>
        <v>24.499999999999996</v>
      </c>
      <c r="K340">
        <v>0</v>
      </c>
      <c r="L340">
        <v>0</v>
      </c>
      <c r="M340">
        <v>56.2</v>
      </c>
      <c r="N340">
        <v>46.5</v>
      </c>
      <c r="O340">
        <v>53.5</v>
      </c>
      <c r="P340">
        <v>46.4</v>
      </c>
      <c r="Q340">
        <v>53.6</v>
      </c>
    </row>
    <row r="341" spans="1:17" x14ac:dyDescent="0.25">
      <c r="A341" s="2">
        <v>45265</v>
      </c>
      <c r="B341" s="2" t="str">
        <f t="shared" si="10"/>
        <v>Tuesday</v>
      </c>
      <c r="C341" s="2" t="b">
        <f t="shared" si="11"/>
        <v>0</v>
      </c>
      <c r="D341">
        <v>1</v>
      </c>
      <c r="E341" t="s">
        <v>5</v>
      </c>
      <c r="F341">
        <v>240</v>
      </c>
      <c r="G341" s="3">
        <v>4578.75</v>
      </c>
      <c r="H341" s="3">
        <f>Miami_Retail[[#This Row],[sales_usd]] / Miami_Retail[[#This Row],[customers]]</f>
        <v>19.078125</v>
      </c>
      <c r="I341">
        <v>80.599999999999994</v>
      </c>
      <c r="J341">
        <f>(Miami_Retail[[#This Row],[avg_temp_f]]-32) * (5/9)</f>
        <v>26.999999999999996</v>
      </c>
      <c r="K341">
        <v>0</v>
      </c>
      <c r="L341">
        <v>0</v>
      </c>
      <c r="M341">
        <v>59.9</v>
      </c>
      <c r="N341">
        <v>47.6</v>
      </c>
      <c r="O341">
        <v>52.4</v>
      </c>
      <c r="P341">
        <v>41.8</v>
      </c>
      <c r="Q341">
        <v>58.2</v>
      </c>
    </row>
    <row r="342" spans="1:17" x14ac:dyDescent="0.25">
      <c r="A342" s="2">
        <v>45266</v>
      </c>
      <c r="B342" s="2" t="str">
        <f t="shared" si="10"/>
        <v>Wednesday</v>
      </c>
      <c r="C342" s="2" t="b">
        <f t="shared" si="11"/>
        <v>0</v>
      </c>
      <c r="D342">
        <v>1</v>
      </c>
      <c r="E342" t="s">
        <v>5</v>
      </c>
      <c r="F342">
        <v>308</v>
      </c>
      <c r="G342" s="3">
        <v>5949.16</v>
      </c>
      <c r="H342" s="3">
        <f>Miami_Retail[[#This Row],[sales_usd]] / Miami_Retail[[#This Row],[customers]]</f>
        <v>19.315454545454546</v>
      </c>
      <c r="I342">
        <v>86</v>
      </c>
      <c r="J342">
        <f>(Miami_Retail[[#This Row],[avg_temp_f]]-32) * (5/9)</f>
        <v>30</v>
      </c>
      <c r="K342">
        <v>0</v>
      </c>
      <c r="L342">
        <v>0</v>
      </c>
      <c r="M342">
        <v>48.1</v>
      </c>
      <c r="N342">
        <v>48.1</v>
      </c>
      <c r="O342">
        <v>51.9</v>
      </c>
      <c r="P342">
        <v>46.4</v>
      </c>
      <c r="Q342">
        <v>53.6</v>
      </c>
    </row>
    <row r="343" spans="1:17" x14ac:dyDescent="0.25">
      <c r="A343" s="2">
        <v>45267</v>
      </c>
      <c r="B343" s="2" t="str">
        <f t="shared" si="10"/>
        <v>Thursday</v>
      </c>
      <c r="C343" s="2" t="b">
        <f t="shared" si="11"/>
        <v>0</v>
      </c>
      <c r="D343">
        <v>1</v>
      </c>
      <c r="E343" t="s">
        <v>5</v>
      </c>
      <c r="F343">
        <v>229</v>
      </c>
      <c r="G343" s="3">
        <v>4540.71</v>
      </c>
      <c r="H343" s="3">
        <f>Miami_Retail[[#This Row],[sales_usd]] / Miami_Retail[[#This Row],[customers]]</f>
        <v>19.828427947598254</v>
      </c>
      <c r="I343">
        <v>78.5</v>
      </c>
      <c r="J343">
        <f>(Miami_Retail[[#This Row],[avg_temp_f]]-32) * (5/9)</f>
        <v>25.833333333333336</v>
      </c>
      <c r="K343">
        <v>0</v>
      </c>
      <c r="L343">
        <v>0</v>
      </c>
      <c r="M343">
        <v>60.7</v>
      </c>
      <c r="N343">
        <v>46</v>
      </c>
      <c r="O343">
        <v>54</v>
      </c>
      <c r="P343">
        <v>42.5</v>
      </c>
      <c r="Q343">
        <v>57.5</v>
      </c>
    </row>
    <row r="344" spans="1:17" x14ac:dyDescent="0.25">
      <c r="A344" s="2">
        <v>45268</v>
      </c>
      <c r="B344" s="2" t="str">
        <f t="shared" si="10"/>
        <v>Friday</v>
      </c>
      <c r="C344" s="2" t="b">
        <f t="shared" si="11"/>
        <v>0</v>
      </c>
      <c r="D344">
        <v>1</v>
      </c>
      <c r="E344" t="s">
        <v>5</v>
      </c>
      <c r="F344">
        <v>261</v>
      </c>
      <c r="G344" s="3">
        <v>4544.2700000000004</v>
      </c>
      <c r="H344" s="3">
        <f>Miami_Retail[[#This Row],[sales_usd]] / Miami_Retail[[#This Row],[customers]]</f>
        <v>17.410996168582376</v>
      </c>
      <c r="I344">
        <v>79.2</v>
      </c>
      <c r="J344">
        <f>(Miami_Retail[[#This Row],[avg_temp_f]]-32) * (5/9)</f>
        <v>26.222222222222225</v>
      </c>
      <c r="K344">
        <v>0</v>
      </c>
      <c r="L344">
        <v>0</v>
      </c>
      <c r="M344">
        <v>56.3</v>
      </c>
      <c r="N344">
        <v>48.1</v>
      </c>
      <c r="O344">
        <v>51.9</v>
      </c>
      <c r="P344">
        <v>44.9</v>
      </c>
      <c r="Q344">
        <v>55.1</v>
      </c>
    </row>
    <row r="345" spans="1:17" x14ac:dyDescent="0.25">
      <c r="A345" s="2">
        <v>45269</v>
      </c>
      <c r="B345" s="2" t="str">
        <f t="shared" si="10"/>
        <v>Saturday</v>
      </c>
      <c r="C345" s="2" t="b">
        <f t="shared" si="11"/>
        <v>1</v>
      </c>
      <c r="D345">
        <v>1</v>
      </c>
      <c r="E345" t="s">
        <v>5</v>
      </c>
      <c r="F345">
        <v>317</v>
      </c>
      <c r="G345" s="3">
        <v>5435.43</v>
      </c>
      <c r="H345" s="3">
        <f>Miami_Retail[[#This Row],[sales_usd]] / Miami_Retail[[#This Row],[customers]]</f>
        <v>17.146466876971608</v>
      </c>
      <c r="I345">
        <v>78.400000000000006</v>
      </c>
      <c r="J345">
        <f>(Miami_Retail[[#This Row],[avg_temp_f]]-32) * (5/9)</f>
        <v>25.777777777777782</v>
      </c>
      <c r="K345">
        <v>0</v>
      </c>
      <c r="L345">
        <v>0</v>
      </c>
      <c r="M345">
        <v>50.6</v>
      </c>
      <c r="N345">
        <v>47.7</v>
      </c>
      <c r="O345">
        <v>52.3</v>
      </c>
      <c r="P345">
        <v>48.6</v>
      </c>
      <c r="Q345">
        <v>51.4</v>
      </c>
    </row>
    <row r="346" spans="1:17" x14ac:dyDescent="0.25">
      <c r="A346" s="2">
        <v>45270</v>
      </c>
      <c r="B346" s="2" t="str">
        <f t="shared" si="10"/>
        <v>Sunday</v>
      </c>
      <c r="C346" s="2" t="b">
        <f t="shared" si="11"/>
        <v>1</v>
      </c>
      <c r="D346">
        <v>1</v>
      </c>
      <c r="E346" t="s">
        <v>5</v>
      </c>
      <c r="F346">
        <v>332</v>
      </c>
      <c r="G346" s="3">
        <v>6091.8</v>
      </c>
      <c r="H346" s="3">
        <f>Miami_Retail[[#This Row],[sales_usd]] / Miami_Retail[[#This Row],[customers]]</f>
        <v>18.348795180722892</v>
      </c>
      <c r="I346">
        <v>83.7</v>
      </c>
      <c r="J346">
        <f>(Miami_Retail[[#This Row],[avg_temp_f]]-32) * (5/9)</f>
        <v>28.722222222222225</v>
      </c>
      <c r="K346">
        <v>0</v>
      </c>
      <c r="L346">
        <v>0</v>
      </c>
      <c r="M346">
        <v>59.3</v>
      </c>
      <c r="N346">
        <v>48.2</v>
      </c>
      <c r="O346">
        <v>51.8</v>
      </c>
      <c r="P346">
        <v>50.7</v>
      </c>
      <c r="Q346">
        <v>49.3</v>
      </c>
    </row>
    <row r="347" spans="1:17" x14ac:dyDescent="0.25">
      <c r="A347" s="2">
        <v>45271</v>
      </c>
      <c r="B347" s="2" t="str">
        <f t="shared" si="10"/>
        <v>Monday</v>
      </c>
      <c r="C347" s="2" t="b">
        <f t="shared" si="11"/>
        <v>0</v>
      </c>
      <c r="D347">
        <v>1</v>
      </c>
      <c r="E347" t="s">
        <v>5</v>
      </c>
      <c r="F347">
        <v>224</v>
      </c>
      <c r="G347" s="3">
        <v>4209.74</v>
      </c>
      <c r="H347" s="3">
        <f>Miami_Retail[[#This Row],[sales_usd]] / Miami_Retail[[#This Row],[customers]]</f>
        <v>18.79348214285714</v>
      </c>
      <c r="I347">
        <v>72.8</v>
      </c>
      <c r="J347">
        <f>(Miami_Retail[[#This Row],[avg_temp_f]]-32) * (5/9)</f>
        <v>22.666666666666668</v>
      </c>
      <c r="K347">
        <v>0</v>
      </c>
      <c r="L347">
        <v>0</v>
      </c>
      <c r="M347">
        <v>52.5</v>
      </c>
      <c r="N347">
        <v>47.1</v>
      </c>
      <c r="O347">
        <v>52.9</v>
      </c>
      <c r="P347">
        <v>45.1</v>
      </c>
      <c r="Q347">
        <v>54.9</v>
      </c>
    </row>
    <row r="348" spans="1:17" x14ac:dyDescent="0.25">
      <c r="A348" s="2">
        <v>45272</v>
      </c>
      <c r="B348" s="2" t="str">
        <f t="shared" si="10"/>
        <v>Tuesday</v>
      </c>
      <c r="C348" s="2" t="b">
        <f t="shared" si="11"/>
        <v>0</v>
      </c>
      <c r="D348">
        <v>1</v>
      </c>
      <c r="E348" t="s">
        <v>5</v>
      </c>
      <c r="F348">
        <v>302</v>
      </c>
      <c r="G348" s="3">
        <v>5661.86</v>
      </c>
      <c r="H348" s="3">
        <f>Miami_Retail[[#This Row],[sales_usd]] / Miami_Retail[[#This Row],[customers]]</f>
        <v>18.747880794701985</v>
      </c>
      <c r="I348">
        <v>83.6</v>
      </c>
      <c r="J348">
        <f>(Miami_Retail[[#This Row],[avg_temp_f]]-32) * (5/9)</f>
        <v>28.666666666666664</v>
      </c>
      <c r="K348">
        <v>0</v>
      </c>
      <c r="L348">
        <v>0</v>
      </c>
      <c r="M348">
        <v>49.9</v>
      </c>
      <c r="N348">
        <v>49.5</v>
      </c>
      <c r="O348">
        <v>50.5</v>
      </c>
      <c r="P348">
        <v>42.7</v>
      </c>
      <c r="Q348">
        <v>57.3</v>
      </c>
    </row>
    <row r="349" spans="1:17" x14ac:dyDescent="0.25">
      <c r="A349" s="2">
        <v>45273</v>
      </c>
      <c r="B349" s="2" t="str">
        <f t="shared" si="10"/>
        <v>Wednesday</v>
      </c>
      <c r="C349" s="2" t="b">
        <f t="shared" si="11"/>
        <v>0</v>
      </c>
      <c r="D349">
        <v>1</v>
      </c>
      <c r="E349" t="s">
        <v>5</v>
      </c>
      <c r="F349">
        <v>279</v>
      </c>
      <c r="G349" s="3">
        <v>5048.2</v>
      </c>
      <c r="H349" s="3">
        <f>Miami_Retail[[#This Row],[sales_usd]] / Miami_Retail[[#This Row],[customers]]</f>
        <v>18.093906810035843</v>
      </c>
      <c r="I349">
        <v>78.400000000000006</v>
      </c>
      <c r="J349">
        <f>(Miami_Retail[[#This Row],[avg_temp_f]]-32) * (5/9)</f>
        <v>25.777777777777782</v>
      </c>
      <c r="K349">
        <v>0</v>
      </c>
      <c r="L349">
        <v>0</v>
      </c>
      <c r="M349">
        <v>57</v>
      </c>
      <c r="N349">
        <v>47.9</v>
      </c>
      <c r="O349">
        <v>52.1</v>
      </c>
      <c r="P349">
        <v>43.7</v>
      </c>
      <c r="Q349">
        <v>56.3</v>
      </c>
    </row>
    <row r="350" spans="1:17" x14ac:dyDescent="0.25">
      <c r="A350" s="2">
        <v>45274</v>
      </c>
      <c r="B350" s="2" t="str">
        <f t="shared" si="10"/>
        <v>Thursday</v>
      </c>
      <c r="C350" s="2" t="b">
        <f t="shared" si="11"/>
        <v>0</v>
      </c>
      <c r="D350">
        <v>1</v>
      </c>
      <c r="E350" t="s">
        <v>5</v>
      </c>
      <c r="F350">
        <v>219</v>
      </c>
      <c r="G350" s="3">
        <v>4146.1099999999997</v>
      </c>
      <c r="H350" s="3">
        <f>Miami_Retail[[#This Row],[sales_usd]] / Miami_Retail[[#This Row],[customers]]</f>
        <v>18.932009132420088</v>
      </c>
      <c r="I350">
        <v>78.2</v>
      </c>
      <c r="J350">
        <f>(Miami_Retail[[#This Row],[avg_temp_f]]-32) * (5/9)</f>
        <v>25.666666666666668</v>
      </c>
      <c r="K350">
        <v>0</v>
      </c>
      <c r="L350">
        <v>0</v>
      </c>
      <c r="M350">
        <v>49.2</v>
      </c>
      <c r="N350">
        <v>48.5</v>
      </c>
      <c r="O350">
        <v>51.5</v>
      </c>
      <c r="P350">
        <v>44.5</v>
      </c>
      <c r="Q350">
        <v>55.5</v>
      </c>
    </row>
    <row r="351" spans="1:17" x14ac:dyDescent="0.25">
      <c r="A351" s="2">
        <v>45275</v>
      </c>
      <c r="B351" s="2" t="str">
        <f t="shared" si="10"/>
        <v>Friday</v>
      </c>
      <c r="C351" s="2" t="b">
        <f t="shared" si="11"/>
        <v>0</v>
      </c>
      <c r="D351">
        <v>1</v>
      </c>
      <c r="E351" t="s">
        <v>5</v>
      </c>
      <c r="F351">
        <v>227</v>
      </c>
      <c r="G351" s="3">
        <v>4544.1099999999997</v>
      </c>
      <c r="H351" s="3">
        <f>Miami_Retail[[#This Row],[sales_usd]] / Miami_Retail[[#This Row],[customers]]</f>
        <v>20.018105726872246</v>
      </c>
      <c r="I351">
        <v>73.3</v>
      </c>
      <c r="J351">
        <f>(Miami_Retail[[#This Row],[avg_temp_f]]-32) * (5/9)</f>
        <v>22.944444444444443</v>
      </c>
      <c r="K351">
        <v>0</v>
      </c>
      <c r="L351">
        <v>0</v>
      </c>
      <c r="M351">
        <v>45</v>
      </c>
      <c r="N351">
        <v>47.2</v>
      </c>
      <c r="O351">
        <v>52.8</v>
      </c>
      <c r="P351">
        <v>44.4</v>
      </c>
      <c r="Q351">
        <v>55.6</v>
      </c>
    </row>
    <row r="352" spans="1:17" x14ac:dyDescent="0.25">
      <c r="A352" s="2">
        <v>45276</v>
      </c>
      <c r="B352" s="2" t="str">
        <f t="shared" si="10"/>
        <v>Saturday</v>
      </c>
      <c r="C352" s="2" t="b">
        <f t="shared" si="11"/>
        <v>1</v>
      </c>
      <c r="D352">
        <v>1</v>
      </c>
      <c r="E352" t="s">
        <v>5</v>
      </c>
      <c r="F352">
        <v>315</v>
      </c>
      <c r="G352" s="3">
        <v>5093.63</v>
      </c>
      <c r="H352" s="3">
        <f>Miami_Retail[[#This Row],[sales_usd]] / Miami_Retail[[#This Row],[customers]]</f>
        <v>16.17025396825397</v>
      </c>
      <c r="I352">
        <v>78.3</v>
      </c>
      <c r="J352">
        <f>(Miami_Retail[[#This Row],[avg_temp_f]]-32) * (5/9)</f>
        <v>25.722222222222221</v>
      </c>
      <c r="K352">
        <v>0</v>
      </c>
      <c r="L352">
        <v>0</v>
      </c>
      <c r="M352">
        <v>54.7</v>
      </c>
      <c r="N352">
        <v>50.4</v>
      </c>
      <c r="O352">
        <v>49.6</v>
      </c>
      <c r="P352">
        <v>51.4</v>
      </c>
      <c r="Q352">
        <v>48.6</v>
      </c>
    </row>
    <row r="353" spans="1:17" x14ac:dyDescent="0.25">
      <c r="A353" s="2">
        <v>45277</v>
      </c>
      <c r="B353" s="2" t="str">
        <f t="shared" si="10"/>
        <v>Sunday</v>
      </c>
      <c r="C353" s="2" t="b">
        <f t="shared" si="11"/>
        <v>1</v>
      </c>
      <c r="D353">
        <v>1</v>
      </c>
      <c r="E353" t="s">
        <v>5</v>
      </c>
      <c r="F353">
        <v>285</v>
      </c>
      <c r="G353" s="3">
        <v>5302.86</v>
      </c>
      <c r="H353" s="3">
        <f>Miami_Retail[[#This Row],[sales_usd]] / Miami_Retail[[#This Row],[customers]]</f>
        <v>18.606526315789473</v>
      </c>
      <c r="I353">
        <v>74.900000000000006</v>
      </c>
      <c r="J353">
        <f>(Miami_Retail[[#This Row],[avg_temp_f]]-32) * (5/9)</f>
        <v>23.833333333333339</v>
      </c>
      <c r="K353">
        <v>0.45</v>
      </c>
      <c r="L353">
        <v>1</v>
      </c>
      <c r="M353">
        <v>53.7</v>
      </c>
      <c r="N353">
        <v>47.2</v>
      </c>
      <c r="O353">
        <v>52.8</v>
      </c>
      <c r="P353">
        <v>51.1</v>
      </c>
      <c r="Q353">
        <v>48.9</v>
      </c>
    </row>
    <row r="354" spans="1:17" x14ac:dyDescent="0.25">
      <c r="A354" s="2">
        <v>45278</v>
      </c>
      <c r="B354" s="2" t="str">
        <f t="shared" si="10"/>
        <v>Monday</v>
      </c>
      <c r="C354" s="2" t="b">
        <f t="shared" si="11"/>
        <v>0</v>
      </c>
      <c r="D354">
        <v>1</v>
      </c>
      <c r="E354" t="s">
        <v>5</v>
      </c>
      <c r="F354">
        <v>215</v>
      </c>
      <c r="G354" s="3">
        <v>4115.13</v>
      </c>
      <c r="H354" s="3">
        <f>Miami_Retail[[#This Row],[sales_usd]] / Miami_Retail[[#This Row],[customers]]</f>
        <v>19.140139534883723</v>
      </c>
      <c r="I354">
        <v>69.900000000000006</v>
      </c>
      <c r="J354">
        <f>(Miami_Retail[[#This Row],[avg_temp_f]]-32) * (5/9)</f>
        <v>21.055555555555561</v>
      </c>
      <c r="K354">
        <v>0</v>
      </c>
      <c r="L354">
        <v>0</v>
      </c>
      <c r="M354">
        <v>44</v>
      </c>
      <c r="N354">
        <v>47.4</v>
      </c>
      <c r="O354">
        <v>52.6</v>
      </c>
      <c r="P354">
        <v>45.5</v>
      </c>
      <c r="Q354">
        <v>54.5</v>
      </c>
    </row>
    <row r="355" spans="1:17" x14ac:dyDescent="0.25">
      <c r="A355" s="2">
        <v>45279</v>
      </c>
      <c r="B355" s="2" t="str">
        <f t="shared" si="10"/>
        <v>Tuesday</v>
      </c>
      <c r="C355" s="2" t="b">
        <f t="shared" si="11"/>
        <v>0</v>
      </c>
      <c r="D355">
        <v>1</v>
      </c>
      <c r="E355" t="s">
        <v>5</v>
      </c>
      <c r="F355">
        <v>234</v>
      </c>
      <c r="G355" s="3">
        <v>4485.12</v>
      </c>
      <c r="H355" s="3">
        <f>Miami_Retail[[#This Row],[sales_usd]] / Miami_Retail[[#This Row],[customers]]</f>
        <v>19.167179487179485</v>
      </c>
      <c r="I355">
        <v>76</v>
      </c>
      <c r="J355">
        <f>(Miami_Retail[[#This Row],[avg_temp_f]]-32) * (5/9)</f>
        <v>24.444444444444446</v>
      </c>
      <c r="K355">
        <v>0</v>
      </c>
      <c r="L355">
        <v>0</v>
      </c>
      <c r="M355">
        <v>54.3</v>
      </c>
      <c r="N355">
        <v>48.2</v>
      </c>
      <c r="O355">
        <v>51.8</v>
      </c>
      <c r="P355">
        <v>43.5</v>
      </c>
      <c r="Q355">
        <v>56.5</v>
      </c>
    </row>
    <row r="356" spans="1:17" x14ac:dyDescent="0.25">
      <c r="A356" s="2">
        <v>45280</v>
      </c>
      <c r="B356" s="2" t="str">
        <f t="shared" si="10"/>
        <v>Wednesday</v>
      </c>
      <c r="C356" s="2" t="b">
        <f t="shared" si="11"/>
        <v>0</v>
      </c>
      <c r="D356">
        <v>1</v>
      </c>
      <c r="E356" t="s">
        <v>5</v>
      </c>
      <c r="F356">
        <v>290</v>
      </c>
      <c r="G356" s="3">
        <v>5598.24</v>
      </c>
      <c r="H356" s="3">
        <f>Miami_Retail[[#This Row],[sales_usd]] / Miami_Retail[[#This Row],[customers]]</f>
        <v>19.304275862068966</v>
      </c>
      <c r="I356">
        <v>76.900000000000006</v>
      </c>
      <c r="J356">
        <f>(Miami_Retail[[#This Row],[avg_temp_f]]-32) * (5/9)</f>
        <v>24.94444444444445</v>
      </c>
      <c r="K356">
        <v>0</v>
      </c>
      <c r="L356">
        <v>0</v>
      </c>
      <c r="M356">
        <v>52</v>
      </c>
      <c r="N356">
        <v>48.7</v>
      </c>
      <c r="O356">
        <v>51.3</v>
      </c>
      <c r="P356">
        <v>43.2</v>
      </c>
      <c r="Q356">
        <v>56.8</v>
      </c>
    </row>
    <row r="357" spans="1:17" x14ac:dyDescent="0.25">
      <c r="A357" s="2">
        <v>45281</v>
      </c>
      <c r="B357" s="2" t="str">
        <f t="shared" si="10"/>
        <v>Thursday</v>
      </c>
      <c r="C357" s="2" t="b">
        <f t="shared" si="11"/>
        <v>0</v>
      </c>
      <c r="D357">
        <v>1</v>
      </c>
      <c r="E357" t="s">
        <v>5</v>
      </c>
      <c r="F357">
        <v>230</v>
      </c>
      <c r="G357" s="3">
        <v>4008.45</v>
      </c>
      <c r="H357" s="3">
        <f>Miami_Retail[[#This Row],[sales_usd]] / Miami_Retail[[#This Row],[customers]]</f>
        <v>17.428043478260868</v>
      </c>
      <c r="I357">
        <v>79.2</v>
      </c>
      <c r="J357">
        <f>(Miami_Retail[[#This Row],[avg_temp_f]]-32) * (5/9)</f>
        <v>26.222222222222225</v>
      </c>
      <c r="K357">
        <v>2.35</v>
      </c>
      <c r="L357">
        <v>1</v>
      </c>
      <c r="M357">
        <v>47.7</v>
      </c>
      <c r="N357">
        <v>48.9</v>
      </c>
      <c r="O357">
        <v>51.1</v>
      </c>
      <c r="P357">
        <v>43</v>
      </c>
      <c r="Q357">
        <v>57</v>
      </c>
    </row>
    <row r="358" spans="1:17" x14ac:dyDescent="0.25">
      <c r="A358" s="2">
        <v>45282</v>
      </c>
      <c r="B358" s="2" t="str">
        <f t="shared" si="10"/>
        <v>Friday</v>
      </c>
      <c r="C358" s="2" t="b">
        <f t="shared" si="11"/>
        <v>0</v>
      </c>
      <c r="D358">
        <v>1</v>
      </c>
      <c r="E358" t="s">
        <v>5</v>
      </c>
      <c r="F358">
        <v>268</v>
      </c>
      <c r="G358" s="3">
        <v>4949.34</v>
      </c>
      <c r="H358" s="3">
        <f>Miami_Retail[[#This Row],[sales_usd]] / Miami_Retail[[#This Row],[customers]]</f>
        <v>18.467686567164179</v>
      </c>
      <c r="I358">
        <v>75.400000000000006</v>
      </c>
      <c r="J358">
        <f>(Miami_Retail[[#This Row],[avg_temp_f]]-32) * (5/9)</f>
        <v>24.111111111111114</v>
      </c>
      <c r="K358">
        <v>0</v>
      </c>
      <c r="L358">
        <v>0</v>
      </c>
      <c r="M358">
        <v>35</v>
      </c>
      <c r="N358">
        <v>48.2</v>
      </c>
      <c r="O358">
        <v>51.8</v>
      </c>
      <c r="P358">
        <v>45.2</v>
      </c>
      <c r="Q358">
        <v>54.8</v>
      </c>
    </row>
    <row r="359" spans="1:17" x14ac:dyDescent="0.25">
      <c r="A359" s="2">
        <v>45283</v>
      </c>
      <c r="B359" s="2" t="str">
        <f t="shared" si="10"/>
        <v>Saturday</v>
      </c>
      <c r="C359" s="2" t="b">
        <f t="shared" si="11"/>
        <v>1</v>
      </c>
      <c r="D359">
        <v>1</v>
      </c>
      <c r="E359" t="s">
        <v>5</v>
      </c>
      <c r="F359">
        <v>280</v>
      </c>
      <c r="G359" s="3">
        <v>4947.78</v>
      </c>
      <c r="H359" s="3">
        <f>Miami_Retail[[#This Row],[sales_usd]] / Miami_Retail[[#This Row],[customers]]</f>
        <v>17.670642857142855</v>
      </c>
      <c r="I359">
        <v>77.3</v>
      </c>
      <c r="J359">
        <f>(Miami_Retail[[#This Row],[avg_temp_f]]-32) * (5/9)</f>
        <v>25.166666666666668</v>
      </c>
      <c r="K359">
        <v>0</v>
      </c>
      <c r="L359">
        <v>0</v>
      </c>
      <c r="M359">
        <v>51</v>
      </c>
      <c r="N359">
        <v>50.3</v>
      </c>
      <c r="O359">
        <v>49.7</v>
      </c>
      <c r="P359">
        <v>50.7</v>
      </c>
      <c r="Q359">
        <v>49.3</v>
      </c>
    </row>
    <row r="360" spans="1:17" x14ac:dyDescent="0.25">
      <c r="A360" s="2">
        <v>45284</v>
      </c>
      <c r="B360" s="2" t="str">
        <f t="shared" si="10"/>
        <v>Sunday</v>
      </c>
      <c r="C360" s="2" t="b">
        <f t="shared" si="11"/>
        <v>1</v>
      </c>
      <c r="D360">
        <v>1</v>
      </c>
      <c r="E360" t="s">
        <v>5</v>
      </c>
      <c r="F360">
        <v>261</v>
      </c>
      <c r="G360" s="3">
        <v>4378.29</v>
      </c>
      <c r="H360" s="3">
        <f>Miami_Retail[[#This Row],[sales_usd]] / Miami_Retail[[#This Row],[customers]]</f>
        <v>16.775057471264368</v>
      </c>
      <c r="I360">
        <v>70.8</v>
      </c>
      <c r="J360">
        <f>(Miami_Retail[[#This Row],[avg_temp_f]]-32) * (5/9)</f>
        <v>21.555555555555554</v>
      </c>
      <c r="K360">
        <v>0</v>
      </c>
      <c r="L360">
        <v>0</v>
      </c>
      <c r="M360">
        <v>49</v>
      </c>
      <c r="N360">
        <v>49.6</v>
      </c>
      <c r="O360">
        <v>50.4</v>
      </c>
      <c r="P360">
        <v>49.6</v>
      </c>
      <c r="Q360">
        <v>50.4</v>
      </c>
    </row>
    <row r="361" spans="1:17" x14ac:dyDescent="0.25">
      <c r="A361" s="2">
        <v>45285</v>
      </c>
      <c r="B361" s="2" t="str">
        <f t="shared" si="10"/>
        <v>Monday</v>
      </c>
      <c r="C361" s="2" t="b">
        <f t="shared" si="11"/>
        <v>0</v>
      </c>
      <c r="D361">
        <v>1</v>
      </c>
      <c r="E361" t="s">
        <v>5</v>
      </c>
      <c r="F361">
        <v>251</v>
      </c>
      <c r="G361" s="3">
        <v>4865.9399999999996</v>
      </c>
      <c r="H361" s="3">
        <f>Miami_Retail[[#This Row],[sales_usd]] / Miami_Retail[[#This Row],[customers]]</f>
        <v>19.386215139442228</v>
      </c>
      <c r="I361">
        <v>80.8</v>
      </c>
      <c r="J361">
        <f>(Miami_Retail[[#This Row],[avg_temp_f]]-32) * (5/9)</f>
        <v>27.111111111111111</v>
      </c>
      <c r="K361">
        <v>0</v>
      </c>
      <c r="L361">
        <v>0</v>
      </c>
      <c r="M361">
        <v>50.1</v>
      </c>
      <c r="N361">
        <v>47.7</v>
      </c>
      <c r="O361">
        <v>52.3</v>
      </c>
      <c r="P361">
        <v>44.9</v>
      </c>
      <c r="Q361">
        <v>55.1</v>
      </c>
    </row>
    <row r="362" spans="1:17" x14ac:dyDescent="0.25">
      <c r="A362" s="2">
        <v>45286</v>
      </c>
      <c r="B362" s="2" t="str">
        <f t="shared" si="10"/>
        <v>Tuesday</v>
      </c>
      <c r="C362" s="2" t="b">
        <f t="shared" si="11"/>
        <v>0</v>
      </c>
      <c r="D362">
        <v>1</v>
      </c>
      <c r="E362" t="s">
        <v>5</v>
      </c>
      <c r="F362">
        <v>197</v>
      </c>
      <c r="G362" s="3">
        <v>3749.65</v>
      </c>
      <c r="H362" s="3">
        <f>Miami_Retail[[#This Row],[sales_usd]] / Miami_Retail[[#This Row],[customers]]</f>
        <v>19.033756345177665</v>
      </c>
      <c r="I362">
        <v>69.8</v>
      </c>
      <c r="J362">
        <f>(Miami_Retail[[#This Row],[avg_temp_f]]-32) * (5/9)</f>
        <v>21</v>
      </c>
      <c r="K362">
        <v>0</v>
      </c>
      <c r="L362">
        <v>0</v>
      </c>
      <c r="M362">
        <v>48.9</v>
      </c>
      <c r="N362">
        <v>47.2</v>
      </c>
      <c r="O362">
        <v>52.8</v>
      </c>
      <c r="P362">
        <v>43.5</v>
      </c>
      <c r="Q362">
        <v>56.5</v>
      </c>
    </row>
    <row r="363" spans="1:17" x14ac:dyDescent="0.25">
      <c r="A363" s="2">
        <v>45287</v>
      </c>
      <c r="B363" s="2" t="str">
        <f t="shared" si="10"/>
        <v>Wednesday</v>
      </c>
      <c r="C363" s="2" t="b">
        <f t="shared" si="11"/>
        <v>0</v>
      </c>
      <c r="D363">
        <v>1</v>
      </c>
      <c r="E363" t="s">
        <v>5</v>
      </c>
      <c r="F363">
        <v>268</v>
      </c>
      <c r="G363" s="3">
        <v>5522.61</v>
      </c>
      <c r="H363" s="3">
        <f>Miami_Retail[[#This Row],[sales_usd]] / Miami_Retail[[#This Row],[customers]]</f>
        <v>20.606753731343282</v>
      </c>
      <c r="I363">
        <v>80.099999999999994</v>
      </c>
      <c r="J363">
        <f>(Miami_Retail[[#This Row],[avg_temp_f]]-32) * (5/9)</f>
        <v>26.722222222222221</v>
      </c>
      <c r="K363">
        <v>0</v>
      </c>
      <c r="L363">
        <v>0</v>
      </c>
      <c r="M363">
        <v>53.3</v>
      </c>
      <c r="N363">
        <v>49.1</v>
      </c>
      <c r="O363">
        <v>50.9</v>
      </c>
      <c r="P363">
        <v>45</v>
      </c>
      <c r="Q363">
        <v>55</v>
      </c>
    </row>
    <row r="364" spans="1:17" x14ac:dyDescent="0.25">
      <c r="A364" s="2">
        <v>45288</v>
      </c>
      <c r="B364" s="2" t="str">
        <f t="shared" si="10"/>
        <v>Thursday</v>
      </c>
      <c r="C364" s="2" t="b">
        <f t="shared" si="11"/>
        <v>0</v>
      </c>
      <c r="D364">
        <v>1</v>
      </c>
      <c r="E364" t="s">
        <v>5</v>
      </c>
      <c r="F364">
        <v>187</v>
      </c>
      <c r="G364" s="3">
        <v>3298.56</v>
      </c>
      <c r="H364" s="3">
        <f>Miami_Retail[[#This Row],[sales_usd]] / Miami_Retail[[#This Row],[customers]]</f>
        <v>17.639358288770055</v>
      </c>
      <c r="I364">
        <v>75.099999999999994</v>
      </c>
      <c r="J364">
        <f>(Miami_Retail[[#This Row],[avg_temp_f]]-32) * (5/9)</f>
        <v>23.944444444444443</v>
      </c>
      <c r="K364">
        <v>0</v>
      </c>
      <c r="L364">
        <v>0</v>
      </c>
      <c r="M364">
        <v>53.3</v>
      </c>
      <c r="N364">
        <v>48.8</v>
      </c>
      <c r="O364">
        <v>51.2</v>
      </c>
      <c r="P364">
        <v>44.5</v>
      </c>
      <c r="Q364">
        <v>55.5</v>
      </c>
    </row>
    <row r="365" spans="1:17" x14ac:dyDescent="0.25">
      <c r="A365" s="2">
        <v>45289</v>
      </c>
      <c r="B365" s="2" t="str">
        <f t="shared" si="10"/>
        <v>Friday</v>
      </c>
      <c r="C365" s="2" t="b">
        <f t="shared" si="11"/>
        <v>0</v>
      </c>
      <c r="D365">
        <v>1</v>
      </c>
      <c r="E365" t="s">
        <v>5</v>
      </c>
      <c r="F365">
        <v>253</v>
      </c>
      <c r="G365" s="3">
        <v>5082.57</v>
      </c>
      <c r="H365" s="3">
        <f>Miami_Retail[[#This Row],[sales_usd]] / Miami_Retail[[#This Row],[customers]]</f>
        <v>20.089209486166006</v>
      </c>
      <c r="I365">
        <v>72.900000000000006</v>
      </c>
      <c r="J365">
        <f>(Miami_Retail[[#This Row],[avg_temp_f]]-32) * (5/9)</f>
        <v>22.722222222222225</v>
      </c>
      <c r="K365">
        <v>0</v>
      </c>
      <c r="L365">
        <v>0</v>
      </c>
      <c r="M365">
        <v>47.4</v>
      </c>
      <c r="N365">
        <v>48.1</v>
      </c>
      <c r="O365">
        <v>51.9</v>
      </c>
      <c r="P365">
        <v>43.5</v>
      </c>
      <c r="Q365">
        <v>56.5</v>
      </c>
    </row>
    <row r="366" spans="1:17" x14ac:dyDescent="0.25">
      <c r="A366" s="2">
        <v>45290</v>
      </c>
      <c r="B366" s="2" t="str">
        <f t="shared" si="10"/>
        <v>Saturday</v>
      </c>
      <c r="C366" s="2" t="b">
        <f t="shared" si="11"/>
        <v>1</v>
      </c>
      <c r="D366">
        <v>1</v>
      </c>
      <c r="E366" t="s">
        <v>5</v>
      </c>
      <c r="F366">
        <v>283</v>
      </c>
      <c r="G366" s="3">
        <v>5336.93</v>
      </c>
      <c r="H366" s="3">
        <f>Miami_Retail[[#This Row],[sales_usd]] / Miami_Retail[[#This Row],[customers]]</f>
        <v>18.858409893992935</v>
      </c>
      <c r="I366">
        <v>75.099999999999994</v>
      </c>
      <c r="J366">
        <f>(Miami_Retail[[#This Row],[avg_temp_f]]-32) * (5/9)</f>
        <v>23.944444444444443</v>
      </c>
      <c r="K366">
        <v>0</v>
      </c>
      <c r="L366">
        <v>0</v>
      </c>
      <c r="M366">
        <v>40.5</v>
      </c>
      <c r="N366">
        <v>50.2</v>
      </c>
      <c r="O366">
        <v>49.8</v>
      </c>
      <c r="P366">
        <v>49.9</v>
      </c>
      <c r="Q366">
        <v>50.1</v>
      </c>
    </row>
    <row r="367" spans="1:17" x14ac:dyDescent="0.25">
      <c r="A367" s="2">
        <v>45291</v>
      </c>
      <c r="B367" s="2" t="str">
        <f t="shared" si="10"/>
        <v>Sunday</v>
      </c>
      <c r="C367" s="2" t="b">
        <f t="shared" si="11"/>
        <v>1</v>
      </c>
      <c r="D367">
        <v>1</v>
      </c>
      <c r="E367" t="s">
        <v>5</v>
      </c>
      <c r="F367">
        <v>267</v>
      </c>
      <c r="G367" s="3">
        <v>4660.6899999999996</v>
      </c>
      <c r="H367" s="3">
        <f>Miami_Retail[[#This Row],[sales_usd]] / Miami_Retail[[#This Row],[customers]]</f>
        <v>17.455767790262172</v>
      </c>
      <c r="I367">
        <v>77.2</v>
      </c>
      <c r="J367">
        <f>(Miami_Retail[[#This Row],[avg_temp_f]]-32) * (5/9)</f>
        <v>25.111111111111114</v>
      </c>
      <c r="K367">
        <v>0</v>
      </c>
      <c r="L367">
        <v>0</v>
      </c>
      <c r="M367">
        <v>37.799999999999997</v>
      </c>
      <c r="N367">
        <v>49</v>
      </c>
      <c r="O367">
        <v>51</v>
      </c>
      <c r="P367">
        <v>49.5</v>
      </c>
      <c r="Q367">
        <v>50.5</v>
      </c>
    </row>
    <row r="368" spans="1:17" x14ac:dyDescent="0.25">
      <c r="A368" s="2">
        <v>45292</v>
      </c>
      <c r="B368" s="2" t="str">
        <f t="shared" si="10"/>
        <v>Monday</v>
      </c>
      <c r="C368" s="2" t="b">
        <f t="shared" si="11"/>
        <v>0</v>
      </c>
      <c r="D368">
        <v>1</v>
      </c>
      <c r="E368" t="s">
        <v>5</v>
      </c>
      <c r="F368">
        <v>224</v>
      </c>
      <c r="G368" s="3">
        <v>3936.85</v>
      </c>
      <c r="H368" s="3">
        <f>Miami_Retail[[#This Row],[sales_usd]] / Miami_Retail[[#This Row],[customers]]</f>
        <v>17.575223214285714</v>
      </c>
      <c r="I368">
        <v>74.400000000000006</v>
      </c>
      <c r="J368">
        <f>(Miami_Retail[[#This Row],[avg_temp_f]]-32) * (5/9)</f>
        <v>23.555555555555561</v>
      </c>
      <c r="K368">
        <v>0.67</v>
      </c>
      <c r="L368">
        <v>1</v>
      </c>
      <c r="M368">
        <v>49.5</v>
      </c>
      <c r="N368">
        <v>46.7</v>
      </c>
      <c r="O368">
        <v>53.3</v>
      </c>
      <c r="P368">
        <v>45.3</v>
      </c>
      <c r="Q368">
        <v>54.7</v>
      </c>
    </row>
    <row r="369" spans="1:17" x14ac:dyDescent="0.25">
      <c r="A369" s="2">
        <v>45293</v>
      </c>
      <c r="B369" s="2" t="str">
        <f t="shared" si="10"/>
        <v>Tuesday</v>
      </c>
      <c r="C369" s="2" t="b">
        <f t="shared" si="11"/>
        <v>0</v>
      </c>
      <c r="D369">
        <v>1</v>
      </c>
      <c r="E369" t="s">
        <v>5</v>
      </c>
      <c r="F369">
        <v>241</v>
      </c>
      <c r="G369" s="3">
        <v>4388.3900000000003</v>
      </c>
      <c r="H369" s="3">
        <f>Miami_Retail[[#This Row],[sales_usd]] / Miami_Retail[[#This Row],[customers]]</f>
        <v>18.209087136929462</v>
      </c>
      <c r="I369">
        <v>73.900000000000006</v>
      </c>
      <c r="J369">
        <f>(Miami_Retail[[#This Row],[avg_temp_f]]-32) * (5/9)</f>
        <v>23.277777777777782</v>
      </c>
      <c r="K369">
        <v>0</v>
      </c>
      <c r="L369">
        <v>0</v>
      </c>
      <c r="M369">
        <v>45.8</v>
      </c>
      <c r="N369">
        <v>47.2</v>
      </c>
      <c r="O369">
        <v>52.8</v>
      </c>
      <c r="P369">
        <v>45.2</v>
      </c>
      <c r="Q369">
        <v>54.8</v>
      </c>
    </row>
    <row r="370" spans="1:17" x14ac:dyDescent="0.25">
      <c r="A370" s="2">
        <v>45294</v>
      </c>
      <c r="B370" s="2" t="str">
        <f t="shared" si="10"/>
        <v>Wednesday</v>
      </c>
      <c r="C370" s="2" t="b">
        <f t="shared" si="11"/>
        <v>0</v>
      </c>
      <c r="D370">
        <v>1</v>
      </c>
      <c r="E370" t="s">
        <v>5</v>
      </c>
      <c r="F370">
        <v>230</v>
      </c>
      <c r="G370" s="3">
        <v>4218.71</v>
      </c>
      <c r="H370" s="3">
        <f>Miami_Retail[[#This Row],[sales_usd]] / Miami_Retail[[#This Row],[customers]]</f>
        <v>18.342217391304349</v>
      </c>
      <c r="I370">
        <v>72.5</v>
      </c>
      <c r="J370">
        <f>(Miami_Retail[[#This Row],[avg_temp_f]]-32) * (5/9)</f>
        <v>22.5</v>
      </c>
      <c r="K370">
        <v>0.04</v>
      </c>
      <c r="L370">
        <v>1</v>
      </c>
      <c r="M370">
        <v>38.299999999999997</v>
      </c>
      <c r="N370">
        <v>48.8</v>
      </c>
      <c r="O370">
        <v>51.2</v>
      </c>
      <c r="P370">
        <v>44.3</v>
      </c>
      <c r="Q370">
        <v>55.7</v>
      </c>
    </row>
    <row r="371" spans="1:17" x14ac:dyDescent="0.25">
      <c r="A371" s="2">
        <v>45295</v>
      </c>
      <c r="B371" s="2" t="str">
        <f t="shared" si="10"/>
        <v>Thursday</v>
      </c>
      <c r="C371" s="2" t="b">
        <f t="shared" si="11"/>
        <v>0</v>
      </c>
      <c r="D371">
        <v>1</v>
      </c>
      <c r="E371" t="s">
        <v>5</v>
      </c>
      <c r="F371">
        <v>221</v>
      </c>
      <c r="G371" s="3">
        <v>4057.52</v>
      </c>
      <c r="H371" s="3">
        <f>Miami_Retail[[#This Row],[sales_usd]] / Miami_Retail[[#This Row],[customers]]</f>
        <v>18.359819004524887</v>
      </c>
      <c r="I371">
        <v>73.8</v>
      </c>
      <c r="J371">
        <f>(Miami_Retail[[#This Row],[avg_temp_f]]-32) * (5/9)</f>
        <v>23.222222222222221</v>
      </c>
      <c r="K371">
        <v>1.57</v>
      </c>
      <c r="L371">
        <v>1</v>
      </c>
      <c r="M371">
        <v>43.7</v>
      </c>
      <c r="N371">
        <v>50.4</v>
      </c>
      <c r="O371">
        <v>49.6</v>
      </c>
      <c r="P371">
        <v>45.4</v>
      </c>
      <c r="Q371">
        <v>54.6</v>
      </c>
    </row>
    <row r="372" spans="1:17" x14ac:dyDescent="0.25">
      <c r="A372" s="2">
        <v>45296</v>
      </c>
      <c r="B372" s="2" t="str">
        <f t="shared" si="10"/>
        <v>Friday</v>
      </c>
      <c r="C372" s="2" t="b">
        <f t="shared" si="11"/>
        <v>0</v>
      </c>
      <c r="D372">
        <v>1</v>
      </c>
      <c r="E372" t="s">
        <v>5</v>
      </c>
      <c r="F372">
        <v>242</v>
      </c>
      <c r="G372" s="3">
        <v>4407.95</v>
      </c>
      <c r="H372" s="3">
        <f>Miami_Retail[[#This Row],[sales_usd]] / Miami_Retail[[#This Row],[customers]]</f>
        <v>18.214669421487603</v>
      </c>
      <c r="I372">
        <v>69</v>
      </c>
      <c r="J372">
        <f>(Miami_Retail[[#This Row],[avg_temp_f]]-32) * (5/9)</f>
        <v>20.555555555555557</v>
      </c>
      <c r="K372">
        <v>0</v>
      </c>
      <c r="L372">
        <v>0</v>
      </c>
      <c r="M372">
        <v>46.6</v>
      </c>
      <c r="N372">
        <v>49.6</v>
      </c>
      <c r="O372">
        <v>50.4</v>
      </c>
      <c r="P372">
        <v>44.2</v>
      </c>
      <c r="Q372">
        <v>55.8</v>
      </c>
    </row>
    <row r="373" spans="1:17" x14ac:dyDescent="0.25">
      <c r="A373" s="2">
        <v>45297</v>
      </c>
      <c r="B373" s="2" t="str">
        <f t="shared" si="10"/>
        <v>Saturday</v>
      </c>
      <c r="C373" s="2" t="b">
        <f t="shared" si="11"/>
        <v>1</v>
      </c>
      <c r="D373">
        <v>1</v>
      </c>
      <c r="E373" t="s">
        <v>5</v>
      </c>
      <c r="F373">
        <v>296</v>
      </c>
      <c r="G373" s="3">
        <v>5852.98</v>
      </c>
      <c r="H373" s="3">
        <f>Miami_Retail[[#This Row],[sales_usd]] / Miami_Retail[[#This Row],[customers]]</f>
        <v>19.77358108108108</v>
      </c>
      <c r="I373">
        <v>77.599999999999994</v>
      </c>
      <c r="J373">
        <f>(Miami_Retail[[#This Row],[avg_temp_f]]-32) * (5/9)</f>
        <v>25.333333333333332</v>
      </c>
      <c r="K373">
        <v>0</v>
      </c>
      <c r="L373">
        <v>0</v>
      </c>
      <c r="M373">
        <v>45.5</v>
      </c>
      <c r="N373">
        <v>50.2</v>
      </c>
      <c r="O373">
        <v>49.8</v>
      </c>
      <c r="P373">
        <v>52.1</v>
      </c>
      <c r="Q373">
        <v>47.9</v>
      </c>
    </row>
    <row r="374" spans="1:17" x14ac:dyDescent="0.25">
      <c r="A374" s="2">
        <v>45298</v>
      </c>
      <c r="B374" s="2" t="str">
        <f t="shared" si="10"/>
        <v>Sunday</v>
      </c>
      <c r="C374" s="2" t="b">
        <f t="shared" si="11"/>
        <v>1</v>
      </c>
      <c r="D374">
        <v>1</v>
      </c>
      <c r="E374" t="s">
        <v>5</v>
      </c>
      <c r="F374">
        <v>285</v>
      </c>
      <c r="G374" s="3">
        <v>5750.89</v>
      </c>
      <c r="H374" s="3">
        <f>Miami_Retail[[#This Row],[sales_usd]] / Miami_Retail[[#This Row],[customers]]</f>
        <v>20.178561403508773</v>
      </c>
      <c r="I374">
        <v>76.099999999999994</v>
      </c>
      <c r="J374">
        <f>(Miami_Retail[[#This Row],[avg_temp_f]]-32) * (5/9)</f>
        <v>24.499999999999996</v>
      </c>
      <c r="K374">
        <v>0</v>
      </c>
      <c r="L374">
        <v>0</v>
      </c>
      <c r="M374">
        <v>46.8</v>
      </c>
      <c r="N374">
        <v>49.8</v>
      </c>
      <c r="O374">
        <v>50.2</v>
      </c>
      <c r="P374">
        <v>50.3</v>
      </c>
      <c r="Q374">
        <v>49.7</v>
      </c>
    </row>
    <row r="375" spans="1:17" x14ac:dyDescent="0.25">
      <c r="A375" s="2">
        <v>45299</v>
      </c>
      <c r="B375" s="2" t="str">
        <f t="shared" si="10"/>
        <v>Monday</v>
      </c>
      <c r="C375" s="2" t="b">
        <f t="shared" si="11"/>
        <v>0</v>
      </c>
      <c r="D375">
        <v>1</v>
      </c>
      <c r="E375" t="s">
        <v>5</v>
      </c>
      <c r="F375">
        <v>213</v>
      </c>
      <c r="G375" s="3">
        <v>3858.66</v>
      </c>
      <c r="H375" s="3">
        <f>Miami_Retail[[#This Row],[sales_usd]] / Miami_Retail[[#This Row],[customers]]</f>
        <v>18.115774647887324</v>
      </c>
      <c r="I375">
        <v>71.8</v>
      </c>
      <c r="J375">
        <f>(Miami_Retail[[#This Row],[avg_temp_f]]-32) * (5/9)</f>
        <v>22.111111111111111</v>
      </c>
      <c r="K375">
        <v>0</v>
      </c>
      <c r="L375">
        <v>0</v>
      </c>
      <c r="M375">
        <v>41.8</v>
      </c>
      <c r="N375">
        <v>49.6</v>
      </c>
      <c r="O375">
        <v>50.4</v>
      </c>
      <c r="P375">
        <v>45.4</v>
      </c>
      <c r="Q375">
        <v>54.6</v>
      </c>
    </row>
    <row r="376" spans="1:17" x14ac:dyDescent="0.25">
      <c r="A376" s="2">
        <v>45300</v>
      </c>
      <c r="B376" s="2" t="str">
        <f t="shared" si="10"/>
        <v>Tuesday</v>
      </c>
      <c r="C376" s="2" t="b">
        <f t="shared" si="11"/>
        <v>0</v>
      </c>
      <c r="D376">
        <v>1</v>
      </c>
      <c r="E376" t="s">
        <v>5</v>
      </c>
      <c r="F376">
        <v>250</v>
      </c>
      <c r="G376" s="3">
        <v>4349.91</v>
      </c>
      <c r="H376" s="3">
        <f>Miami_Retail[[#This Row],[sales_usd]] / Miami_Retail[[#This Row],[customers]]</f>
        <v>17.399639999999998</v>
      </c>
      <c r="I376">
        <v>76.400000000000006</v>
      </c>
      <c r="J376">
        <f>(Miami_Retail[[#This Row],[avg_temp_f]]-32) * (5/9)</f>
        <v>24.666666666666671</v>
      </c>
      <c r="K376">
        <v>0</v>
      </c>
      <c r="L376">
        <v>0</v>
      </c>
      <c r="M376">
        <v>51.6</v>
      </c>
      <c r="N376">
        <v>48.8</v>
      </c>
      <c r="O376">
        <v>51.2</v>
      </c>
      <c r="P376">
        <v>44.4</v>
      </c>
      <c r="Q376">
        <v>55.6</v>
      </c>
    </row>
    <row r="377" spans="1:17" x14ac:dyDescent="0.25">
      <c r="A377" s="2">
        <v>45301</v>
      </c>
      <c r="B377" s="2" t="str">
        <f t="shared" si="10"/>
        <v>Wednesday</v>
      </c>
      <c r="C377" s="2" t="b">
        <f t="shared" si="11"/>
        <v>0</v>
      </c>
      <c r="D377">
        <v>1</v>
      </c>
      <c r="E377" t="s">
        <v>5</v>
      </c>
      <c r="F377">
        <v>271</v>
      </c>
      <c r="G377" s="3">
        <v>5034.05</v>
      </c>
      <c r="H377" s="3">
        <f>Miami_Retail[[#This Row],[sales_usd]] / Miami_Retail[[#This Row],[customers]]</f>
        <v>18.575830258302584</v>
      </c>
      <c r="I377">
        <v>76.099999999999994</v>
      </c>
      <c r="J377">
        <f>(Miami_Retail[[#This Row],[avg_temp_f]]-32) * (5/9)</f>
        <v>24.499999999999996</v>
      </c>
      <c r="K377">
        <v>0</v>
      </c>
      <c r="L377">
        <v>0</v>
      </c>
      <c r="M377">
        <v>35.1</v>
      </c>
      <c r="N377">
        <v>48.3</v>
      </c>
      <c r="O377">
        <v>51.7</v>
      </c>
      <c r="P377">
        <v>44.8</v>
      </c>
      <c r="Q377">
        <v>55.2</v>
      </c>
    </row>
    <row r="378" spans="1:17" x14ac:dyDescent="0.25">
      <c r="A378" s="2">
        <v>45302</v>
      </c>
      <c r="B378" s="2" t="str">
        <f t="shared" si="10"/>
        <v>Thursday</v>
      </c>
      <c r="C378" s="2" t="b">
        <f t="shared" si="11"/>
        <v>0</v>
      </c>
      <c r="D378">
        <v>1</v>
      </c>
      <c r="E378" t="s">
        <v>5</v>
      </c>
      <c r="F378">
        <v>236</v>
      </c>
      <c r="G378" s="3">
        <v>4136.0200000000004</v>
      </c>
      <c r="H378" s="3">
        <f>Miami_Retail[[#This Row],[sales_usd]] / Miami_Retail[[#This Row],[customers]]</f>
        <v>17.525508474576274</v>
      </c>
      <c r="I378">
        <v>74.900000000000006</v>
      </c>
      <c r="J378">
        <f>(Miami_Retail[[#This Row],[avg_temp_f]]-32) * (5/9)</f>
        <v>23.833333333333339</v>
      </c>
      <c r="K378">
        <v>0.08</v>
      </c>
      <c r="L378">
        <v>1</v>
      </c>
      <c r="M378">
        <v>39.200000000000003</v>
      </c>
      <c r="N378">
        <v>50.5</v>
      </c>
      <c r="O378">
        <v>49.5</v>
      </c>
      <c r="P378">
        <v>43</v>
      </c>
      <c r="Q378">
        <v>57</v>
      </c>
    </row>
    <row r="379" spans="1:17" x14ac:dyDescent="0.25">
      <c r="A379" s="2">
        <v>45303</v>
      </c>
      <c r="B379" s="2" t="str">
        <f t="shared" si="10"/>
        <v>Friday</v>
      </c>
      <c r="C379" s="2" t="b">
        <f t="shared" si="11"/>
        <v>0</v>
      </c>
      <c r="D379">
        <v>1</v>
      </c>
      <c r="E379" t="s">
        <v>5</v>
      </c>
      <c r="F379">
        <v>263</v>
      </c>
      <c r="G379" s="3">
        <v>4749.59</v>
      </c>
      <c r="H379" s="3">
        <f>Miami_Retail[[#This Row],[sales_usd]] / Miami_Retail[[#This Row],[customers]]</f>
        <v>18.059277566539926</v>
      </c>
      <c r="I379">
        <v>79.2</v>
      </c>
      <c r="J379">
        <f>(Miami_Retail[[#This Row],[avg_temp_f]]-32) * (5/9)</f>
        <v>26.222222222222225</v>
      </c>
      <c r="K379">
        <v>0</v>
      </c>
      <c r="L379">
        <v>0</v>
      </c>
      <c r="M379">
        <v>44.7</v>
      </c>
      <c r="N379">
        <v>50.4</v>
      </c>
      <c r="O379">
        <v>49.6</v>
      </c>
      <c r="P379">
        <v>45.3</v>
      </c>
      <c r="Q379">
        <v>54.7</v>
      </c>
    </row>
    <row r="380" spans="1:17" x14ac:dyDescent="0.25">
      <c r="A380" s="2">
        <v>45304</v>
      </c>
      <c r="B380" s="2" t="str">
        <f t="shared" si="10"/>
        <v>Saturday</v>
      </c>
      <c r="C380" s="2" t="b">
        <f t="shared" si="11"/>
        <v>1</v>
      </c>
      <c r="D380">
        <v>1</v>
      </c>
      <c r="E380" t="s">
        <v>5</v>
      </c>
      <c r="F380">
        <v>269</v>
      </c>
      <c r="G380" s="3">
        <v>4943.2</v>
      </c>
      <c r="H380" s="3">
        <f>Miami_Retail[[#This Row],[sales_usd]] / Miami_Retail[[#This Row],[customers]]</f>
        <v>18.37620817843866</v>
      </c>
      <c r="I380">
        <v>69</v>
      </c>
      <c r="J380">
        <f>(Miami_Retail[[#This Row],[avg_temp_f]]-32) * (5/9)</f>
        <v>20.555555555555557</v>
      </c>
      <c r="K380">
        <v>0</v>
      </c>
      <c r="L380">
        <v>0</v>
      </c>
      <c r="M380">
        <v>46.4</v>
      </c>
      <c r="N380">
        <v>47.6</v>
      </c>
      <c r="O380">
        <v>52.4</v>
      </c>
      <c r="P380">
        <v>51</v>
      </c>
      <c r="Q380">
        <v>49</v>
      </c>
    </row>
    <row r="381" spans="1:17" x14ac:dyDescent="0.25">
      <c r="A381" s="2">
        <v>45305</v>
      </c>
      <c r="B381" s="2" t="str">
        <f t="shared" si="10"/>
        <v>Sunday</v>
      </c>
      <c r="C381" s="2" t="b">
        <f t="shared" si="11"/>
        <v>1</v>
      </c>
      <c r="D381">
        <v>1</v>
      </c>
      <c r="E381" t="s">
        <v>5</v>
      </c>
      <c r="F381">
        <v>246</v>
      </c>
      <c r="G381" s="3">
        <v>4433.2299999999996</v>
      </c>
      <c r="H381" s="3">
        <f>Miami_Retail[[#This Row],[sales_usd]] / Miami_Retail[[#This Row],[customers]]</f>
        <v>18.021260162601624</v>
      </c>
      <c r="I381">
        <v>67.3</v>
      </c>
      <c r="J381">
        <f>(Miami_Retail[[#This Row],[avg_temp_f]]-32) * (5/9)</f>
        <v>19.611111111111111</v>
      </c>
      <c r="K381">
        <v>0</v>
      </c>
      <c r="L381">
        <v>0</v>
      </c>
      <c r="M381">
        <v>42</v>
      </c>
      <c r="N381">
        <v>50.5</v>
      </c>
      <c r="O381">
        <v>49.5</v>
      </c>
      <c r="P381">
        <v>51.4</v>
      </c>
      <c r="Q381">
        <v>48.6</v>
      </c>
    </row>
    <row r="382" spans="1:17" x14ac:dyDescent="0.25">
      <c r="A382" s="2">
        <v>45306</v>
      </c>
      <c r="B382" s="2" t="str">
        <f t="shared" si="10"/>
        <v>Monday</v>
      </c>
      <c r="C382" s="2" t="b">
        <f t="shared" si="11"/>
        <v>0</v>
      </c>
      <c r="D382">
        <v>1</v>
      </c>
      <c r="E382" t="s">
        <v>5</v>
      </c>
      <c r="F382">
        <v>223</v>
      </c>
      <c r="G382" s="3">
        <v>4120.47</v>
      </c>
      <c r="H382" s="3">
        <f>Miami_Retail[[#This Row],[sales_usd]] / Miami_Retail[[#This Row],[customers]]</f>
        <v>18.477443946188341</v>
      </c>
      <c r="I382">
        <v>70.7</v>
      </c>
      <c r="J382">
        <f>(Miami_Retail[[#This Row],[avg_temp_f]]-32) * (5/9)</f>
        <v>21.500000000000004</v>
      </c>
      <c r="K382">
        <v>0</v>
      </c>
      <c r="L382">
        <v>0</v>
      </c>
      <c r="M382">
        <v>45.2</v>
      </c>
      <c r="N382">
        <v>50.9</v>
      </c>
      <c r="O382">
        <v>49.1</v>
      </c>
      <c r="P382">
        <v>45.6</v>
      </c>
      <c r="Q382">
        <v>54.4</v>
      </c>
    </row>
    <row r="383" spans="1:17" x14ac:dyDescent="0.25">
      <c r="A383" s="2">
        <v>45307</v>
      </c>
      <c r="B383" s="2" t="str">
        <f t="shared" si="10"/>
        <v>Tuesday</v>
      </c>
      <c r="C383" s="2" t="b">
        <f t="shared" si="11"/>
        <v>0</v>
      </c>
      <c r="D383">
        <v>1</v>
      </c>
      <c r="E383" t="s">
        <v>5</v>
      </c>
      <c r="F383">
        <v>260</v>
      </c>
      <c r="G383" s="3">
        <v>4831.4799999999996</v>
      </c>
      <c r="H383" s="3">
        <f>Miami_Retail[[#This Row],[sales_usd]] / Miami_Retail[[#This Row],[customers]]</f>
        <v>18.582615384615384</v>
      </c>
      <c r="I383">
        <v>77</v>
      </c>
      <c r="J383">
        <f>(Miami_Retail[[#This Row],[avg_temp_f]]-32) * (5/9)</f>
        <v>25</v>
      </c>
      <c r="K383">
        <v>0</v>
      </c>
      <c r="L383">
        <v>0</v>
      </c>
      <c r="M383">
        <v>43.4</v>
      </c>
      <c r="N383">
        <v>48.2</v>
      </c>
      <c r="O383">
        <v>51.8</v>
      </c>
      <c r="P383">
        <v>45.4</v>
      </c>
      <c r="Q383">
        <v>54.6</v>
      </c>
    </row>
    <row r="384" spans="1:17" x14ac:dyDescent="0.25">
      <c r="A384" s="2">
        <v>45308</v>
      </c>
      <c r="B384" s="2" t="str">
        <f t="shared" si="10"/>
        <v>Wednesday</v>
      </c>
      <c r="C384" s="2" t="b">
        <f t="shared" si="11"/>
        <v>0</v>
      </c>
      <c r="D384">
        <v>1</v>
      </c>
      <c r="E384" t="s">
        <v>5</v>
      </c>
      <c r="F384">
        <v>242</v>
      </c>
      <c r="G384" s="3">
        <v>4810.92</v>
      </c>
      <c r="H384" s="3">
        <f>Miami_Retail[[#This Row],[sales_usd]] / Miami_Retail[[#This Row],[customers]]</f>
        <v>19.8798347107438</v>
      </c>
      <c r="I384">
        <v>73.8</v>
      </c>
      <c r="J384">
        <f>(Miami_Retail[[#This Row],[avg_temp_f]]-32) * (5/9)</f>
        <v>23.222222222222221</v>
      </c>
      <c r="K384">
        <v>0</v>
      </c>
      <c r="L384">
        <v>0</v>
      </c>
      <c r="M384">
        <v>38.799999999999997</v>
      </c>
      <c r="N384">
        <v>51.2</v>
      </c>
      <c r="O384">
        <v>48.8</v>
      </c>
      <c r="P384">
        <v>45.7</v>
      </c>
      <c r="Q384">
        <v>54.3</v>
      </c>
    </row>
    <row r="385" spans="1:17" x14ac:dyDescent="0.25">
      <c r="A385" s="2">
        <v>45309</v>
      </c>
      <c r="B385" s="2" t="str">
        <f t="shared" si="10"/>
        <v>Thursday</v>
      </c>
      <c r="C385" s="2" t="b">
        <f t="shared" si="11"/>
        <v>0</v>
      </c>
      <c r="D385">
        <v>1</v>
      </c>
      <c r="E385" t="s">
        <v>5</v>
      </c>
      <c r="F385">
        <v>246</v>
      </c>
      <c r="G385" s="3">
        <v>4036.01</v>
      </c>
      <c r="H385" s="3">
        <f>Miami_Retail[[#This Row],[sales_usd]] / Miami_Retail[[#This Row],[customers]]</f>
        <v>16.406544715447154</v>
      </c>
      <c r="I385">
        <v>70.8</v>
      </c>
      <c r="J385">
        <f>(Miami_Retail[[#This Row],[avg_temp_f]]-32) * (5/9)</f>
        <v>21.555555555555554</v>
      </c>
      <c r="K385">
        <v>0</v>
      </c>
      <c r="L385">
        <v>0</v>
      </c>
      <c r="M385">
        <v>42.9</v>
      </c>
      <c r="N385">
        <v>50.2</v>
      </c>
      <c r="O385">
        <v>49.8</v>
      </c>
      <c r="P385">
        <v>45.2</v>
      </c>
      <c r="Q385">
        <v>54.8</v>
      </c>
    </row>
    <row r="386" spans="1:17" x14ac:dyDescent="0.25">
      <c r="A386" s="2">
        <v>45310</v>
      </c>
      <c r="B386" s="2" t="str">
        <f t="shared" ref="B386:B449" si="12">TEXT(A386, "dddd")</f>
        <v>Friday</v>
      </c>
      <c r="C386" s="2" t="b">
        <f t="shared" ref="C386:C449" si="13">IF(WEEKDAY(A386,2)&gt;5,TRUE,FALSE)</f>
        <v>0</v>
      </c>
      <c r="D386">
        <v>1</v>
      </c>
      <c r="E386" t="s">
        <v>5</v>
      </c>
      <c r="F386">
        <v>202</v>
      </c>
      <c r="G386" s="3">
        <v>3328.32</v>
      </c>
      <c r="H386" s="3">
        <f>Miami_Retail[[#This Row],[sales_usd]] / Miami_Retail[[#This Row],[customers]]</f>
        <v>16.476831683168317</v>
      </c>
      <c r="I386">
        <v>69</v>
      </c>
      <c r="J386">
        <f>(Miami_Retail[[#This Row],[avg_temp_f]]-32) * (5/9)</f>
        <v>20.555555555555557</v>
      </c>
      <c r="K386">
        <v>0</v>
      </c>
      <c r="L386">
        <v>0</v>
      </c>
      <c r="M386">
        <v>44.9</v>
      </c>
      <c r="N386">
        <v>48.6</v>
      </c>
      <c r="O386">
        <v>51.4</v>
      </c>
      <c r="P386">
        <v>45.6</v>
      </c>
      <c r="Q386">
        <v>54.4</v>
      </c>
    </row>
    <row r="387" spans="1:17" x14ac:dyDescent="0.25">
      <c r="A387" s="2">
        <v>45311</v>
      </c>
      <c r="B387" s="2" t="str">
        <f t="shared" si="12"/>
        <v>Saturday</v>
      </c>
      <c r="C387" s="2" t="b">
        <f t="shared" si="13"/>
        <v>1</v>
      </c>
      <c r="D387">
        <v>1</v>
      </c>
      <c r="E387" t="s">
        <v>5</v>
      </c>
      <c r="F387">
        <v>361</v>
      </c>
      <c r="G387" s="3">
        <v>6966.1</v>
      </c>
      <c r="H387" s="3">
        <f>Miami_Retail[[#This Row],[sales_usd]] / Miami_Retail[[#This Row],[customers]]</f>
        <v>19.296675900277009</v>
      </c>
      <c r="I387">
        <v>84.3</v>
      </c>
      <c r="J387">
        <f>(Miami_Retail[[#This Row],[avg_temp_f]]-32) * (5/9)</f>
        <v>29.055555555555554</v>
      </c>
      <c r="K387">
        <v>0</v>
      </c>
      <c r="L387">
        <v>0</v>
      </c>
      <c r="M387">
        <v>59.3</v>
      </c>
      <c r="N387">
        <v>49</v>
      </c>
      <c r="O387">
        <v>51</v>
      </c>
      <c r="P387">
        <v>50.2</v>
      </c>
      <c r="Q387">
        <v>49.8</v>
      </c>
    </row>
    <row r="388" spans="1:17" x14ac:dyDescent="0.25">
      <c r="A388" s="2">
        <v>45312</v>
      </c>
      <c r="B388" s="2" t="str">
        <f t="shared" si="12"/>
        <v>Sunday</v>
      </c>
      <c r="C388" s="2" t="b">
        <f t="shared" si="13"/>
        <v>1</v>
      </c>
      <c r="D388">
        <v>1</v>
      </c>
      <c r="E388" t="s">
        <v>5</v>
      </c>
      <c r="F388">
        <v>249</v>
      </c>
      <c r="G388" s="3">
        <v>5037.53</v>
      </c>
      <c r="H388" s="3">
        <f>Miami_Retail[[#This Row],[sales_usd]] / Miami_Retail[[#This Row],[customers]]</f>
        <v>20.231044176706828</v>
      </c>
      <c r="I388">
        <v>73.400000000000006</v>
      </c>
      <c r="J388">
        <f>(Miami_Retail[[#This Row],[avg_temp_f]]-32) * (5/9)</f>
        <v>23.000000000000004</v>
      </c>
      <c r="K388">
        <v>0</v>
      </c>
      <c r="L388">
        <v>0</v>
      </c>
      <c r="M388">
        <v>43.6</v>
      </c>
      <c r="N388">
        <v>49.2</v>
      </c>
      <c r="O388">
        <v>50.8</v>
      </c>
      <c r="P388">
        <v>51</v>
      </c>
      <c r="Q388">
        <v>49</v>
      </c>
    </row>
    <row r="389" spans="1:17" x14ac:dyDescent="0.25">
      <c r="A389" s="2">
        <v>45313</v>
      </c>
      <c r="B389" s="2" t="str">
        <f t="shared" si="12"/>
        <v>Monday</v>
      </c>
      <c r="C389" s="2" t="b">
        <f t="shared" si="13"/>
        <v>0</v>
      </c>
      <c r="D389">
        <v>1</v>
      </c>
      <c r="E389" t="s">
        <v>5</v>
      </c>
      <c r="F389">
        <v>218</v>
      </c>
      <c r="G389" s="3">
        <v>4168.97</v>
      </c>
      <c r="H389" s="3">
        <f>Miami_Retail[[#This Row],[sales_usd]] / Miami_Retail[[#This Row],[customers]]</f>
        <v>19.123715596330275</v>
      </c>
      <c r="I389">
        <v>69.7</v>
      </c>
      <c r="J389">
        <f>(Miami_Retail[[#This Row],[avg_temp_f]]-32) * (5/9)</f>
        <v>20.944444444444446</v>
      </c>
      <c r="K389">
        <v>0.37</v>
      </c>
      <c r="L389">
        <v>1</v>
      </c>
      <c r="M389">
        <v>35</v>
      </c>
      <c r="N389">
        <v>50.2</v>
      </c>
      <c r="O389">
        <v>49.8</v>
      </c>
      <c r="P389">
        <v>45.6</v>
      </c>
      <c r="Q389">
        <v>54.4</v>
      </c>
    </row>
    <row r="390" spans="1:17" x14ac:dyDescent="0.25">
      <c r="A390" s="2">
        <v>45314</v>
      </c>
      <c r="B390" s="2" t="str">
        <f t="shared" si="12"/>
        <v>Tuesday</v>
      </c>
      <c r="C390" s="2" t="b">
        <f t="shared" si="13"/>
        <v>0</v>
      </c>
      <c r="D390">
        <v>1</v>
      </c>
      <c r="E390" t="s">
        <v>5</v>
      </c>
      <c r="F390">
        <v>239</v>
      </c>
      <c r="G390" s="3">
        <v>4463.25</v>
      </c>
      <c r="H390" s="3">
        <f>Miami_Retail[[#This Row],[sales_usd]] / Miami_Retail[[#This Row],[customers]]</f>
        <v>18.67468619246862</v>
      </c>
      <c r="I390">
        <v>71.5</v>
      </c>
      <c r="J390">
        <f>(Miami_Retail[[#This Row],[avg_temp_f]]-32) * (5/9)</f>
        <v>21.944444444444446</v>
      </c>
      <c r="K390">
        <v>0</v>
      </c>
      <c r="L390">
        <v>0</v>
      </c>
      <c r="M390">
        <v>35</v>
      </c>
      <c r="N390">
        <v>49.8</v>
      </c>
      <c r="O390">
        <v>50.2</v>
      </c>
      <c r="P390">
        <v>44.4</v>
      </c>
      <c r="Q390">
        <v>55.6</v>
      </c>
    </row>
    <row r="391" spans="1:17" x14ac:dyDescent="0.25">
      <c r="A391" s="2">
        <v>45315</v>
      </c>
      <c r="B391" s="2" t="str">
        <f t="shared" si="12"/>
        <v>Wednesday</v>
      </c>
      <c r="C391" s="2" t="b">
        <f t="shared" si="13"/>
        <v>0</v>
      </c>
      <c r="D391">
        <v>1</v>
      </c>
      <c r="E391" t="s">
        <v>5</v>
      </c>
      <c r="F391">
        <v>217</v>
      </c>
      <c r="G391" s="3">
        <v>4287.29</v>
      </c>
      <c r="H391" s="3">
        <f>Miami_Retail[[#This Row],[sales_usd]] / Miami_Retail[[#This Row],[customers]]</f>
        <v>19.757096774193549</v>
      </c>
      <c r="I391">
        <v>72.7</v>
      </c>
      <c r="J391">
        <f>(Miami_Retail[[#This Row],[avg_temp_f]]-32) * (5/9)</f>
        <v>22.611111111111114</v>
      </c>
      <c r="K391">
        <v>0</v>
      </c>
      <c r="L391">
        <v>0</v>
      </c>
      <c r="M391">
        <v>45.4</v>
      </c>
      <c r="N391">
        <v>49.5</v>
      </c>
      <c r="O391">
        <v>50.5</v>
      </c>
      <c r="P391">
        <v>45.2</v>
      </c>
      <c r="Q391">
        <v>54.8</v>
      </c>
    </row>
    <row r="392" spans="1:17" x14ac:dyDescent="0.25">
      <c r="A392" s="2">
        <v>45316</v>
      </c>
      <c r="B392" s="2" t="str">
        <f t="shared" si="12"/>
        <v>Thursday</v>
      </c>
      <c r="C392" s="2" t="b">
        <f t="shared" si="13"/>
        <v>0</v>
      </c>
      <c r="D392">
        <v>1</v>
      </c>
      <c r="E392" t="s">
        <v>5</v>
      </c>
      <c r="F392">
        <v>249</v>
      </c>
      <c r="G392" s="3">
        <v>4466.66</v>
      </c>
      <c r="H392" s="3">
        <f>Miami_Retail[[#This Row],[sales_usd]] / Miami_Retail[[#This Row],[customers]]</f>
        <v>17.938393574297187</v>
      </c>
      <c r="I392">
        <v>75</v>
      </c>
      <c r="J392">
        <f>(Miami_Retail[[#This Row],[avg_temp_f]]-32) * (5/9)</f>
        <v>23.888888888888889</v>
      </c>
      <c r="K392">
        <v>0.45</v>
      </c>
      <c r="L392">
        <v>1</v>
      </c>
      <c r="M392">
        <v>40.299999999999997</v>
      </c>
      <c r="N392">
        <v>50.9</v>
      </c>
      <c r="O392">
        <v>49.1</v>
      </c>
      <c r="P392">
        <v>45.2</v>
      </c>
      <c r="Q392">
        <v>54.8</v>
      </c>
    </row>
    <row r="393" spans="1:17" x14ac:dyDescent="0.25">
      <c r="A393" s="2">
        <v>45317</v>
      </c>
      <c r="B393" s="2" t="str">
        <f t="shared" si="12"/>
        <v>Friday</v>
      </c>
      <c r="C393" s="2" t="b">
        <f t="shared" si="13"/>
        <v>0</v>
      </c>
      <c r="D393">
        <v>1</v>
      </c>
      <c r="E393" t="s">
        <v>5</v>
      </c>
      <c r="F393">
        <v>224</v>
      </c>
      <c r="G393" s="3">
        <v>3874.09</v>
      </c>
      <c r="H393" s="3">
        <f>Miami_Retail[[#This Row],[sales_usd]] / Miami_Retail[[#This Row],[customers]]</f>
        <v>17.295044642857142</v>
      </c>
      <c r="I393">
        <v>70</v>
      </c>
      <c r="J393">
        <f>(Miami_Retail[[#This Row],[avg_temp_f]]-32) * (5/9)</f>
        <v>21.111111111111111</v>
      </c>
      <c r="K393">
        <v>0</v>
      </c>
      <c r="L393">
        <v>0</v>
      </c>
      <c r="M393">
        <v>35</v>
      </c>
      <c r="N393">
        <v>50.4</v>
      </c>
      <c r="O393">
        <v>49.6</v>
      </c>
      <c r="P393">
        <v>44.6</v>
      </c>
      <c r="Q393">
        <v>55.4</v>
      </c>
    </row>
    <row r="394" spans="1:17" x14ac:dyDescent="0.25">
      <c r="A394" s="2">
        <v>45318</v>
      </c>
      <c r="B394" s="2" t="str">
        <f t="shared" si="12"/>
        <v>Saturday</v>
      </c>
      <c r="C394" s="2" t="b">
        <f t="shared" si="13"/>
        <v>1</v>
      </c>
      <c r="D394">
        <v>1</v>
      </c>
      <c r="E394" t="s">
        <v>5</v>
      </c>
      <c r="F394">
        <v>258</v>
      </c>
      <c r="G394" s="3">
        <v>4854.6000000000004</v>
      </c>
      <c r="H394" s="3">
        <f>Miami_Retail[[#This Row],[sales_usd]] / Miami_Retail[[#This Row],[customers]]</f>
        <v>18.816279069767443</v>
      </c>
      <c r="I394">
        <v>69.7</v>
      </c>
      <c r="J394">
        <f>(Miami_Retail[[#This Row],[avg_temp_f]]-32) * (5/9)</f>
        <v>20.944444444444446</v>
      </c>
      <c r="K394">
        <v>0</v>
      </c>
      <c r="L394">
        <v>0</v>
      </c>
      <c r="M394">
        <v>37.1</v>
      </c>
      <c r="N394">
        <v>51.7</v>
      </c>
      <c r="O394">
        <v>48.3</v>
      </c>
      <c r="P394">
        <v>51.7</v>
      </c>
      <c r="Q394">
        <v>48.3</v>
      </c>
    </row>
    <row r="395" spans="1:17" x14ac:dyDescent="0.25">
      <c r="A395" s="2">
        <v>45319</v>
      </c>
      <c r="B395" s="2" t="str">
        <f t="shared" si="12"/>
        <v>Sunday</v>
      </c>
      <c r="C395" s="2" t="b">
        <f t="shared" si="13"/>
        <v>1</v>
      </c>
      <c r="D395">
        <v>1</v>
      </c>
      <c r="E395" t="s">
        <v>5</v>
      </c>
      <c r="F395">
        <v>254</v>
      </c>
      <c r="G395" s="3">
        <v>4540.74</v>
      </c>
      <c r="H395" s="3">
        <f>Miami_Retail[[#This Row],[sales_usd]] / Miami_Retail[[#This Row],[customers]]</f>
        <v>17.876929133858265</v>
      </c>
      <c r="I395">
        <v>70.3</v>
      </c>
      <c r="J395">
        <f>(Miami_Retail[[#This Row],[avg_temp_f]]-32) * (5/9)</f>
        <v>21.277777777777779</v>
      </c>
      <c r="K395">
        <v>0</v>
      </c>
      <c r="L395">
        <v>0</v>
      </c>
      <c r="M395">
        <v>39.200000000000003</v>
      </c>
      <c r="N395">
        <v>50.9</v>
      </c>
      <c r="O395">
        <v>49.1</v>
      </c>
      <c r="P395">
        <v>51.1</v>
      </c>
      <c r="Q395">
        <v>48.9</v>
      </c>
    </row>
    <row r="396" spans="1:17" x14ac:dyDescent="0.25">
      <c r="A396" s="2">
        <v>45320</v>
      </c>
      <c r="B396" s="2" t="str">
        <f t="shared" si="12"/>
        <v>Monday</v>
      </c>
      <c r="C396" s="2" t="b">
        <f t="shared" si="13"/>
        <v>0</v>
      </c>
      <c r="D396">
        <v>1</v>
      </c>
      <c r="E396" t="s">
        <v>5</v>
      </c>
      <c r="F396">
        <v>221</v>
      </c>
      <c r="G396" s="3">
        <v>4165.3500000000004</v>
      </c>
      <c r="H396" s="3">
        <f>Miami_Retail[[#This Row],[sales_usd]] / Miami_Retail[[#This Row],[customers]]</f>
        <v>18.847737556561089</v>
      </c>
      <c r="I396">
        <v>67.900000000000006</v>
      </c>
      <c r="J396">
        <f>(Miami_Retail[[#This Row],[avg_temp_f]]-32) * (5/9)</f>
        <v>19.94444444444445</v>
      </c>
      <c r="K396">
        <v>0</v>
      </c>
      <c r="L396">
        <v>0</v>
      </c>
      <c r="M396">
        <v>47.5</v>
      </c>
      <c r="N396">
        <v>51.1</v>
      </c>
      <c r="O396">
        <v>48.9</v>
      </c>
      <c r="P396">
        <v>45.2</v>
      </c>
      <c r="Q396">
        <v>54.8</v>
      </c>
    </row>
    <row r="397" spans="1:17" x14ac:dyDescent="0.25">
      <c r="A397" s="2">
        <v>45321</v>
      </c>
      <c r="B397" s="2" t="str">
        <f t="shared" si="12"/>
        <v>Tuesday</v>
      </c>
      <c r="C397" s="2" t="b">
        <f t="shared" si="13"/>
        <v>0</v>
      </c>
      <c r="D397">
        <v>1</v>
      </c>
      <c r="E397" t="s">
        <v>5</v>
      </c>
      <c r="F397">
        <v>190</v>
      </c>
      <c r="G397" s="3">
        <v>3487.72</v>
      </c>
      <c r="H397" s="3">
        <f>Miami_Retail[[#This Row],[sales_usd]] / Miami_Retail[[#This Row],[customers]]</f>
        <v>18.356421052631578</v>
      </c>
      <c r="I397">
        <v>69.400000000000006</v>
      </c>
      <c r="J397">
        <f>(Miami_Retail[[#This Row],[avg_temp_f]]-32) * (5/9)</f>
        <v>20.777777777777782</v>
      </c>
      <c r="K397">
        <v>1.26</v>
      </c>
      <c r="L397">
        <v>1</v>
      </c>
      <c r="M397">
        <v>35</v>
      </c>
      <c r="N397">
        <v>50.8</v>
      </c>
      <c r="O397">
        <v>49.2</v>
      </c>
      <c r="P397">
        <v>45.9</v>
      </c>
      <c r="Q397">
        <v>54.1</v>
      </c>
    </row>
    <row r="398" spans="1:17" x14ac:dyDescent="0.25">
      <c r="A398" s="2">
        <v>45322</v>
      </c>
      <c r="B398" s="2" t="str">
        <f t="shared" si="12"/>
        <v>Wednesday</v>
      </c>
      <c r="C398" s="2" t="b">
        <f t="shared" si="13"/>
        <v>0</v>
      </c>
      <c r="D398">
        <v>1</v>
      </c>
      <c r="E398" t="s">
        <v>5</v>
      </c>
      <c r="F398">
        <v>235</v>
      </c>
      <c r="G398" s="3">
        <v>4430.6499999999996</v>
      </c>
      <c r="H398" s="3">
        <f>Miami_Retail[[#This Row],[sales_usd]] / Miami_Retail[[#This Row],[customers]]</f>
        <v>18.853829787234041</v>
      </c>
      <c r="I398">
        <v>71.900000000000006</v>
      </c>
      <c r="J398">
        <f>(Miami_Retail[[#This Row],[avg_temp_f]]-32) * (5/9)</f>
        <v>22.166666666666671</v>
      </c>
      <c r="K398">
        <v>0.86</v>
      </c>
      <c r="L398">
        <v>1</v>
      </c>
      <c r="M398">
        <v>43</v>
      </c>
      <c r="N398">
        <v>51</v>
      </c>
      <c r="O398">
        <v>49</v>
      </c>
      <c r="P398">
        <v>46.5</v>
      </c>
      <c r="Q398">
        <v>53.5</v>
      </c>
    </row>
    <row r="399" spans="1:17" x14ac:dyDescent="0.25">
      <c r="A399" s="2">
        <v>45323</v>
      </c>
      <c r="B399" s="2" t="str">
        <f t="shared" si="12"/>
        <v>Thursday</v>
      </c>
      <c r="C399" s="2" t="b">
        <f t="shared" si="13"/>
        <v>0</v>
      </c>
      <c r="D399">
        <v>1</v>
      </c>
      <c r="E399" t="s">
        <v>5</v>
      </c>
      <c r="F399">
        <v>237</v>
      </c>
      <c r="G399" s="3">
        <v>4266.01</v>
      </c>
      <c r="H399" s="3">
        <f>Miami_Retail[[#This Row],[sales_usd]] / Miami_Retail[[#This Row],[customers]]</f>
        <v>18.000042194092828</v>
      </c>
      <c r="I399">
        <v>67</v>
      </c>
      <c r="J399">
        <f>(Miami_Retail[[#This Row],[avg_temp_f]]-32) * (5/9)</f>
        <v>19.444444444444446</v>
      </c>
      <c r="K399">
        <v>0</v>
      </c>
      <c r="L399">
        <v>0</v>
      </c>
      <c r="M399">
        <v>49.1</v>
      </c>
      <c r="N399">
        <v>50.5</v>
      </c>
      <c r="O399">
        <v>49.5</v>
      </c>
      <c r="P399">
        <v>45.4</v>
      </c>
      <c r="Q399">
        <v>54.6</v>
      </c>
    </row>
    <row r="400" spans="1:17" x14ac:dyDescent="0.25">
      <c r="A400" s="2">
        <v>45324</v>
      </c>
      <c r="B400" s="2" t="str">
        <f t="shared" si="12"/>
        <v>Friday</v>
      </c>
      <c r="C400" s="2" t="b">
        <f t="shared" si="13"/>
        <v>0</v>
      </c>
      <c r="D400">
        <v>1</v>
      </c>
      <c r="E400" t="s">
        <v>5</v>
      </c>
      <c r="F400">
        <v>232</v>
      </c>
      <c r="G400" s="3">
        <v>4299.08</v>
      </c>
      <c r="H400" s="3">
        <f>Miami_Retail[[#This Row],[sales_usd]] / Miami_Retail[[#This Row],[customers]]</f>
        <v>18.530517241379311</v>
      </c>
      <c r="I400">
        <v>69</v>
      </c>
      <c r="J400">
        <f>(Miami_Retail[[#This Row],[avg_temp_f]]-32) * (5/9)</f>
        <v>20.555555555555557</v>
      </c>
      <c r="K400">
        <v>0</v>
      </c>
      <c r="L400">
        <v>0</v>
      </c>
      <c r="M400">
        <v>44.2</v>
      </c>
      <c r="N400">
        <v>51.2</v>
      </c>
      <c r="O400">
        <v>48.8</v>
      </c>
      <c r="P400">
        <v>43.2</v>
      </c>
      <c r="Q400">
        <v>56.8</v>
      </c>
    </row>
    <row r="401" spans="1:17" x14ac:dyDescent="0.25">
      <c r="A401" s="2">
        <v>45325</v>
      </c>
      <c r="B401" s="2" t="str">
        <f t="shared" si="12"/>
        <v>Saturday</v>
      </c>
      <c r="C401" s="2" t="b">
        <f t="shared" si="13"/>
        <v>1</v>
      </c>
      <c r="D401">
        <v>1</v>
      </c>
      <c r="E401" t="s">
        <v>5</v>
      </c>
      <c r="F401">
        <v>275</v>
      </c>
      <c r="G401" s="3">
        <v>5187.8599999999997</v>
      </c>
      <c r="H401" s="3">
        <f>Miami_Retail[[#This Row],[sales_usd]] / Miami_Retail[[#This Row],[customers]]</f>
        <v>18.864945454545452</v>
      </c>
      <c r="I401">
        <v>67.900000000000006</v>
      </c>
      <c r="J401">
        <f>(Miami_Retail[[#This Row],[avg_temp_f]]-32) * (5/9)</f>
        <v>19.94444444444445</v>
      </c>
      <c r="K401">
        <v>0</v>
      </c>
      <c r="L401">
        <v>0</v>
      </c>
      <c r="M401">
        <v>37.299999999999997</v>
      </c>
      <c r="N401">
        <v>50.4</v>
      </c>
      <c r="O401">
        <v>49.6</v>
      </c>
      <c r="P401">
        <v>50.7</v>
      </c>
      <c r="Q401">
        <v>49.3</v>
      </c>
    </row>
    <row r="402" spans="1:17" x14ac:dyDescent="0.25">
      <c r="A402" s="2">
        <v>45326</v>
      </c>
      <c r="B402" s="2" t="str">
        <f t="shared" si="12"/>
        <v>Sunday</v>
      </c>
      <c r="C402" s="2" t="b">
        <f t="shared" si="13"/>
        <v>1</v>
      </c>
      <c r="D402">
        <v>1</v>
      </c>
      <c r="E402" t="s">
        <v>5</v>
      </c>
      <c r="F402">
        <v>220</v>
      </c>
      <c r="G402" s="3">
        <v>3868.01</v>
      </c>
      <c r="H402" s="3">
        <f>Miami_Retail[[#This Row],[sales_usd]] / Miami_Retail[[#This Row],[customers]]</f>
        <v>17.581863636363636</v>
      </c>
      <c r="I402">
        <v>66.2</v>
      </c>
      <c r="J402">
        <f>(Miami_Retail[[#This Row],[avg_temp_f]]-32) * (5/9)</f>
        <v>19.000000000000004</v>
      </c>
      <c r="K402">
        <v>1.5</v>
      </c>
      <c r="L402">
        <v>1</v>
      </c>
      <c r="M402">
        <v>35</v>
      </c>
      <c r="N402">
        <v>50.7</v>
      </c>
      <c r="O402">
        <v>49.3</v>
      </c>
      <c r="P402">
        <v>51.6</v>
      </c>
      <c r="Q402">
        <v>48.4</v>
      </c>
    </row>
    <row r="403" spans="1:17" x14ac:dyDescent="0.25">
      <c r="A403" s="2">
        <v>45327</v>
      </c>
      <c r="B403" s="2" t="str">
        <f t="shared" si="12"/>
        <v>Monday</v>
      </c>
      <c r="C403" s="2" t="b">
        <f t="shared" si="13"/>
        <v>0</v>
      </c>
      <c r="D403">
        <v>1</v>
      </c>
      <c r="E403" t="s">
        <v>5</v>
      </c>
      <c r="F403">
        <v>213</v>
      </c>
      <c r="G403" s="3">
        <v>4194.88</v>
      </c>
      <c r="H403" s="3">
        <f>Miami_Retail[[#This Row],[sales_usd]] / Miami_Retail[[#This Row],[customers]]</f>
        <v>19.694272300469486</v>
      </c>
      <c r="I403">
        <v>67.599999999999994</v>
      </c>
      <c r="J403">
        <f>(Miami_Retail[[#This Row],[avg_temp_f]]-32) * (5/9)</f>
        <v>19.777777777777775</v>
      </c>
      <c r="K403">
        <v>0</v>
      </c>
      <c r="L403">
        <v>0</v>
      </c>
      <c r="M403">
        <v>39.9</v>
      </c>
      <c r="N403">
        <v>51.2</v>
      </c>
      <c r="O403">
        <v>48.8</v>
      </c>
      <c r="P403">
        <v>45.5</v>
      </c>
      <c r="Q403">
        <v>54.5</v>
      </c>
    </row>
    <row r="404" spans="1:17" x14ac:dyDescent="0.25">
      <c r="A404" s="2">
        <v>45328</v>
      </c>
      <c r="B404" s="2" t="str">
        <f t="shared" si="12"/>
        <v>Tuesday</v>
      </c>
      <c r="C404" s="2" t="b">
        <f t="shared" si="13"/>
        <v>0</v>
      </c>
      <c r="D404">
        <v>1</v>
      </c>
      <c r="E404" t="s">
        <v>5</v>
      </c>
      <c r="F404">
        <v>205</v>
      </c>
      <c r="G404" s="3">
        <v>3768.48</v>
      </c>
      <c r="H404" s="3">
        <f>Miami_Retail[[#This Row],[sales_usd]] / Miami_Retail[[#This Row],[customers]]</f>
        <v>18.382829268292681</v>
      </c>
      <c r="I404">
        <v>71.099999999999994</v>
      </c>
      <c r="J404">
        <f>(Miami_Retail[[#This Row],[avg_temp_f]]-32) * (5/9)</f>
        <v>21.722222222222221</v>
      </c>
      <c r="K404">
        <v>0</v>
      </c>
      <c r="L404">
        <v>0</v>
      </c>
      <c r="M404">
        <v>45.6</v>
      </c>
      <c r="N404">
        <v>49.4</v>
      </c>
      <c r="O404">
        <v>50.6</v>
      </c>
      <c r="P404">
        <v>44.8</v>
      </c>
      <c r="Q404">
        <v>55.2</v>
      </c>
    </row>
    <row r="405" spans="1:17" x14ac:dyDescent="0.25">
      <c r="A405" s="2">
        <v>45329</v>
      </c>
      <c r="B405" s="2" t="str">
        <f t="shared" si="12"/>
        <v>Wednesday</v>
      </c>
      <c r="C405" s="2" t="b">
        <f t="shared" si="13"/>
        <v>0</v>
      </c>
      <c r="D405">
        <v>1</v>
      </c>
      <c r="E405" t="s">
        <v>5</v>
      </c>
      <c r="F405">
        <v>235</v>
      </c>
      <c r="G405" s="3">
        <v>4725.84</v>
      </c>
      <c r="H405" s="3">
        <f>Miami_Retail[[#This Row],[sales_usd]] / Miami_Retail[[#This Row],[customers]]</f>
        <v>20.109957446808512</v>
      </c>
      <c r="I405">
        <v>70.900000000000006</v>
      </c>
      <c r="J405">
        <f>(Miami_Retail[[#This Row],[avg_temp_f]]-32) * (5/9)</f>
        <v>21.611111111111114</v>
      </c>
      <c r="K405">
        <v>0</v>
      </c>
      <c r="L405">
        <v>0</v>
      </c>
      <c r="M405">
        <v>39.6</v>
      </c>
      <c r="N405">
        <v>49.7</v>
      </c>
      <c r="O405">
        <v>50.3</v>
      </c>
      <c r="P405">
        <v>46</v>
      </c>
      <c r="Q405">
        <v>54</v>
      </c>
    </row>
    <row r="406" spans="1:17" x14ac:dyDescent="0.25">
      <c r="A406" s="2">
        <v>45330</v>
      </c>
      <c r="B406" s="2" t="str">
        <f t="shared" si="12"/>
        <v>Thursday</v>
      </c>
      <c r="C406" s="2" t="b">
        <f t="shared" si="13"/>
        <v>0</v>
      </c>
      <c r="D406">
        <v>1</v>
      </c>
      <c r="E406" t="s">
        <v>5</v>
      </c>
      <c r="F406">
        <v>213</v>
      </c>
      <c r="G406" s="3">
        <v>4102.28</v>
      </c>
      <c r="H406" s="3">
        <f>Miami_Retail[[#This Row],[sales_usd]] / Miami_Retail[[#This Row],[customers]]</f>
        <v>19.259530516431923</v>
      </c>
      <c r="I406">
        <v>68.099999999999994</v>
      </c>
      <c r="J406">
        <f>(Miami_Retail[[#This Row],[avg_temp_f]]-32) * (5/9)</f>
        <v>20.055555555555554</v>
      </c>
      <c r="K406">
        <v>0</v>
      </c>
      <c r="L406">
        <v>0</v>
      </c>
      <c r="M406">
        <v>39.799999999999997</v>
      </c>
      <c r="N406">
        <v>48.7</v>
      </c>
      <c r="O406">
        <v>51.3</v>
      </c>
      <c r="P406">
        <v>46</v>
      </c>
      <c r="Q406">
        <v>54</v>
      </c>
    </row>
    <row r="407" spans="1:17" x14ac:dyDescent="0.25">
      <c r="A407" s="2">
        <v>45331</v>
      </c>
      <c r="B407" s="2" t="str">
        <f t="shared" si="12"/>
        <v>Friday</v>
      </c>
      <c r="C407" s="2" t="b">
        <f t="shared" si="13"/>
        <v>0</v>
      </c>
      <c r="D407">
        <v>1</v>
      </c>
      <c r="E407" t="s">
        <v>5</v>
      </c>
      <c r="F407">
        <v>213</v>
      </c>
      <c r="G407" s="3">
        <v>4004.03</v>
      </c>
      <c r="H407" s="3">
        <f>Miami_Retail[[#This Row],[sales_usd]] / Miami_Retail[[#This Row],[customers]]</f>
        <v>18.798262910798123</v>
      </c>
      <c r="I407">
        <v>74.900000000000006</v>
      </c>
      <c r="J407">
        <f>(Miami_Retail[[#This Row],[avg_temp_f]]-32) * (5/9)</f>
        <v>23.833333333333339</v>
      </c>
      <c r="K407">
        <v>1.19</v>
      </c>
      <c r="L407">
        <v>1</v>
      </c>
      <c r="M407">
        <v>35</v>
      </c>
      <c r="N407">
        <v>50.9</v>
      </c>
      <c r="O407">
        <v>49.1</v>
      </c>
      <c r="P407">
        <v>46.9</v>
      </c>
      <c r="Q407">
        <v>53.1</v>
      </c>
    </row>
    <row r="408" spans="1:17" x14ac:dyDescent="0.25">
      <c r="A408" s="2">
        <v>45332</v>
      </c>
      <c r="B408" s="2" t="str">
        <f t="shared" si="12"/>
        <v>Saturday</v>
      </c>
      <c r="C408" s="2" t="b">
        <f t="shared" si="13"/>
        <v>1</v>
      </c>
      <c r="D408">
        <v>1</v>
      </c>
      <c r="E408" t="s">
        <v>5</v>
      </c>
      <c r="F408">
        <v>274</v>
      </c>
      <c r="G408" s="3">
        <v>5010.63</v>
      </c>
      <c r="H408" s="3">
        <f>Miami_Retail[[#This Row],[sales_usd]] / Miami_Retail[[#This Row],[customers]]</f>
        <v>18.286970802919708</v>
      </c>
      <c r="I408">
        <v>65.2</v>
      </c>
      <c r="J408">
        <f>(Miami_Retail[[#This Row],[avg_temp_f]]-32) * (5/9)</f>
        <v>18.444444444444446</v>
      </c>
      <c r="K408">
        <v>0</v>
      </c>
      <c r="L408">
        <v>0</v>
      </c>
      <c r="M408">
        <v>35</v>
      </c>
      <c r="N408">
        <v>49.1</v>
      </c>
      <c r="O408">
        <v>50.9</v>
      </c>
      <c r="P408">
        <v>52.5</v>
      </c>
      <c r="Q408">
        <v>47.5</v>
      </c>
    </row>
    <row r="409" spans="1:17" x14ac:dyDescent="0.25">
      <c r="A409" s="2">
        <v>45333</v>
      </c>
      <c r="B409" s="2" t="str">
        <f t="shared" si="12"/>
        <v>Sunday</v>
      </c>
      <c r="C409" s="2" t="b">
        <f t="shared" si="13"/>
        <v>1</v>
      </c>
      <c r="D409">
        <v>1</v>
      </c>
      <c r="E409" t="s">
        <v>5</v>
      </c>
      <c r="F409">
        <v>256</v>
      </c>
      <c r="G409" s="3">
        <v>4604.8100000000004</v>
      </c>
      <c r="H409" s="3">
        <f>Miami_Retail[[#This Row],[sales_usd]] / Miami_Retail[[#This Row],[customers]]</f>
        <v>17.987539062500002</v>
      </c>
      <c r="I409">
        <v>70.400000000000006</v>
      </c>
      <c r="J409">
        <f>(Miami_Retail[[#This Row],[avg_temp_f]]-32) * (5/9)</f>
        <v>21.333333333333336</v>
      </c>
      <c r="K409">
        <v>0</v>
      </c>
      <c r="L409">
        <v>0</v>
      </c>
      <c r="M409">
        <v>42.1</v>
      </c>
      <c r="N409">
        <v>51.2</v>
      </c>
      <c r="O409">
        <v>48.8</v>
      </c>
      <c r="P409">
        <v>51.2</v>
      </c>
      <c r="Q409">
        <v>48.8</v>
      </c>
    </row>
    <row r="410" spans="1:17" x14ac:dyDescent="0.25">
      <c r="A410" s="2">
        <v>45334</v>
      </c>
      <c r="B410" s="2" t="str">
        <f t="shared" si="12"/>
        <v>Monday</v>
      </c>
      <c r="C410" s="2" t="b">
        <f t="shared" si="13"/>
        <v>0</v>
      </c>
      <c r="D410">
        <v>1</v>
      </c>
      <c r="E410" t="s">
        <v>5</v>
      </c>
      <c r="F410">
        <v>219</v>
      </c>
      <c r="G410" s="3">
        <v>4054.42</v>
      </c>
      <c r="H410" s="3">
        <f>Miami_Retail[[#This Row],[sales_usd]] / Miami_Retail[[#This Row],[customers]]</f>
        <v>18.513333333333335</v>
      </c>
      <c r="I410">
        <v>68</v>
      </c>
      <c r="J410">
        <f>(Miami_Retail[[#This Row],[avg_temp_f]]-32) * (5/9)</f>
        <v>20</v>
      </c>
      <c r="K410">
        <v>0</v>
      </c>
      <c r="L410">
        <v>0</v>
      </c>
      <c r="M410">
        <v>47.9</v>
      </c>
      <c r="N410">
        <v>51.3</v>
      </c>
      <c r="O410">
        <v>48.7</v>
      </c>
      <c r="P410">
        <v>46.9</v>
      </c>
      <c r="Q410">
        <v>53.1</v>
      </c>
    </row>
    <row r="411" spans="1:17" x14ac:dyDescent="0.25">
      <c r="A411" s="2">
        <v>45335</v>
      </c>
      <c r="B411" s="2" t="str">
        <f t="shared" si="12"/>
        <v>Tuesday</v>
      </c>
      <c r="C411" s="2" t="b">
        <f t="shared" si="13"/>
        <v>0</v>
      </c>
      <c r="D411">
        <v>1</v>
      </c>
      <c r="E411" t="s">
        <v>5</v>
      </c>
      <c r="F411">
        <v>184</v>
      </c>
      <c r="G411" s="3">
        <v>3180.54</v>
      </c>
      <c r="H411" s="3">
        <f>Miami_Retail[[#This Row],[sales_usd]] / Miami_Retail[[#This Row],[customers]]</f>
        <v>17.28554347826087</v>
      </c>
      <c r="I411">
        <v>63.6</v>
      </c>
      <c r="J411">
        <f>(Miami_Retail[[#This Row],[avg_temp_f]]-32) * (5/9)</f>
        <v>17.555555555555557</v>
      </c>
      <c r="K411">
        <v>0</v>
      </c>
      <c r="L411">
        <v>0</v>
      </c>
      <c r="M411">
        <v>47.8</v>
      </c>
      <c r="N411">
        <v>51.9</v>
      </c>
      <c r="O411">
        <v>48.1</v>
      </c>
      <c r="P411">
        <v>46.1</v>
      </c>
      <c r="Q411">
        <v>53.9</v>
      </c>
    </row>
    <row r="412" spans="1:17" x14ac:dyDescent="0.25">
      <c r="A412" s="2">
        <v>45336</v>
      </c>
      <c r="B412" s="2" t="str">
        <f t="shared" si="12"/>
        <v>Wednesday</v>
      </c>
      <c r="C412" s="2" t="b">
        <f t="shared" si="13"/>
        <v>0</v>
      </c>
      <c r="D412">
        <v>1</v>
      </c>
      <c r="E412" t="s">
        <v>5</v>
      </c>
      <c r="F412">
        <v>211</v>
      </c>
      <c r="G412" s="3">
        <v>3602.85</v>
      </c>
      <c r="H412" s="3">
        <f>Miami_Retail[[#This Row],[sales_usd]] / Miami_Retail[[#This Row],[customers]]</f>
        <v>17.075118483412322</v>
      </c>
      <c r="I412">
        <v>67.8</v>
      </c>
      <c r="J412">
        <f>(Miami_Retail[[#This Row],[avg_temp_f]]-32) * (5/9)</f>
        <v>19.888888888888889</v>
      </c>
      <c r="K412">
        <v>0</v>
      </c>
      <c r="L412">
        <v>0</v>
      </c>
      <c r="M412">
        <v>35</v>
      </c>
      <c r="N412">
        <v>52.2</v>
      </c>
      <c r="O412">
        <v>47.8</v>
      </c>
      <c r="P412">
        <v>47.5</v>
      </c>
      <c r="Q412">
        <v>52.5</v>
      </c>
    </row>
    <row r="413" spans="1:17" x14ac:dyDescent="0.25">
      <c r="A413" s="2">
        <v>45337</v>
      </c>
      <c r="B413" s="2" t="str">
        <f t="shared" si="12"/>
        <v>Thursday</v>
      </c>
      <c r="C413" s="2" t="b">
        <f t="shared" si="13"/>
        <v>0</v>
      </c>
      <c r="D413">
        <v>1</v>
      </c>
      <c r="E413" t="s">
        <v>5</v>
      </c>
      <c r="F413">
        <v>238</v>
      </c>
      <c r="G413" s="3">
        <v>4599.18</v>
      </c>
      <c r="H413" s="3">
        <f>Miami_Retail[[#This Row],[sales_usd]] / Miami_Retail[[#This Row],[customers]]</f>
        <v>19.324285714285715</v>
      </c>
      <c r="I413">
        <v>68.3</v>
      </c>
      <c r="J413">
        <f>(Miami_Retail[[#This Row],[avg_temp_f]]-32) * (5/9)</f>
        <v>20.166666666666664</v>
      </c>
      <c r="K413">
        <v>0</v>
      </c>
      <c r="L413">
        <v>0</v>
      </c>
      <c r="M413">
        <v>41.8</v>
      </c>
      <c r="N413">
        <v>50.5</v>
      </c>
      <c r="O413">
        <v>49.5</v>
      </c>
      <c r="P413">
        <v>47.9</v>
      </c>
      <c r="Q413">
        <v>52.1</v>
      </c>
    </row>
    <row r="414" spans="1:17" x14ac:dyDescent="0.25">
      <c r="A414" s="2">
        <v>45338</v>
      </c>
      <c r="B414" s="2" t="str">
        <f t="shared" si="12"/>
        <v>Friday</v>
      </c>
      <c r="C414" s="2" t="b">
        <f t="shared" si="13"/>
        <v>0</v>
      </c>
      <c r="D414">
        <v>1</v>
      </c>
      <c r="E414" t="s">
        <v>5</v>
      </c>
      <c r="F414">
        <v>197</v>
      </c>
      <c r="G414" s="3">
        <v>3557.25</v>
      </c>
      <c r="H414" s="3">
        <f>Miami_Retail[[#This Row],[sales_usd]] / Miami_Retail[[#This Row],[customers]]</f>
        <v>18.05710659898477</v>
      </c>
      <c r="I414">
        <v>66.8</v>
      </c>
      <c r="J414">
        <f>(Miami_Retail[[#This Row],[avg_temp_f]]-32) * (5/9)</f>
        <v>19.333333333333332</v>
      </c>
      <c r="K414">
        <v>0</v>
      </c>
      <c r="L414">
        <v>0</v>
      </c>
      <c r="M414">
        <v>35.799999999999997</v>
      </c>
      <c r="N414">
        <v>50.4</v>
      </c>
      <c r="O414">
        <v>49.6</v>
      </c>
      <c r="P414">
        <v>46.6</v>
      </c>
      <c r="Q414">
        <v>53.4</v>
      </c>
    </row>
    <row r="415" spans="1:17" x14ac:dyDescent="0.25">
      <c r="A415" s="2">
        <v>45339</v>
      </c>
      <c r="B415" s="2" t="str">
        <f t="shared" si="12"/>
        <v>Saturday</v>
      </c>
      <c r="C415" s="2" t="b">
        <f t="shared" si="13"/>
        <v>1</v>
      </c>
      <c r="D415">
        <v>1</v>
      </c>
      <c r="E415" t="s">
        <v>5</v>
      </c>
      <c r="F415">
        <v>286</v>
      </c>
      <c r="G415" s="3">
        <v>5443.51</v>
      </c>
      <c r="H415" s="3">
        <f>Miami_Retail[[#This Row],[sales_usd]] / Miami_Retail[[#This Row],[customers]]</f>
        <v>19.03325174825175</v>
      </c>
      <c r="I415">
        <v>71.7</v>
      </c>
      <c r="J415">
        <f>(Miami_Retail[[#This Row],[avg_temp_f]]-32) * (5/9)</f>
        <v>22.055555555555557</v>
      </c>
      <c r="K415">
        <v>0</v>
      </c>
      <c r="L415">
        <v>0</v>
      </c>
      <c r="M415">
        <v>35</v>
      </c>
      <c r="N415">
        <v>51.7</v>
      </c>
      <c r="O415">
        <v>48.3</v>
      </c>
      <c r="P415">
        <v>52.5</v>
      </c>
      <c r="Q415">
        <v>47.5</v>
      </c>
    </row>
    <row r="416" spans="1:17" x14ac:dyDescent="0.25">
      <c r="A416" s="2">
        <v>45340</v>
      </c>
      <c r="B416" s="2" t="str">
        <f t="shared" si="12"/>
        <v>Sunday</v>
      </c>
      <c r="C416" s="2" t="b">
        <f t="shared" si="13"/>
        <v>1</v>
      </c>
      <c r="D416">
        <v>1</v>
      </c>
      <c r="E416" t="s">
        <v>5</v>
      </c>
      <c r="F416">
        <v>274</v>
      </c>
      <c r="G416" s="3">
        <v>4867.79</v>
      </c>
      <c r="H416" s="3">
        <f>Miami_Retail[[#This Row],[sales_usd]] / Miami_Retail[[#This Row],[customers]]</f>
        <v>17.76565693430657</v>
      </c>
      <c r="I416">
        <v>64</v>
      </c>
      <c r="J416">
        <f>(Miami_Retail[[#This Row],[avg_temp_f]]-32) * (5/9)</f>
        <v>17.777777777777779</v>
      </c>
      <c r="K416">
        <v>0.79</v>
      </c>
      <c r="L416">
        <v>1</v>
      </c>
      <c r="M416">
        <v>38.799999999999997</v>
      </c>
      <c r="N416">
        <v>51.7</v>
      </c>
      <c r="O416">
        <v>48.3</v>
      </c>
      <c r="P416">
        <v>53.1</v>
      </c>
      <c r="Q416">
        <v>46.9</v>
      </c>
    </row>
    <row r="417" spans="1:17" x14ac:dyDescent="0.25">
      <c r="A417" s="2">
        <v>45341</v>
      </c>
      <c r="B417" s="2" t="str">
        <f t="shared" si="12"/>
        <v>Monday</v>
      </c>
      <c r="C417" s="2" t="b">
        <f t="shared" si="13"/>
        <v>0</v>
      </c>
      <c r="D417">
        <v>1</v>
      </c>
      <c r="E417" t="s">
        <v>5</v>
      </c>
      <c r="F417">
        <v>207</v>
      </c>
      <c r="G417" s="3">
        <v>3861.34</v>
      </c>
      <c r="H417" s="3">
        <f>Miami_Retail[[#This Row],[sales_usd]] / Miami_Retail[[#This Row],[customers]]</f>
        <v>18.653816425120773</v>
      </c>
      <c r="I417">
        <v>66</v>
      </c>
      <c r="J417">
        <f>(Miami_Retail[[#This Row],[avg_temp_f]]-32) * (5/9)</f>
        <v>18.888888888888889</v>
      </c>
      <c r="K417">
        <v>0</v>
      </c>
      <c r="L417">
        <v>0</v>
      </c>
      <c r="M417">
        <v>44.6</v>
      </c>
      <c r="N417">
        <v>51.6</v>
      </c>
      <c r="O417">
        <v>48.4</v>
      </c>
      <c r="P417">
        <v>47.3</v>
      </c>
      <c r="Q417">
        <v>52.7</v>
      </c>
    </row>
    <row r="418" spans="1:17" x14ac:dyDescent="0.25">
      <c r="A418" s="2">
        <v>45342</v>
      </c>
      <c r="B418" s="2" t="str">
        <f t="shared" si="12"/>
        <v>Tuesday</v>
      </c>
      <c r="C418" s="2" t="b">
        <f t="shared" si="13"/>
        <v>0</v>
      </c>
      <c r="D418">
        <v>1</v>
      </c>
      <c r="E418" t="s">
        <v>5</v>
      </c>
      <c r="F418">
        <v>242</v>
      </c>
      <c r="G418" s="3">
        <v>4486.22</v>
      </c>
      <c r="H418" s="3">
        <f>Miami_Retail[[#This Row],[sales_usd]] / Miami_Retail[[#This Row],[customers]]</f>
        <v>18.538099173553721</v>
      </c>
      <c r="I418">
        <v>69.8</v>
      </c>
      <c r="J418">
        <f>(Miami_Retail[[#This Row],[avg_temp_f]]-32) * (5/9)</f>
        <v>21</v>
      </c>
      <c r="K418">
        <v>0</v>
      </c>
      <c r="L418">
        <v>0</v>
      </c>
      <c r="M418">
        <v>37.700000000000003</v>
      </c>
      <c r="N418">
        <v>51.1</v>
      </c>
      <c r="O418">
        <v>48.9</v>
      </c>
      <c r="P418">
        <v>46.4</v>
      </c>
      <c r="Q418">
        <v>53.6</v>
      </c>
    </row>
    <row r="419" spans="1:17" x14ac:dyDescent="0.25">
      <c r="A419" s="2">
        <v>45343</v>
      </c>
      <c r="B419" s="2" t="str">
        <f t="shared" si="12"/>
        <v>Wednesday</v>
      </c>
      <c r="C419" s="2" t="b">
        <f t="shared" si="13"/>
        <v>0</v>
      </c>
      <c r="D419">
        <v>1</v>
      </c>
      <c r="E419" t="s">
        <v>5</v>
      </c>
      <c r="F419">
        <v>214</v>
      </c>
      <c r="G419" s="3">
        <v>4134.96</v>
      </c>
      <c r="H419" s="3">
        <f>Miami_Retail[[#This Row],[sales_usd]] / Miami_Retail[[#This Row],[customers]]</f>
        <v>19.322242990654207</v>
      </c>
      <c r="I419">
        <v>70.900000000000006</v>
      </c>
      <c r="J419">
        <f>(Miami_Retail[[#This Row],[avg_temp_f]]-32) * (5/9)</f>
        <v>21.611111111111114</v>
      </c>
      <c r="K419">
        <v>0</v>
      </c>
      <c r="L419">
        <v>0</v>
      </c>
      <c r="M419">
        <v>36.700000000000003</v>
      </c>
      <c r="N419">
        <v>52.4</v>
      </c>
      <c r="O419">
        <v>47.6</v>
      </c>
      <c r="P419">
        <v>47.2</v>
      </c>
      <c r="Q419">
        <v>52.8</v>
      </c>
    </row>
    <row r="420" spans="1:17" x14ac:dyDescent="0.25">
      <c r="A420" s="2">
        <v>45344</v>
      </c>
      <c r="B420" s="2" t="str">
        <f t="shared" si="12"/>
        <v>Thursday</v>
      </c>
      <c r="C420" s="2" t="b">
        <f t="shared" si="13"/>
        <v>0</v>
      </c>
      <c r="D420">
        <v>1</v>
      </c>
      <c r="E420" t="s">
        <v>5</v>
      </c>
      <c r="F420">
        <v>243</v>
      </c>
      <c r="G420" s="3">
        <v>4565.5200000000004</v>
      </c>
      <c r="H420" s="3">
        <f>Miami_Retail[[#This Row],[sales_usd]] / Miami_Retail[[#This Row],[customers]]</f>
        <v>18.788148148148149</v>
      </c>
      <c r="I420">
        <v>72</v>
      </c>
      <c r="J420">
        <f>(Miami_Retail[[#This Row],[avg_temp_f]]-32) * (5/9)</f>
        <v>22.222222222222221</v>
      </c>
      <c r="K420">
        <v>0</v>
      </c>
      <c r="L420">
        <v>0</v>
      </c>
      <c r="M420">
        <v>36.9</v>
      </c>
      <c r="N420">
        <v>50.5</v>
      </c>
      <c r="O420">
        <v>49.5</v>
      </c>
      <c r="P420">
        <v>47.7</v>
      </c>
      <c r="Q420">
        <v>52.3</v>
      </c>
    </row>
    <row r="421" spans="1:17" x14ac:dyDescent="0.25">
      <c r="A421" s="2">
        <v>45345</v>
      </c>
      <c r="B421" s="2" t="str">
        <f t="shared" si="12"/>
        <v>Friday</v>
      </c>
      <c r="C421" s="2" t="b">
        <f t="shared" si="13"/>
        <v>0</v>
      </c>
      <c r="D421">
        <v>1</v>
      </c>
      <c r="E421" t="s">
        <v>5</v>
      </c>
      <c r="F421">
        <v>223</v>
      </c>
      <c r="G421" s="3">
        <v>4139.92</v>
      </c>
      <c r="H421" s="3">
        <f>Miami_Retail[[#This Row],[sales_usd]] / Miami_Retail[[#This Row],[customers]]</f>
        <v>18.564663677130046</v>
      </c>
      <c r="I421">
        <v>65.099999999999994</v>
      </c>
      <c r="J421">
        <f>(Miami_Retail[[#This Row],[avg_temp_f]]-32) * (5/9)</f>
        <v>18.388888888888886</v>
      </c>
      <c r="K421">
        <v>1.41</v>
      </c>
      <c r="L421">
        <v>1</v>
      </c>
      <c r="M421">
        <v>41.8</v>
      </c>
      <c r="N421">
        <v>52.4</v>
      </c>
      <c r="O421">
        <v>47.6</v>
      </c>
      <c r="P421">
        <v>48.2</v>
      </c>
      <c r="Q421">
        <v>51.8</v>
      </c>
    </row>
    <row r="422" spans="1:17" x14ac:dyDescent="0.25">
      <c r="A422" s="2">
        <v>45346</v>
      </c>
      <c r="B422" s="2" t="str">
        <f t="shared" si="12"/>
        <v>Saturday</v>
      </c>
      <c r="C422" s="2" t="b">
        <f t="shared" si="13"/>
        <v>1</v>
      </c>
      <c r="D422">
        <v>1</v>
      </c>
      <c r="E422" t="s">
        <v>5</v>
      </c>
      <c r="F422">
        <v>254</v>
      </c>
      <c r="G422" s="3">
        <v>4784.47</v>
      </c>
      <c r="H422" s="3">
        <f>Miami_Retail[[#This Row],[sales_usd]] / Miami_Retail[[#This Row],[customers]]</f>
        <v>18.836496062992126</v>
      </c>
      <c r="I422">
        <v>63.6</v>
      </c>
      <c r="J422">
        <f>(Miami_Retail[[#This Row],[avg_temp_f]]-32) * (5/9)</f>
        <v>17.555555555555557</v>
      </c>
      <c r="K422">
        <v>0</v>
      </c>
      <c r="L422">
        <v>0</v>
      </c>
      <c r="M422">
        <v>38</v>
      </c>
      <c r="N422">
        <v>51.8</v>
      </c>
      <c r="O422">
        <v>48.2</v>
      </c>
      <c r="P422">
        <v>51.2</v>
      </c>
      <c r="Q422">
        <v>48.8</v>
      </c>
    </row>
    <row r="423" spans="1:17" x14ac:dyDescent="0.25">
      <c r="A423" s="2">
        <v>45347</v>
      </c>
      <c r="B423" s="2" t="str">
        <f t="shared" si="12"/>
        <v>Sunday</v>
      </c>
      <c r="C423" s="2" t="b">
        <f t="shared" si="13"/>
        <v>1</v>
      </c>
      <c r="D423">
        <v>1</v>
      </c>
      <c r="E423" t="s">
        <v>5</v>
      </c>
      <c r="F423">
        <v>253</v>
      </c>
      <c r="G423" s="3">
        <v>4536.66</v>
      </c>
      <c r="H423" s="3">
        <f>Miami_Retail[[#This Row],[sales_usd]] / Miami_Retail[[#This Row],[customers]]</f>
        <v>17.931462450592885</v>
      </c>
      <c r="I423">
        <v>67</v>
      </c>
      <c r="J423">
        <f>(Miami_Retail[[#This Row],[avg_temp_f]]-32) * (5/9)</f>
        <v>19.444444444444446</v>
      </c>
      <c r="K423">
        <v>0</v>
      </c>
      <c r="L423">
        <v>0</v>
      </c>
      <c r="M423">
        <v>36.299999999999997</v>
      </c>
      <c r="N423">
        <v>50.8</v>
      </c>
      <c r="O423">
        <v>49.2</v>
      </c>
      <c r="P423">
        <v>52.8</v>
      </c>
      <c r="Q423">
        <v>47.2</v>
      </c>
    </row>
    <row r="424" spans="1:17" x14ac:dyDescent="0.25">
      <c r="A424" s="2">
        <v>45348</v>
      </c>
      <c r="B424" s="2" t="str">
        <f t="shared" si="12"/>
        <v>Monday</v>
      </c>
      <c r="C424" s="2" t="b">
        <f t="shared" si="13"/>
        <v>0</v>
      </c>
      <c r="D424">
        <v>1</v>
      </c>
      <c r="E424" t="s">
        <v>5</v>
      </c>
      <c r="F424">
        <v>230</v>
      </c>
      <c r="G424" s="3">
        <v>4528.03</v>
      </c>
      <c r="H424" s="3">
        <f>Miami_Retail[[#This Row],[sales_usd]] / Miami_Retail[[#This Row],[customers]]</f>
        <v>19.687086956521739</v>
      </c>
      <c r="I424">
        <v>67</v>
      </c>
      <c r="J424">
        <f>(Miami_Retail[[#This Row],[avg_temp_f]]-32) * (5/9)</f>
        <v>19.444444444444446</v>
      </c>
      <c r="K424">
        <v>0</v>
      </c>
      <c r="L424">
        <v>0</v>
      </c>
      <c r="M424">
        <v>38.700000000000003</v>
      </c>
      <c r="N424">
        <v>51.3</v>
      </c>
      <c r="O424">
        <v>48.7</v>
      </c>
      <c r="P424">
        <v>47.7</v>
      </c>
      <c r="Q424">
        <v>52.3</v>
      </c>
    </row>
    <row r="425" spans="1:17" x14ac:dyDescent="0.25">
      <c r="A425" s="2">
        <v>45349</v>
      </c>
      <c r="B425" s="2" t="str">
        <f t="shared" si="12"/>
        <v>Tuesday</v>
      </c>
      <c r="C425" s="2" t="b">
        <f t="shared" si="13"/>
        <v>0</v>
      </c>
      <c r="D425">
        <v>1</v>
      </c>
      <c r="E425" t="s">
        <v>5</v>
      </c>
      <c r="F425">
        <v>217</v>
      </c>
      <c r="G425" s="3">
        <v>4272.6099999999997</v>
      </c>
      <c r="H425" s="3">
        <f>Miami_Retail[[#This Row],[sales_usd]] / Miami_Retail[[#This Row],[customers]]</f>
        <v>19.689447004608294</v>
      </c>
      <c r="I425">
        <v>62.5</v>
      </c>
      <c r="J425">
        <f>(Miami_Retail[[#This Row],[avg_temp_f]]-32) * (5/9)</f>
        <v>16.944444444444446</v>
      </c>
      <c r="K425">
        <v>0</v>
      </c>
      <c r="L425">
        <v>0</v>
      </c>
      <c r="M425">
        <v>39.700000000000003</v>
      </c>
      <c r="N425">
        <v>50.6</v>
      </c>
      <c r="O425">
        <v>49.4</v>
      </c>
      <c r="P425">
        <v>47.7</v>
      </c>
      <c r="Q425">
        <v>52.3</v>
      </c>
    </row>
    <row r="426" spans="1:17" x14ac:dyDescent="0.25">
      <c r="A426" s="2">
        <v>45350</v>
      </c>
      <c r="B426" s="2" t="str">
        <f t="shared" si="12"/>
        <v>Wednesday</v>
      </c>
      <c r="C426" s="2" t="b">
        <f t="shared" si="13"/>
        <v>0</v>
      </c>
      <c r="D426">
        <v>1</v>
      </c>
      <c r="E426" t="s">
        <v>5</v>
      </c>
      <c r="F426">
        <v>210</v>
      </c>
      <c r="G426" s="3">
        <v>3556.05</v>
      </c>
      <c r="H426" s="3">
        <f>Miami_Retail[[#This Row],[sales_usd]] / Miami_Retail[[#This Row],[customers]]</f>
        <v>16.93357142857143</v>
      </c>
      <c r="I426">
        <v>64.8</v>
      </c>
      <c r="J426">
        <f>(Miami_Retail[[#This Row],[avg_temp_f]]-32) * (5/9)</f>
        <v>18.222222222222221</v>
      </c>
      <c r="K426">
        <v>0</v>
      </c>
      <c r="L426">
        <v>0</v>
      </c>
      <c r="M426">
        <v>35</v>
      </c>
      <c r="N426">
        <v>52</v>
      </c>
      <c r="O426">
        <v>48</v>
      </c>
      <c r="P426">
        <v>48.2</v>
      </c>
      <c r="Q426">
        <v>51.8</v>
      </c>
    </row>
    <row r="427" spans="1:17" x14ac:dyDescent="0.25">
      <c r="A427" s="2">
        <v>45351</v>
      </c>
      <c r="B427" s="2" t="str">
        <f t="shared" si="12"/>
        <v>Thursday</v>
      </c>
      <c r="C427" s="2" t="b">
        <f t="shared" si="13"/>
        <v>0</v>
      </c>
      <c r="D427">
        <v>1</v>
      </c>
      <c r="E427" t="s">
        <v>5</v>
      </c>
      <c r="F427">
        <v>188</v>
      </c>
      <c r="G427" s="3">
        <v>3620.54</v>
      </c>
      <c r="H427" s="3">
        <f>Miami_Retail[[#This Row],[sales_usd]] / Miami_Retail[[#This Row],[customers]]</f>
        <v>19.258191489361703</v>
      </c>
      <c r="I427">
        <v>69.5</v>
      </c>
      <c r="J427">
        <f>(Miami_Retail[[#This Row],[avg_temp_f]]-32) * (5/9)</f>
        <v>20.833333333333336</v>
      </c>
      <c r="K427">
        <v>2.56</v>
      </c>
      <c r="L427">
        <v>1</v>
      </c>
      <c r="M427">
        <v>35.200000000000003</v>
      </c>
      <c r="N427">
        <v>52</v>
      </c>
      <c r="O427">
        <v>48</v>
      </c>
      <c r="P427">
        <v>47.8</v>
      </c>
      <c r="Q427">
        <v>52.2</v>
      </c>
    </row>
    <row r="428" spans="1:17" x14ac:dyDescent="0.25">
      <c r="A428" s="2">
        <v>45352</v>
      </c>
      <c r="B428" s="2" t="str">
        <f t="shared" si="12"/>
        <v>Friday</v>
      </c>
      <c r="C428" s="2" t="b">
        <f t="shared" si="13"/>
        <v>0</v>
      </c>
      <c r="D428">
        <v>1</v>
      </c>
      <c r="E428" t="s">
        <v>5</v>
      </c>
      <c r="F428">
        <v>231</v>
      </c>
      <c r="G428" s="3">
        <v>4351.57</v>
      </c>
      <c r="H428" s="3">
        <f>Miami_Retail[[#This Row],[sales_usd]] / Miami_Retail[[#This Row],[customers]]</f>
        <v>18.837965367965367</v>
      </c>
      <c r="I428">
        <v>64.8</v>
      </c>
      <c r="J428">
        <f>(Miami_Retail[[#This Row],[avg_temp_f]]-32) * (5/9)</f>
        <v>18.222222222222221</v>
      </c>
      <c r="K428">
        <v>0.15</v>
      </c>
      <c r="L428">
        <v>1</v>
      </c>
      <c r="M428">
        <v>37.1</v>
      </c>
      <c r="N428">
        <v>50.9</v>
      </c>
      <c r="O428">
        <v>49.1</v>
      </c>
      <c r="P428">
        <v>48</v>
      </c>
      <c r="Q428">
        <v>52</v>
      </c>
    </row>
    <row r="429" spans="1:17" x14ac:dyDescent="0.25">
      <c r="A429" s="2">
        <v>45353</v>
      </c>
      <c r="B429" s="2" t="str">
        <f t="shared" si="12"/>
        <v>Saturday</v>
      </c>
      <c r="C429" s="2" t="b">
        <f t="shared" si="13"/>
        <v>1</v>
      </c>
      <c r="D429">
        <v>1</v>
      </c>
      <c r="E429" t="s">
        <v>5</v>
      </c>
      <c r="F429">
        <v>239</v>
      </c>
      <c r="G429" s="3">
        <v>4413.68</v>
      </c>
      <c r="H429" s="3">
        <f>Miami_Retail[[#This Row],[sales_usd]] / Miami_Retail[[#This Row],[customers]]</f>
        <v>18.467280334728034</v>
      </c>
      <c r="I429">
        <v>63.1</v>
      </c>
      <c r="J429">
        <f>(Miami_Retail[[#This Row],[avg_temp_f]]-32) * (5/9)</f>
        <v>17.277777777777779</v>
      </c>
      <c r="K429">
        <v>0</v>
      </c>
      <c r="L429">
        <v>0</v>
      </c>
      <c r="M429">
        <v>35</v>
      </c>
      <c r="N429">
        <v>51.1</v>
      </c>
      <c r="O429">
        <v>48.9</v>
      </c>
      <c r="P429">
        <v>51.8</v>
      </c>
      <c r="Q429">
        <v>48.2</v>
      </c>
    </row>
    <row r="430" spans="1:17" x14ac:dyDescent="0.25">
      <c r="A430" s="2">
        <v>45354</v>
      </c>
      <c r="B430" s="2" t="str">
        <f t="shared" si="12"/>
        <v>Sunday</v>
      </c>
      <c r="C430" s="2" t="b">
        <f t="shared" si="13"/>
        <v>1</v>
      </c>
      <c r="D430">
        <v>1</v>
      </c>
      <c r="E430" t="s">
        <v>5</v>
      </c>
      <c r="F430">
        <v>238</v>
      </c>
      <c r="G430" s="3">
        <v>4429.25</v>
      </c>
      <c r="H430" s="3">
        <f>Miami_Retail[[#This Row],[sales_usd]] / Miami_Retail[[#This Row],[customers]]</f>
        <v>18.610294117647058</v>
      </c>
      <c r="I430">
        <v>63.9</v>
      </c>
      <c r="J430">
        <f>(Miami_Retail[[#This Row],[avg_temp_f]]-32) * (5/9)</f>
        <v>17.722222222222221</v>
      </c>
      <c r="K430">
        <v>0</v>
      </c>
      <c r="L430">
        <v>0</v>
      </c>
      <c r="M430">
        <v>36.200000000000003</v>
      </c>
      <c r="N430">
        <v>51.5</v>
      </c>
      <c r="O430">
        <v>48.5</v>
      </c>
      <c r="P430">
        <v>51.7</v>
      </c>
      <c r="Q430">
        <v>48.3</v>
      </c>
    </row>
    <row r="431" spans="1:17" x14ac:dyDescent="0.25">
      <c r="A431" s="2">
        <v>45355</v>
      </c>
      <c r="B431" s="2" t="str">
        <f t="shared" si="12"/>
        <v>Monday</v>
      </c>
      <c r="C431" s="2" t="b">
        <f t="shared" si="13"/>
        <v>0</v>
      </c>
      <c r="D431">
        <v>1</v>
      </c>
      <c r="E431" t="s">
        <v>5</v>
      </c>
      <c r="F431">
        <v>212</v>
      </c>
      <c r="G431" s="3">
        <v>4021.41</v>
      </c>
      <c r="H431" s="3">
        <f>Miami_Retail[[#This Row],[sales_usd]] / Miami_Retail[[#This Row],[customers]]</f>
        <v>18.968915094339621</v>
      </c>
      <c r="I431">
        <v>61.4</v>
      </c>
      <c r="J431">
        <f>(Miami_Retail[[#This Row],[avg_temp_f]]-32) * (5/9)</f>
        <v>16.333333333333332</v>
      </c>
      <c r="K431">
        <v>1.1000000000000001</v>
      </c>
      <c r="L431">
        <v>1</v>
      </c>
      <c r="M431">
        <v>35</v>
      </c>
      <c r="N431">
        <v>50.5</v>
      </c>
      <c r="O431">
        <v>49.5</v>
      </c>
      <c r="P431">
        <v>48</v>
      </c>
      <c r="Q431">
        <v>52</v>
      </c>
    </row>
    <row r="432" spans="1:17" x14ac:dyDescent="0.25">
      <c r="A432" s="2">
        <v>45356</v>
      </c>
      <c r="B432" s="2" t="str">
        <f t="shared" si="12"/>
        <v>Tuesday</v>
      </c>
      <c r="C432" s="2" t="b">
        <f t="shared" si="13"/>
        <v>0</v>
      </c>
      <c r="D432">
        <v>1</v>
      </c>
      <c r="E432" t="s">
        <v>5</v>
      </c>
      <c r="F432">
        <v>204</v>
      </c>
      <c r="G432" s="3">
        <v>3542.1</v>
      </c>
      <c r="H432" s="3">
        <f>Miami_Retail[[#This Row],[sales_usd]] / Miami_Retail[[#This Row],[customers]]</f>
        <v>17.363235294117647</v>
      </c>
      <c r="I432">
        <v>61.4</v>
      </c>
      <c r="J432">
        <f>(Miami_Retail[[#This Row],[avg_temp_f]]-32) * (5/9)</f>
        <v>16.333333333333332</v>
      </c>
      <c r="K432">
        <v>0</v>
      </c>
      <c r="L432">
        <v>0</v>
      </c>
      <c r="M432">
        <v>43</v>
      </c>
      <c r="N432">
        <v>51.2</v>
      </c>
      <c r="O432">
        <v>48.8</v>
      </c>
      <c r="P432">
        <v>46.1</v>
      </c>
      <c r="Q432">
        <v>53.9</v>
      </c>
    </row>
    <row r="433" spans="1:17" x14ac:dyDescent="0.25">
      <c r="A433" s="2">
        <v>45357</v>
      </c>
      <c r="B433" s="2" t="str">
        <f t="shared" si="12"/>
        <v>Wednesday</v>
      </c>
      <c r="C433" s="2" t="b">
        <f t="shared" si="13"/>
        <v>0</v>
      </c>
      <c r="D433">
        <v>1</v>
      </c>
      <c r="E433" t="s">
        <v>5</v>
      </c>
      <c r="F433">
        <v>230</v>
      </c>
      <c r="G433" s="3">
        <v>4138.29</v>
      </c>
      <c r="H433" s="3">
        <f>Miami_Retail[[#This Row],[sales_usd]] / Miami_Retail[[#This Row],[customers]]</f>
        <v>17.992565217391306</v>
      </c>
      <c r="I433">
        <v>62.7</v>
      </c>
      <c r="J433">
        <f>(Miami_Retail[[#This Row],[avg_temp_f]]-32) * (5/9)</f>
        <v>17.055555555555557</v>
      </c>
      <c r="K433">
        <v>0</v>
      </c>
      <c r="L433">
        <v>0</v>
      </c>
      <c r="M433">
        <v>36.700000000000003</v>
      </c>
      <c r="N433">
        <v>51</v>
      </c>
      <c r="O433">
        <v>49</v>
      </c>
      <c r="P433">
        <v>46.2</v>
      </c>
      <c r="Q433">
        <v>53.8</v>
      </c>
    </row>
    <row r="434" spans="1:17" x14ac:dyDescent="0.25">
      <c r="A434" s="2">
        <v>45358</v>
      </c>
      <c r="B434" s="2" t="str">
        <f t="shared" si="12"/>
        <v>Thursday</v>
      </c>
      <c r="C434" s="2" t="b">
        <f t="shared" si="13"/>
        <v>0</v>
      </c>
      <c r="D434">
        <v>1</v>
      </c>
      <c r="E434" t="s">
        <v>5</v>
      </c>
      <c r="F434">
        <v>201</v>
      </c>
      <c r="G434" s="3">
        <v>3436.95</v>
      </c>
      <c r="H434" s="3">
        <f>Miami_Retail[[#This Row],[sales_usd]] / Miami_Retail[[#This Row],[customers]]</f>
        <v>17.099253731343282</v>
      </c>
      <c r="I434">
        <v>64.3</v>
      </c>
      <c r="J434">
        <f>(Miami_Retail[[#This Row],[avg_temp_f]]-32) * (5/9)</f>
        <v>17.944444444444443</v>
      </c>
      <c r="K434">
        <v>1.42</v>
      </c>
      <c r="L434">
        <v>1</v>
      </c>
      <c r="M434">
        <v>35</v>
      </c>
      <c r="N434">
        <v>50.5</v>
      </c>
      <c r="O434">
        <v>49.5</v>
      </c>
      <c r="P434">
        <v>46.6</v>
      </c>
      <c r="Q434">
        <v>53.4</v>
      </c>
    </row>
    <row r="435" spans="1:17" x14ac:dyDescent="0.25">
      <c r="A435" s="2">
        <v>45359</v>
      </c>
      <c r="B435" s="2" t="str">
        <f t="shared" si="12"/>
        <v>Friday</v>
      </c>
      <c r="C435" s="2" t="b">
        <f t="shared" si="13"/>
        <v>0</v>
      </c>
      <c r="D435">
        <v>1</v>
      </c>
      <c r="E435" t="s">
        <v>5</v>
      </c>
      <c r="F435">
        <v>211</v>
      </c>
      <c r="G435" s="3">
        <v>4244.92</v>
      </c>
      <c r="H435" s="3">
        <f>Miami_Retail[[#This Row],[sales_usd]] / Miami_Retail[[#This Row],[customers]]</f>
        <v>20.118104265402845</v>
      </c>
      <c r="I435">
        <v>64.099999999999994</v>
      </c>
      <c r="J435">
        <f>(Miami_Retail[[#This Row],[avg_temp_f]]-32) * (5/9)</f>
        <v>17.833333333333332</v>
      </c>
      <c r="K435">
        <v>0</v>
      </c>
      <c r="L435">
        <v>0</v>
      </c>
      <c r="M435">
        <v>35</v>
      </c>
      <c r="N435">
        <v>50.9</v>
      </c>
      <c r="O435">
        <v>49.1</v>
      </c>
      <c r="P435">
        <v>47.1</v>
      </c>
      <c r="Q435">
        <v>52.9</v>
      </c>
    </row>
    <row r="436" spans="1:17" x14ac:dyDescent="0.25">
      <c r="A436" s="2">
        <v>45360</v>
      </c>
      <c r="B436" s="2" t="str">
        <f t="shared" si="12"/>
        <v>Saturday</v>
      </c>
      <c r="C436" s="2" t="b">
        <f t="shared" si="13"/>
        <v>1</v>
      </c>
      <c r="D436">
        <v>1</v>
      </c>
      <c r="E436" t="s">
        <v>5</v>
      </c>
      <c r="F436">
        <v>252</v>
      </c>
      <c r="G436" s="3">
        <v>4861.8500000000004</v>
      </c>
      <c r="H436" s="3">
        <f>Miami_Retail[[#This Row],[sales_usd]] / Miami_Retail[[#This Row],[customers]]</f>
        <v>19.293055555555558</v>
      </c>
      <c r="I436">
        <v>63.3</v>
      </c>
      <c r="J436">
        <f>(Miami_Retail[[#This Row],[avg_temp_f]]-32) * (5/9)</f>
        <v>17.388888888888889</v>
      </c>
      <c r="K436">
        <v>0</v>
      </c>
      <c r="L436">
        <v>0</v>
      </c>
      <c r="M436">
        <v>39.1</v>
      </c>
      <c r="N436">
        <v>52.3</v>
      </c>
      <c r="O436">
        <v>47.7</v>
      </c>
      <c r="P436">
        <v>51.5</v>
      </c>
      <c r="Q436">
        <v>48.5</v>
      </c>
    </row>
    <row r="437" spans="1:17" x14ac:dyDescent="0.25">
      <c r="A437" s="2">
        <v>45361</v>
      </c>
      <c r="B437" s="2" t="str">
        <f t="shared" si="12"/>
        <v>Sunday</v>
      </c>
      <c r="C437" s="2" t="b">
        <f t="shared" si="13"/>
        <v>1</v>
      </c>
      <c r="D437">
        <v>1</v>
      </c>
      <c r="E437" t="s">
        <v>5</v>
      </c>
      <c r="F437">
        <v>266</v>
      </c>
      <c r="G437" s="3">
        <v>5283.82</v>
      </c>
      <c r="H437" s="3">
        <f>Miami_Retail[[#This Row],[sales_usd]] / Miami_Retail[[#This Row],[customers]]</f>
        <v>19.863984962406015</v>
      </c>
      <c r="I437">
        <v>64.3</v>
      </c>
      <c r="J437">
        <f>(Miami_Retail[[#This Row],[avg_temp_f]]-32) * (5/9)</f>
        <v>17.944444444444443</v>
      </c>
      <c r="K437">
        <v>0</v>
      </c>
      <c r="L437">
        <v>0</v>
      </c>
      <c r="M437">
        <v>36.200000000000003</v>
      </c>
      <c r="N437">
        <v>52.1</v>
      </c>
      <c r="O437">
        <v>47.9</v>
      </c>
      <c r="P437">
        <v>53.2</v>
      </c>
      <c r="Q437">
        <v>46.8</v>
      </c>
    </row>
    <row r="438" spans="1:17" x14ac:dyDescent="0.25">
      <c r="A438" s="2">
        <v>45362</v>
      </c>
      <c r="B438" s="2" t="str">
        <f t="shared" si="12"/>
        <v>Monday</v>
      </c>
      <c r="C438" s="2" t="b">
        <f t="shared" si="13"/>
        <v>0</v>
      </c>
      <c r="D438">
        <v>1</v>
      </c>
      <c r="E438" t="s">
        <v>5</v>
      </c>
      <c r="F438">
        <v>247</v>
      </c>
      <c r="G438" s="3">
        <v>4449.5600000000004</v>
      </c>
      <c r="H438" s="3">
        <f>Miami_Retail[[#This Row],[sales_usd]] / Miami_Retail[[#This Row],[customers]]</f>
        <v>18.014412955465588</v>
      </c>
      <c r="I438">
        <v>68.099999999999994</v>
      </c>
      <c r="J438">
        <f>(Miami_Retail[[#This Row],[avg_temp_f]]-32) * (5/9)</f>
        <v>20.055555555555554</v>
      </c>
      <c r="K438">
        <v>0.31</v>
      </c>
      <c r="L438">
        <v>1</v>
      </c>
      <c r="M438">
        <v>38.299999999999997</v>
      </c>
      <c r="N438">
        <v>52.1</v>
      </c>
      <c r="O438">
        <v>47.9</v>
      </c>
      <c r="P438">
        <v>46.9</v>
      </c>
      <c r="Q438">
        <v>53.1</v>
      </c>
    </row>
    <row r="439" spans="1:17" x14ac:dyDescent="0.25">
      <c r="A439" s="2">
        <v>45363</v>
      </c>
      <c r="B439" s="2" t="str">
        <f t="shared" si="12"/>
        <v>Tuesday</v>
      </c>
      <c r="C439" s="2" t="b">
        <f t="shared" si="13"/>
        <v>0</v>
      </c>
      <c r="D439">
        <v>1</v>
      </c>
      <c r="E439" t="s">
        <v>5</v>
      </c>
      <c r="F439">
        <v>210</v>
      </c>
      <c r="G439" s="3">
        <v>3995.68</v>
      </c>
      <c r="H439" s="3">
        <f>Miami_Retail[[#This Row],[sales_usd]] / Miami_Retail[[#This Row],[customers]]</f>
        <v>19.027047619047618</v>
      </c>
      <c r="I439">
        <v>62.9</v>
      </c>
      <c r="J439">
        <f>(Miami_Retail[[#This Row],[avg_temp_f]]-32) * (5/9)</f>
        <v>17.166666666666668</v>
      </c>
      <c r="K439">
        <v>0</v>
      </c>
      <c r="L439">
        <v>0</v>
      </c>
      <c r="M439">
        <v>35</v>
      </c>
      <c r="N439">
        <v>51.9</v>
      </c>
      <c r="O439">
        <v>48.1</v>
      </c>
      <c r="P439">
        <v>47</v>
      </c>
      <c r="Q439">
        <v>53</v>
      </c>
    </row>
    <row r="440" spans="1:17" x14ac:dyDescent="0.25">
      <c r="A440" s="2">
        <v>45364</v>
      </c>
      <c r="B440" s="2" t="str">
        <f t="shared" si="12"/>
        <v>Wednesday</v>
      </c>
      <c r="C440" s="2" t="b">
        <f t="shared" si="13"/>
        <v>0</v>
      </c>
      <c r="D440">
        <v>1</v>
      </c>
      <c r="E440" t="s">
        <v>5</v>
      </c>
      <c r="F440">
        <v>210</v>
      </c>
      <c r="G440" s="3">
        <v>3720.17</v>
      </c>
      <c r="H440" s="3">
        <f>Miami_Retail[[#This Row],[sales_usd]] / Miami_Retail[[#This Row],[customers]]</f>
        <v>17.715095238095238</v>
      </c>
      <c r="I440">
        <v>62.1</v>
      </c>
      <c r="J440">
        <f>(Miami_Retail[[#This Row],[avg_temp_f]]-32) * (5/9)</f>
        <v>16.722222222222225</v>
      </c>
      <c r="K440">
        <v>0</v>
      </c>
      <c r="L440">
        <v>0</v>
      </c>
      <c r="M440">
        <v>35</v>
      </c>
      <c r="N440">
        <v>50.7</v>
      </c>
      <c r="O440">
        <v>49.3</v>
      </c>
      <c r="P440">
        <v>47.8</v>
      </c>
      <c r="Q440">
        <v>52.2</v>
      </c>
    </row>
    <row r="441" spans="1:17" x14ac:dyDescent="0.25">
      <c r="A441" s="2">
        <v>45365</v>
      </c>
      <c r="B441" s="2" t="str">
        <f t="shared" si="12"/>
        <v>Thursday</v>
      </c>
      <c r="C441" s="2" t="b">
        <f t="shared" si="13"/>
        <v>0</v>
      </c>
      <c r="D441">
        <v>1</v>
      </c>
      <c r="E441" t="s">
        <v>5</v>
      </c>
      <c r="F441">
        <v>225</v>
      </c>
      <c r="G441" s="3">
        <v>4247.42</v>
      </c>
      <c r="H441" s="3">
        <f>Miami_Retail[[#This Row],[sales_usd]] / Miami_Retail[[#This Row],[customers]]</f>
        <v>18.877422222222222</v>
      </c>
      <c r="I441">
        <v>72.2</v>
      </c>
      <c r="J441">
        <f>(Miami_Retail[[#This Row],[avg_temp_f]]-32) * (5/9)</f>
        <v>22.333333333333336</v>
      </c>
      <c r="K441">
        <v>0</v>
      </c>
      <c r="L441">
        <v>0</v>
      </c>
      <c r="M441">
        <v>35</v>
      </c>
      <c r="N441">
        <v>51.2</v>
      </c>
      <c r="O441">
        <v>48.8</v>
      </c>
      <c r="P441">
        <v>45</v>
      </c>
      <c r="Q441">
        <v>55</v>
      </c>
    </row>
    <row r="442" spans="1:17" x14ac:dyDescent="0.25">
      <c r="A442" s="2">
        <v>45366</v>
      </c>
      <c r="B442" s="2" t="str">
        <f t="shared" si="12"/>
        <v>Friday</v>
      </c>
      <c r="C442" s="2" t="b">
        <f t="shared" si="13"/>
        <v>0</v>
      </c>
      <c r="D442">
        <v>1</v>
      </c>
      <c r="E442" t="s">
        <v>5</v>
      </c>
      <c r="F442">
        <v>204</v>
      </c>
      <c r="G442" s="3">
        <v>3892.41</v>
      </c>
      <c r="H442" s="3">
        <f>Miami_Retail[[#This Row],[sales_usd]] / Miami_Retail[[#This Row],[customers]]</f>
        <v>19.080441176470586</v>
      </c>
      <c r="I442">
        <v>73.099999999999994</v>
      </c>
      <c r="J442">
        <f>(Miami_Retail[[#This Row],[avg_temp_f]]-32) * (5/9)</f>
        <v>22.833333333333332</v>
      </c>
      <c r="K442">
        <v>0</v>
      </c>
      <c r="L442">
        <v>0</v>
      </c>
      <c r="M442">
        <v>35</v>
      </c>
      <c r="N442">
        <v>53.1</v>
      </c>
      <c r="O442">
        <v>46.9</v>
      </c>
      <c r="P442">
        <v>48.2</v>
      </c>
      <c r="Q442">
        <v>51.8</v>
      </c>
    </row>
    <row r="443" spans="1:17" x14ac:dyDescent="0.25">
      <c r="A443" s="2">
        <v>45367</v>
      </c>
      <c r="B443" s="2" t="str">
        <f t="shared" si="12"/>
        <v>Saturday</v>
      </c>
      <c r="C443" s="2" t="b">
        <f t="shared" si="13"/>
        <v>1</v>
      </c>
      <c r="D443">
        <v>1</v>
      </c>
      <c r="E443" t="s">
        <v>5</v>
      </c>
      <c r="F443">
        <v>302</v>
      </c>
      <c r="G443" s="3">
        <v>5944.22</v>
      </c>
      <c r="H443" s="3">
        <f>Miami_Retail[[#This Row],[sales_usd]] / Miami_Retail[[#This Row],[customers]]</f>
        <v>19.682847682119206</v>
      </c>
      <c r="I443">
        <v>67.2</v>
      </c>
      <c r="J443">
        <f>(Miami_Retail[[#This Row],[avg_temp_f]]-32) * (5/9)</f>
        <v>19.555555555555557</v>
      </c>
      <c r="K443">
        <v>0</v>
      </c>
      <c r="L443">
        <v>0</v>
      </c>
      <c r="M443">
        <v>35</v>
      </c>
      <c r="N443">
        <v>52.2</v>
      </c>
      <c r="O443">
        <v>47.8</v>
      </c>
      <c r="P443">
        <v>54.9</v>
      </c>
      <c r="Q443">
        <v>45.1</v>
      </c>
    </row>
    <row r="444" spans="1:17" x14ac:dyDescent="0.25">
      <c r="A444" s="2">
        <v>45368</v>
      </c>
      <c r="B444" s="2" t="str">
        <f t="shared" si="12"/>
        <v>Sunday</v>
      </c>
      <c r="C444" s="2" t="b">
        <f t="shared" si="13"/>
        <v>1</v>
      </c>
      <c r="D444">
        <v>1</v>
      </c>
      <c r="E444" t="s">
        <v>5</v>
      </c>
      <c r="F444">
        <v>252</v>
      </c>
      <c r="G444" s="3">
        <v>4661.03</v>
      </c>
      <c r="H444" s="3">
        <f>Miami_Retail[[#This Row],[sales_usd]] / Miami_Retail[[#This Row],[customers]]</f>
        <v>18.496150793650791</v>
      </c>
      <c r="I444">
        <v>68.3</v>
      </c>
      <c r="J444">
        <f>(Miami_Retail[[#This Row],[avg_temp_f]]-32) * (5/9)</f>
        <v>20.166666666666664</v>
      </c>
      <c r="K444">
        <v>0</v>
      </c>
      <c r="L444">
        <v>0</v>
      </c>
      <c r="M444">
        <v>37.4</v>
      </c>
      <c r="N444">
        <v>50.8</v>
      </c>
      <c r="O444">
        <v>49.2</v>
      </c>
      <c r="P444">
        <v>55.6</v>
      </c>
      <c r="Q444">
        <v>44.4</v>
      </c>
    </row>
    <row r="445" spans="1:17" x14ac:dyDescent="0.25">
      <c r="A445" s="2">
        <v>45369</v>
      </c>
      <c r="B445" s="2" t="str">
        <f t="shared" si="12"/>
        <v>Monday</v>
      </c>
      <c r="C445" s="2" t="b">
        <f t="shared" si="13"/>
        <v>0</v>
      </c>
      <c r="D445">
        <v>1</v>
      </c>
      <c r="E445" t="s">
        <v>5</v>
      </c>
      <c r="F445">
        <v>228</v>
      </c>
      <c r="G445" s="3">
        <v>4530.83</v>
      </c>
      <c r="H445" s="3">
        <f>Miami_Retail[[#This Row],[sales_usd]] / Miami_Retail[[#This Row],[customers]]</f>
        <v>19.87206140350877</v>
      </c>
      <c r="I445">
        <v>64.099999999999994</v>
      </c>
      <c r="J445">
        <f>(Miami_Retail[[#This Row],[avg_temp_f]]-32) * (5/9)</f>
        <v>17.833333333333332</v>
      </c>
      <c r="K445">
        <v>0</v>
      </c>
      <c r="L445">
        <v>0</v>
      </c>
      <c r="M445">
        <v>38.9</v>
      </c>
      <c r="N445">
        <v>50.2</v>
      </c>
      <c r="O445">
        <v>49.8</v>
      </c>
      <c r="P445">
        <v>45.3</v>
      </c>
      <c r="Q445">
        <v>54.7</v>
      </c>
    </row>
    <row r="446" spans="1:17" x14ac:dyDescent="0.25">
      <c r="A446" s="2">
        <v>45370</v>
      </c>
      <c r="B446" s="2" t="str">
        <f t="shared" si="12"/>
        <v>Tuesday</v>
      </c>
      <c r="C446" s="2" t="b">
        <f t="shared" si="13"/>
        <v>0</v>
      </c>
      <c r="D446">
        <v>1</v>
      </c>
      <c r="E446" t="s">
        <v>5</v>
      </c>
      <c r="F446">
        <v>211</v>
      </c>
      <c r="G446" s="3">
        <v>3752.59</v>
      </c>
      <c r="H446" s="3">
        <f>Miami_Retail[[#This Row],[sales_usd]] / Miami_Retail[[#This Row],[customers]]</f>
        <v>17.784786729857821</v>
      </c>
      <c r="I446">
        <v>64.599999999999994</v>
      </c>
      <c r="J446">
        <f>(Miami_Retail[[#This Row],[avg_temp_f]]-32) * (5/9)</f>
        <v>18.111111111111107</v>
      </c>
      <c r="K446">
        <v>0.4</v>
      </c>
      <c r="L446">
        <v>1</v>
      </c>
      <c r="M446">
        <v>35</v>
      </c>
      <c r="N446">
        <v>53.4</v>
      </c>
      <c r="O446">
        <v>46.6</v>
      </c>
      <c r="P446">
        <v>47.3</v>
      </c>
      <c r="Q446">
        <v>52.7</v>
      </c>
    </row>
    <row r="447" spans="1:17" x14ac:dyDescent="0.25">
      <c r="A447" s="2">
        <v>45371</v>
      </c>
      <c r="B447" s="2" t="str">
        <f t="shared" si="12"/>
        <v>Wednesday</v>
      </c>
      <c r="C447" s="2" t="b">
        <f t="shared" si="13"/>
        <v>0</v>
      </c>
      <c r="D447">
        <v>1</v>
      </c>
      <c r="E447" t="s">
        <v>5</v>
      </c>
      <c r="F447">
        <v>254</v>
      </c>
      <c r="G447" s="3">
        <v>4973.88</v>
      </c>
      <c r="H447" s="3">
        <f>Miami_Retail[[#This Row],[sales_usd]] / Miami_Retail[[#This Row],[customers]]</f>
        <v>19.582204724409451</v>
      </c>
      <c r="I447">
        <v>64.099999999999994</v>
      </c>
      <c r="J447">
        <f>(Miami_Retail[[#This Row],[avg_temp_f]]-32) * (5/9)</f>
        <v>17.833333333333332</v>
      </c>
      <c r="K447">
        <v>0.49</v>
      </c>
      <c r="L447">
        <v>1</v>
      </c>
      <c r="M447">
        <v>36.9</v>
      </c>
      <c r="N447">
        <v>52.6</v>
      </c>
      <c r="O447">
        <v>47.4</v>
      </c>
      <c r="P447">
        <v>47.2</v>
      </c>
      <c r="Q447">
        <v>52.8</v>
      </c>
    </row>
    <row r="448" spans="1:17" x14ac:dyDescent="0.25">
      <c r="A448" s="2">
        <v>45372</v>
      </c>
      <c r="B448" s="2" t="str">
        <f t="shared" si="12"/>
        <v>Thursday</v>
      </c>
      <c r="C448" s="2" t="b">
        <f t="shared" si="13"/>
        <v>0</v>
      </c>
      <c r="D448">
        <v>1</v>
      </c>
      <c r="E448" t="s">
        <v>5</v>
      </c>
      <c r="F448">
        <v>213</v>
      </c>
      <c r="G448" s="3">
        <v>3568.75</v>
      </c>
      <c r="H448" s="3">
        <f>Miami_Retail[[#This Row],[sales_usd]] / Miami_Retail[[#This Row],[customers]]</f>
        <v>16.754694835680752</v>
      </c>
      <c r="I448">
        <v>66.8</v>
      </c>
      <c r="J448">
        <f>(Miami_Retail[[#This Row],[avg_temp_f]]-32) * (5/9)</f>
        <v>19.333333333333332</v>
      </c>
      <c r="K448">
        <v>0</v>
      </c>
      <c r="L448">
        <v>0</v>
      </c>
      <c r="M448">
        <v>42.2</v>
      </c>
      <c r="N448">
        <v>52.9</v>
      </c>
      <c r="O448">
        <v>47.1</v>
      </c>
      <c r="P448">
        <v>46.6</v>
      </c>
      <c r="Q448">
        <v>53.4</v>
      </c>
    </row>
    <row r="449" spans="1:17" x14ac:dyDescent="0.25">
      <c r="A449" s="2">
        <v>45373</v>
      </c>
      <c r="B449" s="2" t="str">
        <f t="shared" si="12"/>
        <v>Friday</v>
      </c>
      <c r="C449" s="2" t="b">
        <f t="shared" si="13"/>
        <v>0</v>
      </c>
      <c r="D449">
        <v>1</v>
      </c>
      <c r="E449" t="s">
        <v>5</v>
      </c>
      <c r="F449">
        <v>191</v>
      </c>
      <c r="G449" s="3">
        <v>3326.65</v>
      </c>
      <c r="H449" s="3">
        <f>Miami_Retail[[#This Row],[sales_usd]] / Miami_Retail[[#This Row],[customers]]</f>
        <v>17.417015706806282</v>
      </c>
      <c r="I449">
        <v>69.400000000000006</v>
      </c>
      <c r="J449">
        <f>(Miami_Retail[[#This Row],[avg_temp_f]]-32) * (5/9)</f>
        <v>20.777777777777782</v>
      </c>
      <c r="K449">
        <v>0.18</v>
      </c>
      <c r="L449">
        <v>1</v>
      </c>
      <c r="M449">
        <v>38.200000000000003</v>
      </c>
      <c r="N449">
        <v>51.3</v>
      </c>
      <c r="O449">
        <v>48.7</v>
      </c>
      <c r="P449">
        <v>49.9</v>
      </c>
      <c r="Q449">
        <v>50.1</v>
      </c>
    </row>
    <row r="450" spans="1:17" x14ac:dyDescent="0.25">
      <c r="A450" s="2">
        <v>45374</v>
      </c>
      <c r="B450" s="2" t="str">
        <f t="shared" ref="B450:B513" si="14">TEXT(A450, "dddd")</f>
        <v>Saturday</v>
      </c>
      <c r="C450" s="2" t="b">
        <f t="shared" ref="C450:C513" si="15">IF(WEEKDAY(A450,2)&gt;5,TRUE,FALSE)</f>
        <v>1</v>
      </c>
      <c r="D450">
        <v>1</v>
      </c>
      <c r="E450" t="s">
        <v>5</v>
      </c>
      <c r="F450">
        <v>265</v>
      </c>
      <c r="G450" s="3">
        <v>5013.09</v>
      </c>
      <c r="H450" s="3">
        <f>Miami_Retail[[#This Row],[sales_usd]] / Miami_Retail[[#This Row],[customers]]</f>
        <v>18.917320754716982</v>
      </c>
      <c r="I450">
        <v>67.099999999999994</v>
      </c>
      <c r="J450">
        <f>(Miami_Retail[[#This Row],[avg_temp_f]]-32) * (5/9)</f>
        <v>19.499999999999996</v>
      </c>
      <c r="K450">
        <v>0</v>
      </c>
      <c r="L450">
        <v>0</v>
      </c>
      <c r="M450">
        <v>39</v>
      </c>
      <c r="N450">
        <v>49.9</v>
      </c>
      <c r="O450">
        <v>50.1</v>
      </c>
      <c r="P450">
        <v>55.1</v>
      </c>
      <c r="Q450">
        <v>44.9</v>
      </c>
    </row>
    <row r="451" spans="1:17" x14ac:dyDescent="0.25">
      <c r="A451" s="2">
        <v>45375</v>
      </c>
      <c r="B451" s="2" t="str">
        <f t="shared" si="14"/>
        <v>Sunday</v>
      </c>
      <c r="C451" s="2" t="b">
        <f t="shared" si="15"/>
        <v>1</v>
      </c>
      <c r="D451">
        <v>1</v>
      </c>
      <c r="E451" t="s">
        <v>5</v>
      </c>
      <c r="F451">
        <v>251</v>
      </c>
      <c r="G451" s="3">
        <v>4927.83</v>
      </c>
      <c r="H451" s="3">
        <f>Miami_Retail[[#This Row],[sales_usd]] / Miami_Retail[[#This Row],[customers]]</f>
        <v>19.632788844621512</v>
      </c>
      <c r="I451">
        <v>63.8</v>
      </c>
      <c r="J451">
        <f>(Miami_Retail[[#This Row],[avg_temp_f]]-32) * (5/9)</f>
        <v>17.666666666666664</v>
      </c>
      <c r="K451">
        <v>0</v>
      </c>
      <c r="L451">
        <v>0</v>
      </c>
      <c r="M451">
        <v>35</v>
      </c>
      <c r="N451">
        <v>51</v>
      </c>
      <c r="O451">
        <v>49</v>
      </c>
      <c r="P451">
        <v>52.7</v>
      </c>
      <c r="Q451">
        <v>47.3</v>
      </c>
    </row>
    <row r="452" spans="1:17" x14ac:dyDescent="0.25">
      <c r="A452" s="2">
        <v>45376</v>
      </c>
      <c r="B452" s="2" t="str">
        <f t="shared" si="14"/>
        <v>Monday</v>
      </c>
      <c r="C452" s="2" t="b">
        <f t="shared" si="15"/>
        <v>0</v>
      </c>
      <c r="D452">
        <v>1</v>
      </c>
      <c r="E452" t="s">
        <v>5</v>
      </c>
      <c r="F452">
        <v>216</v>
      </c>
      <c r="G452" s="3">
        <v>3942.8</v>
      </c>
      <c r="H452" s="3">
        <f>Miami_Retail[[#This Row],[sales_usd]] / Miami_Retail[[#This Row],[customers]]</f>
        <v>18.253703703703703</v>
      </c>
      <c r="I452">
        <v>69.3</v>
      </c>
      <c r="J452">
        <f>(Miami_Retail[[#This Row],[avg_temp_f]]-32) * (5/9)</f>
        <v>20.722222222222221</v>
      </c>
      <c r="K452">
        <v>0</v>
      </c>
      <c r="L452">
        <v>0</v>
      </c>
      <c r="M452">
        <v>37.299999999999997</v>
      </c>
      <c r="N452">
        <v>52</v>
      </c>
      <c r="O452">
        <v>48</v>
      </c>
      <c r="P452">
        <v>44.6</v>
      </c>
      <c r="Q452">
        <v>55.4</v>
      </c>
    </row>
    <row r="453" spans="1:17" x14ac:dyDescent="0.25">
      <c r="A453" s="2">
        <v>45377</v>
      </c>
      <c r="B453" s="2" t="str">
        <f t="shared" si="14"/>
        <v>Tuesday</v>
      </c>
      <c r="C453" s="2" t="b">
        <f t="shared" si="15"/>
        <v>0</v>
      </c>
      <c r="D453">
        <v>1</v>
      </c>
      <c r="E453" t="s">
        <v>5</v>
      </c>
      <c r="F453">
        <v>203</v>
      </c>
      <c r="G453" s="3">
        <v>3699.64</v>
      </c>
      <c r="H453" s="3">
        <f>Miami_Retail[[#This Row],[sales_usd]] / Miami_Retail[[#This Row],[customers]]</f>
        <v>18.224827586206896</v>
      </c>
      <c r="I453">
        <v>69.599999999999994</v>
      </c>
      <c r="J453">
        <f>(Miami_Retail[[#This Row],[avg_temp_f]]-32) * (5/9)</f>
        <v>20.888888888888886</v>
      </c>
      <c r="K453">
        <v>0.45</v>
      </c>
      <c r="L453">
        <v>1</v>
      </c>
      <c r="M453">
        <v>35.1</v>
      </c>
      <c r="N453">
        <v>52.2</v>
      </c>
      <c r="O453">
        <v>47.8</v>
      </c>
      <c r="P453">
        <v>46.4</v>
      </c>
      <c r="Q453">
        <v>53.6</v>
      </c>
    </row>
    <row r="454" spans="1:17" x14ac:dyDescent="0.25">
      <c r="A454" s="2">
        <v>45378</v>
      </c>
      <c r="B454" s="2" t="str">
        <f t="shared" si="14"/>
        <v>Wednesday</v>
      </c>
      <c r="C454" s="2" t="b">
        <f t="shared" si="15"/>
        <v>0</v>
      </c>
      <c r="D454">
        <v>1</v>
      </c>
      <c r="E454" t="s">
        <v>5</v>
      </c>
      <c r="F454">
        <v>191</v>
      </c>
      <c r="G454" s="3">
        <v>3409.81</v>
      </c>
      <c r="H454" s="3">
        <f>Miami_Retail[[#This Row],[sales_usd]] / Miami_Retail[[#This Row],[customers]]</f>
        <v>17.85240837696335</v>
      </c>
      <c r="I454">
        <v>70.400000000000006</v>
      </c>
      <c r="J454">
        <f>(Miami_Retail[[#This Row],[avg_temp_f]]-32) * (5/9)</f>
        <v>21.333333333333336</v>
      </c>
      <c r="K454">
        <v>0</v>
      </c>
      <c r="L454">
        <v>0</v>
      </c>
      <c r="M454">
        <v>35.6</v>
      </c>
      <c r="N454">
        <v>52.7</v>
      </c>
      <c r="O454">
        <v>47.3</v>
      </c>
      <c r="P454">
        <v>46.7</v>
      </c>
      <c r="Q454">
        <v>53.3</v>
      </c>
    </row>
    <row r="455" spans="1:17" x14ac:dyDescent="0.25">
      <c r="A455" s="2">
        <v>45379</v>
      </c>
      <c r="B455" s="2" t="str">
        <f t="shared" si="14"/>
        <v>Thursday</v>
      </c>
      <c r="C455" s="2" t="b">
        <f t="shared" si="15"/>
        <v>0</v>
      </c>
      <c r="D455">
        <v>1</v>
      </c>
      <c r="E455" t="s">
        <v>5</v>
      </c>
      <c r="F455">
        <v>255</v>
      </c>
      <c r="G455" s="3">
        <v>4579.25</v>
      </c>
      <c r="H455" s="3">
        <f>Miami_Retail[[#This Row],[sales_usd]] / Miami_Retail[[#This Row],[customers]]</f>
        <v>17.957843137254901</v>
      </c>
      <c r="I455">
        <v>72.3</v>
      </c>
      <c r="J455">
        <f>(Miami_Retail[[#This Row],[avg_temp_f]]-32) * (5/9)</f>
        <v>22.388888888888889</v>
      </c>
      <c r="K455">
        <v>0</v>
      </c>
      <c r="L455">
        <v>0</v>
      </c>
      <c r="M455">
        <v>35</v>
      </c>
      <c r="N455">
        <v>52.2</v>
      </c>
      <c r="O455">
        <v>47.8</v>
      </c>
      <c r="P455">
        <v>49.7</v>
      </c>
      <c r="Q455">
        <v>50.3</v>
      </c>
    </row>
    <row r="456" spans="1:17" x14ac:dyDescent="0.25">
      <c r="A456" s="2">
        <v>45380</v>
      </c>
      <c r="B456" s="2" t="str">
        <f t="shared" si="14"/>
        <v>Friday</v>
      </c>
      <c r="C456" s="2" t="b">
        <f t="shared" si="15"/>
        <v>0</v>
      </c>
      <c r="D456">
        <v>1</v>
      </c>
      <c r="E456" t="s">
        <v>5</v>
      </c>
      <c r="F456">
        <v>216</v>
      </c>
      <c r="G456" s="3">
        <v>3801.5</v>
      </c>
      <c r="H456" s="3">
        <f>Miami_Retail[[#This Row],[sales_usd]] / Miami_Retail[[#This Row],[customers]]</f>
        <v>17.599537037037038</v>
      </c>
      <c r="I456">
        <v>71.2</v>
      </c>
      <c r="J456">
        <f>(Miami_Retail[[#This Row],[avg_temp_f]]-32) * (5/9)</f>
        <v>21.777777777777779</v>
      </c>
      <c r="K456">
        <v>1.59</v>
      </c>
      <c r="L456">
        <v>1</v>
      </c>
      <c r="M456">
        <v>38.200000000000003</v>
      </c>
      <c r="N456">
        <v>52.2</v>
      </c>
      <c r="O456">
        <v>47.8</v>
      </c>
      <c r="P456">
        <v>46.9</v>
      </c>
      <c r="Q456">
        <v>53.1</v>
      </c>
    </row>
    <row r="457" spans="1:17" x14ac:dyDescent="0.25">
      <c r="A457" s="2">
        <v>45381</v>
      </c>
      <c r="B457" s="2" t="str">
        <f t="shared" si="14"/>
        <v>Saturday</v>
      </c>
      <c r="C457" s="2" t="b">
        <f t="shared" si="15"/>
        <v>1</v>
      </c>
      <c r="D457">
        <v>1</v>
      </c>
      <c r="E457" t="s">
        <v>5</v>
      </c>
      <c r="F457">
        <v>250</v>
      </c>
      <c r="G457" s="3">
        <v>4445.63</v>
      </c>
      <c r="H457" s="3">
        <f>Miami_Retail[[#This Row],[sales_usd]] / Miami_Retail[[#This Row],[customers]]</f>
        <v>17.782520000000002</v>
      </c>
      <c r="I457">
        <v>58.8</v>
      </c>
      <c r="J457">
        <f>(Miami_Retail[[#This Row],[avg_temp_f]]-32) * (5/9)</f>
        <v>14.888888888888888</v>
      </c>
      <c r="K457">
        <v>0</v>
      </c>
      <c r="L457">
        <v>0</v>
      </c>
      <c r="M457">
        <v>38.299999999999997</v>
      </c>
      <c r="N457">
        <v>51.8</v>
      </c>
      <c r="O457">
        <v>48.2</v>
      </c>
      <c r="P457">
        <v>54</v>
      </c>
      <c r="Q457">
        <v>46</v>
      </c>
    </row>
    <row r="458" spans="1:17" x14ac:dyDescent="0.25">
      <c r="A458" s="2">
        <v>45382</v>
      </c>
      <c r="B458" s="2" t="str">
        <f t="shared" si="14"/>
        <v>Sunday</v>
      </c>
      <c r="C458" s="2" t="b">
        <f t="shared" si="15"/>
        <v>1</v>
      </c>
      <c r="D458">
        <v>1</v>
      </c>
      <c r="E458" t="s">
        <v>5</v>
      </c>
      <c r="F458">
        <v>253</v>
      </c>
      <c r="G458" s="3">
        <v>4767.82</v>
      </c>
      <c r="H458" s="3">
        <f>Miami_Retail[[#This Row],[sales_usd]] / Miami_Retail[[#This Row],[customers]]</f>
        <v>18.845138339920947</v>
      </c>
      <c r="I458">
        <v>65.599999999999994</v>
      </c>
      <c r="J458">
        <f>(Miami_Retail[[#This Row],[avg_temp_f]]-32) * (5/9)</f>
        <v>18.666666666666664</v>
      </c>
      <c r="K458">
        <v>0</v>
      </c>
      <c r="L458">
        <v>0</v>
      </c>
      <c r="M458">
        <v>35.1</v>
      </c>
      <c r="N458">
        <v>52.6</v>
      </c>
      <c r="O458">
        <v>47.4</v>
      </c>
      <c r="P458">
        <v>54.9</v>
      </c>
      <c r="Q458">
        <v>45.1</v>
      </c>
    </row>
    <row r="459" spans="1:17" x14ac:dyDescent="0.25">
      <c r="A459" s="2">
        <v>45383</v>
      </c>
      <c r="B459" s="2" t="str">
        <f t="shared" si="14"/>
        <v>Monday</v>
      </c>
      <c r="C459" s="2" t="b">
        <f t="shared" si="15"/>
        <v>0</v>
      </c>
      <c r="D459">
        <v>1</v>
      </c>
      <c r="E459" t="s">
        <v>5</v>
      </c>
      <c r="F459">
        <v>225</v>
      </c>
      <c r="G459" s="3">
        <v>4564.8999999999996</v>
      </c>
      <c r="H459" s="3">
        <f>Miami_Retail[[#This Row],[sales_usd]] / Miami_Retail[[#This Row],[customers]]</f>
        <v>20.288444444444444</v>
      </c>
      <c r="I459">
        <v>58.9</v>
      </c>
      <c r="J459">
        <f>(Miami_Retail[[#This Row],[avg_temp_f]]-32) * (5/9)</f>
        <v>14.944444444444445</v>
      </c>
      <c r="K459">
        <v>0</v>
      </c>
      <c r="L459">
        <v>0</v>
      </c>
      <c r="M459">
        <v>35</v>
      </c>
      <c r="N459">
        <v>52</v>
      </c>
      <c r="O459">
        <v>48</v>
      </c>
      <c r="P459">
        <v>47.7</v>
      </c>
      <c r="Q459">
        <v>52.3</v>
      </c>
    </row>
    <row r="460" spans="1:17" x14ac:dyDescent="0.25">
      <c r="A460" s="2">
        <v>45384</v>
      </c>
      <c r="B460" s="2" t="str">
        <f t="shared" si="14"/>
        <v>Tuesday</v>
      </c>
      <c r="C460" s="2" t="b">
        <f t="shared" si="15"/>
        <v>0</v>
      </c>
      <c r="D460">
        <v>1</v>
      </c>
      <c r="E460" t="s">
        <v>5</v>
      </c>
      <c r="F460">
        <v>200</v>
      </c>
      <c r="G460" s="3">
        <v>3513.26</v>
      </c>
      <c r="H460" s="3">
        <f>Miami_Retail[[#This Row],[sales_usd]] / Miami_Retail[[#This Row],[customers]]</f>
        <v>17.566300000000002</v>
      </c>
      <c r="I460">
        <v>65.5</v>
      </c>
      <c r="J460">
        <f>(Miami_Retail[[#This Row],[avg_temp_f]]-32) * (5/9)</f>
        <v>18.611111111111111</v>
      </c>
      <c r="K460">
        <v>0</v>
      </c>
      <c r="L460">
        <v>0</v>
      </c>
      <c r="M460">
        <v>42.6</v>
      </c>
      <c r="N460">
        <v>50.6</v>
      </c>
      <c r="O460">
        <v>49.4</v>
      </c>
      <c r="P460">
        <v>46.5</v>
      </c>
      <c r="Q460">
        <v>53.5</v>
      </c>
    </row>
    <row r="461" spans="1:17" x14ac:dyDescent="0.25">
      <c r="A461" s="2">
        <v>45385</v>
      </c>
      <c r="B461" s="2" t="str">
        <f t="shared" si="14"/>
        <v>Wednesday</v>
      </c>
      <c r="C461" s="2" t="b">
        <f t="shared" si="15"/>
        <v>0</v>
      </c>
      <c r="D461">
        <v>1</v>
      </c>
      <c r="E461" t="s">
        <v>5</v>
      </c>
      <c r="F461">
        <v>214</v>
      </c>
      <c r="G461" s="3">
        <v>3816.97</v>
      </c>
      <c r="H461" s="3">
        <f>Miami_Retail[[#This Row],[sales_usd]] / Miami_Retail[[#This Row],[customers]]</f>
        <v>17.836308411214951</v>
      </c>
      <c r="I461">
        <v>62.8</v>
      </c>
      <c r="J461">
        <f>(Miami_Retail[[#This Row],[avg_temp_f]]-32) * (5/9)</f>
        <v>17.111111111111111</v>
      </c>
      <c r="K461">
        <v>0.44</v>
      </c>
      <c r="L461">
        <v>1</v>
      </c>
      <c r="M461">
        <v>40.5</v>
      </c>
      <c r="N461">
        <v>51.5</v>
      </c>
      <c r="O461">
        <v>48.5</v>
      </c>
      <c r="P461">
        <v>47.1</v>
      </c>
      <c r="Q461">
        <v>52.9</v>
      </c>
    </row>
    <row r="462" spans="1:17" x14ac:dyDescent="0.25">
      <c r="A462" s="2">
        <v>45386</v>
      </c>
      <c r="B462" s="2" t="str">
        <f t="shared" si="14"/>
        <v>Thursday</v>
      </c>
      <c r="C462" s="2" t="b">
        <f t="shared" si="15"/>
        <v>0</v>
      </c>
      <c r="D462">
        <v>1</v>
      </c>
      <c r="E462" t="s">
        <v>5</v>
      </c>
      <c r="F462">
        <v>217</v>
      </c>
      <c r="G462" s="3">
        <v>4257.97</v>
      </c>
      <c r="H462" s="3">
        <f>Miami_Retail[[#This Row],[sales_usd]] / Miami_Retail[[#This Row],[customers]]</f>
        <v>19.621981566820278</v>
      </c>
      <c r="I462">
        <v>63.9</v>
      </c>
      <c r="J462">
        <f>(Miami_Retail[[#This Row],[avg_temp_f]]-32) * (5/9)</f>
        <v>17.722222222222221</v>
      </c>
      <c r="K462">
        <v>0.5</v>
      </c>
      <c r="L462">
        <v>1</v>
      </c>
      <c r="M462">
        <v>42.5</v>
      </c>
      <c r="N462">
        <v>51.5</v>
      </c>
      <c r="O462">
        <v>48.5</v>
      </c>
      <c r="P462">
        <v>50</v>
      </c>
      <c r="Q462">
        <v>50</v>
      </c>
    </row>
    <row r="463" spans="1:17" x14ac:dyDescent="0.25">
      <c r="A463" s="2">
        <v>45387</v>
      </c>
      <c r="B463" s="2" t="str">
        <f t="shared" si="14"/>
        <v>Friday</v>
      </c>
      <c r="C463" s="2" t="b">
        <f t="shared" si="15"/>
        <v>0</v>
      </c>
      <c r="D463">
        <v>1</v>
      </c>
      <c r="E463" t="s">
        <v>5</v>
      </c>
      <c r="F463">
        <v>191</v>
      </c>
      <c r="G463" s="3">
        <v>3751.93</v>
      </c>
      <c r="H463" s="3">
        <f>Miami_Retail[[#This Row],[sales_usd]] / Miami_Retail[[#This Row],[customers]]</f>
        <v>19.643612565445025</v>
      </c>
      <c r="I463">
        <v>66.8</v>
      </c>
      <c r="J463">
        <f>(Miami_Retail[[#This Row],[avg_temp_f]]-32) * (5/9)</f>
        <v>19.333333333333332</v>
      </c>
      <c r="K463">
        <v>0</v>
      </c>
      <c r="L463">
        <v>0</v>
      </c>
      <c r="M463">
        <v>44.1</v>
      </c>
      <c r="N463">
        <v>53.5</v>
      </c>
      <c r="O463">
        <v>46.5</v>
      </c>
      <c r="P463">
        <v>48.8</v>
      </c>
      <c r="Q463">
        <v>51.2</v>
      </c>
    </row>
    <row r="464" spans="1:17" x14ac:dyDescent="0.25">
      <c r="A464" s="2">
        <v>45388</v>
      </c>
      <c r="B464" s="2" t="str">
        <f t="shared" si="14"/>
        <v>Saturday</v>
      </c>
      <c r="C464" s="2" t="b">
        <f t="shared" si="15"/>
        <v>1</v>
      </c>
      <c r="D464">
        <v>1</v>
      </c>
      <c r="E464" t="s">
        <v>5</v>
      </c>
      <c r="F464">
        <v>269</v>
      </c>
      <c r="G464" s="3">
        <v>5231.91</v>
      </c>
      <c r="H464" s="3">
        <f>Miami_Retail[[#This Row],[sales_usd]] / Miami_Retail[[#This Row],[customers]]</f>
        <v>19.449479553903345</v>
      </c>
      <c r="I464">
        <v>69.7</v>
      </c>
      <c r="J464">
        <f>(Miami_Retail[[#This Row],[avg_temp_f]]-32) * (5/9)</f>
        <v>20.944444444444446</v>
      </c>
      <c r="K464">
        <v>0</v>
      </c>
      <c r="L464">
        <v>0</v>
      </c>
      <c r="M464">
        <v>35</v>
      </c>
      <c r="N464">
        <v>50.9</v>
      </c>
      <c r="O464">
        <v>49.1</v>
      </c>
      <c r="P464">
        <v>54.7</v>
      </c>
      <c r="Q464">
        <v>45.3</v>
      </c>
    </row>
    <row r="465" spans="1:17" x14ac:dyDescent="0.25">
      <c r="A465" s="2">
        <v>45389</v>
      </c>
      <c r="B465" s="2" t="str">
        <f t="shared" si="14"/>
        <v>Sunday</v>
      </c>
      <c r="C465" s="2" t="b">
        <f t="shared" si="15"/>
        <v>1</v>
      </c>
      <c r="D465">
        <v>1</v>
      </c>
      <c r="E465" t="s">
        <v>5</v>
      </c>
      <c r="F465">
        <v>246</v>
      </c>
      <c r="G465" s="3">
        <v>4115.08</v>
      </c>
      <c r="H465" s="3">
        <f>Miami_Retail[[#This Row],[sales_usd]] / Miami_Retail[[#This Row],[customers]]</f>
        <v>16.727967479674795</v>
      </c>
      <c r="I465">
        <v>62.7</v>
      </c>
      <c r="J465">
        <f>(Miami_Retail[[#This Row],[avg_temp_f]]-32) * (5/9)</f>
        <v>17.055555555555557</v>
      </c>
      <c r="K465">
        <v>0</v>
      </c>
      <c r="L465">
        <v>0</v>
      </c>
      <c r="M465">
        <v>39.799999999999997</v>
      </c>
      <c r="N465">
        <v>52</v>
      </c>
      <c r="O465">
        <v>48</v>
      </c>
      <c r="P465">
        <v>52.3</v>
      </c>
      <c r="Q465">
        <v>47.7</v>
      </c>
    </row>
    <row r="466" spans="1:17" x14ac:dyDescent="0.25">
      <c r="A466" s="2">
        <v>45390</v>
      </c>
      <c r="B466" s="2" t="str">
        <f t="shared" si="14"/>
        <v>Monday</v>
      </c>
      <c r="C466" s="2" t="b">
        <f t="shared" si="15"/>
        <v>0</v>
      </c>
      <c r="D466">
        <v>1</v>
      </c>
      <c r="E466" t="s">
        <v>5</v>
      </c>
      <c r="F466">
        <v>188</v>
      </c>
      <c r="G466" s="3">
        <v>3195.76</v>
      </c>
      <c r="H466" s="3">
        <f>Miami_Retail[[#This Row],[sales_usd]] / Miami_Retail[[#This Row],[customers]]</f>
        <v>16.998723404255319</v>
      </c>
      <c r="I466">
        <v>67.3</v>
      </c>
      <c r="J466">
        <f>(Miami_Retail[[#This Row],[avg_temp_f]]-32) * (5/9)</f>
        <v>19.611111111111111</v>
      </c>
      <c r="K466">
        <v>1.7</v>
      </c>
      <c r="L466">
        <v>1</v>
      </c>
      <c r="M466">
        <v>45.9</v>
      </c>
      <c r="N466">
        <v>51.8</v>
      </c>
      <c r="O466">
        <v>48.2</v>
      </c>
      <c r="P466">
        <v>48.2</v>
      </c>
      <c r="Q466">
        <v>51.8</v>
      </c>
    </row>
    <row r="467" spans="1:17" x14ac:dyDescent="0.25">
      <c r="A467" s="2">
        <v>45391</v>
      </c>
      <c r="B467" s="2" t="str">
        <f t="shared" si="14"/>
        <v>Tuesday</v>
      </c>
      <c r="C467" s="2" t="b">
        <f t="shared" si="15"/>
        <v>0</v>
      </c>
      <c r="D467">
        <v>1</v>
      </c>
      <c r="E467" t="s">
        <v>5</v>
      </c>
      <c r="F467">
        <v>212</v>
      </c>
      <c r="G467" s="3">
        <v>3764.52</v>
      </c>
      <c r="H467" s="3">
        <f>Miami_Retail[[#This Row],[sales_usd]] / Miami_Retail[[#This Row],[customers]]</f>
        <v>17.757169811320754</v>
      </c>
      <c r="I467">
        <v>68.3</v>
      </c>
      <c r="J467">
        <f>(Miami_Retail[[#This Row],[avg_temp_f]]-32) * (5/9)</f>
        <v>20.166666666666664</v>
      </c>
      <c r="K467">
        <v>0</v>
      </c>
      <c r="L467">
        <v>0</v>
      </c>
      <c r="M467">
        <v>35</v>
      </c>
      <c r="N467">
        <v>51.2</v>
      </c>
      <c r="O467">
        <v>48.8</v>
      </c>
      <c r="P467">
        <v>47.5</v>
      </c>
      <c r="Q467">
        <v>52.5</v>
      </c>
    </row>
    <row r="468" spans="1:17" x14ac:dyDescent="0.25">
      <c r="A468" s="2">
        <v>45392</v>
      </c>
      <c r="B468" s="2" t="str">
        <f t="shared" si="14"/>
        <v>Wednesday</v>
      </c>
      <c r="C468" s="2" t="b">
        <f t="shared" si="15"/>
        <v>0</v>
      </c>
      <c r="D468">
        <v>1</v>
      </c>
      <c r="E468" t="s">
        <v>5</v>
      </c>
      <c r="F468">
        <v>252</v>
      </c>
      <c r="G468" s="3">
        <v>4507.8500000000004</v>
      </c>
      <c r="H468" s="3">
        <f>Miami_Retail[[#This Row],[sales_usd]] / Miami_Retail[[#This Row],[customers]]</f>
        <v>17.888293650793653</v>
      </c>
      <c r="I468">
        <v>64.7</v>
      </c>
      <c r="J468">
        <f>(Miami_Retail[[#This Row],[avg_temp_f]]-32) * (5/9)</f>
        <v>18.166666666666668</v>
      </c>
      <c r="K468">
        <v>0</v>
      </c>
      <c r="L468">
        <v>0</v>
      </c>
      <c r="M468">
        <v>36.200000000000003</v>
      </c>
      <c r="N468">
        <v>49.7</v>
      </c>
      <c r="O468">
        <v>50.3</v>
      </c>
      <c r="P468">
        <v>47.3</v>
      </c>
      <c r="Q468">
        <v>52.7</v>
      </c>
    </row>
    <row r="469" spans="1:17" x14ac:dyDescent="0.25">
      <c r="A469" s="2">
        <v>45393</v>
      </c>
      <c r="B469" s="2" t="str">
        <f t="shared" si="14"/>
        <v>Thursday</v>
      </c>
      <c r="C469" s="2" t="b">
        <f t="shared" si="15"/>
        <v>0</v>
      </c>
      <c r="D469">
        <v>1</v>
      </c>
      <c r="E469" t="s">
        <v>5</v>
      </c>
      <c r="F469">
        <v>240</v>
      </c>
      <c r="G469" s="3">
        <v>4387.66</v>
      </c>
      <c r="H469" s="3">
        <f>Miami_Retail[[#This Row],[sales_usd]] / Miami_Retail[[#This Row],[customers]]</f>
        <v>18.281916666666667</v>
      </c>
      <c r="I469">
        <v>73.099999999999994</v>
      </c>
      <c r="J469">
        <f>(Miami_Retail[[#This Row],[avg_temp_f]]-32) * (5/9)</f>
        <v>22.833333333333332</v>
      </c>
      <c r="K469">
        <v>0</v>
      </c>
      <c r="L469">
        <v>0</v>
      </c>
      <c r="M469">
        <v>35.1</v>
      </c>
      <c r="N469">
        <v>52.8</v>
      </c>
      <c r="O469">
        <v>47.2</v>
      </c>
      <c r="P469">
        <v>48.8</v>
      </c>
      <c r="Q469">
        <v>51.2</v>
      </c>
    </row>
    <row r="470" spans="1:17" x14ac:dyDescent="0.25">
      <c r="A470" s="2">
        <v>45394</v>
      </c>
      <c r="B470" s="2" t="str">
        <f t="shared" si="14"/>
        <v>Friday</v>
      </c>
      <c r="C470" s="2" t="b">
        <f t="shared" si="15"/>
        <v>0</v>
      </c>
      <c r="D470">
        <v>1</v>
      </c>
      <c r="E470" t="s">
        <v>5</v>
      </c>
      <c r="F470">
        <v>214</v>
      </c>
      <c r="G470" s="3">
        <v>3971.37</v>
      </c>
      <c r="H470" s="3">
        <f>Miami_Retail[[#This Row],[sales_usd]] / Miami_Retail[[#This Row],[customers]]</f>
        <v>18.557803738317755</v>
      </c>
      <c r="I470">
        <v>67.8</v>
      </c>
      <c r="J470">
        <f>(Miami_Retail[[#This Row],[avg_temp_f]]-32) * (5/9)</f>
        <v>19.888888888888889</v>
      </c>
      <c r="K470">
        <v>0</v>
      </c>
      <c r="L470">
        <v>0</v>
      </c>
      <c r="M470">
        <v>40.700000000000003</v>
      </c>
      <c r="N470">
        <v>51.1</v>
      </c>
      <c r="O470">
        <v>48.9</v>
      </c>
      <c r="P470">
        <v>47.8</v>
      </c>
      <c r="Q470">
        <v>52.2</v>
      </c>
    </row>
    <row r="471" spans="1:17" x14ac:dyDescent="0.25">
      <c r="A471" s="2">
        <v>45395</v>
      </c>
      <c r="B471" s="2" t="str">
        <f t="shared" si="14"/>
        <v>Saturday</v>
      </c>
      <c r="C471" s="2" t="b">
        <f t="shared" si="15"/>
        <v>1</v>
      </c>
      <c r="D471">
        <v>1</v>
      </c>
      <c r="E471" t="s">
        <v>5</v>
      </c>
      <c r="F471">
        <v>259</v>
      </c>
      <c r="G471" s="3">
        <v>4661.9799999999996</v>
      </c>
      <c r="H471" s="3">
        <f>Miami_Retail[[#This Row],[sales_usd]] / Miami_Retail[[#This Row],[customers]]</f>
        <v>17.999922779922777</v>
      </c>
      <c r="I471">
        <v>67.900000000000006</v>
      </c>
      <c r="J471">
        <f>(Miami_Retail[[#This Row],[avg_temp_f]]-32) * (5/9)</f>
        <v>19.94444444444445</v>
      </c>
      <c r="K471">
        <v>0</v>
      </c>
      <c r="L471">
        <v>0</v>
      </c>
      <c r="M471">
        <v>35</v>
      </c>
      <c r="N471">
        <v>50</v>
      </c>
      <c r="O471">
        <v>50</v>
      </c>
      <c r="P471">
        <v>54.1</v>
      </c>
      <c r="Q471">
        <v>45.9</v>
      </c>
    </row>
    <row r="472" spans="1:17" x14ac:dyDescent="0.25">
      <c r="A472" s="2">
        <v>45396</v>
      </c>
      <c r="B472" s="2" t="str">
        <f t="shared" si="14"/>
        <v>Sunday</v>
      </c>
      <c r="C472" s="2" t="b">
        <f t="shared" si="15"/>
        <v>1</v>
      </c>
      <c r="D472">
        <v>1</v>
      </c>
      <c r="E472" t="s">
        <v>5</v>
      </c>
      <c r="F472">
        <v>278</v>
      </c>
      <c r="G472" s="3">
        <v>5202.8599999999997</v>
      </c>
      <c r="H472" s="3">
        <f>Miami_Retail[[#This Row],[sales_usd]] / Miami_Retail[[#This Row],[customers]]</f>
        <v>18.715323741007193</v>
      </c>
      <c r="I472">
        <v>67.7</v>
      </c>
      <c r="J472">
        <f>(Miami_Retail[[#This Row],[avg_temp_f]]-32) * (5/9)</f>
        <v>19.833333333333336</v>
      </c>
      <c r="K472">
        <v>0</v>
      </c>
      <c r="L472">
        <v>0</v>
      </c>
      <c r="M472">
        <v>36.299999999999997</v>
      </c>
      <c r="N472">
        <v>49</v>
      </c>
      <c r="O472">
        <v>51</v>
      </c>
      <c r="P472">
        <v>54.4</v>
      </c>
      <c r="Q472">
        <v>45.6</v>
      </c>
    </row>
    <row r="473" spans="1:17" x14ac:dyDescent="0.25">
      <c r="A473" s="2">
        <v>45397</v>
      </c>
      <c r="B473" s="2" t="str">
        <f t="shared" si="14"/>
        <v>Monday</v>
      </c>
      <c r="C473" s="2" t="b">
        <f t="shared" si="15"/>
        <v>0</v>
      </c>
      <c r="D473">
        <v>1</v>
      </c>
      <c r="E473" t="s">
        <v>5</v>
      </c>
      <c r="F473">
        <v>202</v>
      </c>
      <c r="G473" s="3">
        <v>3637.99</v>
      </c>
      <c r="H473" s="3">
        <f>Miami_Retail[[#This Row],[sales_usd]] / Miami_Retail[[#This Row],[customers]]</f>
        <v>18.009851485148513</v>
      </c>
      <c r="I473">
        <v>67.7</v>
      </c>
      <c r="J473">
        <f>(Miami_Retail[[#This Row],[avg_temp_f]]-32) * (5/9)</f>
        <v>19.833333333333336</v>
      </c>
      <c r="K473">
        <v>0</v>
      </c>
      <c r="L473">
        <v>0</v>
      </c>
      <c r="M473">
        <v>37.5</v>
      </c>
      <c r="N473">
        <v>51</v>
      </c>
      <c r="O473">
        <v>49</v>
      </c>
      <c r="P473">
        <v>47.7</v>
      </c>
      <c r="Q473">
        <v>52.3</v>
      </c>
    </row>
    <row r="474" spans="1:17" x14ac:dyDescent="0.25">
      <c r="A474" s="2">
        <v>45398</v>
      </c>
      <c r="B474" s="2" t="str">
        <f t="shared" si="14"/>
        <v>Tuesday</v>
      </c>
      <c r="C474" s="2" t="b">
        <f t="shared" si="15"/>
        <v>0</v>
      </c>
      <c r="D474">
        <v>1</v>
      </c>
      <c r="E474" t="s">
        <v>5</v>
      </c>
      <c r="F474">
        <v>201</v>
      </c>
      <c r="G474" s="3">
        <v>3402.02</v>
      </c>
      <c r="H474" s="3">
        <f>Miami_Retail[[#This Row],[sales_usd]] / Miami_Retail[[#This Row],[customers]]</f>
        <v>16.925472636815922</v>
      </c>
      <c r="I474">
        <v>71.3</v>
      </c>
      <c r="J474">
        <f>(Miami_Retail[[#This Row],[avg_temp_f]]-32) * (5/9)</f>
        <v>21.833333333333332</v>
      </c>
      <c r="K474">
        <v>1.78</v>
      </c>
      <c r="L474">
        <v>1</v>
      </c>
      <c r="M474">
        <v>35</v>
      </c>
      <c r="N474">
        <v>51.5</v>
      </c>
      <c r="O474">
        <v>48.5</v>
      </c>
      <c r="P474">
        <v>47.8</v>
      </c>
      <c r="Q474">
        <v>52.2</v>
      </c>
    </row>
    <row r="475" spans="1:17" x14ac:dyDescent="0.25">
      <c r="A475" s="2">
        <v>45399</v>
      </c>
      <c r="B475" s="2" t="str">
        <f t="shared" si="14"/>
        <v>Wednesday</v>
      </c>
      <c r="C475" s="2" t="b">
        <f t="shared" si="15"/>
        <v>0</v>
      </c>
      <c r="D475">
        <v>1</v>
      </c>
      <c r="E475" t="s">
        <v>5</v>
      </c>
      <c r="F475">
        <v>218</v>
      </c>
      <c r="G475" s="3">
        <v>4377.6499999999996</v>
      </c>
      <c r="H475" s="3">
        <f>Miami_Retail[[#This Row],[sales_usd]] / Miami_Retail[[#This Row],[customers]]</f>
        <v>20.080963302752291</v>
      </c>
      <c r="I475">
        <v>68.900000000000006</v>
      </c>
      <c r="J475">
        <f>(Miami_Retail[[#This Row],[avg_temp_f]]-32) * (5/9)</f>
        <v>20.500000000000004</v>
      </c>
      <c r="K475">
        <v>0</v>
      </c>
      <c r="L475">
        <v>0</v>
      </c>
      <c r="M475">
        <v>35</v>
      </c>
      <c r="N475">
        <v>51.6</v>
      </c>
      <c r="O475">
        <v>48.4</v>
      </c>
      <c r="P475">
        <v>46.7</v>
      </c>
      <c r="Q475">
        <v>53.3</v>
      </c>
    </row>
    <row r="476" spans="1:17" x14ac:dyDescent="0.25">
      <c r="A476" s="2">
        <v>45400</v>
      </c>
      <c r="B476" s="2" t="str">
        <f t="shared" si="14"/>
        <v>Thursday</v>
      </c>
      <c r="C476" s="2" t="b">
        <f t="shared" si="15"/>
        <v>0</v>
      </c>
      <c r="D476">
        <v>1</v>
      </c>
      <c r="E476" t="s">
        <v>5</v>
      </c>
      <c r="F476">
        <v>215</v>
      </c>
      <c r="G476" s="3">
        <v>3839.38</v>
      </c>
      <c r="H476" s="3">
        <f>Miami_Retail[[#This Row],[sales_usd]] / Miami_Retail[[#This Row],[customers]]</f>
        <v>17.857581395348838</v>
      </c>
      <c r="I476">
        <v>67.599999999999994</v>
      </c>
      <c r="J476">
        <f>(Miami_Retail[[#This Row],[avg_temp_f]]-32) * (5/9)</f>
        <v>19.777777777777775</v>
      </c>
      <c r="K476">
        <v>0</v>
      </c>
      <c r="L476">
        <v>0</v>
      </c>
      <c r="M476">
        <v>39.9</v>
      </c>
      <c r="N476">
        <v>51.6</v>
      </c>
      <c r="O476">
        <v>48.4</v>
      </c>
      <c r="P476">
        <v>48.5</v>
      </c>
      <c r="Q476">
        <v>51.5</v>
      </c>
    </row>
    <row r="477" spans="1:17" x14ac:dyDescent="0.25">
      <c r="A477" s="2">
        <v>45401</v>
      </c>
      <c r="B477" s="2" t="str">
        <f t="shared" si="14"/>
        <v>Friday</v>
      </c>
      <c r="C477" s="2" t="b">
        <f t="shared" si="15"/>
        <v>0</v>
      </c>
      <c r="D477">
        <v>1</v>
      </c>
      <c r="E477" t="s">
        <v>5</v>
      </c>
      <c r="F477">
        <v>242</v>
      </c>
      <c r="G477" s="3">
        <v>4379.63</v>
      </c>
      <c r="H477" s="3">
        <f>Miami_Retail[[#This Row],[sales_usd]] / Miami_Retail[[#This Row],[customers]]</f>
        <v>18.097644628099175</v>
      </c>
      <c r="I477">
        <v>75.8</v>
      </c>
      <c r="J477">
        <f>(Miami_Retail[[#This Row],[avg_temp_f]]-32) * (5/9)</f>
        <v>24.333333333333332</v>
      </c>
      <c r="K477">
        <v>1.07</v>
      </c>
      <c r="L477">
        <v>1</v>
      </c>
      <c r="M477">
        <v>47.8</v>
      </c>
      <c r="N477">
        <v>51.2</v>
      </c>
      <c r="O477">
        <v>48.8</v>
      </c>
      <c r="P477">
        <v>49.2</v>
      </c>
      <c r="Q477">
        <v>50.8</v>
      </c>
    </row>
    <row r="478" spans="1:17" x14ac:dyDescent="0.25">
      <c r="A478" s="2">
        <v>45402</v>
      </c>
      <c r="B478" s="2" t="str">
        <f t="shared" si="14"/>
        <v>Saturday</v>
      </c>
      <c r="C478" s="2" t="b">
        <f t="shared" si="15"/>
        <v>1</v>
      </c>
      <c r="D478">
        <v>1</v>
      </c>
      <c r="E478" t="s">
        <v>5</v>
      </c>
      <c r="F478">
        <v>274</v>
      </c>
      <c r="G478" s="3">
        <v>4815.67</v>
      </c>
      <c r="H478" s="3">
        <f>Miami_Retail[[#This Row],[sales_usd]] / Miami_Retail[[#This Row],[customers]]</f>
        <v>17.575437956204379</v>
      </c>
      <c r="I478">
        <v>69.3</v>
      </c>
      <c r="J478">
        <f>(Miami_Retail[[#This Row],[avg_temp_f]]-32) * (5/9)</f>
        <v>20.722222222222221</v>
      </c>
      <c r="K478">
        <v>0.42</v>
      </c>
      <c r="L478">
        <v>1</v>
      </c>
      <c r="M478">
        <v>39.299999999999997</v>
      </c>
      <c r="N478">
        <v>52.7</v>
      </c>
      <c r="O478">
        <v>47.3</v>
      </c>
      <c r="P478">
        <v>54.1</v>
      </c>
      <c r="Q478">
        <v>45.9</v>
      </c>
    </row>
    <row r="479" spans="1:17" x14ac:dyDescent="0.25">
      <c r="A479" s="2">
        <v>45403</v>
      </c>
      <c r="B479" s="2" t="str">
        <f t="shared" si="14"/>
        <v>Sunday</v>
      </c>
      <c r="C479" s="2" t="b">
        <f t="shared" si="15"/>
        <v>1</v>
      </c>
      <c r="D479">
        <v>1</v>
      </c>
      <c r="E479" t="s">
        <v>5</v>
      </c>
      <c r="F479">
        <v>221</v>
      </c>
      <c r="G479" s="3">
        <v>4105.72</v>
      </c>
      <c r="H479" s="3">
        <f>Miami_Retail[[#This Row],[sales_usd]] / Miami_Retail[[#This Row],[customers]]</f>
        <v>18.577918552036202</v>
      </c>
      <c r="I479">
        <v>67.8</v>
      </c>
      <c r="J479">
        <f>(Miami_Retail[[#This Row],[avg_temp_f]]-32) * (5/9)</f>
        <v>19.888888888888889</v>
      </c>
      <c r="K479">
        <v>0</v>
      </c>
      <c r="L479">
        <v>0</v>
      </c>
      <c r="M479">
        <v>39.1</v>
      </c>
      <c r="N479">
        <v>50.9</v>
      </c>
      <c r="O479">
        <v>49.1</v>
      </c>
      <c r="P479">
        <v>52.4</v>
      </c>
      <c r="Q479">
        <v>47.6</v>
      </c>
    </row>
    <row r="480" spans="1:17" x14ac:dyDescent="0.25">
      <c r="A480" s="2">
        <v>45404</v>
      </c>
      <c r="B480" s="2" t="str">
        <f t="shared" si="14"/>
        <v>Monday</v>
      </c>
      <c r="C480" s="2" t="b">
        <f t="shared" si="15"/>
        <v>0</v>
      </c>
      <c r="D480">
        <v>1</v>
      </c>
      <c r="E480" t="s">
        <v>5</v>
      </c>
      <c r="F480">
        <v>230</v>
      </c>
      <c r="G480" s="3">
        <v>4285.38</v>
      </c>
      <c r="H480" s="3">
        <f>Miami_Retail[[#This Row],[sales_usd]] / Miami_Retail[[#This Row],[customers]]</f>
        <v>18.632086956521739</v>
      </c>
      <c r="I480">
        <v>70.099999999999994</v>
      </c>
      <c r="J480">
        <f>(Miami_Retail[[#This Row],[avg_temp_f]]-32) * (5/9)</f>
        <v>21.166666666666664</v>
      </c>
      <c r="K480">
        <v>0</v>
      </c>
      <c r="L480">
        <v>0</v>
      </c>
      <c r="M480">
        <v>35</v>
      </c>
      <c r="N480">
        <v>51.2</v>
      </c>
      <c r="O480">
        <v>48.8</v>
      </c>
      <c r="P480">
        <v>47.6</v>
      </c>
      <c r="Q480">
        <v>52.4</v>
      </c>
    </row>
    <row r="481" spans="1:17" x14ac:dyDescent="0.25">
      <c r="A481" s="2">
        <v>45405</v>
      </c>
      <c r="B481" s="2" t="str">
        <f t="shared" si="14"/>
        <v>Tuesday</v>
      </c>
      <c r="C481" s="2" t="b">
        <f t="shared" si="15"/>
        <v>0</v>
      </c>
      <c r="D481">
        <v>1</v>
      </c>
      <c r="E481" t="s">
        <v>5</v>
      </c>
      <c r="F481">
        <v>218</v>
      </c>
      <c r="G481" s="3">
        <v>3718.47</v>
      </c>
      <c r="H481" s="3">
        <f>Miami_Retail[[#This Row],[sales_usd]] / Miami_Retail[[#This Row],[customers]]</f>
        <v>17.057201834862383</v>
      </c>
      <c r="I481">
        <v>69.2</v>
      </c>
      <c r="J481">
        <f>(Miami_Retail[[#This Row],[avg_temp_f]]-32) * (5/9)</f>
        <v>20.666666666666668</v>
      </c>
      <c r="K481">
        <v>0</v>
      </c>
      <c r="L481">
        <v>0</v>
      </c>
      <c r="M481">
        <v>39.1</v>
      </c>
      <c r="N481">
        <v>51.3</v>
      </c>
      <c r="O481">
        <v>48.7</v>
      </c>
      <c r="P481">
        <v>47.4</v>
      </c>
      <c r="Q481">
        <v>52.6</v>
      </c>
    </row>
    <row r="482" spans="1:17" x14ac:dyDescent="0.25">
      <c r="A482" s="2">
        <v>45406</v>
      </c>
      <c r="B482" s="2" t="str">
        <f t="shared" si="14"/>
        <v>Wednesday</v>
      </c>
      <c r="C482" s="2" t="b">
        <f t="shared" si="15"/>
        <v>0</v>
      </c>
      <c r="D482">
        <v>1</v>
      </c>
      <c r="E482" t="s">
        <v>5</v>
      </c>
      <c r="F482">
        <v>225</v>
      </c>
      <c r="G482" s="3">
        <v>4047.28</v>
      </c>
      <c r="H482" s="3">
        <f>Miami_Retail[[#This Row],[sales_usd]] / Miami_Retail[[#This Row],[customers]]</f>
        <v>17.987911111111114</v>
      </c>
      <c r="I482">
        <v>68.8</v>
      </c>
      <c r="J482">
        <f>(Miami_Retail[[#This Row],[avg_temp_f]]-32) * (5/9)</f>
        <v>20.444444444444443</v>
      </c>
      <c r="K482">
        <v>0</v>
      </c>
      <c r="L482">
        <v>0</v>
      </c>
      <c r="M482">
        <v>35.5</v>
      </c>
      <c r="N482">
        <v>51.7</v>
      </c>
      <c r="O482">
        <v>48.3</v>
      </c>
      <c r="P482">
        <v>47.2</v>
      </c>
      <c r="Q482">
        <v>52.8</v>
      </c>
    </row>
    <row r="483" spans="1:17" x14ac:dyDescent="0.25">
      <c r="A483" s="2">
        <v>45407</v>
      </c>
      <c r="B483" s="2" t="str">
        <f t="shared" si="14"/>
        <v>Thursday</v>
      </c>
      <c r="C483" s="2" t="b">
        <f t="shared" si="15"/>
        <v>0</v>
      </c>
      <c r="D483">
        <v>1</v>
      </c>
      <c r="E483" t="s">
        <v>5</v>
      </c>
      <c r="F483">
        <v>189</v>
      </c>
      <c r="G483" s="3">
        <v>3429.78</v>
      </c>
      <c r="H483" s="3">
        <f>Miami_Retail[[#This Row],[sales_usd]] / Miami_Retail[[#This Row],[customers]]</f>
        <v>18.14698412698413</v>
      </c>
      <c r="I483">
        <v>67</v>
      </c>
      <c r="J483">
        <f>(Miami_Retail[[#This Row],[avg_temp_f]]-32) * (5/9)</f>
        <v>19.444444444444446</v>
      </c>
      <c r="K483">
        <v>2.58</v>
      </c>
      <c r="L483">
        <v>1</v>
      </c>
      <c r="M483">
        <v>38.1</v>
      </c>
      <c r="N483">
        <v>53.9</v>
      </c>
      <c r="O483">
        <v>46.1</v>
      </c>
      <c r="P483">
        <v>46.8</v>
      </c>
      <c r="Q483">
        <v>53.2</v>
      </c>
    </row>
    <row r="484" spans="1:17" x14ac:dyDescent="0.25">
      <c r="A484" s="2">
        <v>45408</v>
      </c>
      <c r="B484" s="2" t="str">
        <f t="shared" si="14"/>
        <v>Friday</v>
      </c>
      <c r="C484" s="2" t="b">
        <f t="shared" si="15"/>
        <v>0</v>
      </c>
      <c r="D484">
        <v>1</v>
      </c>
      <c r="E484" t="s">
        <v>5</v>
      </c>
      <c r="F484">
        <v>243</v>
      </c>
      <c r="G484" s="3">
        <v>4654.97</v>
      </c>
      <c r="H484" s="3">
        <f>Miami_Retail[[#This Row],[sales_usd]] / Miami_Retail[[#This Row],[customers]]</f>
        <v>19.156255144032922</v>
      </c>
      <c r="I484">
        <v>59.9</v>
      </c>
      <c r="J484">
        <f>(Miami_Retail[[#This Row],[avg_temp_f]]-32) * (5/9)</f>
        <v>15.5</v>
      </c>
      <c r="K484">
        <v>0</v>
      </c>
      <c r="L484">
        <v>0</v>
      </c>
      <c r="M484">
        <v>36.299999999999997</v>
      </c>
      <c r="N484">
        <v>52.8</v>
      </c>
      <c r="O484">
        <v>47.2</v>
      </c>
      <c r="P484">
        <v>47.3</v>
      </c>
      <c r="Q484">
        <v>52.7</v>
      </c>
    </row>
    <row r="485" spans="1:17" x14ac:dyDescent="0.25">
      <c r="A485" s="2">
        <v>45409</v>
      </c>
      <c r="B485" s="2" t="str">
        <f t="shared" si="14"/>
        <v>Saturday</v>
      </c>
      <c r="C485" s="2" t="b">
        <f t="shared" si="15"/>
        <v>1</v>
      </c>
      <c r="D485">
        <v>1</v>
      </c>
      <c r="E485" t="s">
        <v>5</v>
      </c>
      <c r="F485">
        <v>263</v>
      </c>
      <c r="G485" s="3">
        <v>4883.3500000000004</v>
      </c>
      <c r="H485" s="3">
        <f>Miami_Retail[[#This Row],[sales_usd]] / Miami_Retail[[#This Row],[customers]]</f>
        <v>18.567870722433462</v>
      </c>
      <c r="I485">
        <v>70.400000000000006</v>
      </c>
      <c r="J485">
        <f>(Miami_Retail[[#This Row],[avg_temp_f]]-32) * (5/9)</f>
        <v>21.333333333333336</v>
      </c>
      <c r="K485">
        <v>0</v>
      </c>
      <c r="L485">
        <v>0</v>
      </c>
      <c r="M485">
        <v>47.3</v>
      </c>
      <c r="N485">
        <v>50.9</v>
      </c>
      <c r="O485">
        <v>49.1</v>
      </c>
      <c r="P485">
        <v>54.7</v>
      </c>
      <c r="Q485">
        <v>45.3</v>
      </c>
    </row>
    <row r="486" spans="1:17" x14ac:dyDescent="0.25">
      <c r="A486" s="2">
        <v>45410</v>
      </c>
      <c r="B486" s="2" t="str">
        <f t="shared" si="14"/>
        <v>Sunday</v>
      </c>
      <c r="C486" s="2" t="b">
        <f t="shared" si="15"/>
        <v>1</v>
      </c>
      <c r="D486">
        <v>1</v>
      </c>
      <c r="E486" t="s">
        <v>5</v>
      </c>
      <c r="F486">
        <v>241</v>
      </c>
      <c r="G486" s="3">
        <v>4684.22</v>
      </c>
      <c r="H486" s="3">
        <f>Miami_Retail[[#This Row],[sales_usd]] / Miami_Retail[[#This Row],[customers]]</f>
        <v>19.436597510373446</v>
      </c>
      <c r="I486">
        <v>67.099999999999994</v>
      </c>
      <c r="J486">
        <f>(Miami_Retail[[#This Row],[avg_temp_f]]-32) * (5/9)</f>
        <v>19.499999999999996</v>
      </c>
      <c r="K486">
        <v>0</v>
      </c>
      <c r="L486">
        <v>0</v>
      </c>
      <c r="M486">
        <v>53.8</v>
      </c>
      <c r="N486">
        <v>52.4</v>
      </c>
      <c r="O486">
        <v>47.6</v>
      </c>
      <c r="P486">
        <v>53.2</v>
      </c>
      <c r="Q486">
        <v>46.8</v>
      </c>
    </row>
    <row r="487" spans="1:17" x14ac:dyDescent="0.25">
      <c r="A487" s="2">
        <v>45411</v>
      </c>
      <c r="B487" s="2" t="str">
        <f t="shared" si="14"/>
        <v>Monday</v>
      </c>
      <c r="C487" s="2" t="b">
        <f t="shared" si="15"/>
        <v>0</v>
      </c>
      <c r="D487">
        <v>1</v>
      </c>
      <c r="E487" t="s">
        <v>5</v>
      </c>
      <c r="F487">
        <v>216</v>
      </c>
      <c r="G487" s="3">
        <v>3734.49</v>
      </c>
      <c r="H487" s="3">
        <f>Miami_Retail[[#This Row],[sales_usd]] / Miami_Retail[[#This Row],[customers]]</f>
        <v>17.289305555555554</v>
      </c>
      <c r="I487">
        <v>64.8</v>
      </c>
      <c r="J487">
        <f>(Miami_Retail[[#This Row],[avg_temp_f]]-32) * (5/9)</f>
        <v>18.222222222222221</v>
      </c>
      <c r="K487">
        <v>0</v>
      </c>
      <c r="L487">
        <v>0</v>
      </c>
      <c r="M487">
        <v>42.9</v>
      </c>
      <c r="N487">
        <v>51.9</v>
      </c>
      <c r="O487">
        <v>48.1</v>
      </c>
      <c r="P487">
        <v>47.9</v>
      </c>
      <c r="Q487">
        <v>52.1</v>
      </c>
    </row>
    <row r="488" spans="1:17" x14ac:dyDescent="0.25">
      <c r="A488" s="2">
        <v>45412</v>
      </c>
      <c r="B488" s="2" t="str">
        <f t="shared" si="14"/>
        <v>Tuesday</v>
      </c>
      <c r="C488" s="2" t="b">
        <f t="shared" si="15"/>
        <v>0</v>
      </c>
      <c r="D488">
        <v>1</v>
      </c>
      <c r="E488" t="s">
        <v>5</v>
      </c>
      <c r="F488">
        <v>217</v>
      </c>
      <c r="G488" s="3">
        <v>4726.34</v>
      </c>
      <c r="H488" s="3">
        <f>Miami_Retail[[#This Row],[sales_usd]] / Miami_Retail[[#This Row],[customers]]</f>
        <v>21.780368663594469</v>
      </c>
      <c r="I488">
        <v>70.099999999999994</v>
      </c>
      <c r="J488">
        <f>(Miami_Retail[[#This Row],[avg_temp_f]]-32) * (5/9)</f>
        <v>21.166666666666664</v>
      </c>
      <c r="K488">
        <v>0</v>
      </c>
      <c r="L488">
        <v>0</v>
      </c>
      <c r="M488">
        <v>41.7</v>
      </c>
      <c r="N488">
        <v>50.7</v>
      </c>
      <c r="O488">
        <v>49.3</v>
      </c>
      <c r="P488">
        <v>47.7</v>
      </c>
      <c r="Q488">
        <v>52.3</v>
      </c>
    </row>
    <row r="489" spans="1:17" x14ac:dyDescent="0.25">
      <c r="A489" s="2">
        <v>45413</v>
      </c>
      <c r="B489" s="2" t="str">
        <f t="shared" si="14"/>
        <v>Wednesday</v>
      </c>
      <c r="C489" s="2" t="b">
        <f t="shared" si="15"/>
        <v>0</v>
      </c>
      <c r="D489">
        <v>1</v>
      </c>
      <c r="E489" t="s">
        <v>5</v>
      </c>
      <c r="F489">
        <v>210</v>
      </c>
      <c r="G489" s="3">
        <v>3548.94</v>
      </c>
      <c r="H489" s="3">
        <f>Miami_Retail[[#This Row],[sales_usd]] / Miami_Retail[[#This Row],[customers]]</f>
        <v>16.899714285714285</v>
      </c>
      <c r="I489">
        <v>66.2</v>
      </c>
      <c r="J489">
        <f>(Miami_Retail[[#This Row],[avg_temp_f]]-32) * (5/9)</f>
        <v>19.000000000000004</v>
      </c>
      <c r="K489">
        <v>0</v>
      </c>
      <c r="L489">
        <v>0</v>
      </c>
      <c r="M489">
        <v>43.1</v>
      </c>
      <c r="N489">
        <v>51.2</v>
      </c>
      <c r="O489">
        <v>48.8</v>
      </c>
      <c r="P489">
        <v>48.2</v>
      </c>
      <c r="Q489">
        <v>51.8</v>
      </c>
    </row>
    <row r="490" spans="1:17" x14ac:dyDescent="0.25">
      <c r="A490" s="2">
        <v>45414</v>
      </c>
      <c r="B490" s="2" t="str">
        <f t="shared" si="14"/>
        <v>Thursday</v>
      </c>
      <c r="C490" s="2" t="b">
        <f t="shared" si="15"/>
        <v>0</v>
      </c>
      <c r="D490">
        <v>1</v>
      </c>
      <c r="E490" t="s">
        <v>5</v>
      </c>
      <c r="F490">
        <v>237</v>
      </c>
      <c r="G490" s="3">
        <v>4241.25</v>
      </c>
      <c r="H490" s="3">
        <f>Miami_Retail[[#This Row],[sales_usd]] / Miami_Retail[[#This Row],[customers]]</f>
        <v>17.895569620253166</v>
      </c>
      <c r="I490">
        <v>72.900000000000006</v>
      </c>
      <c r="J490">
        <f>(Miami_Retail[[#This Row],[avg_temp_f]]-32) * (5/9)</f>
        <v>22.722222222222225</v>
      </c>
      <c r="K490">
        <v>0.5</v>
      </c>
      <c r="L490">
        <v>1</v>
      </c>
      <c r="M490">
        <v>38.9</v>
      </c>
      <c r="N490">
        <v>52</v>
      </c>
      <c r="O490">
        <v>48</v>
      </c>
      <c r="P490">
        <v>48.9</v>
      </c>
      <c r="Q490">
        <v>51.1</v>
      </c>
    </row>
    <row r="491" spans="1:17" x14ac:dyDescent="0.25">
      <c r="A491" s="2">
        <v>45415</v>
      </c>
      <c r="B491" s="2" t="str">
        <f t="shared" si="14"/>
        <v>Friday</v>
      </c>
      <c r="C491" s="2" t="b">
        <f t="shared" si="15"/>
        <v>0</v>
      </c>
      <c r="D491">
        <v>1</v>
      </c>
      <c r="E491" t="s">
        <v>5</v>
      </c>
      <c r="F491">
        <v>211</v>
      </c>
      <c r="G491" s="3">
        <v>3955.3</v>
      </c>
      <c r="H491" s="3">
        <f>Miami_Retail[[#This Row],[sales_usd]] / Miami_Retail[[#This Row],[customers]]</f>
        <v>18.745497630331755</v>
      </c>
      <c r="I491">
        <v>71</v>
      </c>
      <c r="J491">
        <f>(Miami_Retail[[#This Row],[avg_temp_f]]-32) * (5/9)</f>
        <v>21.666666666666668</v>
      </c>
      <c r="K491">
        <v>0</v>
      </c>
      <c r="L491">
        <v>0</v>
      </c>
      <c r="M491">
        <v>39.299999999999997</v>
      </c>
      <c r="N491">
        <v>52.4</v>
      </c>
      <c r="O491">
        <v>47.6</v>
      </c>
      <c r="P491">
        <v>49</v>
      </c>
      <c r="Q491">
        <v>51</v>
      </c>
    </row>
    <row r="492" spans="1:17" x14ac:dyDescent="0.25">
      <c r="A492" s="2">
        <v>45416</v>
      </c>
      <c r="B492" s="2" t="str">
        <f t="shared" si="14"/>
        <v>Saturday</v>
      </c>
      <c r="C492" s="2" t="b">
        <f t="shared" si="15"/>
        <v>1</v>
      </c>
      <c r="D492">
        <v>1</v>
      </c>
      <c r="E492" t="s">
        <v>5</v>
      </c>
      <c r="F492">
        <v>286</v>
      </c>
      <c r="G492" s="3">
        <v>5151.17</v>
      </c>
      <c r="H492" s="3">
        <f>Miami_Retail[[#This Row],[sales_usd]] / Miami_Retail[[#This Row],[customers]]</f>
        <v>18.011083916083916</v>
      </c>
      <c r="I492">
        <v>65.400000000000006</v>
      </c>
      <c r="J492">
        <f>(Miami_Retail[[#This Row],[avg_temp_f]]-32) * (5/9)</f>
        <v>18.555555555555561</v>
      </c>
      <c r="K492">
        <v>0</v>
      </c>
      <c r="L492">
        <v>0</v>
      </c>
      <c r="M492">
        <v>48.3</v>
      </c>
      <c r="N492">
        <v>51.7</v>
      </c>
      <c r="O492">
        <v>48.3</v>
      </c>
      <c r="P492">
        <v>54.1</v>
      </c>
      <c r="Q492">
        <v>45.9</v>
      </c>
    </row>
    <row r="493" spans="1:17" x14ac:dyDescent="0.25">
      <c r="A493" s="2">
        <v>45417</v>
      </c>
      <c r="B493" s="2" t="str">
        <f t="shared" si="14"/>
        <v>Sunday</v>
      </c>
      <c r="C493" s="2" t="b">
        <f t="shared" si="15"/>
        <v>1</v>
      </c>
      <c r="D493">
        <v>1</v>
      </c>
      <c r="E493" t="s">
        <v>5</v>
      </c>
      <c r="F493">
        <v>254</v>
      </c>
      <c r="G493" s="3">
        <v>4700.21</v>
      </c>
      <c r="H493" s="3">
        <f>Miami_Retail[[#This Row],[sales_usd]] / Miami_Retail[[#This Row],[customers]]</f>
        <v>18.504763779527558</v>
      </c>
      <c r="I493">
        <v>68.5</v>
      </c>
      <c r="J493">
        <f>(Miami_Retail[[#This Row],[avg_temp_f]]-32) * (5/9)</f>
        <v>20.277777777777779</v>
      </c>
      <c r="K493">
        <v>0.22</v>
      </c>
      <c r="L493">
        <v>1</v>
      </c>
      <c r="M493">
        <v>42.6</v>
      </c>
      <c r="N493">
        <v>51.9</v>
      </c>
      <c r="O493">
        <v>48.1</v>
      </c>
      <c r="P493">
        <v>54.8</v>
      </c>
      <c r="Q493">
        <v>45.2</v>
      </c>
    </row>
    <row r="494" spans="1:17" x14ac:dyDescent="0.25">
      <c r="A494" s="2">
        <v>45418</v>
      </c>
      <c r="B494" s="2" t="str">
        <f t="shared" si="14"/>
        <v>Monday</v>
      </c>
      <c r="C494" s="2" t="b">
        <f t="shared" si="15"/>
        <v>0</v>
      </c>
      <c r="D494">
        <v>1</v>
      </c>
      <c r="E494" t="s">
        <v>5</v>
      </c>
      <c r="F494">
        <v>216</v>
      </c>
      <c r="G494" s="3">
        <v>3961.79</v>
      </c>
      <c r="H494" s="3">
        <f>Miami_Retail[[#This Row],[sales_usd]] / Miami_Retail[[#This Row],[customers]]</f>
        <v>18.341620370370372</v>
      </c>
      <c r="I494">
        <v>68.5</v>
      </c>
      <c r="J494">
        <f>(Miami_Retail[[#This Row],[avg_temp_f]]-32) * (5/9)</f>
        <v>20.277777777777779</v>
      </c>
      <c r="K494">
        <v>0.45</v>
      </c>
      <c r="L494">
        <v>1</v>
      </c>
      <c r="M494">
        <v>52.5</v>
      </c>
      <c r="N494">
        <v>50.4</v>
      </c>
      <c r="O494">
        <v>49.6</v>
      </c>
      <c r="P494">
        <v>47.6</v>
      </c>
      <c r="Q494">
        <v>52.4</v>
      </c>
    </row>
    <row r="495" spans="1:17" x14ac:dyDescent="0.25">
      <c r="A495" s="2">
        <v>45419</v>
      </c>
      <c r="B495" s="2" t="str">
        <f t="shared" si="14"/>
        <v>Tuesday</v>
      </c>
      <c r="C495" s="2" t="b">
        <f t="shared" si="15"/>
        <v>0</v>
      </c>
      <c r="D495">
        <v>1</v>
      </c>
      <c r="E495" t="s">
        <v>5</v>
      </c>
      <c r="F495">
        <v>223</v>
      </c>
      <c r="G495" s="3">
        <v>4226.7700000000004</v>
      </c>
      <c r="H495" s="3">
        <f>Miami_Retail[[#This Row],[sales_usd]] / Miami_Retail[[#This Row],[customers]]</f>
        <v>18.95412556053812</v>
      </c>
      <c r="I495">
        <v>71.3</v>
      </c>
      <c r="J495">
        <f>(Miami_Retail[[#This Row],[avg_temp_f]]-32) * (5/9)</f>
        <v>21.833333333333332</v>
      </c>
      <c r="K495">
        <v>0</v>
      </c>
      <c r="L495">
        <v>0</v>
      </c>
      <c r="M495">
        <v>52.2</v>
      </c>
      <c r="N495">
        <v>51.3</v>
      </c>
      <c r="O495">
        <v>48.7</v>
      </c>
      <c r="P495">
        <v>48</v>
      </c>
      <c r="Q495">
        <v>52</v>
      </c>
    </row>
    <row r="496" spans="1:17" x14ac:dyDescent="0.25">
      <c r="A496" s="2">
        <v>45420</v>
      </c>
      <c r="B496" s="2" t="str">
        <f t="shared" si="14"/>
        <v>Wednesday</v>
      </c>
      <c r="C496" s="2" t="b">
        <f t="shared" si="15"/>
        <v>0</v>
      </c>
      <c r="D496">
        <v>1</v>
      </c>
      <c r="E496" t="s">
        <v>5</v>
      </c>
      <c r="F496">
        <v>184</v>
      </c>
      <c r="G496" s="3">
        <v>3494.43</v>
      </c>
      <c r="H496" s="3">
        <f>Miami_Retail[[#This Row],[sales_usd]] / Miami_Retail[[#This Row],[customers]]</f>
        <v>18.991467391304347</v>
      </c>
      <c r="I496">
        <v>65.599999999999994</v>
      </c>
      <c r="J496">
        <f>(Miami_Retail[[#This Row],[avg_temp_f]]-32) * (5/9)</f>
        <v>18.666666666666664</v>
      </c>
      <c r="K496">
        <v>1</v>
      </c>
      <c r="L496">
        <v>1</v>
      </c>
      <c r="M496">
        <v>35</v>
      </c>
      <c r="N496">
        <v>51</v>
      </c>
      <c r="O496">
        <v>49</v>
      </c>
      <c r="P496">
        <v>46.9</v>
      </c>
      <c r="Q496">
        <v>53.1</v>
      </c>
    </row>
    <row r="497" spans="1:17" x14ac:dyDescent="0.25">
      <c r="A497" s="2">
        <v>45421</v>
      </c>
      <c r="B497" s="2" t="str">
        <f t="shared" si="14"/>
        <v>Thursday</v>
      </c>
      <c r="C497" s="2" t="b">
        <f t="shared" si="15"/>
        <v>0</v>
      </c>
      <c r="D497">
        <v>1</v>
      </c>
      <c r="E497" t="s">
        <v>5</v>
      </c>
      <c r="F497">
        <v>253</v>
      </c>
      <c r="G497" s="3">
        <v>4586.0200000000004</v>
      </c>
      <c r="H497" s="3">
        <f>Miami_Retail[[#This Row],[sales_usd]] / Miami_Retail[[#This Row],[customers]]</f>
        <v>18.126561264822136</v>
      </c>
      <c r="I497">
        <v>74.099999999999994</v>
      </c>
      <c r="J497">
        <f>(Miami_Retail[[#This Row],[avg_temp_f]]-32) * (5/9)</f>
        <v>23.388888888888886</v>
      </c>
      <c r="K497">
        <v>0</v>
      </c>
      <c r="L497">
        <v>0</v>
      </c>
      <c r="M497">
        <v>42.7</v>
      </c>
      <c r="N497">
        <v>52.2</v>
      </c>
      <c r="O497">
        <v>47.8</v>
      </c>
      <c r="P497">
        <v>46.1</v>
      </c>
      <c r="Q497">
        <v>53.9</v>
      </c>
    </row>
    <row r="498" spans="1:17" x14ac:dyDescent="0.25">
      <c r="A498" s="2">
        <v>45422</v>
      </c>
      <c r="B498" s="2" t="str">
        <f t="shared" si="14"/>
        <v>Friday</v>
      </c>
      <c r="C498" s="2" t="b">
        <f t="shared" si="15"/>
        <v>0</v>
      </c>
      <c r="D498">
        <v>1</v>
      </c>
      <c r="E498" t="s">
        <v>5</v>
      </c>
      <c r="F498">
        <v>231</v>
      </c>
      <c r="G498" s="3">
        <v>4106.1899999999996</v>
      </c>
      <c r="H498" s="3">
        <f>Miami_Retail[[#This Row],[sales_usd]] / Miami_Retail[[#This Row],[customers]]</f>
        <v>17.775714285714283</v>
      </c>
      <c r="I498">
        <v>72.400000000000006</v>
      </c>
      <c r="J498">
        <f>(Miami_Retail[[#This Row],[avg_temp_f]]-32) * (5/9)</f>
        <v>22.44444444444445</v>
      </c>
      <c r="K498">
        <v>0</v>
      </c>
      <c r="L498">
        <v>0</v>
      </c>
      <c r="M498">
        <v>46.8</v>
      </c>
      <c r="N498">
        <v>48.7</v>
      </c>
      <c r="O498">
        <v>51.3</v>
      </c>
      <c r="P498">
        <v>47.6</v>
      </c>
      <c r="Q498">
        <v>52.4</v>
      </c>
    </row>
    <row r="499" spans="1:17" x14ac:dyDescent="0.25">
      <c r="A499" s="2">
        <v>45423</v>
      </c>
      <c r="B499" s="2" t="str">
        <f t="shared" si="14"/>
        <v>Saturday</v>
      </c>
      <c r="C499" s="2" t="b">
        <f t="shared" si="15"/>
        <v>1</v>
      </c>
      <c r="D499">
        <v>1</v>
      </c>
      <c r="E499" t="s">
        <v>5</v>
      </c>
      <c r="F499">
        <v>242</v>
      </c>
      <c r="G499" s="3">
        <v>4836.22</v>
      </c>
      <c r="H499" s="3">
        <f>Miami_Retail[[#This Row],[sales_usd]] / Miami_Retail[[#This Row],[customers]]</f>
        <v>19.984380165289256</v>
      </c>
      <c r="I499">
        <v>63.2</v>
      </c>
      <c r="J499">
        <f>(Miami_Retail[[#This Row],[avg_temp_f]]-32) * (5/9)</f>
        <v>17.333333333333336</v>
      </c>
      <c r="K499">
        <v>1.59</v>
      </c>
      <c r="L499">
        <v>1</v>
      </c>
      <c r="M499">
        <v>49.1</v>
      </c>
      <c r="N499">
        <v>51</v>
      </c>
      <c r="O499">
        <v>49</v>
      </c>
      <c r="P499">
        <v>56.6</v>
      </c>
      <c r="Q499">
        <v>43.4</v>
      </c>
    </row>
    <row r="500" spans="1:17" x14ac:dyDescent="0.25">
      <c r="A500" s="2">
        <v>45424</v>
      </c>
      <c r="B500" s="2" t="str">
        <f t="shared" si="14"/>
        <v>Sunday</v>
      </c>
      <c r="C500" s="2" t="b">
        <f t="shared" si="15"/>
        <v>1</v>
      </c>
      <c r="D500">
        <v>1</v>
      </c>
      <c r="E500" t="s">
        <v>5</v>
      </c>
      <c r="F500">
        <v>264</v>
      </c>
      <c r="G500" s="3">
        <v>5077.47</v>
      </c>
      <c r="H500" s="3">
        <f>Miami_Retail[[#This Row],[sales_usd]] / Miami_Retail[[#This Row],[customers]]</f>
        <v>19.23284090909091</v>
      </c>
      <c r="I500">
        <v>74.099999999999994</v>
      </c>
      <c r="J500">
        <f>(Miami_Retail[[#This Row],[avg_temp_f]]-32) * (5/9)</f>
        <v>23.388888888888886</v>
      </c>
      <c r="K500">
        <v>0.4</v>
      </c>
      <c r="L500">
        <v>1</v>
      </c>
      <c r="M500">
        <v>48.3</v>
      </c>
      <c r="N500">
        <v>52.6</v>
      </c>
      <c r="O500">
        <v>47.4</v>
      </c>
      <c r="P500">
        <v>53.4</v>
      </c>
      <c r="Q500">
        <v>46.6</v>
      </c>
    </row>
    <row r="501" spans="1:17" x14ac:dyDescent="0.25">
      <c r="A501" s="2">
        <v>45425</v>
      </c>
      <c r="B501" s="2" t="str">
        <f t="shared" si="14"/>
        <v>Monday</v>
      </c>
      <c r="C501" s="2" t="b">
        <f t="shared" si="15"/>
        <v>0</v>
      </c>
      <c r="D501">
        <v>1</v>
      </c>
      <c r="E501" t="s">
        <v>5</v>
      </c>
      <c r="F501">
        <v>214</v>
      </c>
      <c r="G501" s="3">
        <v>3822.8</v>
      </c>
      <c r="H501" s="3">
        <f>Miami_Retail[[#This Row],[sales_usd]] / Miami_Retail[[#This Row],[customers]]</f>
        <v>17.863551401869159</v>
      </c>
      <c r="I501">
        <v>68.900000000000006</v>
      </c>
      <c r="J501">
        <f>(Miami_Retail[[#This Row],[avg_temp_f]]-32) * (5/9)</f>
        <v>20.500000000000004</v>
      </c>
      <c r="K501">
        <v>0.37</v>
      </c>
      <c r="L501">
        <v>1</v>
      </c>
      <c r="M501">
        <v>49.5</v>
      </c>
      <c r="N501">
        <v>50.7</v>
      </c>
      <c r="O501">
        <v>49.3</v>
      </c>
      <c r="P501">
        <v>50.6</v>
      </c>
      <c r="Q501">
        <v>49.4</v>
      </c>
    </row>
    <row r="502" spans="1:17" x14ac:dyDescent="0.25">
      <c r="A502" s="2">
        <v>45426</v>
      </c>
      <c r="B502" s="2" t="str">
        <f t="shared" si="14"/>
        <v>Tuesday</v>
      </c>
      <c r="C502" s="2" t="b">
        <f t="shared" si="15"/>
        <v>0</v>
      </c>
      <c r="D502">
        <v>1</v>
      </c>
      <c r="E502" t="s">
        <v>5</v>
      </c>
      <c r="F502">
        <v>289</v>
      </c>
      <c r="G502" s="3">
        <v>5467.2</v>
      </c>
      <c r="H502" s="3">
        <f>Miami_Retail[[#This Row],[sales_usd]] / Miami_Retail[[#This Row],[customers]]</f>
        <v>18.91764705882353</v>
      </c>
      <c r="I502">
        <v>77.400000000000006</v>
      </c>
      <c r="J502">
        <f>(Miami_Retail[[#This Row],[avg_temp_f]]-32) * (5/9)</f>
        <v>25.222222222222225</v>
      </c>
      <c r="K502">
        <v>0</v>
      </c>
      <c r="L502">
        <v>0</v>
      </c>
      <c r="M502">
        <v>43.2</v>
      </c>
      <c r="N502">
        <v>50.6</v>
      </c>
      <c r="O502">
        <v>49.4</v>
      </c>
      <c r="P502">
        <v>46.6</v>
      </c>
      <c r="Q502">
        <v>53.4</v>
      </c>
    </row>
    <row r="503" spans="1:17" x14ac:dyDescent="0.25">
      <c r="A503" s="2">
        <v>45427</v>
      </c>
      <c r="B503" s="2" t="str">
        <f t="shared" si="14"/>
        <v>Wednesday</v>
      </c>
      <c r="C503" s="2" t="b">
        <f t="shared" si="15"/>
        <v>0</v>
      </c>
      <c r="D503">
        <v>1</v>
      </c>
      <c r="E503" t="s">
        <v>5</v>
      </c>
      <c r="F503">
        <v>210</v>
      </c>
      <c r="G503" s="3">
        <v>3916.2</v>
      </c>
      <c r="H503" s="3">
        <f>Miami_Retail[[#This Row],[sales_usd]] / Miami_Retail[[#This Row],[customers]]</f>
        <v>18.648571428571429</v>
      </c>
      <c r="I503">
        <v>71.599999999999994</v>
      </c>
      <c r="J503">
        <f>(Miami_Retail[[#This Row],[avg_temp_f]]-32) * (5/9)</f>
        <v>21.999999999999996</v>
      </c>
      <c r="K503">
        <v>0</v>
      </c>
      <c r="L503">
        <v>0</v>
      </c>
      <c r="M503">
        <v>41.7</v>
      </c>
      <c r="N503">
        <v>50.5</v>
      </c>
      <c r="O503">
        <v>49.5</v>
      </c>
      <c r="P503">
        <v>48.1</v>
      </c>
      <c r="Q503">
        <v>51.9</v>
      </c>
    </row>
    <row r="504" spans="1:17" x14ac:dyDescent="0.25">
      <c r="A504" s="2">
        <v>45428</v>
      </c>
      <c r="B504" s="2" t="str">
        <f t="shared" si="14"/>
        <v>Thursday</v>
      </c>
      <c r="C504" s="2" t="b">
        <f t="shared" si="15"/>
        <v>0</v>
      </c>
      <c r="D504">
        <v>1</v>
      </c>
      <c r="E504" t="s">
        <v>5</v>
      </c>
      <c r="F504">
        <v>231</v>
      </c>
      <c r="G504" s="3">
        <v>4483.2700000000004</v>
      </c>
      <c r="H504" s="3">
        <f>Miami_Retail[[#This Row],[sales_usd]] / Miami_Retail[[#This Row],[customers]]</f>
        <v>19.408095238095239</v>
      </c>
      <c r="I504">
        <v>73.8</v>
      </c>
      <c r="J504">
        <f>(Miami_Retail[[#This Row],[avg_temp_f]]-32) * (5/9)</f>
        <v>23.222222222222221</v>
      </c>
      <c r="K504">
        <v>0</v>
      </c>
      <c r="L504">
        <v>0</v>
      </c>
      <c r="M504">
        <v>38.799999999999997</v>
      </c>
      <c r="N504">
        <v>50.4</v>
      </c>
      <c r="O504">
        <v>49.6</v>
      </c>
      <c r="P504">
        <v>49.6</v>
      </c>
      <c r="Q504">
        <v>50.4</v>
      </c>
    </row>
    <row r="505" spans="1:17" x14ac:dyDescent="0.25">
      <c r="A505" s="2">
        <v>45429</v>
      </c>
      <c r="B505" s="2" t="str">
        <f t="shared" si="14"/>
        <v>Friday</v>
      </c>
      <c r="C505" s="2" t="b">
        <f t="shared" si="15"/>
        <v>0</v>
      </c>
      <c r="D505">
        <v>1</v>
      </c>
      <c r="E505" t="s">
        <v>5</v>
      </c>
      <c r="F505">
        <v>234</v>
      </c>
      <c r="G505" s="3">
        <v>4191.45</v>
      </c>
      <c r="H505" s="3">
        <f>Miami_Retail[[#This Row],[sales_usd]] / Miami_Retail[[#This Row],[customers]]</f>
        <v>17.912179487179486</v>
      </c>
      <c r="I505">
        <v>70.599999999999994</v>
      </c>
      <c r="J505">
        <f>(Miami_Retail[[#This Row],[avg_temp_f]]-32) * (5/9)</f>
        <v>21.444444444444443</v>
      </c>
      <c r="K505">
        <v>0</v>
      </c>
      <c r="L505">
        <v>0</v>
      </c>
      <c r="M505">
        <v>49</v>
      </c>
      <c r="N505">
        <v>50.4</v>
      </c>
      <c r="O505">
        <v>49.6</v>
      </c>
      <c r="P505">
        <v>49</v>
      </c>
      <c r="Q505">
        <v>51</v>
      </c>
    </row>
    <row r="506" spans="1:17" x14ac:dyDescent="0.25">
      <c r="A506" s="2">
        <v>45430</v>
      </c>
      <c r="B506" s="2" t="str">
        <f t="shared" si="14"/>
        <v>Saturday</v>
      </c>
      <c r="C506" s="2" t="b">
        <f t="shared" si="15"/>
        <v>1</v>
      </c>
      <c r="D506">
        <v>1</v>
      </c>
      <c r="E506" t="s">
        <v>5</v>
      </c>
      <c r="F506">
        <v>279</v>
      </c>
      <c r="G506" s="3">
        <v>4998.1099999999997</v>
      </c>
      <c r="H506" s="3">
        <f>Miami_Retail[[#This Row],[sales_usd]] / Miami_Retail[[#This Row],[customers]]</f>
        <v>17.914372759856629</v>
      </c>
      <c r="I506">
        <v>74.599999999999994</v>
      </c>
      <c r="J506">
        <f>(Miami_Retail[[#This Row],[avg_temp_f]]-32) * (5/9)</f>
        <v>23.666666666666664</v>
      </c>
      <c r="K506">
        <v>0</v>
      </c>
      <c r="L506">
        <v>0</v>
      </c>
      <c r="M506">
        <v>46.7</v>
      </c>
      <c r="N506">
        <v>50.9</v>
      </c>
      <c r="O506">
        <v>49.1</v>
      </c>
      <c r="P506">
        <v>54.3</v>
      </c>
      <c r="Q506">
        <v>45.7</v>
      </c>
    </row>
    <row r="507" spans="1:17" x14ac:dyDescent="0.25">
      <c r="A507" s="2">
        <v>45431</v>
      </c>
      <c r="B507" s="2" t="str">
        <f t="shared" si="14"/>
        <v>Sunday</v>
      </c>
      <c r="C507" s="2" t="b">
        <f t="shared" si="15"/>
        <v>1</v>
      </c>
      <c r="D507">
        <v>1</v>
      </c>
      <c r="E507" t="s">
        <v>5</v>
      </c>
      <c r="F507">
        <v>237</v>
      </c>
      <c r="G507" s="3">
        <v>4438.13</v>
      </c>
      <c r="H507" s="3">
        <f>Miami_Retail[[#This Row],[sales_usd]] / Miami_Retail[[#This Row],[customers]]</f>
        <v>18.726286919831225</v>
      </c>
      <c r="I507">
        <v>71.099999999999994</v>
      </c>
      <c r="J507">
        <f>(Miami_Retail[[#This Row],[avg_temp_f]]-32) * (5/9)</f>
        <v>21.722222222222221</v>
      </c>
      <c r="K507">
        <v>0.41</v>
      </c>
      <c r="L507">
        <v>1</v>
      </c>
      <c r="M507">
        <v>53.6</v>
      </c>
      <c r="N507">
        <v>50.6</v>
      </c>
      <c r="O507">
        <v>49.4</v>
      </c>
      <c r="P507">
        <v>54.1</v>
      </c>
      <c r="Q507">
        <v>45.9</v>
      </c>
    </row>
    <row r="508" spans="1:17" x14ac:dyDescent="0.25">
      <c r="A508" s="2">
        <v>45432</v>
      </c>
      <c r="B508" s="2" t="str">
        <f t="shared" si="14"/>
        <v>Monday</v>
      </c>
      <c r="C508" s="2" t="b">
        <f t="shared" si="15"/>
        <v>0</v>
      </c>
      <c r="D508">
        <v>1</v>
      </c>
      <c r="E508" t="s">
        <v>5</v>
      </c>
      <c r="F508">
        <v>218</v>
      </c>
      <c r="G508" s="3">
        <v>4313.9399999999996</v>
      </c>
      <c r="H508" s="3">
        <f>Miami_Retail[[#This Row],[sales_usd]] / Miami_Retail[[#This Row],[customers]]</f>
        <v>19.788715596330274</v>
      </c>
      <c r="I508">
        <v>69.3</v>
      </c>
      <c r="J508">
        <f>(Miami_Retail[[#This Row],[avg_temp_f]]-32) * (5/9)</f>
        <v>20.722222222222221</v>
      </c>
      <c r="K508">
        <v>0</v>
      </c>
      <c r="L508">
        <v>0</v>
      </c>
      <c r="M508">
        <v>55.6</v>
      </c>
      <c r="N508">
        <v>49.2</v>
      </c>
      <c r="O508">
        <v>50.8</v>
      </c>
      <c r="P508">
        <v>46.7</v>
      </c>
      <c r="Q508">
        <v>53.3</v>
      </c>
    </row>
    <row r="509" spans="1:17" x14ac:dyDescent="0.25">
      <c r="A509" s="2">
        <v>45433</v>
      </c>
      <c r="B509" s="2" t="str">
        <f t="shared" si="14"/>
        <v>Tuesday</v>
      </c>
      <c r="C509" s="2" t="b">
        <f t="shared" si="15"/>
        <v>0</v>
      </c>
      <c r="D509">
        <v>1</v>
      </c>
      <c r="E509" t="s">
        <v>5</v>
      </c>
      <c r="F509">
        <v>222</v>
      </c>
      <c r="G509" s="3">
        <v>4139.6400000000003</v>
      </c>
      <c r="H509" s="3">
        <f>Miami_Retail[[#This Row],[sales_usd]] / Miami_Retail[[#This Row],[customers]]</f>
        <v>18.647027027027029</v>
      </c>
      <c r="I509">
        <v>72</v>
      </c>
      <c r="J509">
        <f>(Miami_Retail[[#This Row],[avg_temp_f]]-32) * (5/9)</f>
        <v>22.222222222222221</v>
      </c>
      <c r="K509">
        <v>0</v>
      </c>
      <c r="L509">
        <v>0</v>
      </c>
      <c r="M509">
        <v>52.1</v>
      </c>
      <c r="N509">
        <v>50</v>
      </c>
      <c r="O509">
        <v>50</v>
      </c>
      <c r="P509">
        <v>48.5</v>
      </c>
      <c r="Q509">
        <v>51.5</v>
      </c>
    </row>
    <row r="510" spans="1:17" x14ac:dyDescent="0.25">
      <c r="A510" s="2">
        <v>45434</v>
      </c>
      <c r="B510" s="2" t="str">
        <f t="shared" si="14"/>
        <v>Wednesday</v>
      </c>
      <c r="C510" s="2" t="b">
        <f t="shared" si="15"/>
        <v>0</v>
      </c>
      <c r="D510">
        <v>1</v>
      </c>
      <c r="E510" t="s">
        <v>5</v>
      </c>
      <c r="F510">
        <v>196</v>
      </c>
      <c r="G510" s="3">
        <v>3662.29</v>
      </c>
      <c r="H510" s="3">
        <f>Miami_Retail[[#This Row],[sales_usd]] / Miami_Retail[[#This Row],[customers]]</f>
        <v>18.68515306122449</v>
      </c>
      <c r="I510">
        <v>70.400000000000006</v>
      </c>
      <c r="J510">
        <f>(Miami_Retail[[#This Row],[avg_temp_f]]-32) * (5/9)</f>
        <v>21.333333333333336</v>
      </c>
      <c r="K510">
        <v>0.26</v>
      </c>
      <c r="L510">
        <v>1</v>
      </c>
      <c r="M510">
        <v>47.9</v>
      </c>
      <c r="N510">
        <v>48.9</v>
      </c>
      <c r="O510">
        <v>51.1</v>
      </c>
      <c r="P510">
        <v>48.7</v>
      </c>
      <c r="Q510">
        <v>51.3</v>
      </c>
    </row>
    <row r="511" spans="1:17" x14ac:dyDescent="0.25">
      <c r="A511" s="2">
        <v>45435</v>
      </c>
      <c r="B511" s="2" t="str">
        <f t="shared" si="14"/>
        <v>Thursday</v>
      </c>
      <c r="C511" s="2" t="b">
        <f t="shared" si="15"/>
        <v>0</v>
      </c>
      <c r="D511">
        <v>1</v>
      </c>
      <c r="E511" t="s">
        <v>5</v>
      </c>
      <c r="F511">
        <v>238</v>
      </c>
      <c r="G511" s="3">
        <v>4543.3900000000003</v>
      </c>
      <c r="H511" s="3">
        <f>Miami_Retail[[#This Row],[sales_usd]] / Miami_Retail[[#This Row],[customers]]</f>
        <v>19.089873949579832</v>
      </c>
      <c r="I511">
        <v>70.599999999999994</v>
      </c>
      <c r="J511">
        <f>(Miami_Retail[[#This Row],[avg_temp_f]]-32) * (5/9)</f>
        <v>21.444444444444443</v>
      </c>
      <c r="K511">
        <v>0</v>
      </c>
      <c r="L511">
        <v>0</v>
      </c>
      <c r="M511">
        <v>47.1</v>
      </c>
      <c r="N511">
        <v>51</v>
      </c>
      <c r="O511">
        <v>49</v>
      </c>
      <c r="P511">
        <v>49</v>
      </c>
      <c r="Q511">
        <v>51</v>
      </c>
    </row>
    <row r="512" spans="1:17" x14ac:dyDescent="0.25">
      <c r="A512" s="2">
        <v>45436</v>
      </c>
      <c r="B512" s="2" t="str">
        <f t="shared" si="14"/>
        <v>Friday</v>
      </c>
      <c r="C512" s="2" t="b">
        <f t="shared" si="15"/>
        <v>0</v>
      </c>
      <c r="D512">
        <v>1</v>
      </c>
      <c r="E512" t="s">
        <v>5</v>
      </c>
      <c r="F512">
        <v>271</v>
      </c>
      <c r="G512" s="3">
        <v>5123.37</v>
      </c>
      <c r="H512" s="3">
        <f>Miami_Retail[[#This Row],[sales_usd]] / Miami_Retail[[#This Row],[customers]]</f>
        <v>18.905424354243543</v>
      </c>
      <c r="I512">
        <v>83.1</v>
      </c>
      <c r="J512">
        <f>(Miami_Retail[[#This Row],[avg_temp_f]]-32) * (5/9)</f>
        <v>28.388888888888886</v>
      </c>
      <c r="K512">
        <v>1.65</v>
      </c>
      <c r="L512">
        <v>1</v>
      </c>
      <c r="M512">
        <v>53.9</v>
      </c>
      <c r="N512">
        <v>52.1</v>
      </c>
      <c r="O512">
        <v>47.9</v>
      </c>
      <c r="P512">
        <v>47.7</v>
      </c>
      <c r="Q512">
        <v>52.3</v>
      </c>
    </row>
    <row r="513" spans="1:17" x14ac:dyDescent="0.25">
      <c r="A513" s="2">
        <v>45437</v>
      </c>
      <c r="B513" s="2" t="str">
        <f t="shared" si="14"/>
        <v>Saturday</v>
      </c>
      <c r="C513" s="2" t="b">
        <f t="shared" si="15"/>
        <v>1</v>
      </c>
      <c r="D513">
        <v>1</v>
      </c>
      <c r="E513" t="s">
        <v>5</v>
      </c>
      <c r="F513">
        <v>275</v>
      </c>
      <c r="G513" s="3">
        <v>5192.29</v>
      </c>
      <c r="H513" s="3">
        <f>Miami_Retail[[#This Row],[sales_usd]] / Miami_Retail[[#This Row],[customers]]</f>
        <v>18.881054545454546</v>
      </c>
      <c r="I513">
        <v>75.400000000000006</v>
      </c>
      <c r="J513">
        <f>(Miami_Retail[[#This Row],[avg_temp_f]]-32) * (5/9)</f>
        <v>24.111111111111114</v>
      </c>
      <c r="K513">
        <v>0.71</v>
      </c>
      <c r="L513">
        <v>1</v>
      </c>
      <c r="M513">
        <v>55.1</v>
      </c>
      <c r="N513">
        <v>50.7</v>
      </c>
      <c r="O513">
        <v>49.3</v>
      </c>
      <c r="P513">
        <v>53.8</v>
      </c>
      <c r="Q513">
        <v>46.2</v>
      </c>
    </row>
    <row r="514" spans="1:17" x14ac:dyDescent="0.25">
      <c r="A514" s="2">
        <v>45438</v>
      </c>
      <c r="B514" s="2" t="str">
        <f t="shared" ref="B514:B577" si="16">TEXT(A514, "dddd")</f>
        <v>Sunday</v>
      </c>
      <c r="C514" s="2" t="b">
        <f t="shared" ref="C514:C577" si="17">IF(WEEKDAY(A514,2)&gt;5,TRUE,FALSE)</f>
        <v>1</v>
      </c>
      <c r="D514">
        <v>1</v>
      </c>
      <c r="E514" t="s">
        <v>5</v>
      </c>
      <c r="F514">
        <v>255</v>
      </c>
      <c r="G514" s="3">
        <v>4506.83</v>
      </c>
      <c r="H514" s="3">
        <f>Miami_Retail[[#This Row],[sales_usd]] / Miami_Retail[[#This Row],[customers]]</f>
        <v>17.673843137254902</v>
      </c>
      <c r="I514">
        <v>73.2</v>
      </c>
      <c r="J514">
        <f>(Miami_Retail[[#This Row],[avg_temp_f]]-32) * (5/9)</f>
        <v>22.888888888888893</v>
      </c>
      <c r="K514">
        <v>0.13</v>
      </c>
      <c r="L514">
        <v>1</v>
      </c>
      <c r="M514">
        <v>57.8</v>
      </c>
      <c r="N514">
        <v>50.3</v>
      </c>
      <c r="O514">
        <v>49.7</v>
      </c>
      <c r="P514">
        <v>53.7</v>
      </c>
      <c r="Q514">
        <v>46.3</v>
      </c>
    </row>
    <row r="515" spans="1:17" x14ac:dyDescent="0.25">
      <c r="A515" s="2">
        <v>45439</v>
      </c>
      <c r="B515" s="2" t="str">
        <f t="shared" si="16"/>
        <v>Monday</v>
      </c>
      <c r="C515" s="2" t="b">
        <f t="shared" si="17"/>
        <v>0</v>
      </c>
      <c r="D515">
        <v>1</v>
      </c>
      <c r="E515" t="s">
        <v>5</v>
      </c>
      <c r="F515">
        <v>239</v>
      </c>
      <c r="G515" s="3">
        <v>4630.47</v>
      </c>
      <c r="H515" s="3">
        <f>Miami_Retail[[#This Row],[sales_usd]] / Miami_Retail[[#This Row],[customers]]</f>
        <v>19.374351464435147</v>
      </c>
      <c r="I515">
        <v>69.900000000000006</v>
      </c>
      <c r="J515">
        <f>(Miami_Retail[[#This Row],[avg_temp_f]]-32) * (5/9)</f>
        <v>21.055555555555561</v>
      </c>
      <c r="K515">
        <v>0</v>
      </c>
      <c r="L515">
        <v>0</v>
      </c>
      <c r="M515">
        <v>48.7</v>
      </c>
      <c r="N515">
        <v>50.5</v>
      </c>
      <c r="O515">
        <v>49.5</v>
      </c>
      <c r="P515">
        <v>47.5</v>
      </c>
      <c r="Q515">
        <v>52.5</v>
      </c>
    </row>
    <row r="516" spans="1:17" x14ac:dyDescent="0.25">
      <c r="A516" s="2">
        <v>45440</v>
      </c>
      <c r="B516" s="2" t="str">
        <f t="shared" si="16"/>
        <v>Tuesday</v>
      </c>
      <c r="C516" s="2" t="b">
        <f t="shared" si="17"/>
        <v>0</v>
      </c>
      <c r="D516">
        <v>1</v>
      </c>
      <c r="E516" t="s">
        <v>5</v>
      </c>
      <c r="F516">
        <v>214</v>
      </c>
      <c r="G516" s="3">
        <v>4091.14</v>
      </c>
      <c r="H516" s="3">
        <f>Miami_Retail[[#This Row],[sales_usd]] / Miami_Retail[[#This Row],[customers]]</f>
        <v>19.117476635514016</v>
      </c>
      <c r="I516">
        <v>67.5</v>
      </c>
      <c r="J516">
        <f>(Miami_Retail[[#This Row],[avg_temp_f]]-32) * (5/9)</f>
        <v>19.722222222222221</v>
      </c>
      <c r="K516">
        <v>0</v>
      </c>
      <c r="L516">
        <v>0</v>
      </c>
      <c r="M516">
        <v>54</v>
      </c>
      <c r="N516">
        <v>50.8</v>
      </c>
      <c r="O516">
        <v>49.2</v>
      </c>
      <c r="P516">
        <v>47.4</v>
      </c>
      <c r="Q516">
        <v>52.6</v>
      </c>
    </row>
    <row r="517" spans="1:17" x14ac:dyDescent="0.25">
      <c r="A517" s="2">
        <v>45441</v>
      </c>
      <c r="B517" s="2" t="str">
        <f t="shared" si="16"/>
        <v>Wednesday</v>
      </c>
      <c r="C517" s="2" t="b">
        <f t="shared" si="17"/>
        <v>0</v>
      </c>
      <c r="D517">
        <v>1</v>
      </c>
      <c r="E517" t="s">
        <v>5</v>
      </c>
      <c r="F517">
        <v>215</v>
      </c>
      <c r="G517" s="3">
        <v>4032</v>
      </c>
      <c r="H517" s="3">
        <f>Miami_Retail[[#This Row],[sales_usd]] / Miami_Retail[[#This Row],[customers]]</f>
        <v>18.753488372093024</v>
      </c>
      <c r="I517">
        <v>71.3</v>
      </c>
      <c r="J517">
        <f>(Miami_Retail[[#This Row],[avg_temp_f]]-32) * (5/9)</f>
        <v>21.833333333333332</v>
      </c>
      <c r="K517">
        <v>0</v>
      </c>
      <c r="L517">
        <v>0</v>
      </c>
      <c r="M517">
        <v>50.9</v>
      </c>
      <c r="N517">
        <v>51.2</v>
      </c>
      <c r="O517">
        <v>48.8</v>
      </c>
      <c r="P517">
        <v>47.7</v>
      </c>
      <c r="Q517">
        <v>52.3</v>
      </c>
    </row>
    <row r="518" spans="1:17" x14ac:dyDescent="0.25">
      <c r="A518" s="2">
        <v>45442</v>
      </c>
      <c r="B518" s="2" t="str">
        <f t="shared" si="16"/>
        <v>Thursday</v>
      </c>
      <c r="C518" s="2" t="b">
        <f t="shared" si="17"/>
        <v>0</v>
      </c>
      <c r="D518">
        <v>1</v>
      </c>
      <c r="E518" t="s">
        <v>5</v>
      </c>
      <c r="F518">
        <v>266</v>
      </c>
      <c r="G518" s="3">
        <v>5303.56</v>
      </c>
      <c r="H518" s="3">
        <f>Miami_Retail[[#This Row],[sales_usd]] / Miami_Retail[[#This Row],[customers]]</f>
        <v>19.938195488721806</v>
      </c>
      <c r="I518">
        <v>77.2</v>
      </c>
      <c r="J518">
        <f>(Miami_Retail[[#This Row],[avg_temp_f]]-32) * (5/9)</f>
        <v>25.111111111111114</v>
      </c>
      <c r="K518">
        <v>0</v>
      </c>
      <c r="L518">
        <v>0</v>
      </c>
      <c r="M518">
        <v>51.2</v>
      </c>
      <c r="N518">
        <v>50</v>
      </c>
      <c r="O518">
        <v>50</v>
      </c>
      <c r="P518">
        <v>48.1</v>
      </c>
      <c r="Q518">
        <v>51.9</v>
      </c>
    </row>
    <row r="519" spans="1:17" x14ac:dyDescent="0.25">
      <c r="A519" s="2">
        <v>45443</v>
      </c>
      <c r="B519" s="2" t="str">
        <f t="shared" si="16"/>
        <v>Friday</v>
      </c>
      <c r="C519" s="2" t="b">
        <f t="shared" si="17"/>
        <v>0</v>
      </c>
      <c r="D519">
        <v>1</v>
      </c>
      <c r="E519" t="s">
        <v>5</v>
      </c>
      <c r="F519">
        <v>261</v>
      </c>
      <c r="G519" s="3">
        <v>4692.18</v>
      </c>
      <c r="H519" s="3">
        <f>Miami_Retail[[#This Row],[sales_usd]] / Miami_Retail[[#This Row],[customers]]</f>
        <v>17.97770114942529</v>
      </c>
      <c r="I519">
        <v>78.400000000000006</v>
      </c>
      <c r="J519">
        <f>(Miami_Retail[[#This Row],[avg_temp_f]]-32) * (5/9)</f>
        <v>25.777777777777782</v>
      </c>
      <c r="K519">
        <v>0.52</v>
      </c>
      <c r="L519">
        <v>1</v>
      </c>
      <c r="M519">
        <v>57.9</v>
      </c>
      <c r="N519">
        <v>52.2</v>
      </c>
      <c r="O519">
        <v>47.8</v>
      </c>
      <c r="P519">
        <v>47.4</v>
      </c>
      <c r="Q519">
        <v>52.6</v>
      </c>
    </row>
    <row r="520" spans="1:17" x14ac:dyDescent="0.25">
      <c r="A520" s="2">
        <v>45444</v>
      </c>
      <c r="B520" s="2" t="str">
        <f t="shared" si="16"/>
        <v>Saturday</v>
      </c>
      <c r="C520" s="2" t="b">
        <f t="shared" si="17"/>
        <v>1</v>
      </c>
      <c r="D520">
        <v>1</v>
      </c>
      <c r="E520" t="s">
        <v>5</v>
      </c>
      <c r="F520">
        <v>298</v>
      </c>
      <c r="G520" s="3">
        <v>5194.2700000000004</v>
      </c>
      <c r="H520" s="3">
        <f>Miami_Retail[[#This Row],[sales_usd]] / Miami_Retail[[#This Row],[customers]]</f>
        <v>17.430436241610739</v>
      </c>
      <c r="I520">
        <v>74.599999999999994</v>
      </c>
      <c r="J520">
        <f>(Miami_Retail[[#This Row],[avg_temp_f]]-32) * (5/9)</f>
        <v>23.666666666666664</v>
      </c>
      <c r="K520">
        <v>0.54</v>
      </c>
      <c r="L520">
        <v>1</v>
      </c>
      <c r="M520">
        <v>51.6</v>
      </c>
      <c r="N520">
        <v>49</v>
      </c>
      <c r="O520">
        <v>51</v>
      </c>
      <c r="P520">
        <v>53.6</v>
      </c>
      <c r="Q520">
        <v>46.4</v>
      </c>
    </row>
    <row r="521" spans="1:17" x14ac:dyDescent="0.25">
      <c r="A521" s="2">
        <v>45445</v>
      </c>
      <c r="B521" s="2" t="str">
        <f t="shared" si="16"/>
        <v>Sunday</v>
      </c>
      <c r="C521" s="2" t="b">
        <f t="shared" si="17"/>
        <v>1</v>
      </c>
      <c r="D521">
        <v>1</v>
      </c>
      <c r="E521" t="s">
        <v>5</v>
      </c>
      <c r="F521">
        <v>258</v>
      </c>
      <c r="G521" s="3">
        <v>4965.9399999999996</v>
      </c>
      <c r="H521" s="3">
        <f>Miami_Retail[[#This Row],[sales_usd]] / Miami_Retail[[#This Row],[customers]]</f>
        <v>19.24782945736434</v>
      </c>
      <c r="I521">
        <v>66.7</v>
      </c>
      <c r="J521">
        <f>(Miami_Retail[[#This Row],[avg_temp_f]]-32) * (5/9)</f>
        <v>19.277777777777779</v>
      </c>
      <c r="K521">
        <v>1.07</v>
      </c>
      <c r="L521">
        <v>1</v>
      </c>
      <c r="M521">
        <v>48.5</v>
      </c>
      <c r="N521">
        <v>52.5</v>
      </c>
      <c r="O521">
        <v>47.5</v>
      </c>
      <c r="P521">
        <v>53.9</v>
      </c>
      <c r="Q521">
        <v>46.1</v>
      </c>
    </row>
    <row r="522" spans="1:17" x14ac:dyDescent="0.25">
      <c r="A522" s="2">
        <v>45446</v>
      </c>
      <c r="B522" s="2" t="str">
        <f t="shared" si="16"/>
        <v>Monday</v>
      </c>
      <c r="C522" s="2" t="b">
        <f t="shared" si="17"/>
        <v>0</v>
      </c>
      <c r="D522">
        <v>1</v>
      </c>
      <c r="E522" t="s">
        <v>5</v>
      </c>
      <c r="F522">
        <v>221</v>
      </c>
      <c r="G522" s="3">
        <v>3911.18</v>
      </c>
      <c r="H522" s="3">
        <f>Miami_Retail[[#This Row],[sales_usd]] / Miami_Retail[[#This Row],[customers]]</f>
        <v>17.697647058823527</v>
      </c>
      <c r="I522">
        <v>76.8</v>
      </c>
      <c r="J522">
        <f>(Miami_Retail[[#This Row],[avg_temp_f]]-32) * (5/9)</f>
        <v>24.888888888888889</v>
      </c>
      <c r="K522">
        <v>1.63</v>
      </c>
      <c r="L522">
        <v>1</v>
      </c>
      <c r="M522">
        <v>55.3</v>
      </c>
      <c r="N522">
        <v>51.5</v>
      </c>
      <c r="O522">
        <v>48.5</v>
      </c>
      <c r="P522">
        <v>48.5</v>
      </c>
      <c r="Q522">
        <v>51.5</v>
      </c>
    </row>
    <row r="523" spans="1:17" x14ac:dyDescent="0.25">
      <c r="A523" s="2">
        <v>45447</v>
      </c>
      <c r="B523" s="2" t="str">
        <f t="shared" si="16"/>
        <v>Tuesday</v>
      </c>
      <c r="C523" s="2" t="b">
        <f t="shared" si="17"/>
        <v>0</v>
      </c>
      <c r="D523">
        <v>1</v>
      </c>
      <c r="E523" t="s">
        <v>5</v>
      </c>
      <c r="F523">
        <v>332</v>
      </c>
      <c r="G523" s="3">
        <v>6321.46</v>
      </c>
      <c r="H523" s="3">
        <f>Miami_Retail[[#This Row],[sales_usd]] / Miami_Retail[[#This Row],[customers]]</f>
        <v>19.040542168674698</v>
      </c>
      <c r="I523">
        <v>77.400000000000006</v>
      </c>
      <c r="J523">
        <f>(Miami_Retail[[#This Row],[avg_temp_f]]-32) * (5/9)</f>
        <v>25.222222222222225</v>
      </c>
      <c r="K523">
        <v>0</v>
      </c>
      <c r="L523">
        <v>0</v>
      </c>
      <c r="M523">
        <v>44.1</v>
      </c>
      <c r="N523">
        <v>50.5</v>
      </c>
      <c r="O523">
        <v>49.5</v>
      </c>
      <c r="P523">
        <v>47.5</v>
      </c>
      <c r="Q523">
        <v>52.5</v>
      </c>
    </row>
    <row r="524" spans="1:17" x14ac:dyDescent="0.25">
      <c r="A524" s="2">
        <v>45448</v>
      </c>
      <c r="B524" s="2" t="str">
        <f t="shared" si="16"/>
        <v>Wednesday</v>
      </c>
      <c r="C524" s="2" t="b">
        <f t="shared" si="17"/>
        <v>0</v>
      </c>
      <c r="D524">
        <v>1</v>
      </c>
      <c r="E524" t="s">
        <v>5</v>
      </c>
      <c r="F524">
        <v>265</v>
      </c>
      <c r="G524" s="3">
        <v>5340.92</v>
      </c>
      <c r="H524" s="3">
        <f>Miami_Retail[[#This Row],[sales_usd]] / Miami_Retail[[#This Row],[customers]]</f>
        <v>20.154415094339623</v>
      </c>
      <c r="I524">
        <v>76.5</v>
      </c>
      <c r="J524">
        <f>(Miami_Retail[[#This Row],[avg_temp_f]]-32) * (5/9)</f>
        <v>24.722222222222225</v>
      </c>
      <c r="K524">
        <v>0</v>
      </c>
      <c r="L524">
        <v>0</v>
      </c>
      <c r="M524">
        <v>56.7</v>
      </c>
      <c r="N524">
        <v>49.5</v>
      </c>
      <c r="O524">
        <v>50.5</v>
      </c>
      <c r="P524">
        <v>46.6</v>
      </c>
      <c r="Q524">
        <v>53.4</v>
      </c>
    </row>
    <row r="525" spans="1:17" x14ac:dyDescent="0.25">
      <c r="A525" s="2">
        <v>45449</v>
      </c>
      <c r="B525" s="2" t="str">
        <f t="shared" si="16"/>
        <v>Thursday</v>
      </c>
      <c r="C525" s="2" t="b">
        <f t="shared" si="17"/>
        <v>0</v>
      </c>
      <c r="D525">
        <v>1</v>
      </c>
      <c r="E525" t="s">
        <v>5</v>
      </c>
      <c r="F525">
        <v>283</v>
      </c>
      <c r="G525" s="3">
        <v>5525.88</v>
      </c>
      <c r="H525" s="3">
        <f>Miami_Retail[[#This Row],[sales_usd]] / Miami_Retail[[#This Row],[customers]]</f>
        <v>19.526077738515902</v>
      </c>
      <c r="I525">
        <v>78.8</v>
      </c>
      <c r="J525">
        <f>(Miami_Retail[[#This Row],[avg_temp_f]]-32) * (5/9)</f>
        <v>26</v>
      </c>
      <c r="K525">
        <v>0.28999999999999998</v>
      </c>
      <c r="L525">
        <v>1</v>
      </c>
      <c r="M525">
        <v>52.1</v>
      </c>
      <c r="N525">
        <v>49.3</v>
      </c>
      <c r="O525">
        <v>50.7</v>
      </c>
      <c r="P525">
        <v>48.1</v>
      </c>
      <c r="Q525">
        <v>51.9</v>
      </c>
    </row>
    <row r="526" spans="1:17" x14ac:dyDescent="0.25">
      <c r="A526" s="2">
        <v>45450</v>
      </c>
      <c r="B526" s="2" t="str">
        <f t="shared" si="16"/>
        <v>Friday</v>
      </c>
      <c r="C526" s="2" t="b">
        <f t="shared" si="17"/>
        <v>0</v>
      </c>
      <c r="D526">
        <v>1</v>
      </c>
      <c r="E526" t="s">
        <v>5</v>
      </c>
      <c r="F526">
        <v>277</v>
      </c>
      <c r="G526" s="3">
        <v>4995.17</v>
      </c>
      <c r="H526" s="3">
        <f>Miami_Retail[[#This Row],[sales_usd]] / Miami_Retail[[#This Row],[customers]]</f>
        <v>18.033104693140796</v>
      </c>
      <c r="I526">
        <v>74</v>
      </c>
      <c r="J526">
        <f>(Miami_Retail[[#This Row],[avg_temp_f]]-32) * (5/9)</f>
        <v>23.333333333333336</v>
      </c>
      <c r="K526">
        <v>0</v>
      </c>
      <c r="L526">
        <v>0</v>
      </c>
      <c r="M526">
        <v>52.8</v>
      </c>
      <c r="N526">
        <v>50.3</v>
      </c>
      <c r="O526">
        <v>49.7</v>
      </c>
      <c r="P526">
        <v>48.2</v>
      </c>
      <c r="Q526">
        <v>51.8</v>
      </c>
    </row>
    <row r="527" spans="1:17" x14ac:dyDescent="0.25">
      <c r="A527" s="2">
        <v>45451</v>
      </c>
      <c r="B527" s="2" t="str">
        <f t="shared" si="16"/>
        <v>Saturday</v>
      </c>
      <c r="C527" s="2" t="b">
        <f t="shared" si="17"/>
        <v>1</v>
      </c>
      <c r="D527">
        <v>1</v>
      </c>
      <c r="E527" t="s">
        <v>5</v>
      </c>
      <c r="F527">
        <v>301</v>
      </c>
      <c r="G527" s="3">
        <v>5705.51</v>
      </c>
      <c r="H527" s="3">
        <f>Miami_Retail[[#This Row],[sales_usd]] / Miami_Retail[[#This Row],[customers]]</f>
        <v>18.955182724252492</v>
      </c>
      <c r="I527">
        <v>73.599999999999994</v>
      </c>
      <c r="J527">
        <f>(Miami_Retail[[#This Row],[avg_temp_f]]-32) * (5/9)</f>
        <v>23.111111111111111</v>
      </c>
      <c r="K527">
        <v>0.68</v>
      </c>
      <c r="L527">
        <v>1</v>
      </c>
      <c r="M527">
        <v>52.4</v>
      </c>
      <c r="N527">
        <v>49.3</v>
      </c>
      <c r="O527">
        <v>50.7</v>
      </c>
      <c r="P527">
        <v>53.9</v>
      </c>
      <c r="Q527">
        <v>46.1</v>
      </c>
    </row>
    <row r="528" spans="1:17" x14ac:dyDescent="0.25">
      <c r="A528" s="2">
        <v>45452</v>
      </c>
      <c r="B528" s="2" t="str">
        <f t="shared" si="16"/>
        <v>Sunday</v>
      </c>
      <c r="C528" s="2" t="b">
        <f t="shared" si="17"/>
        <v>1</v>
      </c>
      <c r="D528">
        <v>1</v>
      </c>
      <c r="E528" t="s">
        <v>5</v>
      </c>
      <c r="F528">
        <v>291</v>
      </c>
      <c r="G528" s="3">
        <v>5360.61</v>
      </c>
      <c r="H528" s="3">
        <f>Miami_Retail[[#This Row],[sales_usd]] / Miami_Retail[[#This Row],[customers]]</f>
        <v>18.421340206185565</v>
      </c>
      <c r="I528">
        <v>69.3</v>
      </c>
      <c r="J528">
        <f>(Miami_Retail[[#This Row],[avg_temp_f]]-32) * (5/9)</f>
        <v>20.722222222222221</v>
      </c>
      <c r="K528">
        <v>0.27</v>
      </c>
      <c r="L528">
        <v>1</v>
      </c>
      <c r="M528">
        <v>54.1</v>
      </c>
      <c r="N528">
        <v>53.2</v>
      </c>
      <c r="O528">
        <v>46.8</v>
      </c>
      <c r="P528">
        <v>54.6</v>
      </c>
      <c r="Q528">
        <v>45.4</v>
      </c>
    </row>
    <row r="529" spans="1:17" x14ac:dyDescent="0.25">
      <c r="A529" s="2">
        <v>45453</v>
      </c>
      <c r="B529" s="2" t="str">
        <f t="shared" si="16"/>
        <v>Monday</v>
      </c>
      <c r="C529" s="2" t="b">
        <f t="shared" si="17"/>
        <v>0</v>
      </c>
      <c r="D529">
        <v>1</v>
      </c>
      <c r="E529" t="s">
        <v>5</v>
      </c>
      <c r="F529">
        <v>268</v>
      </c>
      <c r="G529" s="3">
        <v>5228.3599999999997</v>
      </c>
      <c r="H529" s="3">
        <f>Miami_Retail[[#This Row],[sales_usd]] / Miami_Retail[[#This Row],[customers]]</f>
        <v>19.508805970149254</v>
      </c>
      <c r="I529">
        <v>69.599999999999994</v>
      </c>
      <c r="J529">
        <f>(Miami_Retail[[#This Row],[avg_temp_f]]-32) * (5/9)</f>
        <v>20.888888888888886</v>
      </c>
      <c r="K529">
        <v>0</v>
      </c>
      <c r="L529">
        <v>0</v>
      </c>
      <c r="M529">
        <v>58.9</v>
      </c>
      <c r="N529">
        <v>48.3</v>
      </c>
      <c r="O529">
        <v>51.7</v>
      </c>
      <c r="P529">
        <v>46.2</v>
      </c>
      <c r="Q529">
        <v>53.8</v>
      </c>
    </row>
    <row r="530" spans="1:17" x14ac:dyDescent="0.25">
      <c r="A530" s="2">
        <v>45454</v>
      </c>
      <c r="B530" s="2" t="str">
        <f t="shared" si="16"/>
        <v>Tuesday</v>
      </c>
      <c r="C530" s="2" t="b">
        <f t="shared" si="17"/>
        <v>0</v>
      </c>
      <c r="D530">
        <v>1</v>
      </c>
      <c r="E530" t="s">
        <v>5</v>
      </c>
      <c r="F530">
        <v>269</v>
      </c>
      <c r="G530" s="3">
        <v>5195.5600000000004</v>
      </c>
      <c r="H530" s="3">
        <f>Miami_Retail[[#This Row],[sales_usd]] / Miami_Retail[[#This Row],[customers]]</f>
        <v>19.314349442379182</v>
      </c>
      <c r="I530">
        <v>72.8</v>
      </c>
      <c r="J530">
        <f>(Miami_Retail[[#This Row],[avg_temp_f]]-32) * (5/9)</f>
        <v>22.666666666666668</v>
      </c>
      <c r="K530">
        <v>0</v>
      </c>
      <c r="L530">
        <v>0</v>
      </c>
      <c r="M530">
        <v>61.4</v>
      </c>
      <c r="N530">
        <v>52.3</v>
      </c>
      <c r="O530">
        <v>47.7</v>
      </c>
      <c r="P530">
        <v>47.4</v>
      </c>
      <c r="Q530">
        <v>52.6</v>
      </c>
    </row>
    <row r="531" spans="1:17" x14ac:dyDescent="0.25">
      <c r="A531" s="2">
        <v>45455</v>
      </c>
      <c r="B531" s="2" t="str">
        <f t="shared" si="16"/>
        <v>Wednesday</v>
      </c>
      <c r="C531" s="2" t="b">
        <f t="shared" si="17"/>
        <v>0</v>
      </c>
      <c r="D531">
        <v>1</v>
      </c>
      <c r="E531" t="s">
        <v>5</v>
      </c>
      <c r="F531">
        <v>268</v>
      </c>
      <c r="G531" s="3">
        <v>5251.89</v>
      </c>
      <c r="H531" s="3">
        <f>Miami_Retail[[#This Row],[sales_usd]] / Miami_Retail[[#This Row],[customers]]</f>
        <v>19.59660447761194</v>
      </c>
      <c r="I531">
        <v>78</v>
      </c>
      <c r="J531">
        <f>(Miami_Retail[[#This Row],[avg_temp_f]]-32) * (5/9)</f>
        <v>25.555555555555557</v>
      </c>
      <c r="K531">
        <v>0.5</v>
      </c>
      <c r="L531">
        <v>1</v>
      </c>
      <c r="M531">
        <v>45</v>
      </c>
      <c r="N531">
        <v>48.7</v>
      </c>
      <c r="O531">
        <v>51.3</v>
      </c>
      <c r="P531">
        <v>46.9</v>
      </c>
      <c r="Q531">
        <v>53.1</v>
      </c>
    </row>
    <row r="532" spans="1:17" x14ac:dyDescent="0.25">
      <c r="A532" s="2">
        <v>45456</v>
      </c>
      <c r="B532" s="2" t="str">
        <f t="shared" si="16"/>
        <v>Thursday</v>
      </c>
      <c r="C532" s="2" t="b">
        <f t="shared" si="17"/>
        <v>0</v>
      </c>
      <c r="D532">
        <v>1</v>
      </c>
      <c r="E532" t="s">
        <v>5</v>
      </c>
      <c r="F532">
        <v>256</v>
      </c>
      <c r="G532" s="3">
        <v>4844.33</v>
      </c>
      <c r="H532" s="3">
        <f>Miami_Retail[[#This Row],[sales_usd]] / Miami_Retail[[#This Row],[customers]]</f>
        <v>18.9231640625</v>
      </c>
      <c r="I532">
        <v>75.7</v>
      </c>
      <c r="J532">
        <f>(Miami_Retail[[#This Row],[avg_temp_f]]-32) * (5/9)</f>
        <v>24.277777777777782</v>
      </c>
      <c r="K532">
        <v>0</v>
      </c>
      <c r="L532">
        <v>0</v>
      </c>
      <c r="M532">
        <v>49.5</v>
      </c>
      <c r="N532">
        <v>49.6</v>
      </c>
      <c r="O532">
        <v>50.4</v>
      </c>
      <c r="P532">
        <v>48.4</v>
      </c>
      <c r="Q532">
        <v>51.6</v>
      </c>
    </row>
    <row r="533" spans="1:17" x14ac:dyDescent="0.25">
      <c r="A533" s="2">
        <v>45457</v>
      </c>
      <c r="B533" s="2" t="str">
        <f t="shared" si="16"/>
        <v>Friday</v>
      </c>
      <c r="C533" s="2" t="b">
        <f t="shared" si="17"/>
        <v>0</v>
      </c>
      <c r="D533">
        <v>1</v>
      </c>
      <c r="E533" t="s">
        <v>5</v>
      </c>
      <c r="F533">
        <v>268</v>
      </c>
      <c r="G533" s="3">
        <v>4592.53</v>
      </c>
      <c r="H533" s="3">
        <f>Miami_Retail[[#This Row],[sales_usd]] / Miami_Retail[[#This Row],[customers]]</f>
        <v>17.136305970149252</v>
      </c>
      <c r="I533">
        <v>76.8</v>
      </c>
      <c r="J533">
        <f>(Miami_Retail[[#This Row],[avg_temp_f]]-32) * (5/9)</f>
        <v>24.888888888888889</v>
      </c>
      <c r="K533">
        <v>0</v>
      </c>
      <c r="L533">
        <v>0</v>
      </c>
      <c r="M533">
        <v>58.7</v>
      </c>
      <c r="N533">
        <v>50.6</v>
      </c>
      <c r="O533">
        <v>49.4</v>
      </c>
      <c r="P533">
        <v>48.2</v>
      </c>
      <c r="Q533">
        <v>51.8</v>
      </c>
    </row>
    <row r="534" spans="1:17" x14ac:dyDescent="0.25">
      <c r="A534" s="2">
        <v>45458</v>
      </c>
      <c r="B534" s="2" t="str">
        <f t="shared" si="16"/>
        <v>Saturday</v>
      </c>
      <c r="C534" s="2" t="b">
        <f t="shared" si="17"/>
        <v>1</v>
      </c>
      <c r="D534">
        <v>1</v>
      </c>
      <c r="E534" t="s">
        <v>5</v>
      </c>
      <c r="F534">
        <v>318</v>
      </c>
      <c r="G534" s="3">
        <v>6244.82</v>
      </c>
      <c r="H534" s="3">
        <f>Miami_Retail[[#This Row],[sales_usd]] / Miami_Retail[[#This Row],[customers]]</f>
        <v>19.637798742138365</v>
      </c>
      <c r="I534">
        <v>81.400000000000006</v>
      </c>
      <c r="J534">
        <f>(Miami_Retail[[#This Row],[avg_temp_f]]-32) * (5/9)</f>
        <v>27.44444444444445</v>
      </c>
      <c r="K534">
        <v>0</v>
      </c>
      <c r="L534">
        <v>0</v>
      </c>
      <c r="M534">
        <v>58.5</v>
      </c>
      <c r="N534">
        <v>50.7</v>
      </c>
      <c r="O534">
        <v>49.3</v>
      </c>
      <c r="P534">
        <v>55.2</v>
      </c>
      <c r="Q534">
        <v>44.8</v>
      </c>
    </row>
    <row r="535" spans="1:17" x14ac:dyDescent="0.25">
      <c r="A535" s="2">
        <v>45459</v>
      </c>
      <c r="B535" s="2" t="str">
        <f t="shared" si="16"/>
        <v>Sunday</v>
      </c>
      <c r="C535" s="2" t="b">
        <f t="shared" si="17"/>
        <v>1</v>
      </c>
      <c r="D535">
        <v>1</v>
      </c>
      <c r="E535" t="s">
        <v>5</v>
      </c>
      <c r="F535">
        <v>320</v>
      </c>
      <c r="G535" s="3">
        <v>5818.09</v>
      </c>
      <c r="H535" s="3">
        <f>Miami_Retail[[#This Row],[sales_usd]] / Miami_Retail[[#This Row],[customers]]</f>
        <v>18.181531249999999</v>
      </c>
      <c r="I535">
        <v>73.3</v>
      </c>
      <c r="J535">
        <f>(Miami_Retail[[#This Row],[avg_temp_f]]-32) * (5/9)</f>
        <v>22.944444444444443</v>
      </c>
      <c r="K535">
        <v>0</v>
      </c>
      <c r="L535">
        <v>0</v>
      </c>
      <c r="M535">
        <v>63.4</v>
      </c>
      <c r="N535">
        <v>49.5</v>
      </c>
      <c r="O535">
        <v>50.5</v>
      </c>
      <c r="P535">
        <v>53.4</v>
      </c>
      <c r="Q535">
        <v>46.6</v>
      </c>
    </row>
    <row r="536" spans="1:17" x14ac:dyDescent="0.25">
      <c r="A536" s="2">
        <v>45460</v>
      </c>
      <c r="B536" s="2" t="str">
        <f t="shared" si="16"/>
        <v>Monday</v>
      </c>
      <c r="C536" s="2" t="b">
        <f t="shared" si="17"/>
        <v>0</v>
      </c>
      <c r="D536">
        <v>1</v>
      </c>
      <c r="E536" t="s">
        <v>5</v>
      </c>
      <c r="F536">
        <v>287</v>
      </c>
      <c r="G536" s="3">
        <v>5733.53</v>
      </c>
      <c r="H536" s="3">
        <f>Miami_Retail[[#This Row],[sales_usd]] / Miami_Retail[[#This Row],[customers]]</f>
        <v>19.977456445993031</v>
      </c>
      <c r="I536">
        <v>78.3</v>
      </c>
      <c r="J536">
        <f>(Miami_Retail[[#This Row],[avg_temp_f]]-32) * (5/9)</f>
        <v>25.722222222222221</v>
      </c>
      <c r="K536">
        <v>0</v>
      </c>
      <c r="L536">
        <v>0</v>
      </c>
      <c r="M536">
        <v>45.9</v>
      </c>
      <c r="N536">
        <v>50.4</v>
      </c>
      <c r="O536">
        <v>49.6</v>
      </c>
      <c r="P536">
        <v>46.7</v>
      </c>
      <c r="Q536">
        <v>53.3</v>
      </c>
    </row>
    <row r="537" spans="1:17" x14ac:dyDescent="0.25">
      <c r="A537" s="2">
        <v>45461</v>
      </c>
      <c r="B537" s="2" t="str">
        <f t="shared" si="16"/>
        <v>Tuesday</v>
      </c>
      <c r="C537" s="2" t="b">
        <f t="shared" si="17"/>
        <v>0</v>
      </c>
      <c r="D537">
        <v>1</v>
      </c>
      <c r="E537" t="s">
        <v>5</v>
      </c>
      <c r="F537">
        <v>310</v>
      </c>
      <c r="G537" s="3">
        <v>5748.62</v>
      </c>
      <c r="H537" s="3">
        <f>Miami_Retail[[#This Row],[sales_usd]] / Miami_Retail[[#This Row],[customers]]</f>
        <v>18.543935483870968</v>
      </c>
      <c r="I537">
        <v>73.099999999999994</v>
      </c>
      <c r="J537">
        <f>(Miami_Retail[[#This Row],[avg_temp_f]]-32) * (5/9)</f>
        <v>22.833333333333332</v>
      </c>
      <c r="K537">
        <v>0</v>
      </c>
      <c r="L537">
        <v>0</v>
      </c>
      <c r="M537">
        <v>62.9</v>
      </c>
      <c r="N537">
        <v>49.1</v>
      </c>
      <c r="O537">
        <v>50.9</v>
      </c>
      <c r="P537">
        <v>46.6</v>
      </c>
      <c r="Q537">
        <v>53.4</v>
      </c>
    </row>
    <row r="538" spans="1:17" x14ac:dyDescent="0.25">
      <c r="A538" s="2">
        <v>45462</v>
      </c>
      <c r="B538" s="2" t="str">
        <f t="shared" si="16"/>
        <v>Wednesday</v>
      </c>
      <c r="C538" s="2" t="b">
        <f t="shared" si="17"/>
        <v>0</v>
      </c>
      <c r="D538">
        <v>1</v>
      </c>
      <c r="E538" t="s">
        <v>5</v>
      </c>
      <c r="F538">
        <v>282</v>
      </c>
      <c r="G538" s="3">
        <v>5326.67</v>
      </c>
      <c r="H538" s="3">
        <f>Miami_Retail[[#This Row],[sales_usd]] / Miami_Retail[[#This Row],[customers]]</f>
        <v>18.888900709219858</v>
      </c>
      <c r="I538">
        <v>81.3</v>
      </c>
      <c r="J538">
        <f>(Miami_Retail[[#This Row],[avg_temp_f]]-32) * (5/9)</f>
        <v>27.388888888888889</v>
      </c>
      <c r="K538">
        <v>1.21</v>
      </c>
      <c r="L538">
        <v>1</v>
      </c>
      <c r="M538">
        <v>56.5</v>
      </c>
      <c r="N538">
        <v>47.5</v>
      </c>
      <c r="O538">
        <v>52.5</v>
      </c>
      <c r="P538">
        <v>47</v>
      </c>
      <c r="Q538">
        <v>53</v>
      </c>
    </row>
    <row r="539" spans="1:17" x14ac:dyDescent="0.25">
      <c r="A539" s="2">
        <v>45463</v>
      </c>
      <c r="B539" s="2" t="str">
        <f t="shared" si="16"/>
        <v>Thursday</v>
      </c>
      <c r="C539" s="2" t="b">
        <f t="shared" si="17"/>
        <v>0</v>
      </c>
      <c r="D539">
        <v>1</v>
      </c>
      <c r="E539" t="s">
        <v>5</v>
      </c>
      <c r="F539">
        <v>268</v>
      </c>
      <c r="G539" s="3">
        <v>5171.75</v>
      </c>
      <c r="H539" s="3">
        <f>Miami_Retail[[#This Row],[sales_usd]] / Miami_Retail[[#This Row],[customers]]</f>
        <v>19.297574626865671</v>
      </c>
      <c r="I539">
        <v>73.900000000000006</v>
      </c>
      <c r="J539">
        <f>(Miami_Retail[[#This Row],[avg_temp_f]]-32) * (5/9)</f>
        <v>23.277777777777782</v>
      </c>
      <c r="K539">
        <v>1.39</v>
      </c>
      <c r="L539">
        <v>1</v>
      </c>
      <c r="M539">
        <v>63.3</v>
      </c>
      <c r="N539">
        <v>49.9</v>
      </c>
      <c r="O539">
        <v>50.1</v>
      </c>
      <c r="P539">
        <v>48</v>
      </c>
      <c r="Q539">
        <v>52</v>
      </c>
    </row>
    <row r="540" spans="1:17" x14ac:dyDescent="0.25">
      <c r="A540" s="2">
        <v>45464</v>
      </c>
      <c r="B540" s="2" t="str">
        <f t="shared" si="16"/>
        <v>Friday</v>
      </c>
      <c r="C540" s="2" t="b">
        <f t="shared" si="17"/>
        <v>0</v>
      </c>
      <c r="D540">
        <v>1</v>
      </c>
      <c r="E540" t="s">
        <v>5</v>
      </c>
      <c r="F540">
        <v>275</v>
      </c>
      <c r="G540" s="3">
        <v>4985.4799999999996</v>
      </c>
      <c r="H540" s="3">
        <f>Miami_Retail[[#This Row],[sales_usd]] / Miami_Retail[[#This Row],[customers]]</f>
        <v>18.129018181818179</v>
      </c>
      <c r="I540">
        <v>76.900000000000006</v>
      </c>
      <c r="J540">
        <f>(Miami_Retail[[#This Row],[avg_temp_f]]-32) * (5/9)</f>
        <v>24.94444444444445</v>
      </c>
      <c r="K540">
        <v>0</v>
      </c>
      <c r="L540">
        <v>0</v>
      </c>
      <c r="M540">
        <v>62.4</v>
      </c>
      <c r="N540">
        <v>51.1</v>
      </c>
      <c r="O540">
        <v>48.9</v>
      </c>
      <c r="P540">
        <v>48.6</v>
      </c>
      <c r="Q540">
        <v>51.4</v>
      </c>
    </row>
    <row r="541" spans="1:17" x14ac:dyDescent="0.25">
      <c r="A541" s="2">
        <v>45465</v>
      </c>
      <c r="B541" s="2" t="str">
        <f t="shared" si="16"/>
        <v>Saturday</v>
      </c>
      <c r="C541" s="2" t="b">
        <f t="shared" si="17"/>
        <v>1</v>
      </c>
      <c r="D541">
        <v>1</v>
      </c>
      <c r="E541" t="s">
        <v>5</v>
      </c>
      <c r="F541">
        <v>344</v>
      </c>
      <c r="G541" s="3">
        <v>6075.61</v>
      </c>
      <c r="H541" s="3">
        <f>Miami_Retail[[#This Row],[sales_usd]] / Miami_Retail[[#This Row],[customers]]</f>
        <v>17.661656976744187</v>
      </c>
      <c r="I541">
        <v>76.400000000000006</v>
      </c>
      <c r="J541">
        <f>(Miami_Retail[[#This Row],[avg_temp_f]]-32) * (5/9)</f>
        <v>24.666666666666671</v>
      </c>
      <c r="K541">
        <v>0</v>
      </c>
      <c r="L541">
        <v>0</v>
      </c>
      <c r="M541">
        <v>48</v>
      </c>
      <c r="N541">
        <v>50.2</v>
      </c>
      <c r="O541">
        <v>49.8</v>
      </c>
      <c r="P541">
        <v>54.3</v>
      </c>
      <c r="Q541">
        <v>45.7</v>
      </c>
    </row>
    <row r="542" spans="1:17" x14ac:dyDescent="0.25">
      <c r="A542" s="2">
        <v>45466</v>
      </c>
      <c r="B542" s="2" t="str">
        <f t="shared" si="16"/>
        <v>Sunday</v>
      </c>
      <c r="C542" s="2" t="b">
        <f t="shared" si="17"/>
        <v>1</v>
      </c>
      <c r="D542">
        <v>1</v>
      </c>
      <c r="E542" t="s">
        <v>5</v>
      </c>
      <c r="F542">
        <v>313</v>
      </c>
      <c r="G542" s="3">
        <v>5917.31</v>
      </c>
      <c r="H542" s="3">
        <f>Miami_Retail[[#This Row],[sales_usd]] / Miami_Retail[[#This Row],[customers]]</f>
        <v>18.905143769968053</v>
      </c>
      <c r="I542">
        <v>77.900000000000006</v>
      </c>
      <c r="J542">
        <f>(Miami_Retail[[#This Row],[avg_temp_f]]-32) * (5/9)</f>
        <v>25.500000000000004</v>
      </c>
      <c r="K542">
        <v>0</v>
      </c>
      <c r="L542">
        <v>0</v>
      </c>
      <c r="M542">
        <v>51.2</v>
      </c>
      <c r="N542">
        <v>50.5</v>
      </c>
      <c r="O542">
        <v>49.5</v>
      </c>
      <c r="P542">
        <v>51.9</v>
      </c>
      <c r="Q542">
        <v>48.1</v>
      </c>
    </row>
    <row r="543" spans="1:17" x14ac:dyDescent="0.25">
      <c r="A543" s="2">
        <v>45467</v>
      </c>
      <c r="B543" s="2" t="str">
        <f t="shared" si="16"/>
        <v>Monday</v>
      </c>
      <c r="C543" s="2" t="b">
        <f t="shared" si="17"/>
        <v>0</v>
      </c>
      <c r="D543">
        <v>1</v>
      </c>
      <c r="E543" t="s">
        <v>5</v>
      </c>
      <c r="F543">
        <v>303</v>
      </c>
      <c r="G543" s="3">
        <v>5513.55</v>
      </c>
      <c r="H543" s="3">
        <f>Miami_Retail[[#This Row],[sales_usd]] / Miami_Retail[[#This Row],[customers]]</f>
        <v>18.196534653465346</v>
      </c>
      <c r="I543">
        <v>81.599999999999994</v>
      </c>
      <c r="J543">
        <f>(Miami_Retail[[#This Row],[avg_temp_f]]-32) * (5/9)</f>
        <v>27.555555555555554</v>
      </c>
      <c r="K543">
        <v>0.54</v>
      </c>
      <c r="L543">
        <v>1</v>
      </c>
      <c r="M543">
        <v>67</v>
      </c>
      <c r="N543">
        <v>48.6</v>
      </c>
      <c r="O543">
        <v>51.4</v>
      </c>
      <c r="P543">
        <v>48.4</v>
      </c>
      <c r="Q543">
        <v>51.6</v>
      </c>
    </row>
    <row r="544" spans="1:17" x14ac:dyDescent="0.25">
      <c r="A544" s="2">
        <v>45468</v>
      </c>
      <c r="B544" s="2" t="str">
        <f t="shared" si="16"/>
        <v>Tuesday</v>
      </c>
      <c r="C544" s="2" t="b">
        <f t="shared" si="17"/>
        <v>0</v>
      </c>
      <c r="D544">
        <v>1</v>
      </c>
      <c r="E544" t="s">
        <v>5</v>
      </c>
      <c r="F544">
        <v>254</v>
      </c>
      <c r="G544" s="3">
        <v>5108.9799999999996</v>
      </c>
      <c r="H544" s="3">
        <f>Miami_Retail[[#This Row],[sales_usd]] / Miami_Retail[[#This Row],[customers]]</f>
        <v>20.114094488188975</v>
      </c>
      <c r="I544">
        <v>77.8</v>
      </c>
      <c r="J544">
        <f>(Miami_Retail[[#This Row],[avg_temp_f]]-32) * (5/9)</f>
        <v>25.444444444444443</v>
      </c>
      <c r="K544">
        <v>0</v>
      </c>
      <c r="L544">
        <v>0</v>
      </c>
      <c r="M544">
        <v>59.2</v>
      </c>
      <c r="N544">
        <v>49.2</v>
      </c>
      <c r="O544">
        <v>50.8</v>
      </c>
      <c r="P544">
        <v>46.6</v>
      </c>
      <c r="Q544">
        <v>53.4</v>
      </c>
    </row>
    <row r="545" spans="1:17" x14ac:dyDescent="0.25">
      <c r="A545" s="2">
        <v>45469</v>
      </c>
      <c r="B545" s="2" t="str">
        <f t="shared" si="16"/>
        <v>Wednesday</v>
      </c>
      <c r="C545" s="2" t="b">
        <f t="shared" si="17"/>
        <v>0</v>
      </c>
      <c r="D545">
        <v>1</v>
      </c>
      <c r="E545" t="s">
        <v>5</v>
      </c>
      <c r="F545">
        <v>262</v>
      </c>
      <c r="G545" s="3">
        <v>4681.5200000000004</v>
      </c>
      <c r="H545" s="3">
        <f>Miami_Retail[[#This Row],[sales_usd]] / Miami_Retail[[#This Row],[customers]]</f>
        <v>17.868396946564886</v>
      </c>
      <c r="I545">
        <v>76.900000000000006</v>
      </c>
      <c r="J545">
        <f>(Miami_Retail[[#This Row],[avg_temp_f]]-32) * (5/9)</f>
        <v>24.94444444444445</v>
      </c>
      <c r="K545">
        <v>0.28000000000000003</v>
      </c>
      <c r="L545">
        <v>1</v>
      </c>
      <c r="M545">
        <v>56.9</v>
      </c>
      <c r="N545">
        <v>49.6</v>
      </c>
      <c r="O545">
        <v>50.4</v>
      </c>
      <c r="P545">
        <v>46.5</v>
      </c>
      <c r="Q545">
        <v>53.5</v>
      </c>
    </row>
    <row r="546" spans="1:17" x14ac:dyDescent="0.25">
      <c r="A546" s="2">
        <v>45470</v>
      </c>
      <c r="B546" s="2" t="str">
        <f t="shared" si="16"/>
        <v>Thursday</v>
      </c>
      <c r="C546" s="2" t="b">
        <f t="shared" si="17"/>
        <v>0</v>
      </c>
      <c r="D546">
        <v>1</v>
      </c>
      <c r="E546" t="s">
        <v>5</v>
      </c>
      <c r="F546">
        <v>282</v>
      </c>
      <c r="G546" s="3">
        <v>5461.64</v>
      </c>
      <c r="H546" s="3">
        <f>Miami_Retail[[#This Row],[sales_usd]] / Miami_Retail[[#This Row],[customers]]</f>
        <v>19.367517730496456</v>
      </c>
      <c r="I546">
        <v>77.5</v>
      </c>
      <c r="J546">
        <f>(Miami_Retail[[#This Row],[avg_temp_f]]-32) * (5/9)</f>
        <v>25.277777777777779</v>
      </c>
      <c r="K546">
        <v>0.72</v>
      </c>
      <c r="L546">
        <v>1</v>
      </c>
      <c r="M546">
        <v>59.8</v>
      </c>
      <c r="N546">
        <v>49</v>
      </c>
      <c r="O546">
        <v>51</v>
      </c>
      <c r="P546">
        <v>45.1</v>
      </c>
      <c r="Q546">
        <v>54.9</v>
      </c>
    </row>
    <row r="547" spans="1:17" x14ac:dyDescent="0.25">
      <c r="A547" s="2">
        <v>45471</v>
      </c>
      <c r="B547" s="2" t="str">
        <f t="shared" si="16"/>
        <v>Friday</v>
      </c>
      <c r="C547" s="2" t="b">
        <f t="shared" si="17"/>
        <v>0</v>
      </c>
      <c r="D547">
        <v>1</v>
      </c>
      <c r="E547" t="s">
        <v>5</v>
      </c>
      <c r="F547">
        <v>326</v>
      </c>
      <c r="G547" s="3">
        <v>6397.23</v>
      </c>
      <c r="H547" s="3">
        <f>Miami_Retail[[#This Row],[sales_usd]] / Miami_Retail[[#This Row],[customers]]</f>
        <v>19.623404907975459</v>
      </c>
      <c r="I547">
        <v>83.3</v>
      </c>
      <c r="J547">
        <f>(Miami_Retail[[#This Row],[avg_temp_f]]-32) * (5/9)</f>
        <v>28.5</v>
      </c>
      <c r="K547">
        <v>0</v>
      </c>
      <c r="L547">
        <v>0</v>
      </c>
      <c r="M547">
        <v>57</v>
      </c>
      <c r="N547">
        <v>49.3</v>
      </c>
      <c r="O547">
        <v>50.7</v>
      </c>
      <c r="P547">
        <v>47.7</v>
      </c>
      <c r="Q547">
        <v>52.3</v>
      </c>
    </row>
    <row r="548" spans="1:17" x14ac:dyDescent="0.25">
      <c r="A548" s="2">
        <v>45472</v>
      </c>
      <c r="B548" s="2" t="str">
        <f t="shared" si="16"/>
        <v>Saturday</v>
      </c>
      <c r="C548" s="2" t="b">
        <f t="shared" si="17"/>
        <v>1</v>
      </c>
      <c r="D548">
        <v>1</v>
      </c>
      <c r="E548" t="s">
        <v>5</v>
      </c>
      <c r="F548">
        <v>340</v>
      </c>
      <c r="G548" s="3">
        <v>6599.95</v>
      </c>
      <c r="H548" s="3">
        <f>Miami_Retail[[#This Row],[sales_usd]] / Miami_Retail[[#This Row],[customers]]</f>
        <v>19.411617647058822</v>
      </c>
      <c r="I548">
        <v>79.2</v>
      </c>
      <c r="J548">
        <f>(Miami_Retail[[#This Row],[avg_temp_f]]-32) * (5/9)</f>
        <v>26.222222222222225</v>
      </c>
      <c r="K548">
        <v>1.75</v>
      </c>
      <c r="L548">
        <v>1</v>
      </c>
      <c r="M548">
        <v>58.9</v>
      </c>
      <c r="N548">
        <v>47.6</v>
      </c>
      <c r="O548">
        <v>52.4</v>
      </c>
      <c r="P548">
        <v>52.9</v>
      </c>
      <c r="Q548">
        <v>47.1</v>
      </c>
    </row>
    <row r="549" spans="1:17" x14ac:dyDescent="0.25">
      <c r="A549" s="2">
        <v>45473</v>
      </c>
      <c r="B549" s="2" t="str">
        <f t="shared" si="16"/>
        <v>Sunday</v>
      </c>
      <c r="C549" s="2" t="b">
        <f t="shared" si="17"/>
        <v>1</v>
      </c>
      <c r="D549">
        <v>1</v>
      </c>
      <c r="E549" t="s">
        <v>5</v>
      </c>
      <c r="F549">
        <v>318</v>
      </c>
      <c r="G549" s="3">
        <v>6301.95</v>
      </c>
      <c r="H549" s="3">
        <f>Miami_Retail[[#This Row],[sales_usd]] / Miami_Retail[[#This Row],[customers]]</f>
        <v>19.817452830188678</v>
      </c>
      <c r="I549">
        <v>80.400000000000006</v>
      </c>
      <c r="J549">
        <f>(Miami_Retail[[#This Row],[avg_temp_f]]-32) * (5/9)</f>
        <v>26.888888888888893</v>
      </c>
      <c r="K549">
        <v>0</v>
      </c>
      <c r="L549">
        <v>0</v>
      </c>
      <c r="M549">
        <v>56.5</v>
      </c>
      <c r="N549">
        <v>49.1</v>
      </c>
      <c r="O549">
        <v>50.9</v>
      </c>
      <c r="P549">
        <v>53</v>
      </c>
      <c r="Q549">
        <v>47</v>
      </c>
    </row>
    <row r="550" spans="1:17" x14ac:dyDescent="0.25">
      <c r="A550" s="2">
        <v>45474</v>
      </c>
      <c r="B550" s="2" t="str">
        <f t="shared" si="16"/>
        <v>Monday</v>
      </c>
      <c r="C550" s="2" t="b">
        <f t="shared" si="17"/>
        <v>0</v>
      </c>
      <c r="D550">
        <v>1</v>
      </c>
      <c r="E550" t="s">
        <v>5</v>
      </c>
      <c r="F550">
        <v>303</v>
      </c>
      <c r="G550" s="3">
        <v>6201.96</v>
      </c>
      <c r="H550" s="3">
        <f>Miami_Retail[[#This Row],[sales_usd]] / Miami_Retail[[#This Row],[customers]]</f>
        <v>20.46851485148515</v>
      </c>
      <c r="I550">
        <v>81.900000000000006</v>
      </c>
      <c r="J550">
        <f>(Miami_Retail[[#This Row],[avg_temp_f]]-32) * (5/9)</f>
        <v>27.722222222222225</v>
      </c>
      <c r="K550">
        <v>0</v>
      </c>
      <c r="L550">
        <v>0</v>
      </c>
      <c r="M550">
        <v>57.6</v>
      </c>
      <c r="N550">
        <v>50.1</v>
      </c>
      <c r="O550">
        <v>49.9</v>
      </c>
      <c r="P550">
        <v>46.8</v>
      </c>
      <c r="Q550">
        <v>53.2</v>
      </c>
    </row>
    <row r="551" spans="1:17" x14ac:dyDescent="0.25">
      <c r="A551" s="2">
        <v>45475</v>
      </c>
      <c r="B551" s="2" t="str">
        <f t="shared" si="16"/>
        <v>Tuesday</v>
      </c>
      <c r="C551" s="2" t="b">
        <f t="shared" si="17"/>
        <v>0</v>
      </c>
      <c r="D551">
        <v>1</v>
      </c>
      <c r="E551" t="s">
        <v>5</v>
      </c>
      <c r="F551">
        <v>320</v>
      </c>
      <c r="G551" s="3">
        <v>6285.52</v>
      </c>
      <c r="H551" s="3">
        <f>Miami_Retail[[#This Row],[sales_usd]] / Miami_Retail[[#This Row],[customers]]</f>
        <v>19.642250000000001</v>
      </c>
      <c r="I551">
        <v>83.8</v>
      </c>
      <c r="J551">
        <f>(Miami_Retail[[#This Row],[avg_temp_f]]-32) * (5/9)</f>
        <v>28.777777777777779</v>
      </c>
      <c r="K551">
        <v>0</v>
      </c>
      <c r="L551">
        <v>0</v>
      </c>
      <c r="M551">
        <v>69.400000000000006</v>
      </c>
      <c r="N551">
        <v>50</v>
      </c>
      <c r="O551">
        <v>50</v>
      </c>
      <c r="P551">
        <v>47.3</v>
      </c>
      <c r="Q551">
        <v>52.7</v>
      </c>
    </row>
    <row r="552" spans="1:17" x14ac:dyDescent="0.25">
      <c r="A552" s="2">
        <v>45476</v>
      </c>
      <c r="B552" s="2" t="str">
        <f t="shared" si="16"/>
        <v>Wednesday</v>
      </c>
      <c r="C552" s="2" t="b">
        <f t="shared" si="17"/>
        <v>0</v>
      </c>
      <c r="D552">
        <v>1</v>
      </c>
      <c r="E552" t="s">
        <v>5</v>
      </c>
      <c r="F552">
        <v>313</v>
      </c>
      <c r="G552" s="3">
        <v>6099.25</v>
      </c>
      <c r="H552" s="3">
        <f>Miami_Retail[[#This Row],[sales_usd]] / Miami_Retail[[#This Row],[customers]]</f>
        <v>19.486421725239616</v>
      </c>
      <c r="I552">
        <v>85.3</v>
      </c>
      <c r="J552">
        <f>(Miami_Retail[[#This Row],[avg_temp_f]]-32) * (5/9)</f>
        <v>29.611111111111111</v>
      </c>
      <c r="K552">
        <v>0.26</v>
      </c>
      <c r="L552">
        <v>1</v>
      </c>
      <c r="M552">
        <v>62.1</v>
      </c>
      <c r="N552">
        <v>50.3</v>
      </c>
      <c r="O552">
        <v>49.7</v>
      </c>
      <c r="P552">
        <v>48.3</v>
      </c>
      <c r="Q552">
        <v>51.7</v>
      </c>
    </row>
    <row r="553" spans="1:17" x14ac:dyDescent="0.25">
      <c r="A553" s="2">
        <v>45477</v>
      </c>
      <c r="B553" s="2" t="str">
        <f t="shared" si="16"/>
        <v>Thursday</v>
      </c>
      <c r="C553" s="2" t="b">
        <f t="shared" si="17"/>
        <v>0</v>
      </c>
      <c r="D553">
        <v>1</v>
      </c>
      <c r="E553" t="s">
        <v>5</v>
      </c>
      <c r="F553">
        <v>303</v>
      </c>
      <c r="G553" s="3">
        <v>5417.02</v>
      </c>
      <c r="H553" s="3">
        <f>Miami_Retail[[#This Row],[sales_usd]] / Miami_Retail[[#This Row],[customers]]</f>
        <v>17.87795379537954</v>
      </c>
      <c r="I553">
        <v>78.5</v>
      </c>
      <c r="J553">
        <f>(Miami_Retail[[#This Row],[avg_temp_f]]-32) * (5/9)</f>
        <v>25.833333333333336</v>
      </c>
      <c r="K553">
        <v>0</v>
      </c>
      <c r="L553">
        <v>0</v>
      </c>
      <c r="M553">
        <v>57.6</v>
      </c>
      <c r="N553">
        <v>48.6</v>
      </c>
      <c r="O553">
        <v>51.4</v>
      </c>
      <c r="P553">
        <v>47.8</v>
      </c>
      <c r="Q553">
        <v>52.2</v>
      </c>
    </row>
    <row r="554" spans="1:17" x14ac:dyDescent="0.25">
      <c r="A554" s="2">
        <v>45478</v>
      </c>
      <c r="B554" s="2" t="str">
        <f t="shared" si="16"/>
        <v>Friday</v>
      </c>
      <c r="C554" s="2" t="b">
        <f t="shared" si="17"/>
        <v>0</v>
      </c>
      <c r="D554">
        <v>1</v>
      </c>
      <c r="E554" t="s">
        <v>5</v>
      </c>
      <c r="F554">
        <v>279</v>
      </c>
      <c r="G554" s="3">
        <v>5305.52</v>
      </c>
      <c r="H554" s="3">
        <f>Miami_Retail[[#This Row],[sales_usd]] / Miami_Retail[[#This Row],[customers]]</f>
        <v>19.01620071684588</v>
      </c>
      <c r="I554">
        <v>77</v>
      </c>
      <c r="J554">
        <f>(Miami_Retail[[#This Row],[avg_temp_f]]-32) * (5/9)</f>
        <v>25</v>
      </c>
      <c r="K554">
        <v>0</v>
      </c>
      <c r="L554">
        <v>0</v>
      </c>
      <c r="M554">
        <v>65</v>
      </c>
      <c r="N554">
        <v>47.6</v>
      </c>
      <c r="O554">
        <v>52.4</v>
      </c>
      <c r="P554">
        <v>47.7</v>
      </c>
      <c r="Q554">
        <v>52.3</v>
      </c>
    </row>
    <row r="555" spans="1:17" x14ac:dyDescent="0.25">
      <c r="A555" s="2">
        <v>45479</v>
      </c>
      <c r="B555" s="2" t="str">
        <f t="shared" si="16"/>
        <v>Saturday</v>
      </c>
      <c r="C555" s="2" t="b">
        <f t="shared" si="17"/>
        <v>1</v>
      </c>
      <c r="D555">
        <v>1</v>
      </c>
      <c r="E555" t="s">
        <v>5</v>
      </c>
      <c r="F555">
        <v>349</v>
      </c>
      <c r="G555" s="3">
        <v>6673.21</v>
      </c>
      <c r="H555" s="3">
        <f>Miami_Retail[[#This Row],[sales_usd]] / Miami_Retail[[#This Row],[customers]]</f>
        <v>19.120945558739255</v>
      </c>
      <c r="I555">
        <v>82.1</v>
      </c>
      <c r="J555">
        <f>(Miami_Retail[[#This Row],[avg_temp_f]]-32) * (5/9)</f>
        <v>27.833333333333332</v>
      </c>
      <c r="K555">
        <v>0</v>
      </c>
      <c r="L555">
        <v>0</v>
      </c>
      <c r="M555">
        <v>57.2</v>
      </c>
      <c r="N555">
        <v>50.3</v>
      </c>
      <c r="O555">
        <v>49.7</v>
      </c>
      <c r="P555">
        <v>53.6</v>
      </c>
      <c r="Q555">
        <v>46.4</v>
      </c>
    </row>
    <row r="556" spans="1:17" x14ac:dyDescent="0.25">
      <c r="A556" s="2">
        <v>45480</v>
      </c>
      <c r="B556" s="2" t="str">
        <f t="shared" si="16"/>
        <v>Sunday</v>
      </c>
      <c r="C556" s="2" t="b">
        <f t="shared" si="17"/>
        <v>1</v>
      </c>
      <c r="D556">
        <v>1</v>
      </c>
      <c r="E556" t="s">
        <v>5</v>
      </c>
      <c r="F556">
        <v>361</v>
      </c>
      <c r="G556" s="3">
        <v>6399.43</v>
      </c>
      <c r="H556" s="3">
        <f>Miami_Retail[[#This Row],[sales_usd]] / Miami_Retail[[#This Row],[customers]]</f>
        <v>17.726952908587258</v>
      </c>
      <c r="I556">
        <v>82.3</v>
      </c>
      <c r="J556">
        <f>(Miami_Retail[[#This Row],[avg_temp_f]]-32) * (5/9)</f>
        <v>27.944444444444443</v>
      </c>
      <c r="K556">
        <v>0</v>
      </c>
      <c r="L556">
        <v>0</v>
      </c>
      <c r="M556">
        <v>61.4</v>
      </c>
      <c r="N556">
        <v>49.9</v>
      </c>
      <c r="O556">
        <v>50.1</v>
      </c>
      <c r="P556">
        <v>52.8</v>
      </c>
      <c r="Q556">
        <v>47.2</v>
      </c>
    </row>
    <row r="557" spans="1:17" x14ac:dyDescent="0.25">
      <c r="A557" s="2">
        <v>45481</v>
      </c>
      <c r="B557" s="2" t="str">
        <f t="shared" si="16"/>
        <v>Monday</v>
      </c>
      <c r="C557" s="2" t="b">
        <f t="shared" si="17"/>
        <v>0</v>
      </c>
      <c r="D557">
        <v>1</v>
      </c>
      <c r="E557" t="s">
        <v>5</v>
      </c>
      <c r="F557">
        <v>313</v>
      </c>
      <c r="G557" s="3">
        <v>5741.33</v>
      </c>
      <c r="H557" s="3">
        <f>Miami_Retail[[#This Row],[sales_usd]] / Miami_Retail[[#This Row],[customers]]</f>
        <v>18.342907348242811</v>
      </c>
      <c r="I557">
        <v>86.2</v>
      </c>
      <c r="J557">
        <f>(Miami_Retail[[#This Row],[avg_temp_f]]-32) * (5/9)</f>
        <v>30.111111111111114</v>
      </c>
      <c r="K557">
        <v>1.61</v>
      </c>
      <c r="L557">
        <v>1</v>
      </c>
      <c r="M557">
        <v>72.3</v>
      </c>
      <c r="N557">
        <v>50</v>
      </c>
      <c r="O557">
        <v>50</v>
      </c>
      <c r="P557">
        <v>46.8</v>
      </c>
      <c r="Q557">
        <v>53.2</v>
      </c>
    </row>
    <row r="558" spans="1:17" x14ac:dyDescent="0.25">
      <c r="A558" s="2">
        <v>45482</v>
      </c>
      <c r="B558" s="2" t="str">
        <f t="shared" si="16"/>
        <v>Tuesday</v>
      </c>
      <c r="C558" s="2" t="b">
        <f t="shared" si="17"/>
        <v>0</v>
      </c>
      <c r="D558">
        <v>1</v>
      </c>
      <c r="E558" t="s">
        <v>5</v>
      </c>
      <c r="F558">
        <v>305</v>
      </c>
      <c r="G558" s="3">
        <v>5571.21</v>
      </c>
      <c r="H558" s="3">
        <f>Miami_Retail[[#This Row],[sales_usd]] / Miami_Retail[[#This Row],[customers]]</f>
        <v>18.266262295081969</v>
      </c>
      <c r="I558">
        <v>81.3</v>
      </c>
      <c r="J558">
        <f>(Miami_Retail[[#This Row],[avg_temp_f]]-32) * (5/9)</f>
        <v>27.388888888888889</v>
      </c>
      <c r="K558">
        <v>0</v>
      </c>
      <c r="L558">
        <v>0</v>
      </c>
      <c r="M558">
        <v>59</v>
      </c>
      <c r="N558">
        <v>48.5</v>
      </c>
      <c r="O558">
        <v>51.5</v>
      </c>
      <c r="P558">
        <v>46.3</v>
      </c>
      <c r="Q558">
        <v>53.7</v>
      </c>
    </row>
    <row r="559" spans="1:17" x14ac:dyDescent="0.25">
      <c r="A559" s="2">
        <v>45483</v>
      </c>
      <c r="B559" s="2" t="str">
        <f t="shared" si="16"/>
        <v>Wednesday</v>
      </c>
      <c r="C559" s="2" t="b">
        <f t="shared" si="17"/>
        <v>0</v>
      </c>
      <c r="D559">
        <v>1</v>
      </c>
      <c r="E559" t="s">
        <v>5</v>
      </c>
      <c r="F559">
        <v>288</v>
      </c>
      <c r="G559" s="3">
        <v>5281.32</v>
      </c>
      <c r="H559" s="3">
        <f>Miami_Retail[[#This Row],[sales_usd]] / Miami_Retail[[#This Row],[customers]]</f>
        <v>18.337916666666665</v>
      </c>
      <c r="I559">
        <v>79.099999999999994</v>
      </c>
      <c r="J559">
        <f>(Miami_Retail[[#This Row],[avg_temp_f]]-32) * (5/9)</f>
        <v>26.166666666666664</v>
      </c>
      <c r="K559">
        <v>0.73</v>
      </c>
      <c r="L559">
        <v>1</v>
      </c>
      <c r="M559">
        <v>59.8</v>
      </c>
      <c r="N559">
        <v>49.4</v>
      </c>
      <c r="O559">
        <v>50.6</v>
      </c>
      <c r="P559">
        <v>46.4</v>
      </c>
      <c r="Q559">
        <v>53.6</v>
      </c>
    </row>
    <row r="560" spans="1:17" x14ac:dyDescent="0.25">
      <c r="A560" s="2">
        <v>45484</v>
      </c>
      <c r="B560" s="2" t="str">
        <f t="shared" si="16"/>
        <v>Thursday</v>
      </c>
      <c r="C560" s="2" t="b">
        <f t="shared" si="17"/>
        <v>0</v>
      </c>
      <c r="D560">
        <v>1</v>
      </c>
      <c r="E560" t="s">
        <v>5</v>
      </c>
      <c r="F560">
        <v>275</v>
      </c>
      <c r="G560" s="3">
        <v>5308.75</v>
      </c>
      <c r="H560" s="3">
        <f>Miami_Retail[[#This Row],[sales_usd]] / Miami_Retail[[#This Row],[customers]]</f>
        <v>19.304545454545455</v>
      </c>
      <c r="I560">
        <v>82</v>
      </c>
      <c r="J560">
        <f>(Miami_Retail[[#This Row],[avg_temp_f]]-32) * (5/9)</f>
        <v>27.777777777777779</v>
      </c>
      <c r="K560">
        <v>0.63</v>
      </c>
      <c r="L560">
        <v>1</v>
      </c>
      <c r="M560">
        <v>65.400000000000006</v>
      </c>
      <c r="N560">
        <v>49.3</v>
      </c>
      <c r="O560">
        <v>50.7</v>
      </c>
      <c r="P560">
        <v>46.5</v>
      </c>
      <c r="Q560">
        <v>53.5</v>
      </c>
    </row>
    <row r="561" spans="1:17" x14ac:dyDescent="0.25">
      <c r="A561" s="2">
        <v>45485</v>
      </c>
      <c r="B561" s="2" t="str">
        <f t="shared" si="16"/>
        <v>Friday</v>
      </c>
      <c r="C561" s="2" t="b">
        <f t="shared" si="17"/>
        <v>0</v>
      </c>
      <c r="D561">
        <v>1</v>
      </c>
      <c r="E561" t="s">
        <v>5</v>
      </c>
      <c r="F561">
        <v>271</v>
      </c>
      <c r="G561" s="3">
        <v>5454.6</v>
      </c>
      <c r="H561" s="3">
        <f>Miami_Retail[[#This Row],[sales_usd]] / Miami_Retail[[#This Row],[customers]]</f>
        <v>20.127675276752768</v>
      </c>
      <c r="I561">
        <v>77.099999999999994</v>
      </c>
      <c r="J561">
        <f>(Miami_Retail[[#This Row],[avg_temp_f]]-32) * (5/9)</f>
        <v>25.055555555555554</v>
      </c>
      <c r="K561">
        <v>0.73</v>
      </c>
      <c r="L561">
        <v>1</v>
      </c>
      <c r="M561">
        <v>68.5</v>
      </c>
      <c r="N561">
        <v>49.4</v>
      </c>
      <c r="O561">
        <v>50.6</v>
      </c>
      <c r="P561">
        <v>47.9</v>
      </c>
      <c r="Q561">
        <v>52.1</v>
      </c>
    </row>
    <row r="562" spans="1:17" x14ac:dyDescent="0.25">
      <c r="A562" s="2">
        <v>45486</v>
      </c>
      <c r="B562" s="2" t="str">
        <f t="shared" si="16"/>
        <v>Saturday</v>
      </c>
      <c r="C562" s="2" t="b">
        <f t="shared" si="17"/>
        <v>1</v>
      </c>
      <c r="D562">
        <v>1</v>
      </c>
      <c r="E562" t="s">
        <v>5</v>
      </c>
      <c r="F562">
        <v>352</v>
      </c>
      <c r="G562" s="3">
        <v>6991.66</v>
      </c>
      <c r="H562" s="3">
        <f>Miami_Retail[[#This Row],[sales_usd]] / Miami_Retail[[#This Row],[customers]]</f>
        <v>19.862670454545455</v>
      </c>
      <c r="I562">
        <v>80.3</v>
      </c>
      <c r="J562">
        <f>(Miami_Retail[[#This Row],[avg_temp_f]]-32) * (5/9)</f>
        <v>26.833333333333332</v>
      </c>
      <c r="K562">
        <v>0</v>
      </c>
      <c r="L562">
        <v>0</v>
      </c>
      <c r="M562">
        <v>73.400000000000006</v>
      </c>
      <c r="N562">
        <v>49.4</v>
      </c>
      <c r="O562">
        <v>50.6</v>
      </c>
      <c r="P562">
        <v>52.8</v>
      </c>
      <c r="Q562">
        <v>47.2</v>
      </c>
    </row>
    <row r="563" spans="1:17" x14ac:dyDescent="0.25">
      <c r="A563" s="2">
        <v>45487</v>
      </c>
      <c r="B563" s="2" t="str">
        <f t="shared" si="16"/>
        <v>Sunday</v>
      </c>
      <c r="C563" s="2" t="b">
        <f t="shared" si="17"/>
        <v>1</v>
      </c>
      <c r="D563">
        <v>1</v>
      </c>
      <c r="E563" t="s">
        <v>5</v>
      </c>
      <c r="F563">
        <v>343</v>
      </c>
      <c r="G563" s="3">
        <v>6507.52</v>
      </c>
      <c r="H563" s="3">
        <f>Miami_Retail[[#This Row],[sales_usd]] / Miami_Retail[[#This Row],[customers]]</f>
        <v>18.972361516034987</v>
      </c>
      <c r="I563">
        <v>80.900000000000006</v>
      </c>
      <c r="J563">
        <f>(Miami_Retail[[#This Row],[avg_temp_f]]-32) * (5/9)</f>
        <v>27.166666666666671</v>
      </c>
      <c r="K563">
        <v>0</v>
      </c>
      <c r="L563">
        <v>0</v>
      </c>
      <c r="M563">
        <v>71.3</v>
      </c>
      <c r="N563">
        <v>46.5</v>
      </c>
      <c r="O563">
        <v>53.5</v>
      </c>
      <c r="P563">
        <v>52.7</v>
      </c>
      <c r="Q563">
        <v>47.3</v>
      </c>
    </row>
    <row r="564" spans="1:17" x14ac:dyDescent="0.25">
      <c r="A564" s="2">
        <v>45488</v>
      </c>
      <c r="B564" s="2" t="str">
        <f t="shared" si="16"/>
        <v>Monday</v>
      </c>
      <c r="C564" s="2" t="b">
        <f t="shared" si="17"/>
        <v>0</v>
      </c>
      <c r="D564">
        <v>1</v>
      </c>
      <c r="E564" t="s">
        <v>5</v>
      </c>
      <c r="F564">
        <v>311</v>
      </c>
      <c r="G564" s="3">
        <v>5827.85</v>
      </c>
      <c r="H564" s="3">
        <f>Miami_Retail[[#This Row],[sales_usd]] / Miami_Retail[[#This Row],[customers]]</f>
        <v>18.739067524115757</v>
      </c>
      <c r="I564">
        <v>84.4</v>
      </c>
      <c r="J564">
        <f>(Miami_Retail[[#This Row],[avg_temp_f]]-32) * (5/9)</f>
        <v>29.111111111111114</v>
      </c>
      <c r="K564">
        <v>0.56999999999999995</v>
      </c>
      <c r="L564">
        <v>1</v>
      </c>
      <c r="M564">
        <v>65.2</v>
      </c>
      <c r="N564">
        <v>48.1</v>
      </c>
      <c r="O564">
        <v>51.9</v>
      </c>
      <c r="P564">
        <v>46.8</v>
      </c>
      <c r="Q564">
        <v>53.2</v>
      </c>
    </row>
    <row r="565" spans="1:17" x14ac:dyDescent="0.25">
      <c r="A565" s="2">
        <v>45489</v>
      </c>
      <c r="B565" s="2" t="str">
        <f t="shared" si="16"/>
        <v>Tuesday</v>
      </c>
      <c r="C565" s="2" t="b">
        <f t="shared" si="17"/>
        <v>0</v>
      </c>
      <c r="D565">
        <v>1</v>
      </c>
      <c r="E565" t="s">
        <v>5</v>
      </c>
      <c r="F565">
        <v>348</v>
      </c>
      <c r="G565" s="3">
        <v>6290.64</v>
      </c>
      <c r="H565" s="3">
        <f>Miami_Retail[[#This Row],[sales_usd]] / Miami_Retail[[#This Row],[customers]]</f>
        <v>18.076551724137932</v>
      </c>
      <c r="I565">
        <v>89.4</v>
      </c>
      <c r="J565">
        <f>(Miami_Retail[[#This Row],[avg_temp_f]]-32) * (5/9)</f>
        <v>31.888888888888893</v>
      </c>
      <c r="K565">
        <v>0</v>
      </c>
      <c r="L565">
        <v>0</v>
      </c>
      <c r="M565">
        <v>69.5</v>
      </c>
      <c r="N565">
        <v>49.1</v>
      </c>
      <c r="O565">
        <v>50.9</v>
      </c>
      <c r="P565">
        <v>47.6</v>
      </c>
      <c r="Q565">
        <v>52.4</v>
      </c>
    </row>
    <row r="566" spans="1:17" x14ac:dyDescent="0.25">
      <c r="A566" s="2">
        <v>45490</v>
      </c>
      <c r="B566" s="2" t="str">
        <f t="shared" si="16"/>
        <v>Wednesday</v>
      </c>
      <c r="C566" s="2" t="b">
        <f t="shared" si="17"/>
        <v>0</v>
      </c>
      <c r="D566">
        <v>1</v>
      </c>
      <c r="E566" t="s">
        <v>5</v>
      </c>
      <c r="F566">
        <v>310</v>
      </c>
      <c r="G566" s="3">
        <v>5660.66</v>
      </c>
      <c r="H566" s="3">
        <f>Miami_Retail[[#This Row],[sales_usd]] / Miami_Retail[[#This Row],[customers]]</f>
        <v>18.260193548387097</v>
      </c>
      <c r="I566">
        <v>80.7</v>
      </c>
      <c r="J566">
        <f>(Miami_Retail[[#This Row],[avg_temp_f]]-32) * (5/9)</f>
        <v>27.055555555555557</v>
      </c>
      <c r="K566">
        <v>0</v>
      </c>
      <c r="L566">
        <v>0</v>
      </c>
      <c r="M566">
        <v>63.8</v>
      </c>
      <c r="N566">
        <v>48</v>
      </c>
      <c r="O566">
        <v>52</v>
      </c>
      <c r="P566">
        <v>46.6</v>
      </c>
      <c r="Q566">
        <v>53.4</v>
      </c>
    </row>
    <row r="567" spans="1:17" x14ac:dyDescent="0.25">
      <c r="A567" s="2">
        <v>45491</v>
      </c>
      <c r="B567" s="2" t="str">
        <f t="shared" si="16"/>
        <v>Thursday</v>
      </c>
      <c r="C567" s="2" t="b">
        <f t="shared" si="17"/>
        <v>0</v>
      </c>
      <c r="D567">
        <v>1</v>
      </c>
      <c r="E567" t="s">
        <v>5</v>
      </c>
      <c r="F567">
        <v>307</v>
      </c>
      <c r="G567" s="3">
        <v>5587.65</v>
      </c>
      <c r="H567" s="3">
        <f>Miami_Retail[[#This Row],[sales_usd]] / Miami_Retail[[#This Row],[customers]]</f>
        <v>18.200814332247557</v>
      </c>
      <c r="I567">
        <v>80.3</v>
      </c>
      <c r="J567">
        <f>(Miami_Retail[[#This Row],[avg_temp_f]]-32) * (5/9)</f>
        <v>26.833333333333332</v>
      </c>
      <c r="K567">
        <v>0.57999999999999996</v>
      </c>
      <c r="L567">
        <v>1</v>
      </c>
      <c r="M567">
        <v>77.7</v>
      </c>
      <c r="N567">
        <v>49.2</v>
      </c>
      <c r="O567">
        <v>50.8</v>
      </c>
      <c r="P567">
        <v>48.3</v>
      </c>
      <c r="Q567">
        <v>51.7</v>
      </c>
    </row>
    <row r="568" spans="1:17" x14ac:dyDescent="0.25">
      <c r="A568" s="2">
        <v>45492</v>
      </c>
      <c r="B568" s="2" t="str">
        <f t="shared" si="16"/>
        <v>Friday</v>
      </c>
      <c r="C568" s="2" t="b">
        <f t="shared" si="17"/>
        <v>0</v>
      </c>
      <c r="D568">
        <v>1</v>
      </c>
      <c r="E568" t="s">
        <v>5</v>
      </c>
      <c r="F568">
        <v>306</v>
      </c>
      <c r="G568" s="3">
        <v>5426.66</v>
      </c>
      <c r="H568" s="3">
        <f>Miami_Retail[[#This Row],[sales_usd]] / Miami_Retail[[#This Row],[customers]]</f>
        <v>17.734183006535947</v>
      </c>
      <c r="I568">
        <v>81</v>
      </c>
      <c r="J568">
        <f>(Miami_Retail[[#This Row],[avg_temp_f]]-32) * (5/9)</f>
        <v>27.222222222222225</v>
      </c>
      <c r="K568">
        <v>0</v>
      </c>
      <c r="L568">
        <v>0</v>
      </c>
      <c r="M568">
        <v>68.3</v>
      </c>
      <c r="N568">
        <v>47.4</v>
      </c>
      <c r="O568">
        <v>52.6</v>
      </c>
      <c r="P568">
        <v>45.5</v>
      </c>
      <c r="Q568">
        <v>54.5</v>
      </c>
    </row>
    <row r="569" spans="1:17" x14ac:dyDescent="0.25">
      <c r="A569" s="2">
        <v>45493</v>
      </c>
      <c r="B569" s="2" t="str">
        <f t="shared" si="16"/>
        <v>Saturday</v>
      </c>
      <c r="C569" s="2" t="b">
        <f t="shared" si="17"/>
        <v>1</v>
      </c>
      <c r="D569">
        <v>1</v>
      </c>
      <c r="E569" t="s">
        <v>5</v>
      </c>
      <c r="F569">
        <v>372</v>
      </c>
      <c r="G569" s="3">
        <v>7397.45</v>
      </c>
      <c r="H569" s="3">
        <f>Miami_Retail[[#This Row],[sales_usd]] / Miami_Retail[[#This Row],[customers]]</f>
        <v>19.885618279569893</v>
      </c>
      <c r="I569">
        <v>85.9</v>
      </c>
      <c r="J569">
        <f>(Miami_Retail[[#This Row],[avg_temp_f]]-32) * (5/9)</f>
        <v>29.94444444444445</v>
      </c>
      <c r="K569">
        <v>0</v>
      </c>
      <c r="L569">
        <v>0</v>
      </c>
      <c r="M569">
        <v>77.099999999999994</v>
      </c>
      <c r="N569">
        <v>48</v>
      </c>
      <c r="O569">
        <v>52</v>
      </c>
      <c r="P569">
        <v>51.4</v>
      </c>
      <c r="Q569">
        <v>48.6</v>
      </c>
    </row>
    <row r="570" spans="1:17" x14ac:dyDescent="0.25">
      <c r="A570" s="2">
        <v>45494</v>
      </c>
      <c r="B570" s="2" t="str">
        <f t="shared" si="16"/>
        <v>Sunday</v>
      </c>
      <c r="C570" s="2" t="b">
        <f t="shared" si="17"/>
        <v>1</v>
      </c>
      <c r="D570">
        <v>1</v>
      </c>
      <c r="E570" t="s">
        <v>5</v>
      </c>
      <c r="F570">
        <v>369</v>
      </c>
      <c r="G570" s="3">
        <v>7295.81</v>
      </c>
      <c r="H570" s="3">
        <f>Miami_Retail[[#This Row],[sales_usd]] / Miami_Retail[[#This Row],[customers]]</f>
        <v>19.771842818428187</v>
      </c>
      <c r="I570">
        <v>84.5</v>
      </c>
      <c r="J570">
        <f>(Miami_Retail[[#This Row],[avg_temp_f]]-32) * (5/9)</f>
        <v>29.166666666666668</v>
      </c>
      <c r="K570">
        <v>0</v>
      </c>
      <c r="L570">
        <v>0</v>
      </c>
      <c r="M570">
        <v>70.2</v>
      </c>
      <c r="N570">
        <v>45.5</v>
      </c>
      <c r="O570">
        <v>54.5</v>
      </c>
      <c r="P570">
        <v>51.2</v>
      </c>
      <c r="Q570">
        <v>48.8</v>
      </c>
    </row>
    <row r="571" spans="1:17" x14ac:dyDescent="0.25">
      <c r="A571" s="2">
        <v>45495</v>
      </c>
      <c r="B571" s="2" t="str">
        <f t="shared" si="16"/>
        <v>Monday</v>
      </c>
      <c r="C571" s="2" t="b">
        <f t="shared" si="17"/>
        <v>0</v>
      </c>
      <c r="D571">
        <v>1</v>
      </c>
      <c r="E571" t="s">
        <v>5</v>
      </c>
      <c r="F571">
        <v>357</v>
      </c>
      <c r="G571" s="3">
        <v>7358</v>
      </c>
      <c r="H571" s="3">
        <f>Miami_Retail[[#This Row],[sales_usd]] / Miami_Retail[[#This Row],[customers]]</f>
        <v>20.610644257703083</v>
      </c>
      <c r="I571">
        <v>92.5</v>
      </c>
      <c r="J571">
        <f>(Miami_Retail[[#This Row],[avg_temp_f]]-32) * (5/9)</f>
        <v>33.611111111111114</v>
      </c>
      <c r="K571">
        <v>0</v>
      </c>
      <c r="L571">
        <v>0</v>
      </c>
      <c r="M571">
        <v>70.900000000000006</v>
      </c>
      <c r="N571">
        <v>48.8</v>
      </c>
      <c r="O571">
        <v>51.2</v>
      </c>
      <c r="P571">
        <v>47.4</v>
      </c>
      <c r="Q571">
        <v>52.6</v>
      </c>
    </row>
    <row r="572" spans="1:17" x14ac:dyDescent="0.25">
      <c r="A572" s="2">
        <v>45496</v>
      </c>
      <c r="B572" s="2" t="str">
        <f t="shared" si="16"/>
        <v>Tuesday</v>
      </c>
      <c r="C572" s="2" t="b">
        <f t="shared" si="17"/>
        <v>0</v>
      </c>
      <c r="D572">
        <v>1</v>
      </c>
      <c r="E572" t="s">
        <v>5</v>
      </c>
      <c r="F572">
        <v>280</v>
      </c>
      <c r="G572" s="3">
        <v>5232.58</v>
      </c>
      <c r="H572" s="3">
        <f>Miami_Retail[[#This Row],[sales_usd]] / Miami_Retail[[#This Row],[customers]]</f>
        <v>18.687785714285713</v>
      </c>
      <c r="I572">
        <v>87.1</v>
      </c>
      <c r="J572">
        <f>(Miami_Retail[[#This Row],[avg_temp_f]]-32) * (5/9)</f>
        <v>30.611111111111111</v>
      </c>
      <c r="K572">
        <v>0</v>
      </c>
      <c r="L572">
        <v>0</v>
      </c>
      <c r="M572">
        <v>71.900000000000006</v>
      </c>
      <c r="N572">
        <v>48</v>
      </c>
      <c r="O572">
        <v>52</v>
      </c>
      <c r="P572">
        <v>47.2</v>
      </c>
      <c r="Q572">
        <v>52.8</v>
      </c>
    </row>
    <row r="573" spans="1:17" x14ac:dyDescent="0.25">
      <c r="A573" s="2">
        <v>45497</v>
      </c>
      <c r="B573" s="2" t="str">
        <f t="shared" si="16"/>
        <v>Wednesday</v>
      </c>
      <c r="C573" s="2" t="b">
        <f t="shared" si="17"/>
        <v>0</v>
      </c>
      <c r="D573">
        <v>1</v>
      </c>
      <c r="E573" t="s">
        <v>5</v>
      </c>
      <c r="F573">
        <v>317</v>
      </c>
      <c r="G573" s="3">
        <v>6006.69</v>
      </c>
      <c r="H573" s="3">
        <f>Miami_Retail[[#This Row],[sales_usd]] / Miami_Retail[[#This Row],[customers]]</f>
        <v>18.948548895899052</v>
      </c>
      <c r="I573">
        <v>81.3</v>
      </c>
      <c r="J573">
        <f>(Miami_Retail[[#This Row],[avg_temp_f]]-32) * (5/9)</f>
        <v>27.388888888888889</v>
      </c>
      <c r="K573">
        <v>0.33</v>
      </c>
      <c r="L573">
        <v>1</v>
      </c>
      <c r="M573">
        <v>60.8</v>
      </c>
      <c r="N573">
        <v>46.4</v>
      </c>
      <c r="O573">
        <v>53.6</v>
      </c>
      <c r="P573">
        <v>47.6</v>
      </c>
      <c r="Q573">
        <v>52.4</v>
      </c>
    </row>
    <row r="574" spans="1:17" x14ac:dyDescent="0.25">
      <c r="A574" s="2">
        <v>45498</v>
      </c>
      <c r="B574" s="2" t="str">
        <f t="shared" si="16"/>
        <v>Thursday</v>
      </c>
      <c r="C574" s="2" t="b">
        <f t="shared" si="17"/>
        <v>0</v>
      </c>
      <c r="D574">
        <v>1</v>
      </c>
      <c r="E574" t="s">
        <v>5</v>
      </c>
      <c r="F574">
        <v>358</v>
      </c>
      <c r="G574" s="3">
        <v>6635.22</v>
      </c>
      <c r="H574" s="3">
        <f>Miami_Retail[[#This Row],[sales_usd]] / Miami_Retail[[#This Row],[customers]]</f>
        <v>18.53413407821229</v>
      </c>
      <c r="I574">
        <v>87.7</v>
      </c>
      <c r="J574">
        <f>(Miami_Retail[[#This Row],[avg_temp_f]]-32) * (5/9)</f>
        <v>30.944444444444446</v>
      </c>
      <c r="K574">
        <v>0</v>
      </c>
      <c r="L574">
        <v>0</v>
      </c>
      <c r="M574">
        <v>70.099999999999994</v>
      </c>
      <c r="N574">
        <v>49.5</v>
      </c>
      <c r="O574">
        <v>50.5</v>
      </c>
      <c r="P574">
        <v>46.2</v>
      </c>
      <c r="Q574">
        <v>53.8</v>
      </c>
    </row>
    <row r="575" spans="1:17" x14ac:dyDescent="0.25">
      <c r="A575" s="2">
        <v>45499</v>
      </c>
      <c r="B575" s="2" t="str">
        <f t="shared" si="16"/>
        <v>Friday</v>
      </c>
      <c r="C575" s="2" t="b">
        <f t="shared" si="17"/>
        <v>0</v>
      </c>
      <c r="D575">
        <v>1</v>
      </c>
      <c r="E575" t="s">
        <v>5</v>
      </c>
      <c r="F575">
        <v>275</v>
      </c>
      <c r="G575" s="3">
        <v>5150.37</v>
      </c>
      <c r="H575" s="3">
        <f>Miami_Retail[[#This Row],[sales_usd]] / Miami_Retail[[#This Row],[customers]]</f>
        <v>18.728618181818181</v>
      </c>
      <c r="I575">
        <v>87</v>
      </c>
      <c r="J575">
        <f>(Miami_Retail[[#This Row],[avg_temp_f]]-32) * (5/9)</f>
        <v>30.555555555555557</v>
      </c>
      <c r="K575">
        <v>1.0900000000000001</v>
      </c>
      <c r="L575">
        <v>1</v>
      </c>
      <c r="M575">
        <v>64.5</v>
      </c>
      <c r="N575">
        <v>48.3</v>
      </c>
      <c r="O575">
        <v>51.7</v>
      </c>
      <c r="P575">
        <v>46.2</v>
      </c>
      <c r="Q575">
        <v>53.8</v>
      </c>
    </row>
    <row r="576" spans="1:17" x14ac:dyDescent="0.25">
      <c r="A576" s="2">
        <v>45500</v>
      </c>
      <c r="B576" s="2" t="str">
        <f t="shared" si="16"/>
        <v>Saturday</v>
      </c>
      <c r="C576" s="2" t="b">
        <f t="shared" si="17"/>
        <v>1</v>
      </c>
      <c r="D576">
        <v>1</v>
      </c>
      <c r="E576" t="s">
        <v>5</v>
      </c>
      <c r="F576">
        <v>340</v>
      </c>
      <c r="G576" s="3">
        <v>6573.36</v>
      </c>
      <c r="H576" s="3">
        <f>Miami_Retail[[#This Row],[sales_usd]] / Miami_Retail[[#This Row],[customers]]</f>
        <v>19.333411764705883</v>
      </c>
      <c r="I576">
        <v>82.5</v>
      </c>
      <c r="J576">
        <f>(Miami_Retail[[#This Row],[avg_temp_f]]-32) * (5/9)</f>
        <v>28.055555555555557</v>
      </c>
      <c r="K576">
        <v>0</v>
      </c>
      <c r="L576">
        <v>0</v>
      </c>
      <c r="M576">
        <v>69.099999999999994</v>
      </c>
      <c r="N576">
        <v>48.2</v>
      </c>
      <c r="O576">
        <v>51.8</v>
      </c>
      <c r="P576">
        <v>52.4</v>
      </c>
      <c r="Q576">
        <v>47.6</v>
      </c>
    </row>
    <row r="577" spans="1:17" x14ac:dyDescent="0.25">
      <c r="A577" s="2">
        <v>45501</v>
      </c>
      <c r="B577" s="2" t="str">
        <f t="shared" si="16"/>
        <v>Sunday</v>
      </c>
      <c r="C577" s="2" t="b">
        <f t="shared" si="17"/>
        <v>1</v>
      </c>
      <c r="D577">
        <v>1</v>
      </c>
      <c r="E577" t="s">
        <v>5</v>
      </c>
      <c r="F577">
        <v>371</v>
      </c>
      <c r="G577" s="3">
        <v>6871.68</v>
      </c>
      <c r="H577" s="3">
        <f>Miami_Retail[[#This Row],[sales_usd]] / Miami_Retail[[#This Row],[customers]]</f>
        <v>18.522048517520215</v>
      </c>
      <c r="I577">
        <v>88.3</v>
      </c>
      <c r="J577">
        <f>(Miami_Retail[[#This Row],[avg_temp_f]]-32) * (5/9)</f>
        <v>31.277777777777779</v>
      </c>
      <c r="K577">
        <v>0</v>
      </c>
      <c r="L577">
        <v>0</v>
      </c>
      <c r="M577">
        <v>66.5</v>
      </c>
      <c r="N577">
        <v>47.2</v>
      </c>
      <c r="O577">
        <v>52.8</v>
      </c>
      <c r="P577">
        <v>54</v>
      </c>
      <c r="Q577">
        <v>46</v>
      </c>
    </row>
    <row r="578" spans="1:17" x14ac:dyDescent="0.25">
      <c r="A578" s="2">
        <v>45502</v>
      </c>
      <c r="B578" s="2" t="str">
        <f t="shared" ref="B578:B641" si="18">TEXT(A578, "dddd")</f>
        <v>Monday</v>
      </c>
      <c r="C578" s="2" t="b">
        <f t="shared" ref="C578:C641" si="19">IF(WEEKDAY(A578,2)&gt;5,TRUE,FALSE)</f>
        <v>0</v>
      </c>
      <c r="D578">
        <v>1</v>
      </c>
      <c r="E578" t="s">
        <v>5</v>
      </c>
      <c r="F578">
        <v>319</v>
      </c>
      <c r="G578" s="3">
        <v>5743.35</v>
      </c>
      <c r="H578" s="3">
        <f>Miami_Retail[[#This Row],[sales_usd]] / Miami_Retail[[#This Row],[customers]]</f>
        <v>18.00423197492163</v>
      </c>
      <c r="I578">
        <v>85.5</v>
      </c>
      <c r="J578">
        <f>(Miami_Retail[[#This Row],[avg_temp_f]]-32) * (5/9)</f>
        <v>29.722222222222225</v>
      </c>
      <c r="K578">
        <v>0</v>
      </c>
      <c r="L578">
        <v>0</v>
      </c>
      <c r="M578">
        <v>68.8</v>
      </c>
      <c r="N578">
        <v>48</v>
      </c>
      <c r="O578">
        <v>52</v>
      </c>
      <c r="P578">
        <v>47.7</v>
      </c>
      <c r="Q578">
        <v>52.3</v>
      </c>
    </row>
    <row r="579" spans="1:17" x14ac:dyDescent="0.25">
      <c r="A579" s="2">
        <v>45503</v>
      </c>
      <c r="B579" s="2" t="str">
        <f t="shared" si="18"/>
        <v>Tuesday</v>
      </c>
      <c r="C579" s="2" t="b">
        <f t="shared" si="19"/>
        <v>0</v>
      </c>
      <c r="D579">
        <v>1</v>
      </c>
      <c r="E579" t="s">
        <v>5</v>
      </c>
      <c r="F579">
        <v>311</v>
      </c>
      <c r="G579" s="3">
        <v>5960.65</v>
      </c>
      <c r="H579" s="3">
        <f>Miami_Retail[[#This Row],[sales_usd]] / Miami_Retail[[#This Row],[customers]]</f>
        <v>19.166077170418006</v>
      </c>
      <c r="I579">
        <v>88.2</v>
      </c>
      <c r="J579">
        <f>(Miami_Retail[[#This Row],[avg_temp_f]]-32) * (5/9)</f>
        <v>31.222222222222225</v>
      </c>
      <c r="K579">
        <v>0.5</v>
      </c>
      <c r="L579">
        <v>1</v>
      </c>
      <c r="M579">
        <v>68.2</v>
      </c>
      <c r="N579">
        <v>48</v>
      </c>
      <c r="O579">
        <v>52</v>
      </c>
      <c r="P579">
        <v>45.4</v>
      </c>
      <c r="Q579">
        <v>54.6</v>
      </c>
    </row>
    <row r="580" spans="1:17" x14ac:dyDescent="0.25">
      <c r="A580" s="2">
        <v>45504</v>
      </c>
      <c r="B580" s="2" t="str">
        <f t="shared" si="18"/>
        <v>Wednesday</v>
      </c>
      <c r="C580" s="2" t="b">
        <f t="shared" si="19"/>
        <v>0</v>
      </c>
      <c r="D580">
        <v>1</v>
      </c>
      <c r="E580" t="s">
        <v>5</v>
      </c>
      <c r="F580">
        <v>364</v>
      </c>
      <c r="G580" s="3">
        <v>6902.19</v>
      </c>
      <c r="H580" s="3">
        <f>Miami_Retail[[#This Row],[sales_usd]] / Miami_Retail[[#This Row],[customers]]</f>
        <v>18.962060439560439</v>
      </c>
      <c r="I580">
        <v>86.7</v>
      </c>
      <c r="J580">
        <f>(Miami_Retail[[#This Row],[avg_temp_f]]-32) * (5/9)</f>
        <v>30.388888888888893</v>
      </c>
      <c r="K580">
        <v>0</v>
      </c>
      <c r="L580">
        <v>0</v>
      </c>
      <c r="M580">
        <v>69.3</v>
      </c>
      <c r="N580">
        <v>48.5</v>
      </c>
      <c r="O580">
        <v>51.5</v>
      </c>
      <c r="P580">
        <v>47.1</v>
      </c>
      <c r="Q580">
        <v>52.9</v>
      </c>
    </row>
    <row r="581" spans="1:17" x14ac:dyDescent="0.25">
      <c r="A581" s="2">
        <v>45505</v>
      </c>
      <c r="B581" s="2" t="str">
        <f t="shared" si="18"/>
        <v>Thursday</v>
      </c>
      <c r="C581" s="2" t="b">
        <f t="shared" si="19"/>
        <v>0</v>
      </c>
      <c r="D581">
        <v>1</v>
      </c>
      <c r="E581" t="s">
        <v>5</v>
      </c>
      <c r="F581">
        <v>349</v>
      </c>
      <c r="G581" s="3">
        <v>5961.63</v>
      </c>
      <c r="H581" s="3">
        <f>Miami_Retail[[#This Row],[sales_usd]] / Miami_Retail[[#This Row],[customers]]</f>
        <v>17.082034383954156</v>
      </c>
      <c r="I581">
        <v>88.1</v>
      </c>
      <c r="J581">
        <f>(Miami_Retail[[#This Row],[avg_temp_f]]-32) * (5/9)</f>
        <v>31.166666666666664</v>
      </c>
      <c r="K581">
        <v>0.99</v>
      </c>
      <c r="L581">
        <v>1</v>
      </c>
      <c r="M581">
        <v>65.7</v>
      </c>
      <c r="N581">
        <v>48.7</v>
      </c>
      <c r="O581">
        <v>51.3</v>
      </c>
      <c r="P581">
        <v>46.4</v>
      </c>
      <c r="Q581">
        <v>53.6</v>
      </c>
    </row>
    <row r="582" spans="1:17" x14ac:dyDescent="0.25">
      <c r="A582" s="2">
        <v>45506</v>
      </c>
      <c r="B582" s="2" t="str">
        <f t="shared" si="18"/>
        <v>Friday</v>
      </c>
      <c r="C582" s="2" t="b">
        <f t="shared" si="19"/>
        <v>0</v>
      </c>
      <c r="D582">
        <v>1</v>
      </c>
      <c r="E582" t="s">
        <v>5</v>
      </c>
      <c r="F582">
        <v>332</v>
      </c>
      <c r="G582" s="3">
        <v>6166.96</v>
      </c>
      <c r="H582" s="3">
        <f>Miami_Retail[[#This Row],[sales_usd]] / Miami_Retail[[#This Row],[customers]]</f>
        <v>18.575180722891567</v>
      </c>
      <c r="I582">
        <v>87.9</v>
      </c>
      <c r="J582">
        <f>(Miami_Retail[[#This Row],[avg_temp_f]]-32) * (5/9)</f>
        <v>31.055555555555561</v>
      </c>
      <c r="K582">
        <v>0</v>
      </c>
      <c r="L582">
        <v>0</v>
      </c>
      <c r="M582">
        <v>74.2</v>
      </c>
      <c r="N582">
        <v>48.6</v>
      </c>
      <c r="O582">
        <v>51.4</v>
      </c>
      <c r="P582">
        <v>46.8</v>
      </c>
      <c r="Q582">
        <v>53.2</v>
      </c>
    </row>
    <row r="583" spans="1:17" x14ac:dyDescent="0.25">
      <c r="A583" s="2">
        <v>45507</v>
      </c>
      <c r="B583" s="2" t="str">
        <f t="shared" si="18"/>
        <v>Saturday</v>
      </c>
      <c r="C583" s="2" t="b">
        <f t="shared" si="19"/>
        <v>1</v>
      </c>
      <c r="D583">
        <v>1</v>
      </c>
      <c r="E583" t="s">
        <v>5</v>
      </c>
      <c r="F583">
        <v>376</v>
      </c>
      <c r="G583" s="3">
        <v>7676.62</v>
      </c>
      <c r="H583" s="3">
        <f>Miami_Retail[[#This Row],[sales_usd]] / Miami_Retail[[#This Row],[customers]]</f>
        <v>20.416542553191491</v>
      </c>
      <c r="I583">
        <v>86.5</v>
      </c>
      <c r="J583">
        <f>(Miami_Retail[[#This Row],[avg_temp_f]]-32) * (5/9)</f>
        <v>30.277777777777779</v>
      </c>
      <c r="K583">
        <v>0</v>
      </c>
      <c r="L583">
        <v>0</v>
      </c>
      <c r="M583">
        <v>68.599999999999994</v>
      </c>
      <c r="N583">
        <v>49.5</v>
      </c>
      <c r="O583">
        <v>50.5</v>
      </c>
      <c r="P583">
        <v>52.9</v>
      </c>
      <c r="Q583">
        <v>47.1</v>
      </c>
    </row>
    <row r="584" spans="1:17" x14ac:dyDescent="0.25">
      <c r="A584" s="2">
        <v>45508</v>
      </c>
      <c r="B584" s="2" t="str">
        <f t="shared" si="18"/>
        <v>Sunday</v>
      </c>
      <c r="C584" s="2" t="b">
        <f t="shared" si="19"/>
        <v>1</v>
      </c>
      <c r="D584">
        <v>1</v>
      </c>
      <c r="E584" t="s">
        <v>5</v>
      </c>
      <c r="F584">
        <v>364</v>
      </c>
      <c r="G584" s="3">
        <v>6371.21</v>
      </c>
      <c r="H584" s="3">
        <f>Miami_Retail[[#This Row],[sales_usd]] / Miami_Retail[[#This Row],[customers]]</f>
        <v>17.503324175824176</v>
      </c>
      <c r="I584">
        <v>86.9</v>
      </c>
      <c r="J584">
        <f>(Miami_Retail[[#This Row],[avg_temp_f]]-32) * (5/9)</f>
        <v>30.500000000000004</v>
      </c>
      <c r="K584">
        <v>0</v>
      </c>
      <c r="L584">
        <v>0</v>
      </c>
      <c r="M584">
        <v>76.900000000000006</v>
      </c>
      <c r="N584">
        <v>48.5</v>
      </c>
      <c r="O584">
        <v>51.5</v>
      </c>
      <c r="P584">
        <v>51.5</v>
      </c>
      <c r="Q584">
        <v>48.5</v>
      </c>
    </row>
    <row r="585" spans="1:17" x14ac:dyDescent="0.25">
      <c r="A585" s="2">
        <v>45509</v>
      </c>
      <c r="B585" s="2" t="str">
        <f t="shared" si="18"/>
        <v>Monday</v>
      </c>
      <c r="C585" s="2" t="b">
        <f t="shared" si="19"/>
        <v>0</v>
      </c>
      <c r="D585">
        <v>1</v>
      </c>
      <c r="E585" t="s">
        <v>5</v>
      </c>
      <c r="F585">
        <v>333</v>
      </c>
      <c r="G585" s="3">
        <v>6033.42</v>
      </c>
      <c r="H585" s="3">
        <f>Miami_Retail[[#This Row],[sales_usd]] / Miami_Retail[[#This Row],[customers]]</f>
        <v>18.118378378378377</v>
      </c>
      <c r="I585">
        <v>90.7</v>
      </c>
      <c r="J585">
        <f>(Miami_Retail[[#This Row],[avg_temp_f]]-32) * (5/9)</f>
        <v>32.611111111111114</v>
      </c>
      <c r="K585">
        <v>0</v>
      </c>
      <c r="L585">
        <v>0</v>
      </c>
      <c r="M585">
        <v>71.7</v>
      </c>
      <c r="N585">
        <v>47.5</v>
      </c>
      <c r="O585">
        <v>52.5</v>
      </c>
      <c r="P585">
        <v>47.3</v>
      </c>
      <c r="Q585">
        <v>52.7</v>
      </c>
    </row>
    <row r="586" spans="1:17" x14ac:dyDescent="0.25">
      <c r="A586" s="2">
        <v>45510</v>
      </c>
      <c r="B586" s="2" t="str">
        <f t="shared" si="18"/>
        <v>Tuesday</v>
      </c>
      <c r="C586" s="2" t="b">
        <f t="shared" si="19"/>
        <v>0</v>
      </c>
      <c r="D586">
        <v>1</v>
      </c>
      <c r="E586" t="s">
        <v>5</v>
      </c>
      <c r="F586">
        <v>371</v>
      </c>
      <c r="G586" s="3">
        <v>6547</v>
      </c>
      <c r="H586" s="3">
        <f>Miami_Retail[[#This Row],[sales_usd]] / Miami_Retail[[#This Row],[customers]]</f>
        <v>17.646900269541778</v>
      </c>
      <c r="I586">
        <v>84.8</v>
      </c>
      <c r="J586">
        <f>(Miami_Retail[[#This Row],[avg_temp_f]]-32) * (5/9)</f>
        <v>29.333333333333332</v>
      </c>
      <c r="K586">
        <v>0</v>
      </c>
      <c r="L586">
        <v>0</v>
      </c>
      <c r="M586">
        <v>84</v>
      </c>
      <c r="N586">
        <v>45.2</v>
      </c>
      <c r="O586">
        <v>54.8</v>
      </c>
      <c r="P586">
        <v>46.2</v>
      </c>
      <c r="Q586">
        <v>53.8</v>
      </c>
    </row>
    <row r="587" spans="1:17" x14ac:dyDescent="0.25">
      <c r="A587" s="2">
        <v>45511</v>
      </c>
      <c r="B587" s="2" t="str">
        <f t="shared" si="18"/>
        <v>Wednesday</v>
      </c>
      <c r="C587" s="2" t="b">
        <f t="shared" si="19"/>
        <v>0</v>
      </c>
      <c r="D587">
        <v>1</v>
      </c>
      <c r="E587" t="s">
        <v>5</v>
      </c>
      <c r="F587">
        <v>348</v>
      </c>
      <c r="G587" s="3">
        <v>6398.43</v>
      </c>
      <c r="H587" s="3">
        <f>Miami_Retail[[#This Row],[sales_usd]] / Miami_Retail[[#This Row],[customers]]</f>
        <v>18.386293103448278</v>
      </c>
      <c r="I587">
        <v>89.5</v>
      </c>
      <c r="J587">
        <f>(Miami_Retail[[#This Row],[avg_temp_f]]-32) * (5/9)</f>
        <v>31.944444444444446</v>
      </c>
      <c r="K587">
        <v>1.25</v>
      </c>
      <c r="L587">
        <v>1</v>
      </c>
      <c r="M587">
        <v>73.3</v>
      </c>
      <c r="N587">
        <v>46.7</v>
      </c>
      <c r="O587">
        <v>53.3</v>
      </c>
      <c r="P587">
        <v>46.3</v>
      </c>
      <c r="Q587">
        <v>53.7</v>
      </c>
    </row>
    <row r="588" spans="1:17" x14ac:dyDescent="0.25">
      <c r="A588" s="2">
        <v>45512</v>
      </c>
      <c r="B588" s="2" t="str">
        <f t="shared" si="18"/>
        <v>Thursday</v>
      </c>
      <c r="C588" s="2" t="b">
        <f t="shared" si="19"/>
        <v>0</v>
      </c>
      <c r="D588">
        <v>1</v>
      </c>
      <c r="E588" t="s">
        <v>5</v>
      </c>
      <c r="F588">
        <v>376</v>
      </c>
      <c r="G588" s="3">
        <v>7432.6</v>
      </c>
      <c r="H588" s="3">
        <f>Miami_Retail[[#This Row],[sales_usd]] / Miami_Retail[[#This Row],[customers]]</f>
        <v>19.767553191489363</v>
      </c>
      <c r="I588">
        <v>91.6</v>
      </c>
      <c r="J588">
        <f>(Miami_Retail[[#This Row],[avg_temp_f]]-32) * (5/9)</f>
        <v>33.111111111111107</v>
      </c>
      <c r="K588">
        <v>0</v>
      </c>
      <c r="L588">
        <v>0</v>
      </c>
      <c r="M588">
        <v>73.2</v>
      </c>
      <c r="N588">
        <v>46.9</v>
      </c>
      <c r="O588">
        <v>53.1</v>
      </c>
      <c r="P588">
        <v>47.2</v>
      </c>
      <c r="Q588">
        <v>52.8</v>
      </c>
    </row>
    <row r="589" spans="1:17" x14ac:dyDescent="0.25">
      <c r="A589" s="2">
        <v>45513</v>
      </c>
      <c r="B589" s="2" t="str">
        <f t="shared" si="18"/>
        <v>Friday</v>
      </c>
      <c r="C589" s="2" t="b">
        <f t="shared" si="19"/>
        <v>0</v>
      </c>
      <c r="D589">
        <v>1</v>
      </c>
      <c r="E589" t="s">
        <v>5</v>
      </c>
      <c r="F589">
        <v>295</v>
      </c>
      <c r="G589" s="3">
        <v>5635.69</v>
      </c>
      <c r="H589" s="3">
        <f>Miami_Retail[[#This Row],[sales_usd]] / Miami_Retail[[#This Row],[customers]]</f>
        <v>19.104033898305083</v>
      </c>
      <c r="I589">
        <v>83.8</v>
      </c>
      <c r="J589">
        <f>(Miami_Retail[[#This Row],[avg_temp_f]]-32) * (5/9)</f>
        <v>28.777777777777779</v>
      </c>
      <c r="K589">
        <v>0.97</v>
      </c>
      <c r="L589">
        <v>1</v>
      </c>
      <c r="M589">
        <v>69.400000000000006</v>
      </c>
      <c r="N589">
        <v>46.9</v>
      </c>
      <c r="O589">
        <v>53.1</v>
      </c>
      <c r="P589">
        <v>47.3</v>
      </c>
      <c r="Q589">
        <v>52.7</v>
      </c>
    </row>
    <row r="590" spans="1:17" x14ac:dyDescent="0.25">
      <c r="A590" s="2">
        <v>45514</v>
      </c>
      <c r="B590" s="2" t="str">
        <f t="shared" si="18"/>
        <v>Saturday</v>
      </c>
      <c r="C590" s="2" t="b">
        <f t="shared" si="19"/>
        <v>1</v>
      </c>
      <c r="D590">
        <v>1</v>
      </c>
      <c r="E590" t="s">
        <v>5</v>
      </c>
      <c r="F590">
        <v>386</v>
      </c>
      <c r="G590" s="3">
        <v>6999.46</v>
      </c>
      <c r="H590" s="3">
        <f>Miami_Retail[[#This Row],[sales_usd]] / Miami_Retail[[#This Row],[customers]]</f>
        <v>18.133316062176167</v>
      </c>
      <c r="I590">
        <v>88.7</v>
      </c>
      <c r="J590">
        <f>(Miami_Retail[[#This Row],[avg_temp_f]]-32) * (5/9)</f>
        <v>31.500000000000004</v>
      </c>
      <c r="K590">
        <v>0</v>
      </c>
      <c r="L590">
        <v>0</v>
      </c>
      <c r="M590">
        <v>78.7</v>
      </c>
      <c r="N590">
        <v>46.5</v>
      </c>
      <c r="O590">
        <v>53.5</v>
      </c>
      <c r="P590">
        <v>51.9</v>
      </c>
      <c r="Q590">
        <v>48.1</v>
      </c>
    </row>
    <row r="591" spans="1:17" x14ac:dyDescent="0.25">
      <c r="A591" s="2">
        <v>45515</v>
      </c>
      <c r="B591" s="2" t="str">
        <f t="shared" si="18"/>
        <v>Sunday</v>
      </c>
      <c r="C591" s="2" t="b">
        <f t="shared" si="19"/>
        <v>1</v>
      </c>
      <c r="D591">
        <v>1</v>
      </c>
      <c r="E591" t="s">
        <v>5</v>
      </c>
      <c r="F591">
        <v>402</v>
      </c>
      <c r="G591" s="3">
        <v>7651.68</v>
      </c>
      <c r="H591" s="3">
        <f>Miami_Retail[[#This Row],[sales_usd]] / Miami_Retail[[#This Row],[customers]]</f>
        <v>19.034029850746268</v>
      </c>
      <c r="I591">
        <v>93.2</v>
      </c>
      <c r="J591">
        <f>(Miami_Retail[[#This Row],[avg_temp_f]]-32) * (5/9)</f>
        <v>34</v>
      </c>
      <c r="K591">
        <v>0</v>
      </c>
      <c r="L591">
        <v>0</v>
      </c>
      <c r="M591">
        <v>69.900000000000006</v>
      </c>
      <c r="N591">
        <v>46.4</v>
      </c>
      <c r="O591">
        <v>53.6</v>
      </c>
      <c r="P591">
        <v>51.1</v>
      </c>
      <c r="Q591">
        <v>48.9</v>
      </c>
    </row>
    <row r="592" spans="1:17" x14ac:dyDescent="0.25">
      <c r="A592" s="2">
        <v>45516</v>
      </c>
      <c r="B592" s="2" t="str">
        <f t="shared" si="18"/>
        <v>Monday</v>
      </c>
      <c r="C592" s="2" t="b">
        <f t="shared" si="19"/>
        <v>0</v>
      </c>
      <c r="D592">
        <v>1</v>
      </c>
      <c r="E592" t="s">
        <v>5</v>
      </c>
      <c r="F592">
        <v>309</v>
      </c>
      <c r="G592" s="3">
        <v>5261.23</v>
      </c>
      <c r="H592" s="3">
        <f>Miami_Retail[[#This Row],[sales_usd]] / Miami_Retail[[#This Row],[customers]]</f>
        <v>17.026634304207118</v>
      </c>
      <c r="I592">
        <v>84.6</v>
      </c>
      <c r="J592">
        <f>(Miami_Retail[[#This Row],[avg_temp_f]]-32) * (5/9)</f>
        <v>29.222222222222221</v>
      </c>
      <c r="K592">
        <v>0</v>
      </c>
      <c r="L592">
        <v>0</v>
      </c>
      <c r="M592">
        <v>80.099999999999994</v>
      </c>
      <c r="N592">
        <v>47.9</v>
      </c>
      <c r="O592">
        <v>52.1</v>
      </c>
      <c r="P592">
        <v>46</v>
      </c>
      <c r="Q592">
        <v>54</v>
      </c>
    </row>
    <row r="593" spans="1:17" x14ac:dyDescent="0.25">
      <c r="A593" s="2">
        <v>45517</v>
      </c>
      <c r="B593" s="2" t="str">
        <f t="shared" si="18"/>
        <v>Tuesday</v>
      </c>
      <c r="C593" s="2" t="b">
        <f t="shared" si="19"/>
        <v>0</v>
      </c>
      <c r="D593">
        <v>1</v>
      </c>
      <c r="E593" t="s">
        <v>5</v>
      </c>
      <c r="F593">
        <v>369</v>
      </c>
      <c r="G593" s="3">
        <v>6822.26</v>
      </c>
      <c r="H593" s="3">
        <f>Miami_Retail[[#This Row],[sales_usd]] / Miami_Retail[[#This Row],[customers]]</f>
        <v>18.488509485094852</v>
      </c>
      <c r="I593">
        <v>85.9</v>
      </c>
      <c r="J593">
        <f>(Miami_Retail[[#This Row],[avg_temp_f]]-32) * (5/9)</f>
        <v>29.94444444444445</v>
      </c>
      <c r="K593">
        <v>0</v>
      </c>
      <c r="L593">
        <v>0</v>
      </c>
      <c r="M593">
        <v>65.900000000000006</v>
      </c>
      <c r="N593">
        <v>45.6</v>
      </c>
      <c r="O593">
        <v>54.4</v>
      </c>
      <c r="P593">
        <v>47.1</v>
      </c>
      <c r="Q593">
        <v>52.9</v>
      </c>
    </row>
    <row r="594" spans="1:17" x14ac:dyDescent="0.25">
      <c r="A594" s="2">
        <v>45518</v>
      </c>
      <c r="B594" s="2" t="str">
        <f t="shared" si="18"/>
        <v>Wednesday</v>
      </c>
      <c r="C594" s="2" t="b">
        <f t="shared" si="19"/>
        <v>0</v>
      </c>
      <c r="D594">
        <v>1</v>
      </c>
      <c r="E594" t="s">
        <v>5</v>
      </c>
      <c r="F594">
        <v>303</v>
      </c>
      <c r="G594" s="3">
        <v>5950.3</v>
      </c>
      <c r="H594" s="3">
        <f>Miami_Retail[[#This Row],[sales_usd]] / Miami_Retail[[#This Row],[customers]]</f>
        <v>19.637953795379538</v>
      </c>
      <c r="I594">
        <v>85.5</v>
      </c>
      <c r="J594">
        <f>(Miami_Retail[[#This Row],[avg_temp_f]]-32) * (5/9)</f>
        <v>29.722222222222225</v>
      </c>
      <c r="K594">
        <v>0</v>
      </c>
      <c r="L594">
        <v>0</v>
      </c>
      <c r="M594">
        <v>76</v>
      </c>
      <c r="N594">
        <v>48.6</v>
      </c>
      <c r="O594">
        <v>51.4</v>
      </c>
      <c r="P594">
        <v>47.8</v>
      </c>
      <c r="Q594">
        <v>52.2</v>
      </c>
    </row>
    <row r="595" spans="1:17" x14ac:dyDescent="0.25">
      <c r="A595" s="2">
        <v>45519</v>
      </c>
      <c r="B595" s="2" t="str">
        <f t="shared" si="18"/>
        <v>Thursday</v>
      </c>
      <c r="C595" s="2" t="b">
        <f t="shared" si="19"/>
        <v>0</v>
      </c>
      <c r="D595">
        <v>1</v>
      </c>
      <c r="E595" t="s">
        <v>5</v>
      </c>
      <c r="F595">
        <v>331</v>
      </c>
      <c r="G595" s="3">
        <v>6148.9</v>
      </c>
      <c r="H595" s="3">
        <f>Miami_Retail[[#This Row],[sales_usd]] / Miami_Retail[[#This Row],[customers]]</f>
        <v>18.576737160120846</v>
      </c>
      <c r="I595">
        <v>86.7</v>
      </c>
      <c r="J595">
        <f>(Miami_Retail[[#This Row],[avg_temp_f]]-32) * (5/9)</f>
        <v>30.388888888888893</v>
      </c>
      <c r="K595">
        <v>0</v>
      </c>
      <c r="L595">
        <v>0</v>
      </c>
      <c r="M595">
        <v>74.2</v>
      </c>
      <c r="N595">
        <v>48.7</v>
      </c>
      <c r="O595">
        <v>51.3</v>
      </c>
      <c r="P595">
        <v>45.1</v>
      </c>
      <c r="Q595">
        <v>54.9</v>
      </c>
    </row>
    <row r="596" spans="1:17" x14ac:dyDescent="0.25">
      <c r="A596" s="2">
        <v>45520</v>
      </c>
      <c r="B596" s="2" t="str">
        <f t="shared" si="18"/>
        <v>Friday</v>
      </c>
      <c r="C596" s="2" t="b">
        <f t="shared" si="19"/>
        <v>0</v>
      </c>
      <c r="D596">
        <v>1</v>
      </c>
      <c r="E596" t="s">
        <v>5</v>
      </c>
      <c r="F596">
        <v>307</v>
      </c>
      <c r="G596" s="3">
        <v>5466.52</v>
      </c>
      <c r="H596" s="3">
        <f>Miami_Retail[[#This Row],[sales_usd]] / Miami_Retail[[#This Row],[customers]]</f>
        <v>17.80625407166124</v>
      </c>
      <c r="I596">
        <v>83.4</v>
      </c>
      <c r="J596">
        <f>(Miami_Retail[[#This Row],[avg_temp_f]]-32) * (5/9)</f>
        <v>28.555555555555561</v>
      </c>
      <c r="K596">
        <v>0</v>
      </c>
      <c r="L596">
        <v>0</v>
      </c>
      <c r="M596">
        <v>74.8</v>
      </c>
      <c r="N596">
        <v>47.3</v>
      </c>
      <c r="O596">
        <v>52.7</v>
      </c>
      <c r="P596">
        <v>45.2</v>
      </c>
      <c r="Q596">
        <v>54.8</v>
      </c>
    </row>
    <row r="597" spans="1:17" x14ac:dyDescent="0.25">
      <c r="A597" s="2">
        <v>45521</v>
      </c>
      <c r="B597" s="2" t="str">
        <f t="shared" si="18"/>
        <v>Saturday</v>
      </c>
      <c r="C597" s="2" t="b">
        <f t="shared" si="19"/>
        <v>1</v>
      </c>
      <c r="D597">
        <v>1</v>
      </c>
      <c r="E597" t="s">
        <v>5</v>
      </c>
      <c r="F597">
        <v>341</v>
      </c>
      <c r="G597" s="3">
        <v>6251.05</v>
      </c>
      <c r="H597" s="3">
        <f>Miami_Retail[[#This Row],[sales_usd]] / Miami_Retail[[#This Row],[customers]]</f>
        <v>18.331524926686217</v>
      </c>
      <c r="I597">
        <v>87.5</v>
      </c>
      <c r="J597">
        <f>(Miami_Retail[[#This Row],[avg_temp_f]]-32) * (5/9)</f>
        <v>30.833333333333336</v>
      </c>
      <c r="K597">
        <v>1.1599999999999999</v>
      </c>
      <c r="L597">
        <v>1</v>
      </c>
      <c r="M597">
        <v>67.599999999999994</v>
      </c>
      <c r="N597">
        <v>46.6</v>
      </c>
      <c r="O597">
        <v>53.4</v>
      </c>
      <c r="P597">
        <v>50.4</v>
      </c>
      <c r="Q597">
        <v>49.6</v>
      </c>
    </row>
    <row r="598" spans="1:17" x14ac:dyDescent="0.25">
      <c r="A598" s="2">
        <v>45522</v>
      </c>
      <c r="B598" s="2" t="str">
        <f t="shared" si="18"/>
        <v>Sunday</v>
      </c>
      <c r="C598" s="2" t="b">
        <f t="shared" si="19"/>
        <v>1</v>
      </c>
      <c r="D598">
        <v>1</v>
      </c>
      <c r="E598" t="s">
        <v>5</v>
      </c>
      <c r="F598">
        <v>360</v>
      </c>
      <c r="G598" s="3">
        <v>6783.2</v>
      </c>
      <c r="H598" s="3">
        <f>Miami_Retail[[#This Row],[sales_usd]] / Miami_Retail[[#This Row],[customers]]</f>
        <v>18.842222222222222</v>
      </c>
      <c r="I598">
        <v>85</v>
      </c>
      <c r="J598">
        <f>(Miami_Retail[[#This Row],[avg_temp_f]]-32) * (5/9)</f>
        <v>29.444444444444446</v>
      </c>
      <c r="K598">
        <v>0</v>
      </c>
      <c r="L598">
        <v>0</v>
      </c>
      <c r="M598">
        <v>72.099999999999994</v>
      </c>
      <c r="N598">
        <v>45.6</v>
      </c>
      <c r="O598">
        <v>54.4</v>
      </c>
      <c r="P598">
        <v>51.3</v>
      </c>
      <c r="Q598">
        <v>48.7</v>
      </c>
    </row>
    <row r="599" spans="1:17" x14ac:dyDescent="0.25">
      <c r="A599" s="2">
        <v>45523</v>
      </c>
      <c r="B599" s="2" t="str">
        <f t="shared" si="18"/>
        <v>Monday</v>
      </c>
      <c r="C599" s="2" t="b">
        <f t="shared" si="19"/>
        <v>0</v>
      </c>
      <c r="D599">
        <v>1</v>
      </c>
      <c r="E599" t="s">
        <v>5</v>
      </c>
      <c r="F599">
        <v>317</v>
      </c>
      <c r="G599" s="3">
        <v>5864.66</v>
      </c>
      <c r="H599" s="3">
        <f>Miami_Retail[[#This Row],[sales_usd]] / Miami_Retail[[#This Row],[customers]]</f>
        <v>18.500504731861199</v>
      </c>
      <c r="I599">
        <v>85.5</v>
      </c>
      <c r="J599">
        <f>(Miami_Retail[[#This Row],[avg_temp_f]]-32) * (5/9)</f>
        <v>29.722222222222225</v>
      </c>
      <c r="K599">
        <v>1.25</v>
      </c>
      <c r="L599">
        <v>1</v>
      </c>
      <c r="M599">
        <v>75.5</v>
      </c>
      <c r="N599">
        <v>46.1</v>
      </c>
      <c r="O599">
        <v>53.9</v>
      </c>
      <c r="P599">
        <v>47.7</v>
      </c>
      <c r="Q599">
        <v>52.3</v>
      </c>
    </row>
    <row r="600" spans="1:17" x14ac:dyDescent="0.25">
      <c r="A600" s="2">
        <v>45524</v>
      </c>
      <c r="B600" s="2" t="str">
        <f t="shared" si="18"/>
        <v>Tuesday</v>
      </c>
      <c r="C600" s="2" t="b">
        <f t="shared" si="19"/>
        <v>0</v>
      </c>
      <c r="D600">
        <v>1</v>
      </c>
      <c r="E600" t="s">
        <v>5</v>
      </c>
      <c r="F600">
        <v>327</v>
      </c>
      <c r="G600" s="3">
        <v>6396.56</v>
      </c>
      <c r="H600" s="3">
        <f>Miami_Retail[[#This Row],[sales_usd]] / Miami_Retail[[#This Row],[customers]]</f>
        <v>19.561345565749235</v>
      </c>
      <c r="I600">
        <v>89</v>
      </c>
      <c r="J600">
        <f>(Miami_Retail[[#This Row],[avg_temp_f]]-32) * (5/9)</f>
        <v>31.666666666666668</v>
      </c>
      <c r="K600">
        <v>0</v>
      </c>
      <c r="L600">
        <v>0</v>
      </c>
      <c r="M600">
        <v>76.5</v>
      </c>
      <c r="N600">
        <v>46</v>
      </c>
      <c r="O600">
        <v>54</v>
      </c>
      <c r="P600">
        <v>45.7</v>
      </c>
      <c r="Q600">
        <v>54.3</v>
      </c>
    </row>
    <row r="601" spans="1:17" x14ac:dyDescent="0.25">
      <c r="A601" s="2">
        <v>45525</v>
      </c>
      <c r="B601" s="2" t="str">
        <f t="shared" si="18"/>
        <v>Wednesday</v>
      </c>
      <c r="C601" s="2" t="b">
        <f t="shared" si="19"/>
        <v>0</v>
      </c>
      <c r="D601">
        <v>1</v>
      </c>
      <c r="E601" t="s">
        <v>5</v>
      </c>
      <c r="F601">
        <v>369</v>
      </c>
      <c r="G601" s="3">
        <v>6414.02</v>
      </c>
      <c r="H601" s="3">
        <f>Miami_Retail[[#This Row],[sales_usd]] / Miami_Retail[[#This Row],[customers]]</f>
        <v>17.382168021680219</v>
      </c>
      <c r="I601">
        <v>89.8</v>
      </c>
      <c r="J601">
        <f>(Miami_Retail[[#This Row],[avg_temp_f]]-32) * (5/9)</f>
        <v>32.111111111111114</v>
      </c>
      <c r="K601">
        <v>0</v>
      </c>
      <c r="L601">
        <v>0</v>
      </c>
      <c r="M601">
        <v>76.099999999999994</v>
      </c>
      <c r="N601">
        <v>47.6</v>
      </c>
      <c r="O601">
        <v>52.4</v>
      </c>
      <c r="P601">
        <v>44.7</v>
      </c>
      <c r="Q601">
        <v>55.3</v>
      </c>
    </row>
    <row r="602" spans="1:17" x14ac:dyDescent="0.25">
      <c r="A602" s="2">
        <v>45526</v>
      </c>
      <c r="B602" s="2" t="str">
        <f t="shared" si="18"/>
        <v>Thursday</v>
      </c>
      <c r="C602" s="2" t="b">
        <f t="shared" si="19"/>
        <v>0</v>
      </c>
      <c r="D602">
        <v>1</v>
      </c>
      <c r="E602" t="s">
        <v>5</v>
      </c>
      <c r="F602">
        <v>351</v>
      </c>
      <c r="G602" s="3">
        <v>6369.88</v>
      </c>
      <c r="H602" s="3">
        <f>Miami_Retail[[#This Row],[sales_usd]] / Miami_Retail[[#This Row],[customers]]</f>
        <v>18.147806267806267</v>
      </c>
      <c r="I602">
        <v>88.5</v>
      </c>
      <c r="J602">
        <f>(Miami_Retail[[#This Row],[avg_temp_f]]-32) * (5/9)</f>
        <v>31.388888888888889</v>
      </c>
      <c r="K602">
        <v>0</v>
      </c>
      <c r="L602">
        <v>0</v>
      </c>
      <c r="M602">
        <v>86.6</v>
      </c>
      <c r="N602">
        <v>46.2</v>
      </c>
      <c r="O602">
        <v>53.8</v>
      </c>
      <c r="P602">
        <v>43.4</v>
      </c>
      <c r="Q602">
        <v>56.6</v>
      </c>
    </row>
    <row r="603" spans="1:17" x14ac:dyDescent="0.25">
      <c r="A603" s="2">
        <v>45527</v>
      </c>
      <c r="B603" s="2" t="str">
        <f t="shared" si="18"/>
        <v>Friday</v>
      </c>
      <c r="C603" s="2" t="b">
        <f t="shared" si="19"/>
        <v>0</v>
      </c>
      <c r="D603">
        <v>1</v>
      </c>
      <c r="E603" t="s">
        <v>5</v>
      </c>
      <c r="F603">
        <v>319</v>
      </c>
      <c r="G603" s="3">
        <v>5941.05</v>
      </c>
      <c r="H603" s="3">
        <f>Miami_Retail[[#This Row],[sales_usd]] / Miami_Retail[[#This Row],[customers]]</f>
        <v>18.623981191222573</v>
      </c>
      <c r="I603">
        <v>83.9</v>
      </c>
      <c r="J603">
        <f>(Miami_Retail[[#This Row],[avg_temp_f]]-32) * (5/9)</f>
        <v>28.833333333333339</v>
      </c>
      <c r="K603">
        <v>0</v>
      </c>
      <c r="L603">
        <v>0</v>
      </c>
      <c r="M603">
        <v>69.900000000000006</v>
      </c>
      <c r="N603">
        <v>47.6</v>
      </c>
      <c r="O603">
        <v>52.4</v>
      </c>
      <c r="P603">
        <v>45.1</v>
      </c>
      <c r="Q603">
        <v>54.9</v>
      </c>
    </row>
    <row r="604" spans="1:17" x14ac:dyDescent="0.25">
      <c r="A604" s="2">
        <v>45528</v>
      </c>
      <c r="B604" s="2" t="str">
        <f t="shared" si="18"/>
        <v>Saturday</v>
      </c>
      <c r="C604" s="2" t="b">
        <f t="shared" si="19"/>
        <v>1</v>
      </c>
      <c r="D604">
        <v>1</v>
      </c>
      <c r="E604" t="s">
        <v>5</v>
      </c>
      <c r="F604">
        <v>372</v>
      </c>
      <c r="G604" s="3">
        <v>6173.9</v>
      </c>
      <c r="H604" s="3">
        <f>Miami_Retail[[#This Row],[sales_usd]] / Miami_Retail[[#This Row],[customers]]</f>
        <v>16.596505376344084</v>
      </c>
      <c r="I604">
        <v>83.4</v>
      </c>
      <c r="J604">
        <f>(Miami_Retail[[#This Row],[avg_temp_f]]-32) * (5/9)</f>
        <v>28.555555555555561</v>
      </c>
      <c r="K604">
        <v>0</v>
      </c>
      <c r="L604">
        <v>0</v>
      </c>
      <c r="M604">
        <v>74</v>
      </c>
      <c r="N604">
        <v>46.8</v>
      </c>
      <c r="O604">
        <v>53.2</v>
      </c>
      <c r="P604">
        <v>51.7</v>
      </c>
      <c r="Q604">
        <v>48.3</v>
      </c>
    </row>
    <row r="605" spans="1:17" x14ac:dyDescent="0.25">
      <c r="A605" s="2">
        <v>45529</v>
      </c>
      <c r="B605" s="2" t="str">
        <f t="shared" si="18"/>
        <v>Sunday</v>
      </c>
      <c r="C605" s="2" t="b">
        <f t="shared" si="19"/>
        <v>1</v>
      </c>
      <c r="D605">
        <v>1</v>
      </c>
      <c r="E605" t="s">
        <v>5</v>
      </c>
      <c r="F605">
        <v>343</v>
      </c>
      <c r="G605" s="3">
        <v>6477.37</v>
      </c>
      <c r="H605" s="3">
        <f>Miami_Retail[[#This Row],[sales_usd]] / Miami_Retail[[#This Row],[customers]]</f>
        <v>18.884460641399418</v>
      </c>
      <c r="I605">
        <v>85.6</v>
      </c>
      <c r="J605">
        <f>(Miami_Retail[[#This Row],[avg_temp_f]]-32) * (5/9)</f>
        <v>29.777777777777775</v>
      </c>
      <c r="K605">
        <v>1.89</v>
      </c>
      <c r="L605">
        <v>1</v>
      </c>
      <c r="M605">
        <v>76</v>
      </c>
      <c r="N605">
        <v>46.5</v>
      </c>
      <c r="O605">
        <v>53.5</v>
      </c>
      <c r="P605">
        <v>50.5</v>
      </c>
      <c r="Q605">
        <v>49.5</v>
      </c>
    </row>
    <row r="606" spans="1:17" x14ac:dyDescent="0.25">
      <c r="A606" s="2">
        <v>45530</v>
      </c>
      <c r="B606" s="2" t="str">
        <f t="shared" si="18"/>
        <v>Monday</v>
      </c>
      <c r="C606" s="2" t="b">
        <f t="shared" si="19"/>
        <v>0</v>
      </c>
      <c r="D606">
        <v>1</v>
      </c>
      <c r="E606" t="s">
        <v>5</v>
      </c>
      <c r="F606">
        <v>330</v>
      </c>
      <c r="G606" s="3">
        <v>5947.82</v>
      </c>
      <c r="H606" s="3">
        <f>Miami_Retail[[#This Row],[sales_usd]] / Miami_Retail[[#This Row],[customers]]</f>
        <v>18.023696969696967</v>
      </c>
      <c r="I606">
        <v>92.1</v>
      </c>
      <c r="J606">
        <f>(Miami_Retail[[#This Row],[avg_temp_f]]-32) * (5/9)</f>
        <v>33.388888888888886</v>
      </c>
      <c r="K606">
        <v>7.0000000000000007E-2</v>
      </c>
      <c r="L606">
        <v>1</v>
      </c>
      <c r="M606">
        <v>73.599999999999994</v>
      </c>
      <c r="N606">
        <v>47.7</v>
      </c>
      <c r="O606">
        <v>52.3</v>
      </c>
      <c r="P606">
        <v>46.7</v>
      </c>
      <c r="Q606">
        <v>53.3</v>
      </c>
    </row>
    <row r="607" spans="1:17" x14ac:dyDescent="0.25">
      <c r="A607" s="2">
        <v>45531</v>
      </c>
      <c r="B607" s="2" t="str">
        <f t="shared" si="18"/>
        <v>Tuesday</v>
      </c>
      <c r="C607" s="2" t="b">
        <f t="shared" si="19"/>
        <v>0</v>
      </c>
      <c r="D607">
        <v>1</v>
      </c>
      <c r="E607" t="s">
        <v>5</v>
      </c>
      <c r="F607">
        <v>312</v>
      </c>
      <c r="G607" s="3">
        <v>5772.77</v>
      </c>
      <c r="H607" s="3">
        <f>Miami_Retail[[#This Row],[sales_usd]] / Miami_Retail[[#This Row],[customers]]</f>
        <v>18.50246794871795</v>
      </c>
      <c r="I607">
        <v>85.6</v>
      </c>
      <c r="J607">
        <f>(Miami_Retail[[#This Row],[avg_temp_f]]-32) * (5/9)</f>
        <v>29.777777777777775</v>
      </c>
      <c r="K607">
        <v>0.91</v>
      </c>
      <c r="L607">
        <v>1</v>
      </c>
      <c r="M607">
        <v>77.400000000000006</v>
      </c>
      <c r="N607">
        <v>46.9</v>
      </c>
      <c r="O607">
        <v>53.1</v>
      </c>
      <c r="P607">
        <v>45.7</v>
      </c>
      <c r="Q607">
        <v>54.3</v>
      </c>
    </row>
    <row r="608" spans="1:17" x14ac:dyDescent="0.25">
      <c r="A608" s="2">
        <v>45532</v>
      </c>
      <c r="B608" s="2" t="str">
        <f t="shared" si="18"/>
        <v>Wednesday</v>
      </c>
      <c r="C608" s="2" t="b">
        <f t="shared" si="19"/>
        <v>0</v>
      </c>
      <c r="D608">
        <v>1</v>
      </c>
      <c r="E608" t="s">
        <v>5</v>
      </c>
      <c r="F608">
        <v>327</v>
      </c>
      <c r="G608" s="3">
        <v>5913.02</v>
      </c>
      <c r="H608" s="3">
        <f>Miami_Retail[[#This Row],[sales_usd]] / Miami_Retail[[#This Row],[customers]]</f>
        <v>18.08262996941896</v>
      </c>
      <c r="I608">
        <v>94.6</v>
      </c>
      <c r="J608">
        <f>(Miami_Retail[[#This Row],[avg_temp_f]]-32) * (5/9)</f>
        <v>34.777777777777779</v>
      </c>
      <c r="K608">
        <v>0</v>
      </c>
      <c r="L608">
        <v>0</v>
      </c>
      <c r="M608">
        <v>81.099999999999994</v>
      </c>
      <c r="N608">
        <v>48.2</v>
      </c>
      <c r="O608">
        <v>51.8</v>
      </c>
      <c r="P608">
        <v>45.2</v>
      </c>
      <c r="Q608">
        <v>54.8</v>
      </c>
    </row>
    <row r="609" spans="1:17" x14ac:dyDescent="0.25">
      <c r="A609" s="2">
        <v>45533</v>
      </c>
      <c r="B609" s="2" t="str">
        <f t="shared" si="18"/>
        <v>Thursday</v>
      </c>
      <c r="C609" s="2" t="b">
        <f t="shared" si="19"/>
        <v>0</v>
      </c>
      <c r="D609">
        <v>1</v>
      </c>
      <c r="E609" t="s">
        <v>5</v>
      </c>
      <c r="F609">
        <v>287</v>
      </c>
      <c r="G609" s="3">
        <v>5253.9</v>
      </c>
      <c r="H609" s="3">
        <f>Miami_Retail[[#This Row],[sales_usd]] / Miami_Retail[[#This Row],[customers]]</f>
        <v>18.306271777003484</v>
      </c>
      <c r="I609">
        <v>87.2</v>
      </c>
      <c r="J609">
        <f>(Miami_Retail[[#This Row],[avg_temp_f]]-32) * (5/9)</f>
        <v>30.666666666666668</v>
      </c>
      <c r="K609">
        <v>0.19</v>
      </c>
      <c r="L609">
        <v>1</v>
      </c>
      <c r="M609">
        <v>81.900000000000006</v>
      </c>
      <c r="N609">
        <v>46.6</v>
      </c>
      <c r="O609">
        <v>53.4</v>
      </c>
      <c r="P609">
        <v>45.6</v>
      </c>
      <c r="Q609">
        <v>54.4</v>
      </c>
    </row>
    <row r="610" spans="1:17" x14ac:dyDescent="0.25">
      <c r="A610" s="2">
        <v>45534</v>
      </c>
      <c r="B610" s="2" t="str">
        <f t="shared" si="18"/>
        <v>Friday</v>
      </c>
      <c r="C610" s="2" t="b">
        <f t="shared" si="19"/>
        <v>0</v>
      </c>
      <c r="D610">
        <v>1</v>
      </c>
      <c r="E610" t="s">
        <v>5</v>
      </c>
      <c r="F610">
        <v>338</v>
      </c>
      <c r="G610" s="3">
        <v>6415.58</v>
      </c>
      <c r="H610" s="3">
        <f>Miami_Retail[[#This Row],[sales_usd]] / Miami_Retail[[#This Row],[customers]]</f>
        <v>18.981005917159763</v>
      </c>
      <c r="I610">
        <v>91.1</v>
      </c>
      <c r="J610">
        <f>(Miami_Retail[[#This Row],[avg_temp_f]]-32) * (5/9)</f>
        <v>32.833333333333329</v>
      </c>
      <c r="K610">
        <v>0</v>
      </c>
      <c r="L610">
        <v>0</v>
      </c>
      <c r="M610">
        <v>77</v>
      </c>
      <c r="N610">
        <v>45.3</v>
      </c>
      <c r="O610">
        <v>54.7</v>
      </c>
      <c r="P610">
        <v>46.2</v>
      </c>
      <c r="Q610">
        <v>53.8</v>
      </c>
    </row>
    <row r="611" spans="1:17" x14ac:dyDescent="0.25">
      <c r="A611" s="2">
        <v>45535</v>
      </c>
      <c r="B611" s="2" t="str">
        <f t="shared" si="18"/>
        <v>Saturday</v>
      </c>
      <c r="C611" s="2" t="b">
        <f t="shared" si="19"/>
        <v>1</v>
      </c>
      <c r="D611">
        <v>1</v>
      </c>
      <c r="E611" t="s">
        <v>5</v>
      </c>
      <c r="F611">
        <v>350</v>
      </c>
      <c r="G611" s="3">
        <v>6746.09</v>
      </c>
      <c r="H611" s="3">
        <f>Miami_Retail[[#This Row],[sales_usd]] / Miami_Retail[[#This Row],[customers]]</f>
        <v>19.274542857142858</v>
      </c>
      <c r="I611">
        <v>92.4</v>
      </c>
      <c r="J611">
        <f>(Miami_Retail[[#This Row],[avg_temp_f]]-32) * (5/9)</f>
        <v>33.555555555555557</v>
      </c>
      <c r="K611">
        <v>2.13</v>
      </c>
      <c r="L611">
        <v>1</v>
      </c>
      <c r="M611">
        <v>68.099999999999994</v>
      </c>
      <c r="N611">
        <v>45</v>
      </c>
      <c r="O611">
        <v>55</v>
      </c>
      <c r="P611">
        <v>51.6</v>
      </c>
      <c r="Q611">
        <v>48.4</v>
      </c>
    </row>
    <row r="612" spans="1:17" x14ac:dyDescent="0.25">
      <c r="A612" s="2">
        <v>45536</v>
      </c>
      <c r="B612" s="2" t="str">
        <f t="shared" si="18"/>
        <v>Sunday</v>
      </c>
      <c r="C612" s="2" t="b">
        <f t="shared" si="19"/>
        <v>1</v>
      </c>
      <c r="D612">
        <v>1</v>
      </c>
      <c r="E612" t="s">
        <v>5</v>
      </c>
      <c r="F612">
        <v>368</v>
      </c>
      <c r="G612" s="3">
        <v>6819.28</v>
      </c>
      <c r="H612" s="3">
        <f>Miami_Retail[[#This Row],[sales_usd]] / Miami_Retail[[#This Row],[customers]]</f>
        <v>18.530652173913044</v>
      </c>
      <c r="I612">
        <v>91.2</v>
      </c>
      <c r="J612">
        <f>(Miami_Retail[[#This Row],[avg_temp_f]]-32) * (5/9)</f>
        <v>32.888888888888893</v>
      </c>
      <c r="K612">
        <v>0.87</v>
      </c>
      <c r="L612">
        <v>1</v>
      </c>
      <c r="M612">
        <v>75.7</v>
      </c>
      <c r="N612">
        <v>46.5</v>
      </c>
      <c r="O612">
        <v>53.5</v>
      </c>
      <c r="P612">
        <v>49.7</v>
      </c>
      <c r="Q612">
        <v>50.3</v>
      </c>
    </row>
    <row r="613" spans="1:17" x14ac:dyDescent="0.25">
      <c r="A613" s="2">
        <v>45537</v>
      </c>
      <c r="B613" s="2" t="str">
        <f t="shared" si="18"/>
        <v>Monday</v>
      </c>
      <c r="C613" s="2" t="b">
        <f t="shared" si="19"/>
        <v>0</v>
      </c>
      <c r="D613">
        <v>1</v>
      </c>
      <c r="E613" t="s">
        <v>5</v>
      </c>
      <c r="F613">
        <v>335</v>
      </c>
      <c r="G613" s="3">
        <v>6180.78</v>
      </c>
      <c r="H613" s="3">
        <f>Miami_Retail[[#This Row],[sales_usd]] / Miami_Retail[[#This Row],[customers]]</f>
        <v>18.450089552238804</v>
      </c>
      <c r="I613">
        <v>94.3</v>
      </c>
      <c r="J613">
        <f>(Miami_Retail[[#This Row],[avg_temp_f]]-32) * (5/9)</f>
        <v>34.611111111111114</v>
      </c>
      <c r="K613">
        <v>0</v>
      </c>
      <c r="L613">
        <v>0</v>
      </c>
      <c r="M613">
        <v>84.8</v>
      </c>
      <c r="N613">
        <v>45.1</v>
      </c>
      <c r="O613">
        <v>54.9</v>
      </c>
      <c r="P613">
        <v>46.2</v>
      </c>
      <c r="Q613">
        <v>53.8</v>
      </c>
    </row>
    <row r="614" spans="1:17" x14ac:dyDescent="0.25">
      <c r="A614" s="2">
        <v>45538</v>
      </c>
      <c r="B614" s="2" t="str">
        <f t="shared" si="18"/>
        <v>Tuesday</v>
      </c>
      <c r="C614" s="2" t="b">
        <f t="shared" si="19"/>
        <v>0</v>
      </c>
      <c r="D614">
        <v>1</v>
      </c>
      <c r="E614" t="s">
        <v>5</v>
      </c>
      <c r="F614">
        <v>309</v>
      </c>
      <c r="G614" s="3">
        <v>5941.64</v>
      </c>
      <c r="H614" s="3">
        <f>Miami_Retail[[#This Row],[sales_usd]] / Miami_Retail[[#This Row],[customers]]</f>
        <v>19.228608414239485</v>
      </c>
      <c r="I614">
        <v>90.5</v>
      </c>
      <c r="J614">
        <f>(Miami_Retail[[#This Row],[avg_temp_f]]-32) * (5/9)</f>
        <v>32.5</v>
      </c>
      <c r="K614">
        <v>2.5499999999999998</v>
      </c>
      <c r="L614">
        <v>1</v>
      </c>
      <c r="M614">
        <v>71.8</v>
      </c>
      <c r="N614">
        <v>48</v>
      </c>
      <c r="O614">
        <v>52</v>
      </c>
      <c r="P614">
        <v>44.7</v>
      </c>
      <c r="Q614">
        <v>55.3</v>
      </c>
    </row>
    <row r="615" spans="1:17" x14ac:dyDescent="0.25">
      <c r="A615" s="2">
        <v>45539</v>
      </c>
      <c r="B615" s="2" t="str">
        <f t="shared" si="18"/>
        <v>Wednesday</v>
      </c>
      <c r="C615" s="2" t="b">
        <f t="shared" si="19"/>
        <v>0</v>
      </c>
      <c r="D615">
        <v>1</v>
      </c>
      <c r="E615" t="s">
        <v>5</v>
      </c>
      <c r="F615">
        <v>265</v>
      </c>
      <c r="G615" s="3">
        <v>4981.25</v>
      </c>
      <c r="H615" s="3">
        <f>Miami_Retail[[#This Row],[sales_usd]] / Miami_Retail[[#This Row],[customers]]</f>
        <v>18.797169811320753</v>
      </c>
      <c r="I615">
        <v>82.6</v>
      </c>
      <c r="J615">
        <f>(Miami_Retail[[#This Row],[avg_temp_f]]-32) * (5/9)</f>
        <v>28.111111111111111</v>
      </c>
      <c r="K615">
        <v>0</v>
      </c>
      <c r="L615">
        <v>0</v>
      </c>
      <c r="M615">
        <v>84.7</v>
      </c>
      <c r="N615">
        <v>45.8</v>
      </c>
      <c r="O615">
        <v>54.2</v>
      </c>
      <c r="P615">
        <v>45.4</v>
      </c>
      <c r="Q615">
        <v>54.6</v>
      </c>
    </row>
    <row r="616" spans="1:17" x14ac:dyDescent="0.25">
      <c r="A616" s="2">
        <v>45540</v>
      </c>
      <c r="B616" s="2" t="str">
        <f t="shared" si="18"/>
        <v>Thursday</v>
      </c>
      <c r="C616" s="2" t="b">
        <f t="shared" si="19"/>
        <v>0</v>
      </c>
      <c r="D616">
        <v>1</v>
      </c>
      <c r="E616" t="s">
        <v>5</v>
      </c>
      <c r="F616">
        <v>224</v>
      </c>
      <c r="G616" s="3">
        <v>4667.37</v>
      </c>
      <c r="H616" s="3">
        <f>Miami_Retail[[#This Row],[sales_usd]] / Miami_Retail[[#This Row],[customers]]</f>
        <v>20.836473214285714</v>
      </c>
      <c r="I616">
        <v>87.4</v>
      </c>
      <c r="J616">
        <f>(Miami_Retail[[#This Row],[avg_temp_f]]-32) * (5/9)</f>
        <v>30.777777777777782</v>
      </c>
      <c r="K616">
        <v>4.01</v>
      </c>
      <c r="L616">
        <v>1</v>
      </c>
      <c r="M616">
        <v>75.400000000000006</v>
      </c>
      <c r="N616">
        <v>47.8</v>
      </c>
      <c r="O616">
        <v>52.2</v>
      </c>
      <c r="P616">
        <v>43.6</v>
      </c>
      <c r="Q616">
        <v>56.4</v>
      </c>
    </row>
    <row r="617" spans="1:17" x14ac:dyDescent="0.25">
      <c r="A617" s="2">
        <v>45541</v>
      </c>
      <c r="B617" s="2" t="str">
        <f t="shared" si="18"/>
        <v>Friday</v>
      </c>
      <c r="C617" s="2" t="b">
        <f t="shared" si="19"/>
        <v>0</v>
      </c>
      <c r="D617">
        <v>1</v>
      </c>
      <c r="E617" t="s">
        <v>5</v>
      </c>
      <c r="F617">
        <v>298</v>
      </c>
      <c r="G617" s="3">
        <v>5925</v>
      </c>
      <c r="H617" s="3">
        <f>Miami_Retail[[#This Row],[sales_usd]] / Miami_Retail[[#This Row],[customers]]</f>
        <v>19.882550335570471</v>
      </c>
      <c r="I617">
        <v>89.8</v>
      </c>
      <c r="J617">
        <f>(Miami_Retail[[#This Row],[avg_temp_f]]-32) * (5/9)</f>
        <v>32.111111111111114</v>
      </c>
      <c r="K617">
        <v>0</v>
      </c>
      <c r="L617">
        <v>0</v>
      </c>
      <c r="M617">
        <v>74.8</v>
      </c>
      <c r="N617">
        <v>47.9</v>
      </c>
      <c r="O617">
        <v>52.1</v>
      </c>
      <c r="P617">
        <v>45.2</v>
      </c>
      <c r="Q617">
        <v>54.8</v>
      </c>
    </row>
    <row r="618" spans="1:17" x14ac:dyDescent="0.25">
      <c r="A618" s="2">
        <v>45542</v>
      </c>
      <c r="B618" s="2" t="str">
        <f t="shared" si="18"/>
        <v>Saturday</v>
      </c>
      <c r="C618" s="2" t="b">
        <f t="shared" si="19"/>
        <v>1</v>
      </c>
      <c r="D618">
        <v>1</v>
      </c>
      <c r="E618" t="s">
        <v>5</v>
      </c>
      <c r="F618">
        <v>339</v>
      </c>
      <c r="G618" s="3">
        <v>5791.9</v>
      </c>
      <c r="H618" s="3">
        <f>Miami_Retail[[#This Row],[sales_usd]] / Miami_Retail[[#This Row],[customers]]</f>
        <v>17.085250737463127</v>
      </c>
      <c r="I618">
        <v>88.6</v>
      </c>
      <c r="J618">
        <f>(Miami_Retail[[#This Row],[avg_temp_f]]-32) * (5/9)</f>
        <v>31.444444444444443</v>
      </c>
      <c r="K618">
        <v>0</v>
      </c>
      <c r="L618">
        <v>0</v>
      </c>
      <c r="M618">
        <v>72.2</v>
      </c>
      <c r="N618">
        <v>44.8</v>
      </c>
      <c r="O618">
        <v>55.2</v>
      </c>
      <c r="P618">
        <v>50.8</v>
      </c>
      <c r="Q618">
        <v>49.2</v>
      </c>
    </row>
    <row r="619" spans="1:17" x14ac:dyDescent="0.25">
      <c r="A619" s="2">
        <v>45543</v>
      </c>
      <c r="B619" s="2" t="str">
        <f t="shared" si="18"/>
        <v>Sunday</v>
      </c>
      <c r="C619" s="2" t="b">
        <f t="shared" si="19"/>
        <v>1</v>
      </c>
      <c r="D619">
        <v>1</v>
      </c>
      <c r="E619" t="s">
        <v>5</v>
      </c>
      <c r="F619">
        <v>282</v>
      </c>
      <c r="G619" s="3">
        <v>5429.91</v>
      </c>
      <c r="H619" s="3">
        <f>Miami_Retail[[#This Row],[sales_usd]] / Miami_Retail[[#This Row],[customers]]</f>
        <v>19.254999999999999</v>
      </c>
      <c r="I619">
        <v>83.8</v>
      </c>
      <c r="J619">
        <f>(Miami_Retail[[#This Row],[avg_temp_f]]-32) * (5/9)</f>
        <v>28.777777777777779</v>
      </c>
      <c r="K619">
        <v>0.45</v>
      </c>
      <c r="L619">
        <v>1</v>
      </c>
      <c r="M619">
        <v>81.5</v>
      </c>
      <c r="N619">
        <v>46.5</v>
      </c>
      <c r="O619">
        <v>53.5</v>
      </c>
      <c r="P619">
        <v>50.7</v>
      </c>
      <c r="Q619">
        <v>49.3</v>
      </c>
    </row>
    <row r="620" spans="1:17" x14ac:dyDescent="0.25">
      <c r="A620" s="2">
        <v>45544</v>
      </c>
      <c r="B620" s="2" t="str">
        <f t="shared" si="18"/>
        <v>Monday</v>
      </c>
      <c r="C620" s="2" t="b">
        <f t="shared" si="19"/>
        <v>0</v>
      </c>
      <c r="D620">
        <v>1</v>
      </c>
      <c r="E620" t="s">
        <v>5</v>
      </c>
      <c r="F620">
        <v>308</v>
      </c>
      <c r="G620" s="3">
        <v>5399.45</v>
      </c>
      <c r="H620" s="3">
        <f>Miami_Retail[[#This Row],[sales_usd]] / Miami_Retail[[#This Row],[customers]]</f>
        <v>17.530681818181819</v>
      </c>
      <c r="I620">
        <v>87.9</v>
      </c>
      <c r="J620">
        <f>(Miami_Retail[[#This Row],[avg_temp_f]]-32) * (5/9)</f>
        <v>31.055555555555561</v>
      </c>
      <c r="K620">
        <v>0</v>
      </c>
      <c r="L620">
        <v>0</v>
      </c>
      <c r="M620">
        <v>74.8</v>
      </c>
      <c r="N620">
        <v>44.8</v>
      </c>
      <c r="O620">
        <v>55.2</v>
      </c>
      <c r="P620">
        <v>43.7</v>
      </c>
      <c r="Q620">
        <v>56.3</v>
      </c>
    </row>
    <row r="621" spans="1:17" x14ac:dyDescent="0.25">
      <c r="A621" s="2">
        <v>45545</v>
      </c>
      <c r="B621" s="2" t="str">
        <f t="shared" si="18"/>
        <v>Tuesday</v>
      </c>
      <c r="C621" s="2" t="b">
        <f t="shared" si="19"/>
        <v>0</v>
      </c>
      <c r="D621">
        <v>1</v>
      </c>
      <c r="E621" t="s">
        <v>5</v>
      </c>
      <c r="F621">
        <v>345</v>
      </c>
      <c r="G621" s="3">
        <v>6214.78</v>
      </c>
      <c r="H621" s="3">
        <f>Miami_Retail[[#This Row],[sales_usd]] / Miami_Retail[[#This Row],[customers]]</f>
        <v>18.013855072463766</v>
      </c>
      <c r="I621">
        <v>96.3</v>
      </c>
      <c r="J621">
        <f>(Miami_Retail[[#This Row],[avg_temp_f]]-32) * (5/9)</f>
        <v>35.722222222222221</v>
      </c>
      <c r="K621">
        <v>0</v>
      </c>
      <c r="L621">
        <v>0</v>
      </c>
      <c r="M621">
        <v>71.599999999999994</v>
      </c>
      <c r="N621">
        <v>44.7</v>
      </c>
      <c r="O621">
        <v>55.3</v>
      </c>
      <c r="P621">
        <v>44.2</v>
      </c>
      <c r="Q621">
        <v>55.8</v>
      </c>
    </row>
    <row r="622" spans="1:17" x14ac:dyDescent="0.25">
      <c r="A622" s="2">
        <v>45546</v>
      </c>
      <c r="B622" s="2" t="str">
        <f t="shared" si="18"/>
        <v>Wednesday</v>
      </c>
      <c r="C622" s="2" t="b">
        <f t="shared" si="19"/>
        <v>0</v>
      </c>
      <c r="D622">
        <v>1</v>
      </c>
      <c r="E622" t="s">
        <v>5</v>
      </c>
      <c r="F622">
        <v>314</v>
      </c>
      <c r="G622" s="3">
        <v>6015.78</v>
      </c>
      <c r="H622" s="3">
        <f>Miami_Retail[[#This Row],[sales_usd]] / Miami_Retail[[#This Row],[customers]]</f>
        <v>19.158535031847133</v>
      </c>
      <c r="I622">
        <v>87.3</v>
      </c>
      <c r="J622">
        <f>(Miami_Retail[[#This Row],[avg_temp_f]]-32) * (5/9)</f>
        <v>30.722222222222221</v>
      </c>
      <c r="K622">
        <v>0</v>
      </c>
      <c r="L622">
        <v>0</v>
      </c>
      <c r="M622">
        <v>72.599999999999994</v>
      </c>
      <c r="N622">
        <v>46.1</v>
      </c>
      <c r="O622">
        <v>53.9</v>
      </c>
      <c r="P622">
        <v>45.6</v>
      </c>
      <c r="Q622">
        <v>54.4</v>
      </c>
    </row>
    <row r="623" spans="1:17" x14ac:dyDescent="0.25">
      <c r="A623" s="2">
        <v>45547</v>
      </c>
      <c r="B623" s="2" t="str">
        <f t="shared" si="18"/>
        <v>Thursday</v>
      </c>
      <c r="C623" s="2" t="b">
        <f t="shared" si="19"/>
        <v>0</v>
      </c>
      <c r="D623">
        <v>1</v>
      </c>
      <c r="E623" t="s">
        <v>5</v>
      </c>
      <c r="F623">
        <v>307</v>
      </c>
      <c r="G623" s="3">
        <v>5600.28</v>
      </c>
      <c r="H623" s="3">
        <f>Miami_Retail[[#This Row],[sales_usd]] / Miami_Retail[[#This Row],[customers]]</f>
        <v>18.241954397394135</v>
      </c>
      <c r="I623">
        <v>91.7</v>
      </c>
      <c r="J623">
        <f>(Miami_Retail[[#This Row],[avg_temp_f]]-32) * (5/9)</f>
        <v>33.166666666666671</v>
      </c>
      <c r="K623">
        <v>0.94</v>
      </c>
      <c r="L623">
        <v>1</v>
      </c>
      <c r="M623">
        <v>68</v>
      </c>
      <c r="N623">
        <v>46.5</v>
      </c>
      <c r="O623">
        <v>53.5</v>
      </c>
      <c r="P623">
        <v>45.6</v>
      </c>
      <c r="Q623">
        <v>54.4</v>
      </c>
    </row>
    <row r="624" spans="1:17" x14ac:dyDescent="0.25">
      <c r="A624" s="2">
        <v>45548</v>
      </c>
      <c r="B624" s="2" t="str">
        <f t="shared" si="18"/>
        <v>Friday</v>
      </c>
      <c r="C624" s="2" t="b">
        <f t="shared" si="19"/>
        <v>0</v>
      </c>
      <c r="D624">
        <v>1</v>
      </c>
      <c r="E624" t="s">
        <v>5</v>
      </c>
      <c r="F624">
        <v>328</v>
      </c>
      <c r="G624" s="3">
        <v>5648</v>
      </c>
      <c r="H624" s="3">
        <f>Miami_Retail[[#This Row],[sales_usd]] / Miami_Retail[[#This Row],[customers]]</f>
        <v>17.219512195121951</v>
      </c>
      <c r="I624">
        <v>90.9</v>
      </c>
      <c r="J624">
        <f>(Miami_Retail[[#This Row],[avg_temp_f]]-32) * (5/9)</f>
        <v>32.722222222222229</v>
      </c>
      <c r="K624">
        <v>0</v>
      </c>
      <c r="L624">
        <v>0</v>
      </c>
      <c r="M624">
        <v>71.3</v>
      </c>
      <c r="N624">
        <v>46.6</v>
      </c>
      <c r="O624">
        <v>53.4</v>
      </c>
      <c r="P624">
        <v>45.3</v>
      </c>
      <c r="Q624">
        <v>54.7</v>
      </c>
    </row>
    <row r="625" spans="1:17" x14ac:dyDescent="0.25">
      <c r="A625" s="2">
        <v>45549</v>
      </c>
      <c r="B625" s="2" t="str">
        <f t="shared" si="18"/>
        <v>Saturday</v>
      </c>
      <c r="C625" s="2" t="b">
        <f t="shared" si="19"/>
        <v>1</v>
      </c>
      <c r="D625">
        <v>1</v>
      </c>
      <c r="E625" t="s">
        <v>5</v>
      </c>
      <c r="F625">
        <v>345</v>
      </c>
      <c r="G625" s="3">
        <v>6619.58</v>
      </c>
      <c r="H625" s="3">
        <f>Miami_Retail[[#This Row],[sales_usd]] / Miami_Retail[[#This Row],[customers]]</f>
        <v>19.187188405797102</v>
      </c>
      <c r="I625">
        <v>90.2</v>
      </c>
      <c r="J625">
        <f>(Miami_Retail[[#This Row],[avg_temp_f]]-32) * (5/9)</f>
        <v>32.333333333333336</v>
      </c>
      <c r="K625">
        <v>0</v>
      </c>
      <c r="L625">
        <v>0</v>
      </c>
      <c r="M625">
        <v>67.5</v>
      </c>
      <c r="N625">
        <v>45.3</v>
      </c>
      <c r="O625">
        <v>54.7</v>
      </c>
      <c r="P625">
        <v>50.8</v>
      </c>
      <c r="Q625">
        <v>49.2</v>
      </c>
    </row>
    <row r="626" spans="1:17" x14ac:dyDescent="0.25">
      <c r="A626" s="2">
        <v>45550</v>
      </c>
      <c r="B626" s="2" t="str">
        <f t="shared" si="18"/>
        <v>Sunday</v>
      </c>
      <c r="C626" s="2" t="b">
        <f t="shared" si="19"/>
        <v>1</v>
      </c>
      <c r="D626">
        <v>1</v>
      </c>
      <c r="E626" t="s">
        <v>5</v>
      </c>
      <c r="F626">
        <v>366</v>
      </c>
      <c r="G626" s="3">
        <v>6511.08</v>
      </c>
      <c r="H626" s="3">
        <f>Miami_Retail[[#This Row],[sales_usd]] / Miami_Retail[[#This Row],[customers]]</f>
        <v>17.78983606557377</v>
      </c>
      <c r="I626">
        <v>88.9</v>
      </c>
      <c r="J626">
        <f>(Miami_Retail[[#This Row],[avg_temp_f]]-32) * (5/9)</f>
        <v>31.611111111111114</v>
      </c>
      <c r="K626">
        <v>0</v>
      </c>
      <c r="L626">
        <v>0</v>
      </c>
      <c r="M626">
        <v>75.5</v>
      </c>
      <c r="N626">
        <v>48</v>
      </c>
      <c r="O626">
        <v>52</v>
      </c>
      <c r="P626">
        <v>51.6</v>
      </c>
      <c r="Q626">
        <v>48.4</v>
      </c>
    </row>
    <row r="627" spans="1:17" x14ac:dyDescent="0.25">
      <c r="A627" s="2">
        <v>45551</v>
      </c>
      <c r="B627" s="2" t="str">
        <f t="shared" si="18"/>
        <v>Monday</v>
      </c>
      <c r="C627" s="2" t="b">
        <f t="shared" si="19"/>
        <v>0</v>
      </c>
      <c r="D627">
        <v>1</v>
      </c>
      <c r="E627" t="s">
        <v>5</v>
      </c>
      <c r="F627">
        <v>282</v>
      </c>
      <c r="G627" s="3">
        <v>5472.11</v>
      </c>
      <c r="H627" s="3">
        <f>Miami_Retail[[#This Row],[sales_usd]] / Miami_Retail[[#This Row],[customers]]</f>
        <v>19.404645390070922</v>
      </c>
      <c r="I627">
        <v>86.3</v>
      </c>
      <c r="J627">
        <f>(Miami_Retail[[#This Row],[avg_temp_f]]-32) * (5/9)</f>
        <v>30.166666666666668</v>
      </c>
      <c r="K627">
        <v>0</v>
      </c>
      <c r="L627">
        <v>0</v>
      </c>
      <c r="M627">
        <v>78.8</v>
      </c>
      <c r="N627">
        <v>48.7</v>
      </c>
      <c r="O627">
        <v>51.3</v>
      </c>
      <c r="P627">
        <v>45.6</v>
      </c>
      <c r="Q627">
        <v>54.4</v>
      </c>
    </row>
    <row r="628" spans="1:17" x14ac:dyDescent="0.25">
      <c r="A628" s="2">
        <v>45552</v>
      </c>
      <c r="B628" s="2" t="str">
        <f t="shared" si="18"/>
        <v>Tuesday</v>
      </c>
      <c r="C628" s="2" t="b">
        <f t="shared" si="19"/>
        <v>0</v>
      </c>
      <c r="D628">
        <v>1</v>
      </c>
      <c r="E628" t="s">
        <v>5</v>
      </c>
      <c r="F628">
        <v>277</v>
      </c>
      <c r="G628" s="3">
        <v>5179.6000000000004</v>
      </c>
      <c r="H628" s="3">
        <f>Miami_Retail[[#This Row],[sales_usd]] / Miami_Retail[[#This Row],[customers]]</f>
        <v>18.698916967509028</v>
      </c>
      <c r="I628">
        <v>89.1</v>
      </c>
      <c r="J628">
        <f>(Miami_Retail[[#This Row],[avg_temp_f]]-32) * (5/9)</f>
        <v>31.722222222222221</v>
      </c>
      <c r="K628">
        <v>0.83</v>
      </c>
      <c r="L628">
        <v>1</v>
      </c>
      <c r="M628">
        <v>82.8</v>
      </c>
      <c r="N628">
        <v>46.4</v>
      </c>
      <c r="O628">
        <v>53.6</v>
      </c>
      <c r="P628">
        <v>45.1</v>
      </c>
      <c r="Q628">
        <v>54.9</v>
      </c>
    </row>
    <row r="629" spans="1:17" x14ac:dyDescent="0.25">
      <c r="A629" s="2">
        <v>45553</v>
      </c>
      <c r="B629" s="2" t="str">
        <f t="shared" si="18"/>
        <v>Wednesday</v>
      </c>
      <c r="C629" s="2" t="b">
        <f t="shared" si="19"/>
        <v>0</v>
      </c>
      <c r="D629">
        <v>1</v>
      </c>
      <c r="E629" t="s">
        <v>5</v>
      </c>
      <c r="F629">
        <v>286</v>
      </c>
      <c r="G629" s="3">
        <v>4806.95</v>
      </c>
      <c r="H629" s="3">
        <f>Miami_Retail[[#This Row],[sales_usd]] / Miami_Retail[[#This Row],[customers]]</f>
        <v>16.807517482517483</v>
      </c>
      <c r="I629">
        <v>89.8</v>
      </c>
      <c r="J629">
        <f>(Miami_Retail[[#This Row],[avg_temp_f]]-32) * (5/9)</f>
        <v>32.111111111111114</v>
      </c>
      <c r="K629">
        <v>0.83</v>
      </c>
      <c r="L629">
        <v>1</v>
      </c>
      <c r="M629">
        <v>78.400000000000006</v>
      </c>
      <c r="N629">
        <v>46.2</v>
      </c>
      <c r="O629">
        <v>53.8</v>
      </c>
      <c r="P629">
        <v>44</v>
      </c>
      <c r="Q629">
        <v>56</v>
      </c>
    </row>
    <row r="630" spans="1:17" x14ac:dyDescent="0.25">
      <c r="A630" s="2">
        <v>45554</v>
      </c>
      <c r="B630" s="2" t="str">
        <f t="shared" si="18"/>
        <v>Thursday</v>
      </c>
      <c r="C630" s="2" t="b">
        <f t="shared" si="19"/>
        <v>0</v>
      </c>
      <c r="D630">
        <v>1</v>
      </c>
      <c r="E630" t="s">
        <v>5</v>
      </c>
      <c r="F630">
        <v>305</v>
      </c>
      <c r="G630" s="3">
        <v>5668.51</v>
      </c>
      <c r="H630" s="3">
        <f>Miami_Retail[[#This Row],[sales_usd]] / Miami_Retail[[#This Row],[customers]]</f>
        <v>18.585278688524593</v>
      </c>
      <c r="I630">
        <v>90.5</v>
      </c>
      <c r="J630">
        <f>(Miami_Retail[[#This Row],[avg_temp_f]]-32) * (5/9)</f>
        <v>32.5</v>
      </c>
      <c r="K630">
        <v>0.68</v>
      </c>
      <c r="L630">
        <v>1</v>
      </c>
      <c r="M630">
        <v>75.400000000000006</v>
      </c>
      <c r="N630">
        <v>44.6</v>
      </c>
      <c r="O630">
        <v>55.4</v>
      </c>
      <c r="P630">
        <v>43</v>
      </c>
      <c r="Q630">
        <v>57</v>
      </c>
    </row>
    <row r="631" spans="1:17" x14ac:dyDescent="0.25">
      <c r="A631" s="2">
        <v>45555</v>
      </c>
      <c r="B631" s="2" t="str">
        <f t="shared" si="18"/>
        <v>Friday</v>
      </c>
      <c r="C631" s="2" t="b">
        <f t="shared" si="19"/>
        <v>0</v>
      </c>
      <c r="D631">
        <v>1</v>
      </c>
      <c r="E631" t="s">
        <v>5</v>
      </c>
      <c r="F631">
        <v>345</v>
      </c>
      <c r="G631" s="3">
        <v>5989.95</v>
      </c>
      <c r="H631" s="3">
        <f>Miami_Retail[[#This Row],[sales_usd]] / Miami_Retail[[#This Row],[customers]]</f>
        <v>17.362173913043478</v>
      </c>
      <c r="I631">
        <v>87.4</v>
      </c>
      <c r="J631">
        <f>(Miami_Retail[[#This Row],[avg_temp_f]]-32) * (5/9)</f>
        <v>30.777777777777782</v>
      </c>
      <c r="K631">
        <v>7.0000000000000007E-2</v>
      </c>
      <c r="L631">
        <v>1</v>
      </c>
      <c r="M631">
        <v>76.900000000000006</v>
      </c>
      <c r="N631">
        <v>46.2</v>
      </c>
      <c r="O631">
        <v>53.8</v>
      </c>
      <c r="P631">
        <v>44.2</v>
      </c>
      <c r="Q631">
        <v>55.8</v>
      </c>
    </row>
    <row r="632" spans="1:17" x14ac:dyDescent="0.25">
      <c r="A632" s="2">
        <v>45556</v>
      </c>
      <c r="B632" s="2" t="str">
        <f t="shared" si="18"/>
        <v>Saturday</v>
      </c>
      <c r="C632" s="2" t="b">
        <f t="shared" si="19"/>
        <v>1</v>
      </c>
      <c r="D632">
        <v>1</v>
      </c>
      <c r="E632" t="s">
        <v>5</v>
      </c>
      <c r="F632">
        <v>361</v>
      </c>
      <c r="G632" s="3">
        <v>6944.08</v>
      </c>
      <c r="H632" s="3">
        <f>Miami_Retail[[#This Row],[sales_usd]] / Miami_Retail[[#This Row],[customers]]</f>
        <v>19.235678670360112</v>
      </c>
      <c r="I632">
        <v>89.5</v>
      </c>
      <c r="J632">
        <f>(Miami_Retail[[#This Row],[avg_temp_f]]-32) * (5/9)</f>
        <v>31.944444444444446</v>
      </c>
      <c r="K632">
        <v>0</v>
      </c>
      <c r="L632">
        <v>0</v>
      </c>
      <c r="M632">
        <v>71.8</v>
      </c>
      <c r="N632">
        <v>46.3</v>
      </c>
      <c r="O632">
        <v>53.7</v>
      </c>
      <c r="P632">
        <v>49.8</v>
      </c>
      <c r="Q632">
        <v>50.2</v>
      </c>
    </row>
    <row r="633" spans="1:17" x14ac:dyDescent="0.25">
      <c r="A633" s="2">
        <v>45557</v>
      </c>
      <c r="B633" s="2" t="str">
        <f t="shared" si="18"/>
        <v>Sunday</v>
      </c>
      <c r="C633" s="2" t="b">
        <f t="shared" si="19"/>
        <v>1</v>
      </c>
      <c r="D633">
        <v>1</v>
      </c>
      <c r="E633" t="s">
        <v>5</v>
      </c>
      <c r="F633">
        <v>359</v>
      </c>
      <c r="G633" s="3">
        <v>6854.59</v>
      </c>
      <c r="H633" s="3">
        <f>Miami_Retail[[#This Row],[sales_usd]] / Miami_Retail[[#This Row],[customers]]</f>
        <v>19.09356545961003</v>
      </c>
      <c r="I633">
        <v>89.4</v>
      </c>
      <c r="J633">
        <f>(Miami_Retail[[#This Row],[avg_temp_f]]-32) * (5/9)</f>
        <v>31.888888888888893</v>
      </c>
      <c r="K633">
        <v>0</v>
      </c>
      <c r="L633">
        <v>0</v>
      </c>
      <c r="M633">
        <v>77.5</v>
      </c>
      <c r="N633">
        <v>44.9</v>
      </c>
      <c r="O633">
        <v>55.1</v>
      </c>
      <c r="P633">
        <v>50</v>
      </c>
      <c r="Q633">
        <v>50</v>
      </c>
    </row>
    <row r="634" spans="1:17" x14ac:dyDescent="0.25">
      <c r="A634" s="2">
        <v>45558</v>
      </c>
      <c r="B634" s="2" t="str">
        <f t="shared" si="18"/>
        <v>Monday</v>
      </c>
      <c r="C634" s="2" t="b">
        <f t="shared" si="19"/>
        <v>0</v>
      </c>
      <c r="D634">
        <v>1</v>
      </c>
      <c r="E634" t="s">
        <v>5</v>
      </c>
      <c r="F634">
        <v>373</v>
      </c>
      <c r="G634" s="3">
        <v>7406.94</v>
      </c>
      <c r="H634" s="3">
        <f>Miami_Retail[[#This Row],[sales_usd]] / Miami_Retail[[#This Row],[customers]]</f>
        <v>19.857747989276138</v>
      </c>
      <c r="I634">
        <v>91.2</v>
      </c>
      <c r="J634">
        <f>(Miami_Retail[[#This Row],[avg_temp_f]]-32) * (5/9)</f>
        <v>32.888888888888893</v>
      </c>
      <c r="K634">
        <v>0</v>
      </c>
      <c r="L634">
        <v>0</v>
      </c>
      <c r="M634">
        <v>78.400000000000006</v>
      </c>
      <c r="N634">
        <v>45.6</v>
      </c>
      <c r="O634">
        <v>54.4</v>
      </c>
      <c r="P634">
        <v>46</v>
      </c>
      <c r="Q634">
        <v>54</v>
      </c>
    </row>
    <row r="635" spans="1:17" x14ac:dyDescent="0.25">
      <c r="A635" s="2">
        <v>45559</v>
      </c>
      <c r="B635" s="2" t="str">
        <f t="shared" si="18"/>
        <v>Tuesday</v>
      </c>
      <c r="C635" s="2" t="b">
        <f t="shared" si="19"/>
        <v>0</v>
      </c>
      <c r="D635">
        <v>1</v>
      </c>
      <c r="E635" t="s">
        <v>5</v>
      </c>
      <c r="F635">
        <v>300</v>
      </c>
      <c r="G635" s="3">
        <v>5961.77</v>
      </c>
      <c r="H635" s="3">
        <f>Miami_Retail[[#This Row],[sales_usd]] / Miami_Retail[[#This Row],[customers]]</f>
        <v>19.872566666666668</v>
      </c>
      <c r="I635">
        <v>90.2</v>
      </c>
      <c r="J635">
        <f>(Miami_Retail[[#This Row],[avg_temp_f]]-32) * (5/9)</f>
        <v>32.333333333333336</v>
      </c>
      <c r="K635">
        <v>0</v>
      </c>
      <c r="L635">
        <v>0</v>
      </c>
      <c r="M635">
        <v>69.7</v>
      </c>
      <c r="N635">
        <v>45.5</v>
      </c>
      <c r="O635">
        <v>54.5</v>
      </c>
      <c r="P635">
        <v>44</v>
      </c>
      <c r="Q635">
        <v>56</v>
      </c>
    </row>
    <row r="636" spans="1:17" x14ac:dyDescent="0.25">
      <c r="A636" s="2">
        <v>45560</v>
      </c>
      <c r="B636" s="2" t="str">
        <f t="shared" si="18"/>
        <v>Wednesday</v>
      </c>
      <c r="C636" s="2" t="b">
        <f t="shared" si="19"/>
        <v>0</v>
      </c>
      <c r="D636">
        <v>1</v>
      </c>
      <c r="E636" t="s">
        <v>5</v>
      </c>
      <c r="F636">
        <v>305</v>
      </c>
      <c r="G636" s="3">
        <v>5688.55</v>
      </c>
      <c r="H636" s="3">
        <f>Miami_Retail[[#This Row],[sales_usd]] / Miami_Retail[[#This Row],[customers]]</f>
        <v>18.650983606557379</v>
      </c>
      <c r="I636">
        <v>87.6</v>
      </c>
      <c r="J636">
        <f>(Miami_Retail[[#This Row],[avg_temp_f]]-32) * (5/9)</f>
        <v>30.888888888888886</v>
      </c>
      <c r="K636">
        <v>0</v>
      </c>
      <c r="L636">
        <v>0</v>
      </c>
      <c r="M636">
        <v>82.3</v>
      </c>
      <c r="N636">
        <v>47</v>
      </c>
      <c r="O636">
        <v>53</v>
      </c>
      <c r="P636">
        <v>44.5</v>
      </c>
      <c r="Q636">
        <v>55.5</v>
      </c>
    </row>
    <row r="637" spans="1:17" x14ac:dyDescent="0.25">
      <c r="A637" s="2">
        <v>45561</v>
      </c>
      <c r="B637" s="2" t="str">
        <f t="shared" si="18"/>
        <v>Thursday</v>
      </c>
      <c r="C637" s="2" t="b">
        <f t="shared" si="19"/>
        <v>0</v>
      </c>
      <c r="D637">
        <v>1</v>
      </c>
      <c r="E637" t="s">
        <v>5</v>
      </c>
      <c r="F637">
        <v>329</v>
      </c>
      <c r="G637" s="3">
        <v>6012.94</v>
      </c>
      <c r="H637" s="3">
        <f>Miami_Retail[[#This Row],[sales_usd]] / Miami_Retail[[#This Row],[customers]]</f>
        <v>18.27641337386018</v>
      </c>
      <c r="I637">
        <v>89.3</v>
      </c>
      <c r="J637">
        <f>(Miami_Retail[[#This Row],[avg_temp_f]]-32) * (5/9)</f>
        <v>31.833333333333332</v>
      </c>
      <c r="K637">
        <v>0.8</v>
      </c>
      <c r="L637">
        <v>1</v>
      </c>
      <c r="M637">
        <v>79.099999999999994</v>
      </c>
      <c r="N637">
        <v>45.9</v>
      </c>
      <c r="O637">
        <v>54.1</v>
      </c>
      <c r="P637">
        <v>44.9</v>
      </c>
      <c r="Q637">
        <v>55.1</v>
      </c>
    </row>
    <row r="638" spans="1:17" x14ac:dyDescent="0.25">
      <c r="A638" s="2">
        <v>45562</v>
      </c>
      <c r="B638" s="2" t="str">
        <f t="shared" si="18"/>
        <v>Friday</v>
      </c>
      <c r="C638" s="2" t="b">
        <f t="shared" si="19"/>
        <v>0</v>
      </c>
      <c r="D638">
        <v>1</v>
      </c>
      <c r="E638" t="s">
        <v>5</v>
      </c>
      <c r="F638">
        <v>323</v>
      </c>
      <c r="G638" s="3">
        <v>6222.19</v>
      </c>
      <c r="H638" s="3">
        <f>Miami_Retail[[#This Row],[sales_usd]] / Miami_Retail[[#This Row],[customers]]</f>
        <v>19.26374613003096</v>
      </c>
      <c r="I638">
        <v>89.2</v>
      </c>
      <c r="J638">
        <f>(Miami_Retail[[#This Row],[avg_temp_f]]-32) * (5/9)</f>
        <v>31.777777777777782</v>
      </c>
      <c r="K638">
        <v>0.23</v>
      </c>
      <c r="L638">
        <v>1</v>
      </c>
      <c r="M638">
        <v>69.5</v>
      </c>
      <c r="N638">
        <v>46.7</v>
      </c>
      <c r="O638">
        <v>53.3</v>
      </c>
      <c r="P638">
        <v>45.3</v>
      </c>
      <c r="Q638">
        <v>54.7</v>
      </c>
    </row>
    <row r="639" spans="1:17" x14ac:dyDescent="0.25">
      <c r="A639" s="2">
        <v>45563</v>
      </c>
      <c r="B639" s="2" t="str">
        <f t="shared" si="18"/>
        <v>Saturday</v>
      </c>
      <c r="C639" s="2" t="b">
        <f t="shared" si="19"/>
        <v>1</v>
      </c>
      <c r="D639">
        <v>1</v>
      </c>
      <c r="E639" t="s">
        <v>5</v>
      </c>
      <c r="F639">
        <v>351</v>
      </c>
      <c r="G639" s="3">
        <v>6843.38</v>
      </c>
      <c r="H639" s="3">
        <f>Miami_Retail[[#This Row],[sales_usd]] / Miami_Retail[[#This Row],[customers]]</f>
        <v>19.496809116809118</v>
      </c>
      <c r="I639">
        <v>89.2</v>
      </c>
      <c r="J639">
        <f>(Miami_Retail[[#This Row],[avg_temp_f]]-32) * (5/9)</f>
        <v>31.777777777777782</v>
      </c>
      <c r="K639">
        <v>0</v>
      </c>
      <c r="L639">
        <v>0</v>
      </c>
      <c r="M639">
        <v>69.8</v>
      </c>
      <c r="N639">
        <v>47</v>
      </c>
      <c r="O639">
        <v>53</v>
      </c>
      <c r="P639">
        <v>51.2</v>
      </c>
      <c r="Q639">
        <v>48.8</v>
      </c>
    </row>
    <row r="640" spans="1:17" x14ac:dyDescent="0.25">
      <c r="A640" s="2">
        <v>45564</v>
      </c>
      <c r="B640" s="2" t="str">
        <f t="shared" si="18"/>
        <v>Sunday</v>
      </c>
      <c r="C640" s="2" t="b">
        <f t="shared" si="19"/>
        <v>1</v>
      </c>
      <c r="D640">
        <v>1</v>
      </c>
      <c r="E640" t="s">
        <v>5</v>
      </c>
      <c r="F640">
        <v>355</v>
      </c>
      <c r="G640" s="3">
        <v>6636.66</v>
      </c>
      <c r="H640" s="3">
        <f>Miami_Retail[[#This Row],[sales_usd]] / Miami_Retail[[#This Row],[customers]]</f>
        <v>18.694816901408451</v>
      </c>
      <c r="I640">
        <v>89.4</v>
      </c>
      <c r="J640">
        <f>(Miami_Retail[[#This Row],[avg_temp_f]]-32) * (5/9)</f>
        <v>31.888888888888893</v>
      </c>
      <c r="K640">
        <v>0</v>
      </c>
      <c r="L640">
        <v>0</v>
      </c>
      <c r="M640">
        <v>75</v>
      </c>
      <c r="N640">
        <v>45.2</v>
      </c>
      <c r="O640">
        <v>54.8</v>
      </c>
      <c r="P640">
        <v>51.2</v>
      </c>
      <c r="Q640">
        <v>48.8</v>
      </c>
    </row>
    <row r="641" spans="1:17" x14ac:dyDescent="0.25">
      <c r="A641" s="2">
        <v>45565</v>
      </c>
      <c r="B641" s="2" t="str">
        <f t="shared" si="18"/>
        <v>Monday</v>
      </c>
      <c r="C641" s="2" t="b">
        <f t="shared" si="19"/>
        <v>0</v>
      </c>
      <c r="D641">
        <v>1</v>
      </c>
      <c r="E641" t="s">
        <v>5</v>
      </c>
      <c r="F641">
        <v>291</v>
      </c>
      <c r="G641" s="3">
        <v>5398.29</v>
      </c>
      <c r="H641" s="3">
        <f>Miami_Retail[[#This Row],[sales_usd]] / Miami_Retail[[#This Row],[customers]]</f>
        <v>18.550824742268041</v>
      </c>
      <c r="I641">
        <v>91.3</v>
      </c>
      <c r="J641">
        <f>(Miami_Retail[[#This Row],[avg_temp_f]]-32) * (5/9)</f>
        <v>32.944444444444443</v>
      </c>
      <c r="K641">
        <v>0</v>
      </c>
      <c r="L641">
        <v>0</v>
      </c>
      <c r="M641">
        <v>59.2</v>
      </c>
      <c r="N641">
        <v>46.5</v>
      </c>
      <c r="O641">
        <v>53.5</v>
      </c>
      <c r="P641">
        <v>45.1</v>
      </c>
      <c r="Q641">
        <v>54.9</v>
      </c>
    </row>
    <row r="642" spans="1:17" x14ac:dyDescent="0.25">
      <c r="A642" s="2">
        <v>45566</v>
      </c>
      <c r="B642" s="2" t="str">
        <f t="shared" ref="B642:B705" si="20">TEXT(A642, "dddd")</f>
        <v>Tuesday</v>
      </c>
      <c r="C642" s="2" t="b">
        <f t="shared" ref="C642:C705" si="21">IF(WEEKDAY(A642,2)&gt;5,TRUE,FALSE)</f>
        <v>0</v>
      </c>
      <c r="D642">
        <v>1</v>
      </c>
      <c r="E642" t="s">
        <v>5</v>
      </c>
      <c r="F642">
        <v>289</v>
      </c>
      <c r="G642" s="3">
        <v>5654.33</v>
      </c>
      <c r="H642" s="3">
        <f>Miami_Retail[[#This Row],[sales_usd]] / Miami_Retail[[#This Row],[customers]]</f>
        <v>19.565155709342559</v>
      </c>
      <c r="I642">
        <v>86.8</v>
      </c>
      <c r="J642">
        <f>(Miami_Retail[[#This Row],[avg_temp_f]]-32) * (5/9)</f>
        <v>30.444444444444443</v>
      </c>
      <c r="K642">
        <v>0</v>
      </c>
      <c r="L642">
        <v>0</v>
      </c>
      <c r="M642">
        <v>71</v>
      </c>
      <c r="N642">
        <v>47.3</v>
      </c>
      <c r="O642">
        <v>52.7</v>
      </c>
      <c r="P642">
        <v>43.9</v>
      </c>
      <c r="Q642">
        <v>56.1</v>
      </c>
    </row>
    <row r="643" spans="1:17" x14ac:dyDescent="0.25">
      <c r="A643" s="2">
        <v>45567</v>
      </c>
      <c r="B643" s="2" t="str">
        <f t="shared" si="20"/>
        <v>Wednesday</v>
      </c>
      <c r="C643" s="2" t="b">
        <f t="shared" si="21"/>
        <v>0</v>
      </c>
      <c r="D643">
        <v>1</v>
      </c>
      <c r="E643" t="s">
        <v>5</v>
      </c>
      <c r="F643">
        <v>319</v>
      </c>
      <c r="G643" s="3">
        <v>6049.48</v>
      </c>
      <c r="H643" s="3">
        <f>Miami_Retail[[#This Row],[sales_usd]] / Miami_Retail[[#This Row],[customers]]</f>
        <v>18.963887147335424</v>
      </c>
      <c r="I643">
        <v>88.1</v>
      </c>
      <c r="J643">
        <f>(Miami_Retail[[#This Row],[avg_temp_f]]-32) * (5/9)</f>
        <v>31.166666666666664</v>
      </c>
      <c r="K643">
        <v>0</v>
      </c>
      <c r="L643">
        <v>0</v>
      </c>
      <c r="M643">
        <v>73.8</v>
      </c>
      <c r="N643">
        <v>44.7</v>
      </c>
      <c r="O643">
        <v>55.3</v>
      </c>
      <c r="P643">
        <v>45.3</v>
      </c>
      <c r="Q643">
        <v>54.7</v>
      </c>
    </row>
    <row r="644" spans="1:17" x14ac:dyDescent="0.25">
      <c r="A644" s="2">
        <v>45568</v>
      </c>
      <c r="B644" s="2" t="str">
        <f t="shared" si="20"/>
        <v>Thursday</v>
      </c>
      <c r="C644" s="2" t="b">
        <f t="shared" si="21"/>
        <v>0</v>
      </c>
      <c r="D644">
        <v>1</v>
      </c>
      <c r="E644" t="s">
        <v>5</v>
      </c>
      <c r="F644">
        <v>367</v>
      </c>
      <c r="G644" s="3">
        <v>6566.35</v>
      </c>
      <c r="H644" s="3">
        <f>Miami_Retail[[#This Row],[sales_usd]] / Miami_Retail[[#This Row],[customers]]</f>
        <v>17.891961852861037</v>
      </c>
      <c r="I644">
        <v>94.9</v>
      </c>
      <c r="J644">
        <f>(Miami_Retail[[#This Row],[avg_temp_f]]-32) * (5/9)</f>
        <v>34.94444444444445</v>
      </c>
      <c r="K644">
        <v>0</v>
      </c>
      <c r="L644">
        <v>0</v>
      </c>
      <c r="M644">
        <v>64.900000000000006</v>
      </c>
      <c r="N644">
        <v>44.6</v>
      </c>
      <c r="O644">
        <v>55.4</v>
      </c>
      <c r="P644">
        <v>42.6</v>
      </c>
      <c r="Q644">
        <v>57.4</v>
      </c>
    </row>
    <row r="645" spans="1:17" x14ac:dyDescent="0.25">
      <c r="A645" s="2">
        <v>45569</v>
      </c>
      <c r="B645" s="2" t="str">
        <f t="shared" si="20"/>
        <v>Friday</v>
      </c>
      <c r="C645" s="2" t="b">
        <f t="shared" si="21"/>
        <v>0</v>
      </c>
      <c r="D645">
        <v>1</v>
      </c>
      <c r="E645" t="s">
        <v>5</v>
      </c>
      <c r="F645">
        <v>308</v>
      </c>
      <c r="G645" s="3">
        <v>5781.71</v>
      </c>
      <c r="H645" s="3">
        <f>Miami_Retail[[#This Row],[sales_usd]] / Miami_Retail[[#This Row],[customers]]</f>
        <v>18.771785714285713</v>
      </c>
      <c r="I645">
        <v>90</v>
      </c>
      <c r="J645">
        <f>(Miami_Retail[[#This Row],[avg_temp_f]]-32) * (5/9)</f>
        <v>32.222222222222221</v>
      </c>
      <c r="K645">
        <v>0</v>
      </c>
      <c r="L645">
        <v>0</v>
      </c>
      <c r="M645">
        <v>67.2</v>
      </c>
      <c r="N645">
        <v>48</v>
      </c>
      <c r="O645">
        <v>52</v>
      </c>
      <c r="P645">
        <v>44.5</v>
      </c>
      <c r="Q645">
        <v>55.5</v>
      </c>
    </row>
    <row r="646" spans="1:17" x14ac:dyDescent="0.25">
      <c r="A646" s="2">
        <v>45570</v>
      </c>
      <c r="B646" s="2" t="str">
        <f t="shared" si="20"/>
        <v>Saturday</v>
      </c>
      <c r="C646" s="2" t="b">
        <f t="shared" si="21"/>
        <v>1</v>
      </c>
      <c r="D646">
        <v>1</v>
      </c>
      <c r="E646" t="s">
        <v>5</v>
      </c>
      <c r="F646">
        <v>387</v>
      </c>
      <c r="G646" s="3">
        <v>7182.93</v>
      </c>
      <c r="H646" s="3">
        <f>Miami_Retail[[#This Row],[sales_usd]] / Miami_Retail[[#This Row],[customers]]</f>
        <v>18.560542635658916</v>
      </c>
      <c r="I646">
        <v>94.9</v>
      </c>
      <c r="J646">
        <f>(Miami_Retail[[#This Row],[avg_temp_f]]-32) * (5/9)</f>
        <v>34.94444444444445</v>
      </c>
      <c r="K646">
        <v>0</v>
      </c>
      <c r="L646">
        <v>0</v>
      </c>
      <c r="M646">
        <v>77.7</v>
      </c>
      <c r="N646">
        <v>46.6</v>
      </c>
      <c r="O646">
        <v>53.4</v>
      </c>
      <c r="P646">
        <v>49.6</v>
      </c>
      <c r="Q646">
        <v>50.4</v>
      </c>
    </row>
    <row r="647" spans="1:17" x14ac:dyDescent="0.25">
      <c r="A647" s="2">
        <v>45571</v>
      </c>
      <c r="B647" s="2" t="str">
        <f t="shared" si="20"/>
        <v>Sunday</v>
      </c>
      <c r="C647" s="2" t="b">
        <f t="shared" si="21"/>
        <v>1</v>
      </c>
      <c r="D647">
        <v>1</v>
      </c>
      <c r="E647" t="s">
        <v>5</v>
      </c>
      <c r="F647">
        <v>362</v>
      </c>
      <c r="G647" s="3">
        <v>6494.65</v>
      </c>
      <c r="H647" s="3">
        <f>Miami_Retail[[#This Row],[sales_usd]] / Miami_Retail[[#This Row],[customers]]</f>
        <v>17.941022099447512</v>
      </c>
      <c r="I647">
        <v>88</v>
      </c>
      <c r="J647">
        <f>(Miami_Retail[[#This Row],[avg_temp_f]]-32) * (5/9)</f>
        <v>31.111111111111114</v>
      </c>
      <c r="K647">
        <v>0</v>
      </c>
      <c r="L647">
        <v>0</v>
      </c>
      <c r="M647">
        <v>63.1</v>
      </c>
      <c r="N647">
        <v>45.4</v>
      </c>
      <c r="O647">
        <v>54.6</v>
      </c>
      <c r="P647">
        <v>48.1</v>
      </c>
      <c r="Q647">
        <v>51.9</v>
      </c>
    </row>
    <row r="648" spans="1:17" x14ac:dyDescent="0.25">
      <c r="A648" s="2">
        <v>45572</v>
      </c>
      <c r="B648" s="2" t="str">
        <f t="shared" si="20"/>
        <v>Monday</v>
      </c>
      <c r="C648" s="2" t="b">
        <f t="shared" si="21"/>
        <v>0</v>
      </c>
      <c r="D648">
        <v>1</v>
      </c>
      <c r="E648" t="s">
        <v>5</v>
      </c>
      <c r="F648">
        <v>317</v>
      </c>
      <c r="G648" s="3">
        <v>5953.32</v>
      </c>
      <c r="H648" s="3">
        <f>Miami_Retail[[#This Row],[sales_usd]] / Miami_Retail[[#This Row],[customers]]</f>
        <v>18.780189274447949</v>
      </c>
      <c r="I648">
        <v>89</v>
      </c>
      <c r="J648">
        <f>(Miami_Retail[[#This Row],[avg_temp_f]]-32) * (5/9)</f>
        <v>31.666666666666668</v>
      </c>
      <c r="K648">
        <v>0</v>
      </c>
      <c r="L648">
        <v>0</v>
      </c>
      <c r="M648">
        <v>72.2</v>
      </c>
      <c r="N648">
        <v>47.2</v>
      </c>
      <c r="O648">
        <v>52.8</v>
      </c>
      <c r="P648">
        <v>44</v>
      </c>
      <c r="Q648">
        <v>56</v>
      </c>
    </row>
    <row r="649" spans="1:17" x14ac:dyDescent="0.25">
      <c r="A649" s="2">
        <v>45573</v>
      </c>
      <c r="B649" s="2" t="str">
        <f t="shared" si="20"/>
        <v>Tuesday</v>
      </c>
      <c r="C649" s="2" t="b">
        <f t="shared" si="21"/>
        <v>0</v>
      </c>
      <c r="D649">
        <v>1</v>
      </c>
      <c r="E649" t="s">
        <v>5</v>
      </c>
      <c r="F649">
        <v>318</v>
      </c>
      <c r="G649" s="3">
        <v>6164.25</v>
      </c>
      <c r="H649" s="3">
        <f>Miami_Retail[[#This Row],[sales_usd]] / Miami_Retail[[#This Row],[customers]]</f>
        <v>19.384433962264151</v>
      </c>
      <c r="I649">
        <v>90.1</v>
      </c>
      <c r="J649">
        <f>(Miami_Retail[[#This Row],[avg_temp_f]]-32) * (5/9)</f>
        <v>32.277777777777779</v>
      </c>
      <c r="K649">
        <v>0</v>
      </c>
      <c r="L649">
        <v>0</v>
      </c>
      <c r="M649">
        <v>72.900000000000006</v>
      </c>
      <c r="N649">
        <v>47.7</v>
      </c>
      <c r="O649">
        <v>52.3</v>
      </c>
      <c r="P649">
        <v>46.2</v>
      </c>
      <c r="Q649">
        <v>53.8</v>
      </c>
    </row>
    <row r="650" spans="1:17" x14ac:dyDescent="0.25">
      <c r="A650" s="2">
        <v>45574</v>
      </c>
      <c r="B650" s="2" t="str">
        <f t="shared" si="20"/>
        <v>Wednesday</v>
      </c>
      <c r="C650" s="2" t="b">
        <f t="shared" si="21"/>
        <v>0</v>
      </c>
      <c r="D650">
        <v>1</v>
      </c>
      <c r="E650" t="s">
        <v>5</v>
      </c>
      <c r="F650">
        <v>331</v>
      </c>
      <c r="G650" s="3">
        <v>6019.84</v>
      </c>
      <c r="H650" s="3">
        <f>Miami_Retail[[#This Row],[sales_usd]] / Miami_Retail[[#This Row],[customers]]</f>
        <v>18.186827794561935</v>
      </c>
      <c r="I650">
        <v>86.9</v>
      </c>
      <c r="J650">
        <f>(Miami_Retail[[#This Row],[avg_temp_f]]-32) * (5/9)</f>
        <v>30.500000000000004</v>
      </c>
      <c r="K650">
        <v>0</v>
      </c>
      <c r="L650">
        <v>0</v>
      </c>
      <c r="M650">
        <v>69.400000000000006</v>
      </c>
      <c r="N650">
        <v>46.8</v>
      </c>
      <c r="O650">
        <v>53.2</v>
      </c>
      <c r="P650">
        <v>43.4</v>
      </c>
      <c r="Q650">
        <v>56.6</v>
      </c>
    </row>
    <row r="651" spans="1:17" x14ac:dyDescent="0.25">
      <c r="A651" s="2">
        <v>45575</v>
      </c>
      <c r="B651" s="2" t="str">
        <f t="shared" si="20"/>
        <v>Thursday</v>
      </c>
      <c r="C651" s="2" t="b">
        <f t="shared" si="21"/>
        <v>0</v>
      </c>
      <c r="D651">
        <v>1</v>
      </c>
      <c r="E651" t="s">
        <v>5</v>
      </c>
      <c r="F651">
        <v>327</v>
      </c>
      <c r="G651" s="3">
        <v>6085.93</v>
      </c>
      <c r="H651" s="3">
        <f>Miami_Retail[[#This Row],[sales_usd]] / Miami_Retail[[#This Row],[customers]]</f>
        <v>18.611406727828747</v>
      </c>
      <c r="I651">
        <v>87.9</v>
      </c>
      <c r="J651">
        <f>(Miami_Retail[[#This Row],[avg_temp_f]]-32) * (5/9)</f>
        <v>31.055555555555561</v>
      </c>
      <c r="K651">
        <v>0.08</v>
      </c>
      <c r="L651">
        <v>1</v>
      </c>
      <c r="M651">
        <v>73.2</v>
      </c>
      <c r="N651">
        <v>45.4</v>
      </c>
      <c r="O651">
        <v>54.6</v>
      </c>
      <c r="P651">
        <v>44.7</v>
      </c>
      <c r="Q651">
        <v>55.3</v>
      </c>
    </row>
    <row r="652" spans="1:17" x14ac:dyDescent="0.25">
      <c r="A652" s="2">
        <v>45576</v>
      </c>
      <c r="B652" s="2" t="str">
        <f t="shared" si="20"/>
        <v>Friday</v>
      </c>
      <c r="C652" s="2" t="b">
        <f t="shared" si="21"/>
        <v>0</v>
      </c>
      <c r="D652">
        <v>1</v>
      </c>
      <c r="E652" t="s">
        <v>5</v>
      </c>
      <c r="F652">
        <v>279</v>
      </c>
      <c r="G652" s="3">
        <v>5163.05</v>
      </c>
      <c r="H652" s="3">
        <f>Miami_Retail[[#This Row],[sales_usd]] / Miami_Retail[[#This Row],[customers]]</f>
        <v>18.505555555555556</v>
      </c>
      <c r="I652">
        <v>83.1</v>
      </c>
      <c r="J652">
        <f>(Miami_Retail[[#This Row],[avg_temp_f]]-32) * (5/9)</f>
        <v>28.388888888888886</v>
      </c>
      <c r="K652">
        <v>0</v>
      </c>
      <c r="L652">
        <v>0</v>
      </c>
      <c r="M652">
        <v>80.3</v>
      </c>
      <c r="N652">
        <v>45.3</v>
      </c>
      <c r="O652">
        <v>54.7</v>
      </c>
      <c r="P652">
        <v>43.2</v>
      </c>
      <c r="Q652">
        <v>56.8</v>
      </c>
    </row>
    <row r="653" spans="1:17" x14ac:dyDescent="0.25">
      <c r="A653" s="2">
        <v>45577</v>
      </c>
      <c r="B653" s="2" t="str">
        <f t="shared" si="20"/>
        <v>Saturday</v>
      </c>
      <c r="C653" s="2" t="b">
        <f t="shared" si="21"/>
        <v>1</v>
      </c>
      <c r="D653">
        <v>1</v>
      </c>
      <c r="E653" t="s">
        <v>5</v>
      </c>
      <c r="F653">
        <v>364</v>
      </c>
      <c r="G653" s="3">
        <v>6686.99</v>
      </c>
      <c r="H653" s="3">
        <f>Miami_Retail[[#This Row],[sales_usd]] / Miami_Retail[[#This Row],[customers]]</f>
        <v>18.370851648351646</v>
      </c>
      <c r="I653">
        <v>87.8</v>
      </c>
      <c r="J653">
        <f>(Miami_Retail[[#This Row],[avg_temp_f]]-32) * (5/9)</f>
        <v>31</v>
      </c>
      <c r="K653">
        <v>0</v>
      </c>
      <c r="L653">
        <v>0</v>
      </c>
      <c r="M653">
        <v>78.8</v>
      </c>
      <c r="N653">
        <v>45.3</v>
      </c>
      <c r="O653">
        <v>54.7</v>
      </c>
      <c r="P653">
        <v>49.4</v>
      </c>
      <c r="Q653">
        <v>50.6</v>
      </c>
    </row>
    <row r="654" spans="1:17" x14ac:dyDescent="0.25">
      <c r="A654" s="2">
        <v>45578</v>
      </c>
      <c r="B654" s="2" t="str">
        <f t="shared" si="20"/>
        <v>Sunday</v>
      </c>
      <c r="C654" s="2" t="b">
        <f t="shared" si="21"/>
        <v>1</v>
      </c>
      <c r="D654">
        <v>1</v>
      </c>
      <c r="E654" t="s">
        <v>5</v>
      </c>
      <c r="F654">
        <v>356</v>
      </c>
      <c r="G654" s="3">
        <v>6008.56</v>
      </c>
      <c r="H654" s="3">
        <f>Miami_Retail[[#This Row],[sales_usd]] / Miami_Retail[[#This Row],[customers]]</f>
        <v>16.87797752808989</v>
      </c>
      <c r="I654">
        <v>87.7</v>
      </c>
      <c r="J654">
        <f>(Miami_Retail[[#This Row],[avg_temp_f]]-32) * (5/9)</f>
        <v>30.944444444444446</v>
      </c>
      <c r="K654">
        <v>0</v>
      </c>
      <c r="L654">
        <v>0</v>
      </c>
      <c r="M654">
        <v>71.8</v>
      </c>
      <c r="N654">
        <v>44.2</v>
      </c>
      <c r="O654">
        <v>55.8</v>
      </c>
      <c r="P654">
        <v>50.3</v>
      </c>
      <c r="Q654">
        <v>49.7</v>
      </c>
    </row>
    <row r="655" spans="1:17" x14ac:dyDescent="0.25">
      <c r="A655" s="2">
        <v>45579</v>
      </c>
      <c r="B655" s="2" t="str">
        <f t="shared" si="20"/>
        <v>Monday</v>
      </c>
      <c r="C655" s="2" t="b">
        <f t="shared" si="21"/>
        <v>0</v>
      </c>
      <c r="D655">
        <v>1</v>
      </c>
      <c r="E655" t="s">
        <v>5</v>
      </c>
      <c r="F655">
        <v>284</v>
      </c>
      <c r="G655" s="3">
        <v>4922.3</v>
      </c>
      <c r="H655" s="3">
        <f>Miami_Retail[[#This Row],[sales_usd]] / Miami_Retail[[#This Row],[customers]]</f>
        <v>17.332042253521127</v>
      </c>
      <c r="I655">
        <v>86.3</v>
      </c>
      <c r="J655">
        <f>(Miami_Retail[[#This Row],[avg_temp_f]]-32) * (5/9)</f>
        <v>30.166666666666668</v>
      </c>
      <c r="K655">
        <v>0</v>
      </c>
      <c r="L655">
        <v>0</v>
      </c>
      <c r="M655">
        <v>63.6</v>
      </c>
      <c r="N655">
        <v>46.7</v>
      </c>
      <c r="O655">
        <v>53.3</v>
      </c>
      <c r="P655">
        <v>42.6</v>
      </c>
      <c r="Q655">
        <v>57.4</v>
      </c>
    </row>
    <row r="656" spans="1:17" x14ac:dyDescent="0.25">
      <c r="A656" s="2">
        <v>45580</v>
      </c>
      <c r="B656" s="2" t="str">
        <f t="shared" si="20"/>
        <v>Tuesday</v>
      </c>
      <c r="C656" s="2" t="b">
        <f t="shared" si="21"/>
        <v>0</v>
      </c>
      <c r="D656">
        <v>1</v>
      </c>
      <c r="E656" t="s">
        <v>5</v>
      </c>
      <c r="F656">
        <v>315</v>
      </c>
      <c r="G656" s="3">
        <v>5944.26</v>
      </c>
      <c r="H656" s="3">
        <f>Miami_Retail[[#This Row],[sales_usd]] / Miami_Retail[[#This Row],[customers]]</f>
        <v>18.870666666666668</v>
      </c>
      <c r="I656">
        <v>88.5</v>
      </c>
      <c r="J656">
        <f>(Miami_Retail[[#This Row],[avg_temp_f]]-32) * (5/9)</f>
        <v>31.388888888888889</v>
      </c>
      <c r="K656">
        <v>0</v>
      </c>
      <c r="L656">
        <v>0</v>
      </c>
      <c r="M656">
        <v>63.3</v>
      </c>
      <c r="N656">
        <v>45.5</v>
      </c>
      <c r="O656">
        <v>54.5</v>
      </c>
      <c r="P656">
        <v>44.4</v>
      </c>
      <c r="Q656">
        <v>55.6</v>
      </c>
    </row>
    <row r="657" spans="1:17" x14ac:dyDescent="0.25">
      <c r="A657" s="2">
        <v>45581</v>
      </c>
      <c r="B657" s="2" t="str">
        <f t="shared" si="20"/>
        <v>Wednesday</v>
      </c>
      <c r="C657" s="2" t="b">
        <f t="shared" si="21"/>
        <v>0</v>
      </c>
      <c r="D657">
        <v>1</v>
      </c>
      <c r="E657" t="s">
        <v>5</v>
      </c>
      <c r="F657">
        <v>366</v>
      </c>
      <c r="G657" s="3">
        <v>6279.03</v>
      </c>
      <c r="H657" s="3">
        <f>Miami_Retail[[#This Row],[sales_usd]] / Miami_Retail[[#This Row],[customers]]</f>
        <v>17.155819672131148</v>
      </c>
      <c r="I657">
        <v>96.1</v>
      </c>
      <c r="J657">
        <f>(Miami_Retail[[#This Row],[avg_temp_f]]-32) * (5/9)</f>
        <v>35.611111111111107</v>
      </c>
      <c r="K657">
        <v>0</v>
      </c>
      <c r="L657">
        <v>0</v>
      </c>
      <c r="M657">
        <v>68.900000000000006</v>
      </c>
      <c r="N657">
        <v>45.3</v>
      </c>
      <c r="O657">
        <v>54.7</v>
      </c>
      <c r="P657">
        <v>45.2</v>
      </c>
      <c r="Q657">
        <v>54.8</v>
      </c>
    </row>
    <row r="658" spans="1:17" x14ac:dyDescent="0.25">
      <c r="A658" s="2">
        <v>45582</v>
      </c>
      <c r="B658" s="2" t="str">
        <f t="shared" si="20"/>
        <v>Thursday</v>
      </c>
      <c r="C658" s="2" t="b">
        <f t="shared" si="21"/>
        <v>0</v>
      </c>
      <c r="D658">
        <v>1</v>
      </c>
      <c r="E658" t="s">
        <v>5</v>
      </c>
      <c r="F658">
        <v>308</v>
      </c>
      <c r="G658" s="3">
        <v>5809.35</v>
      </c>
      <c r="H658" s="3">
        <f>Miami_Retail[[#This Row],[sales_usd]] / Miami_Retail[[#This Row],[customers]]</f>
        <v>18.861525974025977</v>
      </c>
      <c r="I658">
        <v>88.8</v>
      </c>
      <c r="J658">
        <f>(Miami_Retail[[#This Row],[avg_temp_f]]-32) * (5/9)</f>
        <v>31.555555555555557</v>
      </c>
      <c r="K658">
        <v>0</v>
      </c>
      <c r="L658">
        <v>0</v>
      </c>
      <c r="M658">
        <v>70</v>
      </c>
      <c r="N658">
        <v>45.7</v>
      </c>
      <c r="O658">
        <v>54.3</v>
      </c>
      <c r="P658">
        <v>43.5</v>
      </c>
      <c r="Q658">
        <v>56.5</v>
      </c>
    </row>
    <row r="659" spans="1:17" x14ac:dyDescent="0.25">
      <c r="A659" s="2">
        <v>45583</v>
      </c>
      <c r="B659" s="2" t="str">
        <f t="shared" si="20"/>
        <v>Friday</v>
      </c>
      <c r="C659" s="2" t="b">
        <f t="shared" si="21"/>
        <v>0</v>
      </c>
      <c r="D659">
        <v>1</v>
      </c>
      <c r="E659" t="s">
        <v>5</v>
      </c>
      <c r="F659">
        <v>327</v>
      </c>
      <c r="G659" s="3">
        <v>6257.16</v>
      </c>
      <c r="H659" s="3">
        <f>Miami_Retail[[#This Row],[sales_usd]] / Miami_Retail[[#This Row],[customers]]</f>
        <v>19.135045871559633</v>
      </c>
      <c r="I659">
        <v>89.4</v>
      </c>
      <c r="J659">
        <f>(Miami_Retail[[#This Row],[avg_temp_f]]-32) * (5/9)</f>
        <v>31.888888888888893</v>
      </c>
      <c r="K659">
        <v>0</v>
      </c>
      <c r="L659">
        <v>0</v>
      </c>
      <c r="M659">
        <v>78.400000000000006</v>
      </c>
      <c r="N659">
        <v>46.3</v>
      </c>
      <c r="O659">
        <v>53.7</v>
      </c>
      <c r="P659">
        <v>43.9</v>
      </c>
      <c r="Q659">
        <v>56.1</v>
      </c>
    </row>
    <row r="660" spans="1:17" x14ac:dyDescent="0.25">
      <c r="A660" s="2">
        <v>45584</v>
      </c>
      <c r="B660" s="2" t="str">
        <f t="shared" si="20"/>
        <v>Saturday</v>
      </c>
      <c r="C660" s="2" t="b">
        <f t="shared" si="21"/>
        <v>1</v>
      </c>
      <c r="D660">
        <v>1</v>
      </c>
      <c r="E660" t="s">
        <v>5</v>
      </c>
      <c r="F660">
        <v>350</v>
      </c>
      <c r="G660" s="3">
        <v>6283.84</v>
      </c>
      <c r="H660" s="3">
        <f>Miami_Retail[[#This Row],[sales_usd]] / Miami_Retail[[#This Row],[customers]]</f>
        <v>17.953828571428573</v>
      </c>
      <c r="I660">
        <v>88.6</v>
      </c>
      <c r="J660">
        <f>(Miami_Retail[[#This Row],[avg_temp_f]]-32) * (5/9)</f>
        <v>31.444444444444443</v>
      </c>
      <c r="K660">
        <v>0</v>
      </c>
      <c r="L660">
        <v>0</v>
      </c>
      <c r="M660">
        <v>69.599999999999994</v>
      </c>
      <c r="N660">
        <v>46.5</v>
      </c>
      <c r="O660">
        <v>53.5</v>
      </c>
      <c r="P660">
        <v>50.7</v>
      </c>
      <c r="Q660">
        <v>49.3</v>
      </c>
    </row>
    <row r="661" spans="1:17" x14ac:dyDescent="0.25">
      <c r="A661" s="2">
        <v>45585</v>
      </c>
      <c r="B661" s="2" t="str">
        <f t="shared" si="20"/>
        <v>Sunday</v>
      </c>
      <c r="C661" s="2" t="b">
        <f t="shared" si="21"/>
        <v>1</v>
      </c>
      <c r="D661">
        <v>1</v>
      </c>
      <c r="E661" t="s">
        <v>5</v>
      </c>
      <c r="F661">
        <v>353</v>
      </c>
      <c r="G661" s="3">
        <v>6887.8</v>
      </c>
      <c r="H661" s="3">
        <f>Miami_Retail[[#This Row],[sales_usd]] / Miami_Retail[[#This Row],[customers]]</f>
        <v>19.512181303116147</v>
      </c>
      <c r="I661">
        <v>87.6</v>
      </c>
      <c r="J661">
        <f>(Miami_Retail[[#This Row],[avg_temp_f]]-32) * (5/9)</f>
        <v>30.888888888888886</v>
      </c>
      <c r="K661">
        <v>0</v>
      </c>
      <c r="L661">
        <v>0</v>
      </c>
      <c r="M661">
        <v>75</v>
      </c>
      <c r="N661">
        <v>46.2</v>
      </c>
      <c r="O661">
        <v>53.8</v>
      </c>
      <c r="P661">
        <v>51.6</v>
      </c>
      <c r="Q661">
        <v>48.4</v>
      </c>
    </row>
    <row r="662" spans="1:17" x14ac:dyDescent="0.25">
      <c r="A662" s="2">
        <v>45586</v>
      </c>
      <c r="B662" s="2" t="str">
        <f t="shared" si="20"/>
        <v>Monday</v>
      </c>
      <c r="C662" s="2" t="b">
        <f t="shared" si="21"/>
        <v>0</v>
      </c>
      <c r="D662">
        <v>1</v>
      </c>
      <c r="E662" t="s">
        <v>5</v>
      </c>
      <c r="F662">
        <v>332</v>
      </c>
      <c r="G662" s="3">
        <v>6459.94</v>
      </c>
      <c r="H662" s="3">
        <f>Miami_Retail[[#This Row],[sales_usd]] / Miami_Retail[[#This Row],[customers]]</f>
        <v>19.457650602409636</v>
      </c>
      <c r="I662">
        <v>87.5</v>
      </c>
      <c r="J662">
        <f>(Miami_Retail[[#This Row],[avg_temp_f]]-32) * (5/9)</f>
        <v>30.833333333333336</v>
      </c>
      <c r="K662">
        <v>0</v>
      </c>
      <c r="L662">
        <v>0</v>
      </c>
      <c r="M662">
        <v>63.4</v>
      </c>
      <c r="N662">
        <v>44.4</v>
      </c>
      <c r="O662">
        <v>55.6</v>
      </c>
      <c r="P662">
        <v>43.3</v>
      </c>
      <c r="Q662">
        <v>56.7</v>
      </c>
    </row>
    <row r="663" spans="1:17" x14ac:dyDescent="0.25">
      <c r="A663" s="2">
        <v>45587</v>
      </c>
      <c r="B663" s="2" t="str">
        <f t="shared" si="20"/>
        <v>Tuesday</v>
      </c>
      <c r="C663" s="2" t="b">
        <f t="shared" si="21"/>
        <v>0</v>
      </c>
      <c r="D663">
        <v>1</v>
      </c>
      <c r="E663" t="s">
        <v>5</v>
      </c>
      <c r="F663">
        <v>301</v>
      </c>
      <c r="G663" s="3">
        <v>6076.39</v>
      </c>
      <c r="H663" s="3">
        <f>Miami_Retail[[#This Row],[sales_usd]] / Miami_Retail[[#This Row],[customers]]</f>
        <v>20.18734219269103</v>
      </c>
      <c r="I663">
        <v>86</v>
      </c>
      <c r="J663">
        <f>(Miami_Retail[[#This Row],[avg_temp_f]]-32) * (5/9)</f>
        <v>30</v>
      </c>
      <c r="K663">
        <v>0</v>
      </c>
      <c r="L663">
        <v>0</v>
      </c>
      <c r="M663">
        <v>59.2</v>
      </c>
      <c r="N663">
        <v>46.2</v>
      </c>
      <c r="O663">
        <v>53.8</v>
      </c>
      <c r="P663">
        <v>43.5</v>
      </c>
      <c r="Q663">
        <v>56.5</v>
      </c>
    </row>
    <row r="664" spans="1:17" x14ac:dyDescent="0.25">
      <c r="A664" s="2">
        <v>45588</v>
      </c>
      <c r="B664" s="2" t="str">
        <f t="shared" si="20"/>
        <v>Wednesday</v>
      </c>
      <c r="C664" s="2" t="b">
        <f t="shared" si="21"/>
        <v>0</v>
      </c>
      <c r="D664">
        <v>1</v>
      </c>
      <c r="E664" t="s">
        <v>5</v>
      </c>
      <c r="F664">
        <v>328</v>
      </c>
      <c r="G664" s="3">
        <v>5823.5</v>
      </c>
      <c r="H664" s="3">
        <f>Miami_Retail[[#This Row],[sales_usd]] / Miami_Retail[[#This Row],[customers]]</f>
        <v>17.754573170731707</v>
      </c>
      <c r="I664">
        <v>90.4</v>
      </c>
      <c r="J664">
        <f>(Miami_Retail[[#This Row],[avg_temp_f]]-32) * (5/9)</f>
        <v>32.44444444444445</v>
      </c>
      <c r="K664">
        <v>0.52</v>
      </c>
      <c r="L664">
        <v>1</v>
      </c>
      <c r="M664">
        <v>70.400000000000006</v>
      </c>
      <c r="N664">
        <v>46.9</v>
      </c>
      <c r="O664">
        <v>53.1</v>
      </c>
      <c r="P664">
        <v>45.2</v>
      </c>
      <c r="Q664">
        <v>54.8</v>
      </c>
    </row>
    <row r="665" spans="1:17" x14ac:dyDescent="0.25">
      <c r="A665" s="2">
        <v>45589</v>
      </c>
      <c r="B665" s="2" t="str">
        <f t="shared" si="20"/>
        <v>Thursday</v>
      </c>
      <c r="C665" s="2" t="b">
        <f t="shared" si="21"/>
        <v>0</v>
      </c>
      <c r="D665">
        <v>1</v>
      </c>
      <c r="E665" t="s">
        <v>5</v>
      </c>
      <c r="F665">
        <v>290</v>
      </c>
      <c r="G665" s="3">
        <v>5206.3900000000003</v>
      </c>
      <c r="H665" s="3">
        <f>Miami_Retail[[#This Row],[sales_usd]] / Miami_Retail[[#This Row],[customers]]</f>
        <v>17.953068965517243</v>
      </c>
      <c r="I665">
        <v>88.1</v>
      </c>
      <c r="J665">
        <f>(Miami_Retail[[#This Row],[avg_temp_f]]-32) * (5/9)</f>
        <v>31.166666666666664</v>
      </c>
      <c r="K665">
        <v>0</v>
      </c>
      <c r="L665">
        <v>0</v>
      </c>
      <c r="M665">
        <v>66.2</v>
      </c>
      <c r="N665">
        <v>47.4</v>
      </c>
      <c r="O665">
        <v>52.6</v>
      </c>
      <c r="P665">
        <v>44</v>
      </c>
      <c r="Q665">
        <v>56</v>
      </c>
    </row>
    <row r="666" spans="1:17" x14ac:dyDescent="0.25">
      <c r="A666" s="2">
        <v>45590</v>
      </c>
      <c r="B666" s="2" t="str">
        <f t="shared" si="20"/>
        <v>Friday</v>
      </c>
      <c r="C666" s="2" t="b">
        <f t="shared" si="21"/>
        <v>0</v>
      </c>
      <c r="D666">
        <v>1</v>
      </c>
      <c r="E666" t="s">
        <v>5</v>
      </c>
      <c r="F666">
        <v>347</v>
      </c>
      <c r="G666" s="3">
        <v>6848.19</v>
      </c>
      <c r="H666" s="3">
        <f>Miami_Retail[[#This Row],[sales_usd]] / Miami_Retail[[#This Row],[customers]]</f>
        <v>19.735417867435157</v>
      </c>
      <c r="I666">
        <v>87.7</v>
      </c>
      <c r="J666">
        <f>(Miami_Retail[[#This Row],[avg_temp_f]]-32) * (5/9)</f>
        <v>30.944444444444446</v>
      </c>
      <c r="K666">
        <v>0</v>
      </c>
      <c r="L666">
        <v>0</v>
      </c>
      <c r="M666">
        <v>67.099999999999994</v>
      </c>
      <c r="N666">
        <v>45.4</v>
      </c>
      <c r="O666">
        <v>54.6</v>
      </c>
      <c r="P666">
        <v>43.4</v>
      </c>
      <c r="Q666">
        <v>56.6</v>
      </c>
    </row>
    <row r="667" spans="1:17" x14ac:dyDescent="0.25">
      <c r="A667" s="2">
        <v>45591</v>
      </c>
      <c r="B667" s="2" t="str">
        <f t="shared" si="20"/>
        <v>Saturday</v>
      </c>
      <c r="C667" s="2" t="b">
        <f t="shared" si="21"/>
        <v>1</v>
      </c>
      <c r="D667">
        <v>1</v>
      </c>
      <c r="E667" t="s">
        <v>5</v>
      </c>
      <c r="F667">
        <v>325</v>
      </c>
      <c r="G667" s="3">
        <v>6186.46</v>
      </c>
      <c r="H667" s="3">
        <f>Miami_Retail[[#This Row],[sales_usd]] / Miami_Retail[[#This Row],[customers]]</f>
        <v>19.035261538461537</v>
      </c>
      <c r="I667">
        <v>82.8</v>
      </c>
      <c r="J667">
        <f>(Miami_Retail[[#This Row],[avg_temp_f]]-32) * (5/9)</f>
        <v>28.222222222222221</v>
      </c>
      <c r="K667">
        <v>0</v>
      </c>
      <c r="L667">
        <v>0</v>
      </c>
      <c r="M667">
        <v>69.8</v>
      </c>
      <c r="N667">
        <v>46.4</v>
      </c>
      <c r="O667">
        <v>53.6</v>
      </c>
      <c r="P667">
        <v>50.9</v>
      </c>
      <c r="Q667">
        <v>49.1</v>
      </c>
    </row>
    <row r="668" spans="1:17" x14ac:dyDescent="0.25">
      <c r="A668" s="2">
        <v>45592</v>
      </c>
      <c r="B668" s="2" t="str">
        <f t="shared" si="20"/>
        <v>Sunday</v>
      </c>
      <c r="C668" s="2" t="b">
        <f t="shared" si="21"/>
        <v>1</v>
      </c>
      <c r="D668">
        <v>1</v>
      </c>
      <c r="E668" t="s">
        <v>5</v>
      </c>
      <c r="F668">
        <v>368</v>
      </c>
      <c r="G668" s="3">
        <v>6915.67</v>
      </c>
      <c r="H668" s="3">
        <f>Miami_Retail[[#This Row],[sales_usd]] / Miami_Retail[[#This Row],[customers]]</f>
        <v>18.79258152173913</v>
      </c>
      <c r="I668">
        <v>85.7</v>
      </c>
      <c r="J668">
        <f>(Miami_Retail[[#This Row],[avg_temp_f]]-32) * (5/9)</f>
        <v>29.833333333333336</v>
      </c>
      <c r="K668">
        <v>0.14000000000000001</v>
      </c>
      <c r="L668">
        <v>1</v>
      </c>
      <c r="M668">
        <v>65.099999999999994</v>
      </c>
      <c r="N668">
        <v>45.1</v>
      </c>
      <c r="O668">
        <v>54.9</v>
      </c>
      <c r="P668">
        <v>48.8</v>
      </c>
      <c r="Q668">
        <v>51.2</v>
      </c>
    </row>
    <row r="669" spans="1:17" x14ac:dyDescent="0.25">
      <c r="A669" s="2">
        <v>45593</v>
      </c>
      <c r="B669" s="2" t="str">
        <f t="shared" si="20"/>
        <v>Monday</v>
      </c>
      <c r="C669" s="2" t="b">
        <f t="shared" si="21"/>
        <v>0</v>
      </c>
      <c r="D669">
        <v>1</v>
      </c>
      <c r="E669" t="s">
        <v>5</v>
      </c>
      <c r="F669">
        <v>305</v>
      </c>
      <c r="G669" s="3">
        <v>5172.2299999999996</v>
      </c>
      <c r="H669" s="3">
        <f>Miami_Retail[[#This Row],[sales_usd]] / Miami_Retail[[#This Row],[customers]]</f>
        <v>16.958131147540982</v>
      </c>
      <c r="I669">
        <v>87.5</v>
      </c>
      <c r="J669">
        <f>(Miami_Retail[[#This Row],[avg_temp_f]]-32) * (5/9)</f>
        <v>30.833333333333336</v>
      </c>
      <c r="K669">
        <v>0</v>
      </c>
      <c r="L669">
        <v>0</v>
      </c>
      <c r="M669">
        <v>66.3</v>
      </c>
      <c r="N669">
        <v>44.6</v>
      </c>
      <c r="O669">
        <v>55.4</v>
      </c>
      <c r="P669">
        <v>45.3</v>
      </c>
      <c r="Q669">
        <v>54.7</v>
      </c>
    </row>
    <row r="670" spans="1:17" x14ac:dyDescent="0.25">
      <c r="A670" s="2">
        <v>45594</v>
      </c>
      <c r="B670" s="2" t="str">
        <f t="shared" si="20"/>
        <v>Tuesday</v>
      </c>
      <c r="C670" s="2" t="b">
        <f t="shared" si="21"/>
        <v>0</v>
      </c>
      <c r="D670">
        <v>1</v>
      </c>
      <c r="E670" t="s">
        <v>5</v>
      </c>
      <c r="F670">
        <v>320</v>
      </c>
      <c r="G670" s="3">
        <v>5286.88</v>
      </c>
      <c r="H670" s="3">
        <f>Miami_Retail[[#This Row],[sales_usd]] / Miami_Retail[[#This Row],[customers]]</f>
        <v>16.5215</v>
      </c>
      <c r="I670">
        <v>90.1</v>
      </c>
      <c r="J670">
        <f>(Miami_Retail[[#This Row],[avg_temp_f]]-32) * (5/9)</f>
        <v>32.277777777777779</v>
      </c>
      <c r="K670">
        <v>0</v>
      </c>
      <c r="L670">
        <v>0</v>
      </c>
      <c r="M670">
        <v>61.6</v>
      </c>
      <c r="N670">
        <v>46.8</v>
      </c>
      <c r="O670">
        <v>53.2</v>
      </c>
      <c r="P670">
        <v>45</v>
      </c>
      <c r="Q670">
        <v>55</v>
      </c>
    </row>
    <row r="671" spans="1:17" x14ac:dyDescent="0.25">
      <c r="A671" s="2">
        <v>45595</v>
      </c>
      <c r="B671" s="2" t="str">
        <f t="shared" si="20"/>
        <v>Wednesday</v>
      </c>
      <c r="C671" s="2" t="b">
        <f t="shared" si="21"/>
        <v>0</v>
      </c>
      <c r="D671">
        <v>1</v>
      </c>
      <c r="E671" t="s">
        <v>5</v>
      </c>
      <c r="F671">
        <v>285</v>
      </c>
      <c r="G671" s="3">
        <v>5184.08</v>
      </c>
      <c r="H671" s="3">
        <f>Miami_Retail[[#This Row],[sales_usd]] / Miami_Retail[[#This Row],[customers]]</f>
        <v>18.18975438596491</v>
      </c>
      <c r="I671">
        <v>83.3</v>
      </c>
      <c r="J671">
        <f>(Miami_Retail[[#This Row],[avg_temp_f]]-32) * (5/9)</f>
        <v>28.5</v>
      </c>
      <c r="K671">
        <v>1.25</v>
      </c>
      <c r="L671">
        <v>1</v>
      </c>
      <c r="M671">
        <v>66</v>
      </c>
      <c r="N671">
        <v>46.6</v>
      </c>
      <c r="O671">
        <v>53.4</v>
      </c>
      <c r="P671">
        <v>42.7</v>
      </c>
      <c r="Q671">
        <v>57.3</v>
      </c>
    </row>
    <row r="672" spans="1:17" x14ac:dyDescent="0.25">
      <c r="A672" s="2">
        <v>45596</v>
      </c>
      <c r="B672" s="2" t="str">
        <f t="shared" si="20"/>
        <v>Thursday</v>
      </c>
      <c r="C672" s="2" t="b">
        <f t="shared" si="21"/>
        <v>0</v>
      </c>
      <c r="D672">
        <v>1</v>
      </c>
      <c r="E672" t="s">
        <v>5</v>
      </c>
      <c r="F672">
        <v>322</v>
      </c>
      <c r="G672" s="3">
        <v>5821.66</v>
      </c>
      <c r="H672" s="3">
        <f>Miami_Retail[[#This Row],[sales_usd]] / Miami_Retail[[#This Row],[customers]]</f>
        <v>18.079689440993789</v>
      </c>
      <c r="I672">
        <v>86.7</v>
      </c>
      <c r="J672">
        <f>(Miami_Retail[[#This Row],[avg_temp_f]]-32) * (5/9)</f>
        <v>30.388888888888893</v>
      </c>
      <c r="K672">
        <v>0</v>
      </c>
      <c r="L672">
        <v>0</v>
      </c>
      <c r="M672">
        <v>64.2</v>
      </c>
      <c r="N672">
        <v>44.6</v>
      </c>
      <c r="O672">
        <v>55.4</v>
      </c>
      <c r="P672">
        <v>44.6</v>
      </c>
      <c r="Q672">
        <v>55.4</v>
      </c>
    </row>
    <row r="673" spans="1:17" x14ac:dyDescent="0.25">
      <c r="A673" s="2">
        <v>45597</v>
      </c>
      <c r="B673" s="2" t="str">
        <f t="shared" si="20"/>
        <v>Friday</v>
      </c>
      <c r="C673" s="2" t="b">
        <f t="shared" si="21"/>
        <v>0</v>
      </c>
      <c r="D673">
        <v>1</v>
      </c>
      <c r="E673" t="s">
        <v>5</v>
      </c>
      <c r="F673">
        <v>297</v>
      </c>
      <c r="G673" s="3">
        <v>5489.92</v>
      </c>
      <c r="H673" s="3">
        <f>Miami_Retail[[#This Row],[sales_usd]] / Miami_Retail[[#This Row],[customers]]</f>
        <v>18.484579124579124</v>
      </c>
      <c r="I673">
        <v>86.6</v>
      </c>
      <c r="J673">
        <f>(Miami_Retail[[#This Row],[avg_temp_f]]-32) * (5/9)</f>
        <v>30.333333333333332</v>
      </c>
      <c r="K673">
        <v>0.78</v>
      </c>
      <c r="L673">
        <v>1</v>
      </c>
      <c r="M673">
        <v>73.599999999999994</v>
      </c>
      <c r="N673">
        <v>46.4</v>
      </c>
      <c r="O673">
        <v>53.6</v>
      </c>
      <c r="P673">
        <v>43.9</v>
      </c>
      <c r="Q673">
        <v>56.1</v>
      </c>
    </row>
    <row r="674" spans="1:17" x14ac:dyDescent="0.25">
      <c r="A674" s="2">
        <v>45598</v>
      </c>
      <c r="B674" s="2" t="str">
        <f t="shared" si="20"/>
        <v>Saturday</v>
      </c>
      <c r="C674" s="2" t="b">
        <f t="shared" si="21"/>
        <v>1</v>
      </c>
      <c r="D674">
        <v>1</v>
      </c>
      <c r="E674" t="s">
        <v>5</v>
      </c>
      <c r="F674">
        <v>358</v>
      </c>
      <c r="G674" s="3">
        <v>6841.69</v>
      </c>
      <c r="H674" s="3">
        <f>Miami_Retail[[#This Row],[sales_usd]] / Miami_Retail[[#This Row],[customers]]</f>
        <v>19.11086592178771</v>
      </c>
      <c r="I674">
        <v>87.6</v>
      </c>
      <c r="J674">
        <f>(Miami_Retail[[#This Row],[avg_temp_f]]-32) * (5/9)</f>
        <v>30.888888888888886</v>
      </c>
      <c r="K674">
        <v>0</v>
      </c>
      <c r="L674">
        <v>0</v>
      </c>
      <c r="M674">
        <v>62.2</v>
      </c>
      <c r="N674">
        <v>46.3</v>
      </c>
      <c r="O674">
        <v>53.7</v>
      </c>
      <c r="P674">
        <v>49</v>
      </c>
      <c r="Q674">
        <v>51</v>
      </c>
    </row>
    <row r="675" spans="1:17" x14ac:dyDescent="0.25">
      <c r="A675" s="2">
        <v>45599</v>
      </c>
      <c r="B675" s="2" t="str">
        <f t="shared" si="20"/>
        <v>Sunday</v>
      </c>
      <c r="C675" s="2" t="b">
        <f t="shared" si="21"/>
        <v>1</v>
      </c>
      <c r="D675">
        <v>1</v>
      </c>
      <c r="E675" t="s">
        <v>5</v>
      </c>
      <c r="F675">
        <v>367</v>
      </c>
      <c r="G675" s="3">
        <v>7085.98</v>
      </c>
      <c r="H675" s="3">
        <f>Miami_Retail[[#This Row],[sales_usd]] / Miami_Retail[[#This Row],[customers]]</f>
        <v>19.30784741144414</v>
      </c>
      <c r="I675">
        <v>91.9</v>
      </c>
      <c r="J675">
        <f>(Miami_Retail[[#This Row],[avg_temp_f]]-32) * (5/9)</f>
        <v>33.277777777777786</v>
      </c>
      <c r="K675">
        <v>0</v>
      </c>
      <c r="L675">
        <v>0</v>
      </c>
      <c r="M675">
        <v>66.3</v>
      </c>
      <c r="N675">
        <v>45.8</v>
      </c>
      <c r="O675">
        <v>54.2</v>
      </c>
      <c r="P675">
        <v>50.2</v>
      </c>
      <c r="Q675">
        <v>49.8</v>
      </c>
    </row>
    <row r="676" spans="1:17" x14ac:dyDescent="0.25">
      <c r="A676" s="2">
        <v>45600</v>
      </c>
      <c r="B676" s="2" t="str">
        <f t="shared" si="20"/>
        <v>Monday</v>
      </c>
      <c r="C676" s="2" t="b">
        <f t="shared" si="21"/>
        <v>0</v>
      </c>
      <c r="D676">
        <v>1</v>
      </c>
      <c r="E676" t="s">
        <v>5</v>
      </c>
      <c r="F676">
        <v>287</v>
      </c>
      <c r="G676" s="3">
        <v>5066.49</v>
      </c>
      <c r="H676" s="3">
        <f>Miami_Retail[[#This Row],[sales_usd]] / Miami_Retail[[#This Row],[customers]]</f>
        <v>17.65327526132404</v>
      </c>
      <c r="I676">
        <v>83.3</v>
      </c>
      <c r="J676">
        <f>(Miami_Retail[[#This Row],[avg_temp_f]]-32) * (5/9)</f>
        <v>28.5</v>
      </c>
      <c r="K676">
        <v>0</v>
      </c>
      <c r="L676">
        <v>0</v>
      </c>
      <c r="M676">
        <v>72</v>
      </c>
      <c r="N676">
        <v>47.1</v>
      </c>
      <c r="O676">
        <v>52.9</v>
      </c>
      <c r="P676">
        <v>44.3</v>
      </c>
      <c r="Q676">
        <v>55.7</v>
      </c>
    </row>
    <row r="677" spans="1:17" x14ac:dyDescent="0.25">
      <c r="A677" s="2">
        <v>45601</v>
      </c>
      <c r="B677" s="2" t="str">
        <f t="shared" si="20"/>
        <v>Tuesday</v>
      </c>
      <c r="C677" s="2" t="b">
        <f t="shared" si="21"/>
        <v>0</v>
      </c>
      <c r="D677">
        <v>1</v>
      </c>
      <c r="E677" t="s">
        <v>5</v>
      </c>
      <c r="F677">
        <v>269</v>
      </c>
      <c r="G677" s="3">
        <v>4688.99</v>
      </c>
      <c r="H677" s="3">
        <f>Miami_Retail[[#This Row],[sales_usd]] / Miami_Retail[[#This Row],[customers]]</f>
        <v>17.431189591078066</v>
      </c>
      <c r="I677">
        <v>83.1</v>
      </c>
      <c r="J677">
        <f>(Miami_Retail[[#This Row],[avg_temp_f]]-32) * (5/9)</f>
        <v>28.388888888888886</v>
      </c>
      <c r="K677">
        <v>0.79</v>
      </c>
      <c r="L677">
        <v>1</v>
      </c>
      <c r="M677">
        <v>65.8</v>
      </c>
      <c r="N677">
        <v>46.7</v>
      </c>
      <c r="O677">
        <v>53.3</v>
      </c>
      <c r="P677">
        <v>43.6</v>
      </c>
      <c r="Q677">
        <v>56.4</v>
      </c>
    </row>
    <row r="678" spans="1:17" x14ac:dyDescent="0.25">
      <c r="A678" s="2">
        <v>45602</v>
      </c>
      <c r="B678" s="2" t="str">
        <f t="shared" si="20"/>
        <v>Wednesday</v>
      </c>
      <c r="C678" s="2" t="b">
        <f t="shared" si="21"/>
        <v>0</v>
      </c>
      <c r="D678">
        <v>1</v>
      </c>
      <c r="E678" t="s">
        <v>5</v>
      </c>
      <c r="F678">
        <v>292</v>
      </c>
      <c r="G678" s="3">
        <v>5683.83</v>
      </c>
      <c r="H678" s="3">
        <f>Miami_Retail[[#This Row],[sales_usd]] / Miami_Retail[[#This Row],[customers]]</f>
        <v>19.465171232876713</v>
      </c>
      <c r="I678">
        <v>86</v>
      </c>
      <c r="J678">
        <f>(Miami_Retail[[#This Row],[avg_temp_f]]-32) * (5/9)</f>
        <v>30</v>
      </c>
      <c r="K678">
        <v>0</v>
      </c>
      <c r="L678">
        <v>0</v>
      </c>
      <c r="M678">
        <v>58.8</v>
      </c>
      <c r="N678">
        <v>45</v>
      </c>
      <c r="O678">
        <v>55</v>
      </c>
      <c r="P678">
        <v>43.4</v>
      </c>
      <c r="Q678">
        <v>56.6</v>
      </c>
    </row>
    <row r="679" spans="1:17" x14ac:dyDescent="0.25">
      <c r="A679" s="2">
        <v>45603</v>
      </c>
      <c r="B679" s="2" t="str">
        <f t="shared" si="20"/>
        <v>Thursday</v>
      </c>
      <c r="C679" s="2" t="b">
        <f t="shared" si="21"/>
        <v>0</v>
      </c>
      <c r="D679">
        <v>1</v>
      </c>
      <c r="E679" t="s">
        <v>5</v>
      </c>
      <c r="F679">
        <v>243</v>
      </c>
      <c r="G679" s="3">
        <v>4410.57</v>
      </c>
      <c r="H679" s="3">
        <f>Miami_Retail[[#This Row],[sales_usd]] / Miami_Retail[[#This Row],[customers]]</f>
        <v>18.150493827160492</v>
      </c>
      <c r="I679">
        <v>83.8</v>
      </c>
      <c r="J679">
        <f>(Miami_Retail[[#This Row],[avg_temp_f]]-32) * (5/9)</f>
        <v>28.777777777777779</v>
      </c>
      <c r="K679">
        <v>1.64</v>
      </c>
      <c r="L679">
        <v>1</v>
      </c>
      <c r="M679">
        <v>61.6</v>
      </c>
      <c r="N679">
        <v>45.6</v>
      </c>
      <c r="O679">
        <v>54.4</v>
      </c>
      <c r="P679">
        <v>41</v>
      </c>
      <c r="Q679">
        <v>59</v>
      </c>
    </row>
    <row r="680" spans="1:17" x14ac:dyDescent="0.25">
      <c r="A680" s="2">
        <v>45604</v>
      </c>
      <c r="B680" s="2" t="str">
        <f t="shared" si="20"/>
        <v>Friday</v>
      </c>
      <c r="C680" s="2" t="b">
        <f t="shared" si="21"/>
        <v>0</v>
      </c>
      <c r="D680">
        <v>1</v>
      </c>
      <c r="E680" t="s">
        <v>5</v>
      </c>
      <c r="F680">
        <v>285</v>
      </c>
      <c r="G680" s="3">
        <v>5279.02</v>
      </c>
      <c r="H680" s="3">
        <f>Miami_Retail[[#This Row],[sales_usd]] / Miami_Retail[[#This Row],[customers]]</f>
        <v>18.522877192982456</v>
      </c>
      <c r="I680">
        <v>82.8</v>
      </c>
      <c r="J680">
        <f>(Miami_Retail[[#This Row],[avg_temp_f]]-32) * (5/9)</f>
        <v>28.222222222222221</v>
      </c>
      <c r="K680">
        <v>0</v>
      </c>
      <c r="L680">
        <v>0</v>
      </c>
      <c r="M680">
        <v>76</v>
      </c>
      <c r="N680">
        <v>47.7</v>
      </c>
      <c r="O680">
        <v>52.3</v>
      </c>
      <c r="P680">
        <v>44.1</v>
      </c>
      <c r="Q680">
        <v>55.9</v>
      </c>
    </row>
    <row r="681" spans="1:17" x14ac:dyDescent="0.25">
      <c r="A681" s="2">
        <v>45605</v>
      </c>
      <c r="B681" s="2" t="str">
        <f t="shared" si="20"/>
        <v>Saturday</v>
      </c>
      <c r="C681" s="2" t="b">
        <f t="shared" si="21"/>
        <v>1</v>
      </c>
      <c r="D681">
        <v>1</v>
      </c>
      <c r="E681" t="s">
        <v>5</v>
      </c>
      <c r="F681">
        <v>326</v>
      </c>
      <c r="G681" s="3">
        <v>6482.83</v>
      </c>
      <c r="H681" s="3">
        <f>Miami_Retail[[#This Row],[sales_usd]] / Miami_Retail[[#This Row],[customers]]</f>
        <v>19.885981595092023</v>
      </c>
      <c r="I681">
        <v>88</v>
      </c>
      <c r="J681">
        <f>(Miami_Retail[[#This Row],[avg_temp_f]]-32) * (5/9)</f>
        <v>31.111111111111114</v>
      </c>
      <c r="K681">
        <v>0</v>
      </c>
      <c r="L681">
        <v>0</v>
      </c>
      <c r="M681">
        <v>68.3</v>
      </c>
      <c r="N681">
        <v>45.9</v>
      </c>
      <c r="O681">
        <v>54.1</v>
      </c>
      <c r="P681">
        <v>50</v>
      </c>
      <c r="Q681">
        <v>50</v>
      </c>
    </row>
    <row r="682" spans="1:17" x14ac:dyDescent="0.25">
      <c r="A682" s="2">
        <v>45606</v>
      </c>
      <c r="B682" s="2" t="str">
        <f t="shared" si="20"/>
        <v>Sunday</v>
      </c>
      <c r="C682" s="2" t="b">
        <f t="shared" si="21"/>
        <v>1</v>
      </c>
      <c r="D682">
        <v>1</v>
      </c>
      <c r="E682" t="s">
        <v>5</v>
      </c>
      <c r="F682">
        <v>371</v>
      </c>
      <c r="G682" s="3">
        <v>6763.48</v>
      </c>
      <c r="H682" s="3">
        <f>Miami_Retail[[#This Row],[sales_usd]] / Miami_Retail[[#This Row],[customers]]</f>
        <v>18.230404312668462</v>
      </c>
      <c r="I682">
        <v>86.7</v>
      </c>
      <c r="J682">
        <f>(Miami_Retail[[#This Row],[avg_temp_f]]-32) * (5/9)</f>
        <v>30.388888888888893</v>
      </c>
      <c r="K682">
        <v>0</v>
      </c>
      <c r="L682">
        <v>0</v>
      </c>
      <c r="M682">
        <v>61.7</v>
      </c>
      <c r="N682">
        <v>45.2</v>
      </c>
      <c r="O682">
        <v>54.8</v>
      </c>
      <c r="P682">
        <v>49.7</v>
      </c>
      <c r="Q682">
        <v>50.3</v>
      </c>
    </row>
    <row r="683" spans="1:17" x14ac:dyDescent="0.25">
      <c r="A683" s="2">
        <v>45607</v>
      </c>
      <c r="B683" s="2" t="str">
        <f t="shared" si="20"/>
        <v>Monday</v>
      </c>
      <c r="C683" s="2" t="b">
        <f t="shared" si="21"/>
        <v>0</v>
      </c>
      <c r="D683">
        <v>1</v>
      </c>
      <c r="E683" t="s">
        <v>5</v>
      </c>
      <c r="F683">
        <v>335</v>
      </c>
      <c r="G683" s="3">
        <v>5657.44</v>
      </c>
      <c r="H683" s="3">
        <f>Miami_Retail[[#This Row],[sales_usd]] / Miami_Retail[[#This Row],[customers]]</f>
        <v>16.887880597014924</v>
      </c>
      <c r="I683">
        <v>85.1</v>
      </c>
      <c r="J683">
        <f>(Miami_Retail[[#This Row],[avg_temp_f]]-32) * (5/9)</f>
        <v>29.499999999999996</v>
      </c>
      <c r="K683">
        <v>0</v>
      </c>
      <c r="L683">
        <v>0</v>
      </c>
      <c r="M683">
        <v>62.7</v>
      </c>
      <c r="N683">
        <v>46.2</v>
      </c>
      <c r="O683">
        <v>53.8</v>
      </c>
      <c r="P683">
        <v>44.5</v>
      </c>
      <c r="Q683">
        <v>55.5</v>
      </c>
    </row>
    <row r="684" spans="1:17" x14ac:dyDescent="0.25">
      <c r="A684" s="2">
        <v>45608</v>
      </c>
      <c r="B684" s="2" t="str">
        <f t="shared" si="20"/>
        <v>Tuesday</v>
      </c>
      <c r="C684" s="2" t="b">
        <f t="shared" si="21"/>
        <v>0</v>
      </c>
      <c r="D684">
        <v>1</v>
      </c>
      <c r="E684" t="s">
        <v>5</v>
      </c>
      <c r="F684">
        <v>280</v>
      </c>
      <c r="G684" s="3">
        <v>5334.11</v>
      </c>
      <c r="H684" s="3">
        <f>Miami_Retail[[#This Row],[sales_usd]] / Miami_Retail[[#This Row],[customers]]</f>
        <v>19.050392857142857</v>
      </c>
      <c r="I684">
        <v>84.9</v>
      </c>
      <c r="J684">
        <f>(Miami_Retail[[#This Row],[avg_temp_f]]-32) * (5/9)</f>
        <v>29.388888888888893</v>
      </c>
      <c r="K684">
        <v>0</v>
      </c>
      <c r="L684">
        <v>0</v>
      </c>
      <c r="M684">
        <v>66.3</v>
      </c>
      <c r="N684">
        <v>46.5</v>
      </c>
      <c r="O684">
        <v>53.5</v>
      </c>
      <c r="P684">
        <v>43.5</v>
      </c>
      <c r="Q684">
        <v>56.5</v>
      </c>
    </row>
    <row r="685" spans="1:17" x14ac:dyDescent="0.25">
      <c r="A685" s="2">
        <v>45609</v>
      </c>
      <c r="B685" s="2" t="str">
        <f t="shared" si="20"/>
        <v>Wednesday</v>
      </c>
      <c r="C685" s="2" t="b">
        <f t="shared" si="21"/>
        <v>0</v>
      </c>
      <c r="D685">
        <v>1</v>
      </c>
      <c r="E685" t="s">
        <v>5</v>
      </c>
      <c r="F685">
        <v>315</v>
      </c>
      <c r="G685" s="3">
        <v>5927.78</v>
      </c>
      <c r="H685" s="3">
        <f>Miami_Retail[[#This Row],[sales_usd]] / Miami_Retail[[#This Row],[customers]]</f>
        <v>18.818349206349204</v>
      </c>
      <c r="I685">
        <v>85.9</v>
      </c>
      <c r="J685">
        <f>(Miami_Retail[[#This Row],[avg_temp_f]]-32) * (5/9)</f>
        <v>29.94444444444445</v>
      </c>
      <c r="K685">
        <v>0</v>
      </c>
      <c r="L685">
        <v>0</v>
      </c>
      <c r="M685">
        <v>62</v>
      </c>
      <c r="N685">
        <v>46.2</v>
      </c>
      <c r="O685">
        <v>53.8</v>
      </c>
      <c r="P685">
        <v>43.3</v>
      </c>
      <c r="Q685">
        <v>56.7</v>
      </c>
    </row>
    <row r="686" spans="1:17" x14ac:dyDescent="0.25">
      <c r="A686" s="2">
        <v>45610</v>
      </c>
      <c r="B686" s="2" t="str">
        <f t="shared" si="20"/>
        <v>Thursday</v>
      </c>
      <c r="C686" s="2" t="b">
        <f t="shared" si="21"/>
        <v>0</v>
      </c>
      <c r="D686">
        <v>1</v>
      </c>
      <c r="E686" t="s">
        <v>5</v>
      </c>
      <c r="F686">
        <v>259</v>
      </c>
      <c r="G686" s="3">
        <v>4964.04</v>
      </c>
      <c r="H686" s="3">
        <f>Miami_Retail[[#This Row],[sales_usd]] / Miami_Retail[[#This Row],[customers]]</f>
        <v>19.166177606177605</v>
      </c>
      <c r="I686">
        <v>76.2</v>
      </c>
      <c r="J686">
        <f>(Miami_Retail[[#This Row],[avg_temp_f]]-32) * (5/9)</f>
        <v>24.555555555555557</v>
      </c>
      <c r="K686">
        <v>0</v>
      </c>
      <c r="L686">
        <v>0</v>
      </c>
      <c r="M686">
        <v>61.6</v>
      </c>
      <c r="N686">
        <v>45.9</v>
      </c>
      <c r="O686">
        <v>54.1</v>
      </c>
      <c r="P686">
        <v>42.4</v>
      </c>
      <c r="Q686">
        <v>57.6</v>
      </c>
    </row>
    <row r="687" spans="1:17" x14ac:dyDescent="0.25">
      <c r="A687" s="2">
        <v>45611</v>
      </c>
      <c r="B687" s="2" t="str">
        <f t="shared" si="20"/>
        <v>Friday</v>
      </c>
      <c r="C687" s="2" t="b">
        <f t="shared" si="21"/>
        <v>0</v>
      </c>
      <c r="D687">
        <v>1</v>
      </c>
      <c r="E687" t="s">
        <v>5</v>
      </c>
      <c r="F687">
        <v>265</v>
      </c>
      <c r="G687" s="3">
        <v>4929.91</v>
      </c>
      <c r="H687" s="3">
        <f>Miami_Retail[[#This Row],[sales_usd]] / Miami_Retail[[#This Row],[customers]]</f>
        <v>18.603433962264152</v>
      </c>
      <c r="I687">
        <v>77.599999999999994</v>
      </c>
      <c r="J687">
        <f>(Miami_Retail[[#This Row],[avg_temp_f]]-32) * (5/9)</f>
        <v>25.333333333333332</v>
      </c>
      <c r="K687">
        <v>0</v>
      </c>
      <c r="L687">
        <v>0</v>
      </c>
      <c r="M687">
        <v>59.7</v>
      </c>
      <c r="N687">
        <v>47.2</v>
      </c>
      <c r="O687">
        <v>52.8</v>
      </c>
      <c r="P687">
        <v>45</v>
      </c>
      <c r="Q687">
        <v>55</v>
      </c>
    </row>
    <row r="688" spans="1:17" x14ac:dyDescent="0.25">
      <c r="A688" s="2">
        <v>45612</v>
      </c>
      <c r="B688" s="2" t="str">
        <f t="shared" si="20"/>
        <v>Saturday</v>
      </c>
      <c r="C688" s="2" t="b">
        <f t="shared" si="21"/>
        <v>1</v>
      </c>
      <c r="D688">
        <v>1</v>
      </c>
      <c r="E688" t="s">
        <v>5</v>
      </c>
      <c r="F688">
        <v>349</v>
      </c>
      <c r="G688" s="3">
        <v>6475.56</v>
      </c>
      <c r="H688" s="3">
        <f>Miami_Retail[[#This Row],[sales_usd]] / Miami_Retail[[#This Row],[customers]]</f>
        <v>18.554613180515762</v>
      </c>
      <c r="I688">
        <v>88.2</v>
      </c>
      <c r="J688">
        <f>(Miami_Retail[[#This Row],[avg_temp_f]]-32) * (5/9)</f>
        <v>31.222222222222225</v>
      </c>
      <c r="K688">
        <v>0</v>
      </c>
      <c r="L688">
        <v>0</v>
      </c>
      <c r="M688">
        <v>59.8</v>
      </c>
      <c r="N688">
        <v>47.3</v>
      </c>
      <c r="O688">
        <v>52.7</v>
      </c>
      <c r="P688">
        <v>49</v>
      </c>
      <c r="Q688">
        <v>51</v>
      </c>
    </row>
    <row r="689" spans="1:17" x14ac:dyDescent="0.25">
      <c r="A689" s="2">
        <v>45613</v>
      </c>
      <c r="B689" s="2" t="str">
        <f t="shared" si="20"/>
        <v>Sunday</v>
      </c>
      <c r="C689" s="2" t="b">
        <f t="shared" si="21"/>
        <v>1</v>
      </c>
      <c r="D689">
        <v>1</v>
      </c>
      <c r="E689" t="s">
        <v>5</v>
      </c>
      <c r="F689">
        <v>313</v>
      </c>
      <c r="G689" s="3">
        <v>6034.34</v>
      </c>
      <c r="H689" s="3">
        <f>Miami_Retail[[#This Row],[sales_usd]] / Miami_Retail[[#This Row],[customers]]</f>
        <v>19.279041533546327</v>
      </c>
      <c r="I689">
        <v>86.1</v>
      </c>
      <c r="J689">
        <f>(Miami_Retail[[#This Row],[avg_temp_f]]-32) * (5/9)</f>
        <v>30.055555555555554</v>
      </c>
      <c r="K689">
        <v>2.02</v>
      </c>
      <c r="L689">
        <v>1</v>
      </c>
      <c r="M689">
        <v>56.6</v>
      </c>
      <c r="N689">
        <v>45.6</v>
      </c>
      <c r="O689">
        <v>54.4</v>
      </c>
      <c r="P689">
        <v>50.2</v>
      </c>
      <c r="Q689">
        <v>49.8</v>
      </c>
    </row>
    <row r="690" spans="1:17" x14ac:dyDescent="0.25">
      <c r="A690" s="2">
        <v>45614</v>
      </c>
      <c r="B690" s="2" t="str">
        <f t="shared" si="20"/>
        <v>Monday</v>
      </c>
      <c r="C690" s="2" t="b">
        <f t="shared" si="21"/>
        <v>0</v>
      </c>
      <c r="D690">
        <v>1</v>
      </c>
      <c r="E690" t="s">
        <v>5</v>
      </c>
      <c r="F690">
        <v>281</v>
      </c>
      <c r="G690" s="3">
        <v>5312.43</v>
      </c>
      <c r="H690" s="3">
        <f>Miami_Retail[[#This Row],[sales_usd]] / Miami_Retail[[#This Row],[customers]]</f>
        <v>18.905444839857651</v>
      </c>
      <c r="I690">
        <v>81.099999999999994</v>
      </c>
      <c r="J690">
        <f>(Miami_Retail[[#This Row],[avg_temp_f]]-32) * (5/9)</f>
        <v>27.277777777777775</v>
      </c>
      <c r="K690">
        <v>0</v>
      </c>
      <c r="L690">
        <v>0</v>
      </c>
      <c r="M690">
        <v>58.6</v>
      </c>
      <c r="N690">
        <v>46.2</v>
      </c>
      <c r="O690">
        <v>53.8</v>
      </c>
      <c r="P690">
        <v>44.5</v>
      </c>
      <c r="Q690">
        <v>55.5</v>
      </c>
    </row>
    <row r="691" spans="1:17" x14ac:dyDescent="0.25">
      <c r="A691" s="2">
        <v>45615</v>
      </c>
      <c r="B691" s="2" t="str">
        <f t="shared" si="20"/>
        <v>Tuesday</v>
      </c>
      <c r="C691" s="2" t="b">
        <f t="shared" si="21"/>
        <v>0</v>
      </c>
      <c r="D691">
        <v>1</v>
      </c>
      <c r="E691" t="s">
        <v>5</v>
      </c>
      <c r="F691">
        <v>249</v>
      </c>
      <c r="G691" s="3">
        <v>4507.71</v>
      </c>
      <c r="H691" s="3">
        <f>Miami_Retail[[#This Row],[sales_usd]] / Miami_Retail[[#This Row],[customers]]</f>
        <v>18.103253012048192</v>
      </c>
      <c r="I691">
        <v>82.6</v>
      </c>
      <c r="J691">
        <f>(Miami_Retail[[#This Row],[avg_temp_f]]-32) * (5/9)</f>
        <v>28.111111111111111</v>
      </c>
      <c r="K691">
        <v>0</v>
      </c>
      <c r="L691">
        <v>0</v>
      </c>
      <c r="M691">
        <v>58.3</v>
      </c>
      <c r="N691">
        <v>45.5</v>
      </c>
      <c r="O691">
        <v>54.5</v>
      </c>
      <c r="P691">
        <v>43.5</v>
      </c>
      <c r="Q691">
        <v>56.5</v>
      </c>
    </row>
    <row r="692" spans="1:17" x14ac:dyDescent="0.25">
      <c r="A692" s="2">
        <v>45616</v>
      </c>
      <c r="B692" s="2" t="str">
        <f t="shared" si="20"/>
        <v>Wednesday</v>
      </c>
      <c r="C692" s="2" t="b">
        <f t="shared" si="21"/>
        <v>0</v>
      </c>
      <c r="D692">
        <v>1</v>
      </c>
      <c r="E692" t="s">
        <v>5</v>
      </c>
      <c r="F692">
        <v>307</v>
      </c>
      <c r="G692" s="3">
        <v>6541.73</v>
      </c>
      <c r="H692" s="3">
        <f>Miami_Retail[[#This Row],[sales_usd]] / Miami_Retail[[#This Row],[customers]]</f>
        <v>21.308566775244298</v>
      </c>
      <c r="I692">
        <v>85.9</v>
      </c>
      <c r="J692">
        <f>(Miami_Retail[[#This Row],[avg_temp_f]]-32) * (5/9)</f>
        <v>29.94444444444445</v>
      </c>
      <c r="K692">
        <v>0</v>
      </c>
      <c r="L692">
        <v>0</v>
      </c>
      <c r="M692">
        <v>67.400000000000006</v>
      </c>
      <c r="N692">
        <v>46.7</v>
      </c>
      <c r="O692">
        <v>53.3</v>
      </c>
      <c r="P692">
        <v>43.8</v>
      </c>
      <c r="Q692">
        <v>56.2</v>
      </c>
    </row>
    <row r="693" spans="1:17" x14ac:dyDescent="0.25">
      <c r="A693" s="2">
        <v>45617</v>
      </c>
      <c r="B693" s="2" t="str">
        <f t="shared" si="20"/>
        <v>Thursday</v>
      </c>
      <c r="C693" s="2" t="b">
        <f t="shared" si="21"/>
        <v>0</v>
      </c>
      <c r="D693">
        <v>1</v>
      </c>
      <c r="E693" t="s">
        <v>5</v>
      </c>
      <c r="F693">
        <v>251</v>
      </c>
      <c r="G693" s="3">
        <v>4042.17</v>
      </c>
      <c r="H693" s="3">
        <f>Miami_Retail[[#This Row],[sales_usd]] / Miami_Retail[[#This Row],[customers]]</f>
        <v>16.104262948207172</v>
      </c>
      <c r="I693">
        <v>82.3</v>
      </c>
      <c r="J693">
        <f>(Miami_Retail[[#This Row],[avg_temp_f]]-32) * (5/9)</f>
        <v>27.944444444444443</v>
      </c>
      <c r="K693">
        <v>0</v>
      </c>
      <c r="L693">
        <v>0</v>
      </c>
      <c r="M693">
        <v>60.6</v>
      </c>
      <c r="N693">
        <v>46.9</v>
      </c>
      <c r="O693">
        <v>53.1</v>
      </c>
      <c r="P693">
        <v>44.5</v>
      </c>
      <c r="Q693">
        <v>55.5</v>
      </c>
    </row>
    <row r="694" spans="1:17" x14ac:dyDescent="0.25">
      <c r="A694" s="2">
        <v>45618</v>
      </c>
      <c r="B694" s="2" t="str">
        <f t="shared" si="20"/>
        <v>Friday</v>
      </c>
      <c r="C694" s="2" t="b">
        <f t="shared" si="21"/>
        <v>0</v>
      </c>
      <c r="D694">
        <v>1</v>
      </c>
      <c r="E694" t="s">
        <v>5</v>
      </c>
      <c r="F694">
        <v>263</v>
      </c>
      <c r="G694" s="3">
        <v>5192.75</v>
      </c>
      <c r="H694" s="3">
        <f>Miami_Retail[[#This Row],[sales_usd]] / Miami_Retail[[#This Row],[customers]]</f>
        <v>19.744296577946766</v>
      </c>
      <c r="I694">
        <v>77.400000000000006</v>
      </c>
      <c r="J694">
        <f>(Miami_Retail[[#This Row],[avg_temp_f]]-32) * (5/9)</f>
        <v>25.222222222222225</v>
      </c>
      <c r="K694">
        <v>0</v>
      </c>
      <c r="L694">
        <v>0</v>
      </c>
      <c r="M694">
        <v>67</v>
      </c>
      <c r="N694">
        <v>46</v>
      </c>
      <c r="O694">
        <v>54</v>
      </c>
      <c r="P694">
        <v>43.8</v>
      </c>
      <c r="Q694">
        <v>56.2</v>
      </c>
    </row>
    <row r="695" spans="1:17" x14ac:dyDescent="0.25">
      <c r="A695" s="2">
        <v>45619</v>
      </c>
      <c r="B695" s="2" t="str">
        <f t="shared" si="20"/>
        <v>Saturday</v>
      </c>
      <c r="C695" s="2" t="b">
        <f t="shared" si="21"/>
        <v>1</v>
      </c>
      <c r="D695">
        <v>1</v>
      </c>
      <c r="E695" t="s">
        <v>5</v>
      </c>
      <c r="F695">
        <v>312</v>
      </c>
      <c r="G695" s="3">
        <v>5787.21</v>
      </c>
      <c r="H695" s="3">
        <f>Miami_Retail[[#This Row],[sales_usd]] / Miami_Retail[[#This Row],[customers]]</f>
        <v>18.548750000000002</v>
      </c>
      <c r="I695">
        <v>78.7</v>
      </c>
      <c r="J695">
        <f>(Miami_Retail[[#This Row],[avg_temp_f]]-32) * (5/9)</f>
        <v>25.944444444444446</v>
      </c>
      <c r="K695">
        <v>0</v>
      </c>
      <c r="L695">
        <v>0</v>
      </c>
      <c r="M695">
        <v>65.5</v>
      </c>
      <c r="N695">
        <v>47.2</v>
      </c>
      <c r="O695">
        <v>52.8</v>
      </c>
      <c r="P695">
        <v>52</v>
      </c>
      <c r="Q695">
        <v>48</v>
      </c>
    </row>
    <row r="696" spans="1:17" x14ac:dyDescent="0.25">
      <c r="A696" s="2">
        <v>45620</v>
      </c>
      <c r="B696" s="2" t="str">
        <f t="shared" si="20"/>
        <v>Sunday</v>
      </c>
      <c r="C696" s="2" t="b">
        <f t="shared" si="21"/>
        <v>1</v>
      </c>
      <c r="D696">
        <v>1</v>
      </c>
      <c r="E696" t="s">
        <v>5</v>
      </c>
      <c r="F696">
        <v>358</v>
      </c>
      <c r="G696" s="3">
        <v>6683.13</v>
      </c>
      <c r="H696" s="3">
        <f>Miami_Retail[[#This Row],[sales_usd]] / Miami_Retail[[#This Row],[customers]]</f>
        <v>18.667960893854747</v>
      </c>
      <c r="I696">
        <v>84.5</v>
      </c>
      <c r="J696">
        <f>(Miami_Retail[[#This Row],[avg_temp_f]]-32) * (5/9)</f>
        <v>29.166666666666668</v>
      </c>
      <c r="K696">
        <v>0</v>
      </c>
      <c r="L696">
        <v>0</v>
      </c>
      <c r="M696">
        <v>62.6</v>
      </c>
      <c r="N696">
        <v>47.9</v>
      </c>
      <c r="O696">
        <v>52.1</v>
      </c>
      <c r="P696">
        <v>50.7</v>
      </c>
      <c r="Q696">
        <v>49.3</v>
      </c>
    </row>
    <row r="697" spans="1:17" x14ac:dyDescent="0.25">
      <c r="A697" s="2">
        <v>45621</v>
      </c>
      <c r="B697" s="2" t="str">
        <f t="shared" si="20"/>
        <v>Monday</v>
      </c>
      <c r="C697" s="2" t="b">
        <f t="shared" si="21"/>
        <v>0</v>
      </c>
      <c r="D697">
        <v>1</v>
      </c>
      <c r="E697" t="s">
        <v>5</v>
      </c>
      <c r="F697">
        <v>317</v>
      </c>
      <c r="G697" s="3">
        <v>5572.05</v>
      </c>
      <c r="H697" s="3">
        <f>Miami_Retail[[#This Row],[sales_usd]] / Miami_Retail[[#This Row],[customers]]</f>
        <v>17.577444794952683</v>
      </c>
      <c r="I697">
        <v>83.9</v>
      </c>
      <c r="J697">
        <f>(Miami_Retail[[#This Row],[avg_temp_f]]-32) * (5/9)</f>
        <v>28.833333333333339</v>
      </c>
      <c r="K697">
        <v>0</v>
      </c>
      <c r="L697">
        <v>0</v>
      </c>
      <c r="M697">
        <v>56.8</v>
      </c>
      <c r="N697">
        <v>47.4</v>
      </c>
      <c r="O697">
        <v>52.6</v>
      </c>
      <c r="P697">
        <v>43.4</v>
      </c>
      <c r="Q697">
        <v>56.6</v>
      </c>
    </row>
    <row r="698" spans="1:17" x14ac:dyDescent="0.25">
      <c r="A698" s="2">
        <v>45622</v>
      </c>
      <c r="B698" s="2" t="str">
        <f t="shared" si="20"/>
        <v>Tuesday</v>
      </c>
      <c r="C698" s="2" t="b">
        <f t="shared" si="21"/>
        <v>0</v>
      </c>
      <c r="D698">
        <v>1</v>
      </c>
      <c r="E698" t="s">
        <v>5</v>
      </c>
      <c r="F698">
        <v>289</v>
      </c>
      <c r="G698" s="3">
        <v>5430.77</v>
      </c>
      <c r="H698" s="3">
        <f>Miami_Retail[[#This Row],[sales_usd]] / Miami_Retail[[#This Row],[customers]]</f>
        <v>18.791591695501733</v>
      </c>
      <c r="I698">
        <v>84.8</v>
      </c>
      <c r="J698">
        <f>(Miami_Retail[[#This Row],[avg_temp_f]]-32) * (5/9)</f>
        <v>29.333333333333332</v>
      </c>
      <c r="K698">
        <v>0.74</v>
      </c>
      <c r="L698">
        <v>1</v>
      </c>
      <c r="M698">
        <v>59</v>
      </c>
      <c r="N698">
        <v>48</v>
      </c>
      <c r="O698">
        <v>52</v>
      </c>
      <c r="P698">
        <v>42.4</v>
      </c>
      <c r="Q698">
        <v>57.6</v>
      </c>
    </row>
    <row r="699" spans="1:17" x14ac:dyDescent="0.25">
      <c r="A699" s="2">
        <v>45623</v>
      </c>
      <c r="B699" s="2" t="str">
        <f t="shared" si="20"/>
        <v>Wednesday</v>
      </c>
      <c r="C699" s="2" t="b">
        <f t="shared" si="21"/>
        <v>0</v>
      </c>
      <c r="D699">
        <v>1</v>
      </c>
      <c r="E699" t="s">
        <v>5</v>
      </c>
      <c r="F699">
        <v>354</v>
      </c>
      <c r="G699" s="3">
        <v>6500.75</v>
      </c>
      <c r="H699" s="3">
        <f>Miami_Retail[[#This Row],[sales_usd]] / Miami_Retail[[#This Row],[customers]]</f>
        <v>18.363700564971751</v>
      </c>
      <c r="I699">
        <v>92.3</v>
      </c>
      <c r="J699">
        <f>(Miami_Retail[[#This Row],[avg_temp_f]]-32) * (5/9)</f>
        <v>33.5</v>
      </c>
      <c r="K699">
        <v>0</v>
      </c>
      <c r="L699">
        <v>0</v>
      </c>
      <c r="M699">
        <v>61.9</v>
      </c>
      <c r="N699">
        <v>47.9</v>
      </c>
      <c r="O699">
        <v>52.1</v>
      </c>
      <c r="P699">
        <v>45</v>
      </c>
      <c r="Q699">
        <v>55</v>
      </c>
    </row>
    <row r="700" spans="1:17" x14ac:dyDescent="0.25">
      <c r="A700" s="2">
        <v>45624</v>
      </c>
      <c r="B700" s="2" t="str">
        <f t="shared" si="20"/>
        <v>Thursday</v>
      </c>
      <c r="C700" s="2" t="b">
        <f t="shared" si="21"/>
        <v>0</v>
      </c>
      <c r="D700">
        <v>1</v>
      </c>
      <c r="E700" t="s">
        <v>5</v>
      </c>
      <c r="F700">
        <v>234</v>
      </c>
      <c r="G700" s="3">
        <v>4346.63</v>
      </c>
      <c r="H700" s="3">
        <f>Miami_Retail[[#This Row],[sales_usd]] / Miami_Retail[[#This Row],[customers]]</f>
        <v>18.575341880341881</v>
      </c>
      <c r="I700">
        <v>77.3</v>
      </c>
      <c r="J700">
        <f>(Miami_Retail[[#This Row],[avg_temp_f]]-32) * (5/9)</f>
        <v>25.166666666666668</v>
      </c>
      <c r="K700">
        <v>0</v>
      </c>
      <c r="L700">
        <v>0</v>
      </c>
      <c r="M700">
        <v>56.7</v>
      </c>
      <c r="N700">
        <v>48.3</v>
      </c>
      <c r="O700">
        <v>51.7</v>
      </c>
      <c r="P700">
        <v>43.1</v>
      </c>
      <c r="Q700">
        <v>56.9</v>
      </c>
    </row>
    <row r="701" spans="1:17" x14ac:dyDescent="0.25">
      <c r="A701" s="2">
        <v>45625</v>
      </c>
      <c r="B701" s="2" t="str">
        <f t="shared" si="20"/>
        <v>Friday</v>
      </c>
      <c r="C701" s="2" t="b">
        <f t="shared" si="21"/>
        <v>0</v>
      </c>
      <c r="D701">
        <v>1</v>
      </c>
      <c r="E701" t="s">
        <v>5</v>
      </c>
      <c r="F701">
        <v>311</v>
      </c>
      <c r="G701" s="3">
        <v>5216.41</v>
      </c>
      <c r="H701" s="3">
        <f>Miami_Retail[[#This Row],[sales_usd]] / Miami_Retail[[#This Row],[customers]]</f>
        <v>16.773022508038586</v>
      </c>
      <c r="I701">
        <v>82.8</v>
      </c>
      <c r="J701">
        <f>(Miami_Retail[[#This Row],[avg_temp_f]]-32) * (5/9)</f>
        <v>28.222222222222221</v>
      </c>
      <c r="K701">
        <v>0</v>
      </c>
      <c r="L701">
        <v>0</v>
      </c>
      <c r="M701">
        <v>67.900000000000006</v>
      </c>
      <c r="N701">
        <v>48.8</v>
      </c>
      <c r="O701">
        <v>51.2</v>
      </c>
      <c r="P701">
        <v>43.7</v>
      </c>
      <c r="Q701">
        <v>56.3</v>
      </c>
    </row>
    <row r="702" spans="1:17" x14ac:dyDescent="0.25">
      <c r="A702" s="2">
        <v>45626</v>
      </c>
      <c r="B702" s="2" t="str">
        <f t="shared" si="20"/>
        <v>Saturday</v>
      </c>
      <c r="C702" s="2" t="b">
        <f t="shared" si="21"/>
        <v>1</v>
      </c>
      <c r="D702">
        <v>1</v>
      </c>
      <c r="E702" t="s">
        <v>5</v>
      </c>
      <c r="F702">
        <v>309</v>
      </c>
      <c r="G702" s="3">
        <v>5701.18</v>
      </c>
      <c r="H702" s="3">
        <f>Miami_Retail[[#This Row],[sales_usd]] / Miami_Retail[[#This Row],[customers]]</f>
        <v>18.450420711974111</v>
      </c>
      <c r="I702">
        <v>81.400000000000006</v>
      </c>
      <c r="J702">
        <f>(Miami_Retail[[#This Row],[avg_temp_f]]-32) * (5/9)</f>
        <v>27.44444444444445</v>
      </c>
      <c r="K702">
        <v>0</v>
      </c>
      <c r="L702">
        <v>0</v>
      </c>
      <c r="M702">
        <v>57.2</v>
      </c>
      <c r="N702">
        <v>47.6</v>
      </c>
      <c r="O702">
        <v>52.4</v>
      </c>
      <c r="P702">
        <v>50.4</v>
      </c>
      <c r="Q702">
        <v>49.6</v>
      </c>
    </row>
    <row r="703" spans="1:17" x14ac:dyDescent="0.25">
      <c r="A703" s="2">
        <v>45627</v>
      </c>
      <c r="B703" s="2" t="str">
        <f t="shared" si="20"/>
        <v>Sunday</v>
      </c>
      <c r="C703" s="2" t="b">
        <f t="shared" si="21"/>
        <v>1</v>
      </c>
      <c r="D703">
        <v>1</v>
      </c>
      <c r="E703" t="s">
        <v>5</v>
      </c>
      <c r="F703">
        <v>322</v>
      </c>
      <c r="G703" s="3">
        <v>5722.67</v>
      </c>
      <c r="H703" s="3">
        <f>Miami_Retail[[#This Row],[sales_usd]] / Miami_Retail[[#This Row],[customers]]</f>
        <v>17.77226708074534</v>
      </c>
      <c r="I703">
        <v>80.5</v>
      </c>
      <c r="J703">
        <f>(Miami_Retail[[#This Row],[avg_temp_f]]-32) * (5/9)</f>
        <v>26.944444444444446</v>
      </c>
      <c r="K703">
        <v>0</v>
      </c>
      <c r="L703">
        <v>0</v>
      </c>
      <c r="M703">
        <v>57.8</v>
      </c>
      <c r="N703">
        <v>48.5</v>
      </c>
      <c r="O703">
        <v>51.5</v>
      </c>
      <c r="P703">
        <v>50</v>
      </c>
      <c r="Q703">
        <v>50</v>
      </c>
    </row>
    <row r="704" spans="1:17" x14ac:dyDescent="0.25">
      <c r="A704" s="2">
        <v>45628</v>
      </c>
      <c r="B704" s="2" t="str">
        <f t="shared" si="20"/>
        <v>Monday</v>
      </c>
      <c r="C704" s="2" t="b">
        <f t="shared" si="21"/>
        <v>0</v>
      </c>
      <c r="D704">
        <v>1</v>
      </c>
      <c r="E704" t="s">
        <v>5</v>
      </c>
      <c r="F704">
        <v>292</v>
      </c>
      <c r="G704" s="3">
        <v>5518.59</v>
      </c>
      <c r="H704" s="3">
        <f>Miami_Retail[[#This Row],[sales_usd]] / Miami_Retail[[#This Row],[customers]]</f>
        <v>18.899280821917809</v>
      </c>
      <c r="I704">
        <v>83.8</v>
      </c>
      <c r="J704">
        <f>(Miami_Retail[[#This Row],[avg_temp_f]]-32) * (5/9)</f>
        <v>28.777777777777779</v>
      </c>
      <c r="K704">
        <v>0</v>
      </c>
      <c r="L704">
        <v>0</v>
      </c>
      <c r="M704">
        <v>60.4</v>
      </c>
      <c r="N704">
        <v>48</v>
      </c>
      <c r="O704">
        <v>52</v>
      </c>
      <c r="P704">
        <v>45.5</v>
      </c>
      <c r="Q704">
        <v>54.5</v>
      </c>
    </row>
    <row r="705" spans="1:17" x14ac:dyDescent="0.25">
      <c r="A705" s="2">
        <v>45629</v>
      </c>
      <c r="B705" s="2" t="str">
        <f t="shared" si="20"/>
        <v>Tuesday</v>
      </c>
      <c r="C705" s="2" t="b">
        <f t="shared" si="21"/>
        <v>0</v>
      </c>
      <c r="D705">
        <v>1</v>
      </c>
      <c r="E705" t="s">
        <v>5</v>
      </c>
      <c r="F705">
        <v>281</v>
      </c>
      <c r="G705" s="3">
        <v>5196.7700000000004</v>
      </c>
      <c r="H705" s="3">
        <f>Miami_Retail[[#This Row],[sales_usd]] / Miami_Retail[[#This Row],[customers]]</f>
        <v>18.493843416370108</v>
      </c>
      <c r="I705">
        <v>82.8</v>
      </c>
      <c r="J705">
        <f>(Miami_Retail[[#This Row],[avg_temp_f]]-32) * (5/9)</f>
        <v>28.222222222222221</v>
      </c>
      <c r="K705">
        <v>0.22</v>
      </c>
      <c r="L705">
        <v>1</v>
      </c>
      <c r="M705">
        <v>68.400000000000006</v>
      </c>
      <c r="N705">
        <v>45.8</v>
      </c>
      <c r="O705">
        <v>54.2</v>
      </c>
      <c r="P705">
        <v>43.3</v>
      </c>
      <c r="Q705">
        <v>56.7</v>
      </c>
    </row>
    <row r="706" spans="1:17" x14ac:dyDescent="0.25">
      <c r="A706" s="2">
        <v>45630</v>
      </c>
      <c r="B706" s="2" t="str">
        <f t="shared" ref="B706:B769" si="22">TEXT(A706, "dddd")</f>
        <v>Wednesday</v>
      </c>
      <c r="C706" s="2" t="b">
        <f t="shared" ref="C706:C769" si="23">IF(WEEKDAY(A706,2)&gt;5,TRUE,FALSE)</f>
        <v>0</v>
      </c>
      <c r="D706">
        <v>1</v>
      </c>
      <c r="E706" t="s">
        <v>5</v>
      </c>
      <c r="F706">
        <v>263</v>
      </c>
      <c r="G706" s="3">
        <v>5080.1400000000003</v>
      </c>
      <c r="H706" s="3">
        <f>Miami_Retail[[#This Row],[sales_usd]] / Miami_Retail[[#This Row],[customers]]</f>
        <v>19.316121673003803</v>
      </c>
      <c r="I706">
        <v>83.7</v>
      </c>
      <c r="J706">
        <f>(Miami_Retail[[#This Row],[avg_temp_f]]-32) * (5/9)</f>
        <v>28.722222222222225</v>
      </c>
      <c r="K706">
        <v>1.73</v>
      </c>
      <c r="L706">
        <v>1</v>
      </c>
      <c r="M706">
        <v>50</v>
      </c>
      <c r="N706">
        <v>48.4</v>
      </c>
      <c r="O706">
        <v>51.6</v>
      </c>
      <c r="P706">
        <v>44.9</v>
      </c>
      <c r="Q706">
        <v>55.1</v>
      </c>
    </row>
    <row r="707" spans="1:17" x14ac:dyDescent="0.25">
      <c r="A707" s="2">
        <v>45631</v>
      </c>
      <c r="B707" s="2" t="str">
        <f t="shared" si="22"/>
        <v>Thursday</v>
      </c>
      <c r="C707" s="2" t="b">
        <f t="shared" si="23"/>
        <v>0</v>
      </c>
      <c r="D707">
        <v>1</v>
      </c>
      <c r="E707" t="s">
        <v>5</v>
      </c>
      <c r="F707">
        <v>257</v>
      </c>
      <c r="G707" s="3">
        <v>5164.4399999999996</v>
      </c>
      <c r="H707" s="3">
        <f>Miami_Retail[[#This Row],[sales_usd]] / Miami_Retail[[#This Row],[customers]]</f>
        <v>20.095097276264589</v>
      </c>
      <c r="I707">
        <v>77.5</v>
      </c>
      <c r="J707">
        <f>(Miami_Retail[[#This Row],[avg_temp_f]]-32) * (5/9)</f>
        <v>25.277777777777779</v>
      </c>
      <c r="K707">
        <v>0</v>
      </c>
      <c r="L707">
        <v>0</v>
      </c>
      <c r="M707">
        <v>56.5</v>
      </c>
      <c r="N707">
        <v>48.5</v>
      </c>
      <c r="O707">
        <v>51.5</v>
      </c>
      <c r="P707">
        <v>44.7</v>
      </c>
      <c r="Q707">
        <v>55.3</v>
      </c>
    </row>
    <row r="708" spans="1:17" x14ac:dyDescent="0.25">
      <c r="A708" s="2">
        <v>45632</v>
      </c>
      <c r="B708" s="2" t="str">
        <f t="shared" si="22"/>
        <v>Friday</v>
      </c>
      <c r="C708" s="2" t="b">
        <f t="shared" si="23"/>
        <v>0</v>
      </c>
      <c r="D708">
        <v>1</v>
      </c>
      <c r="E708" t="s">
        <v>5</v>
      </c>
      <c r="F708">
        <v>268</v>
      </c>
      <c r="G708" s="3">
        <v>5294.07</v>
      </c>
      <c r="H708" s="3">
        <f>Miami_Retail[[#This Row],[sales_usd]] / Miami_Retail[[#This Row],[customers]]</f>
        <v>19.753992537313433</v>
      </c>
      <c r="I708">
        <v>79.900000000000006</v>
      </c>
      <c r="J708">
        <f>(Miami_Retail[[#This Row],[avg_temp_f]]-32) * (5/9)</f>
        <v>26.611111111111114</v>
      </c>
      <c r="K708">
        <v>0.02</v>
      </c>
      <c r="L708">
        <v>1</v>
      </c>
      <c r="M708">
        <v>56.4</v>
      </c>
      <c r="N708">
        <v>47</v>
      </c>
      <c r="O708">
        <v>53</v>
      </c>
      <c r="P708">
        <v>44.4</v>
      </c>
      <c r="Q708">
        <v>55.6</v>
      </c>
    </row>
    <row r="709" spans="1:17" x14ac:dyDescent="0.25">
      <c r="A709" s="2">
        <v>45633</v>
      </c>
      <c r="B709" s="2" t="str">
        <f t="shared" si="22"/>
        <v>Saturday</v>
      </c>
      <c r="C709" s="2" t="b">
        <f t="shared" si="23"/>
        <v>1</v>
      </c>
      <c r="D709">
        <v>1</v>
      </c>
      <c r="E709" t="s">
        <v>5</v>
      </c>
      <c r="F709">
        <v>271</v>
      </c>
      <c r="G709" s="3">
        <v>4707.1000000000004</v>
      </c>
      <c r="H709" s="3">
        <f>Miami_Retail[[#This Row],[sales_usd]] / Miami_Retail[[#This Row],[customers]]</f>
        <v>17.369372693726937</v>
      </c>
      <c r="I709">
        <v>74.599999999999994</v>
      </c>
      <c r="J709">
        <f>(Miami_Retail[[#This Row],[avg_temp_f]]-32) * (5/9)</f>
        <v>23.666666666666664</v>
      </c>
      <c r="K709">
        <v>0.86</v>
      </c>
      <c r="L709">
        <v>1</v>
      </c>
      <c r="M709">
        <v>52</v>
      </c>
      <c r="N709">
        <v>47.1</v>
      </c>
      <c r="O709">
        <v>52.9</v>
      </c>
      <c r="P709">
        <v>50.3</v>
      </c>
      <c r="Q709">
        <v>49.7</v>
      </c>
    </row>
    <row r="710" spans="1:17" x14ac:dyDescent="0.25">
      <c r="A710" s="2">
        <v>45634</v>
      </c>
      <c r="B710" s="2" t="str">
        <f t="shared" si="22"/>
        <v>Sunday</v>
      </c>
      <c r="C710" s="2" t="b">
        <f t="shared" si="23"/>
        <v>1</v>
      </c>
      <c r="D710">
        <v>1</v>
      </c>
      <c r="E710" t="s">
        <v>5</v>
      </c>
      <c r="F710">
        <v>259</v>
      </c>
      <c r="G710" s="3">
        <v>4860.08</v>
      </c>
      <c r="H710" s="3">
        <f>Miami_Retail[[#This Row],[sales_usd]] / Miami_Retail[[#This Row],[customers]]</f>
        <v>18.764787644787646</v>
      </c>
      <c r="I710">
        <v>73.2</v>
      </c>
      <c r="J710">
        <f>(Miami_Retail[[#This Row],[avg_temp_f]]-32) * (5/9)</f>
        <v>22.888888888888893</v>
      </c>
      <c r="K710">
        <v>0</v>
      </c>
      <c r="L710">
        <v>0</v>
      </c>
      <c r="M710">
        <v>57.6</v>
      </c>
      <c r="N710">
        <v>48</v>
      </c>
      <c r="O710">
        <v>52</v>
      </c>
      <c r="P710">
        <v>52.5</v>
      </c>
      <c r="Q710">
        <v>47.5</v>
      </c>
    </row>
    <row r="711" spans="1:17" x14ac:dyDescent="0.25">
      <c r="A711" s="2">
        <v>45635</v>
      </c>
      <c r="B711" s="2" t="str">
        <f t="shared" si="22"/>
        <v>Monday</v>
      </c>
      <c r="C711" s="2" t="b">
        <f t="shared" si="23"/>
        <v>0</v>
      </c>
      <c r="D711">
        <v>1</v>
      </c>
      <c r="E711" t="s">
        <v>5</v>
      </c>
      <c r="F711">
        <v>300</v>
      </c>
      <c r="G711" s="3">
        <v>5657.21</v>
      </c>
      <c r="H711" s="3">
        <f>Miami_Retail[[#This Row],[sales_usd]] / Miami_Retail[[#This Row],[customers]]</f>
        <v>18.857366666666667</v>
      </c>
      <c r="I711">
        <v>83.7</v>
      </c>
      <c r="J711">
        <f>(Miami_Retail[[#This Row],[avg_temp_f]]-32) * (5/9)</f>
        <v>28.722222222222225</v>
      </c>
      <c r="K711">
        <v>0</v>
      </c>
      <c r="L711">
        <v>0</v>
      </c>
      <c r="M711">
        <v>56.6</v>
      </c>
      <c r="N711">
        <v>48.7</v>
      </c>
      <c r="O711">
        <v>51.3</v>
      </c>
      <c r="P711">
        <v>43.9</v>
      </c>
      <c r="Q711">
        <v>56.1</v>
      </c>
    </row>
    <row r="712" spans="1:17" x14ac:dyDescent="0.25">
      <c r="A712" s="2">
        <v>45636</v>
      </c>
      <c r="B712" s="2" t="str">
        <f t="shared" si="22"/>
        <v>Tuesday</v>
      </c>
      <c r="C712" s="2" t="b">
        <f t="shared" si="23"/>
        <v>0</v>
      </c>
      <c r="D712">
        <v>1</v>
      </c>
      <c r="E712" t="s">
        <v>5</v>
      </c>
      <c r="F712">
        <v>263</v>
      </c>
      <c r="G712" s="3">
        <v>4785.08</v>
      </c>
      <c r="H712" s="3">
        <f>Miami_Retail[[#This Row],[sales_usd]] / Miami_Retail[[#This Row],[customers]]</f>
        <v>18.194220532319392</v>
      </c>
      <c r="I712">
        <v>74.7</v>
      </c>
      <c r="J712">
        <f>(Miami_Retail[[#This Row],[avg_temp_f]]-32) * (5/9)</f>
        <v>23.722222222222225</v>
      </c>
      <c r="K712">
        <v>0</v>
      </c>
      <c r="L712">
        <v>0</v>
      </c>
      <c r="M712">
        <v>59.1</v>
      </c>
      <c r="N712">
        <v>47.4</v>
      </c>
      <c r="O712">
        <v>52.6</v>
      </c>
      <c r="P712">
        <v>45.6</v>
      </c>
      <c r="Q712">
        <v>54.4</v>
      </c>
    </row>
    <row r="713" spans="1:17" x14ac:dyDescent="0.25">
      <c r="A713" s="2">
        <v>45637</v>
      </c>
      <c r="B713" s="2" t="str">
        <f t="shared" si="22"/>
        <v>Wednesday</v>
      </c>
      <c r="C713" s="2" t="b">
        <f t="shared" si="23"/>
        <v>0</v>
      </c>
      <c r="D713">
        <v>1</v>
      </c>
      <c r="E713" t="s">
        <v>5</v>
      </c>
      <c r="F713">
        <v>277</v>
      </c>
      <c r="G713" s="3">
        <v>5032.93</v>
      </c>
      <c r="H713" s="3">
        <f>Miami_Retail[[#This Row],[sales_usd]] / Miami_Retail[[#This Row],[customers]]</f>
        <v>18.169422382671481</v>
      </c>
      <c r="I713">
        <v>78.900000000000006</v>
      </c>
      <c r="J713">
        <f>(Miami_Retail[[#This Row],[avg_temp_f]]-32) * (5/9)</f>
        <v>26.055555555555561</v>
      </c>
      <c r="K713">
        <v>0</v>
      </c>
      <c r="L713">
        <v>0</v>
      </c>
      <c r="M713">
        <v>49.3</v>
      </c>
      <c r="N713">
        <v>48.8</v>
      </c>
      <c r="O713">
        <v>51.2</v>
      </c>
      <c r="P713">
        <v>42.4</v>
      </c>
      <c r="Q713">
        <v>57.6</v>
      </c>
    </row>
    <row r="714" spans="1:17" x14ac:dyDescent="0.25">
      <c r="A714" s="2">
        <v>45638</v>
      </c>
      <c r="B714" s="2" t="str">
        <f t="shared" si="22"/>
        <v>Thursday</v>
      </c>
      <c r="C714" s="2" t="b">
        <f t="shared" si="23"/>
        <v>0</v>
      </c>
      <c r="D714">
        <v>1</v>
      </c>
      <c r="E714" t="s">
        <v>5</v>
      </c>
      <c r="F714">
        <v>256</v>
      </c>
      <c r="G714" s="3">
        <v>5247.37</v>
      </c>
      <c r="H714" s="3">
        <f>Miami_Retail[[#This Row],[sales_usd]] / Miami_Retail[[#This Row],[customers]]</f>
        <v>20.4975390625</v>
      </c>
      <c r="I714">
        <v>75.7</v>
      </c>
      <c r="J714">
        <f>(Miami_Retail[[#This Row],[avg_temp_f]]-32) * (5/9)</f>
        <v>24.277777777777782</v>
      </c>
      <c r="K714">
        <v>0</v>
      </c>
      <c r="L714">
        <v>0</v>
      </c>
      <c r="M714">
        <v>56.8</v>
      </c>
      <c r="N714">
        <v>49.4</v>
      </c>
      <c r="O714">
        <v>50.6</v>
      </c>
      <c r="P714">
        <v>45.7</v>
      </c>
      <c r="Q714">
        <v>54.3</v>
      </c>
    </row>
    <row r="715" spans="1:17" x14ac:dyDescent="0.25">
      <c r="A715" s="2">
        <v>45639</v>
      </c>
      <c r="B715" s="2" t="str">
        <f t="shared" si="22"/>
        <v>Friday</v>
      </c>
      <c r="C715" s="2" t="b">
        <f t="shared" si="23"/>
        <v>0</v>
      </c>
      <c r="D715">
        <v>1</v>
      </c>
      <c r="E715" t="s">
        <v>5</v>
      </c>
      <c r="F715">
        <v>231</v>
      </c>
      <c r="G715" s="3">
        <v>4405.2299999999996</v>
      </c>
      <c r="H715" s="3">
        <f>Miami_Retail[[#This Row],[sales_usd]] / Miami_Retail[[#This Row],[customers]]</f>
        <v>19.07025974025974</v>
      </c>
      <c r="I715">
        <v>72.099999999999994</v>
      </c>
      <c r="J715">
        <f>(Miami_Retail[[#This Row],[avg_temp_f]]-32) * (5/9)</f>
        <v>22.277777777777775</v>
      </c>
      <c r="K715">
        <v>0</v>
      </c>
      <c r="L715">
        <v>0</v>
      </c>
      <c r="M715">
        <v>54.4</v>
      </c>
      <c r="N715">
        <v>49.7</v>
      </c>
      <c r="O715">
        <v>50.3</v>
      </c>
      <c r="P715">
        <v>46</v>
      </c>
      <c r="Q715">
        <v>54</v>
      </c>
    </row>
    <row r="716" spans="1:17" x14ac:dyDescent="0.25">
      <c r="A716" s="2">
        <v>45640</v>
      </c>
      <c r="B716" s="2" t="str">
        <f t="shared" si="22"/>
        <v>Saturday</v>
      </c>
      <c r="C716" s="2" t="b">
        <f t="shared" si="23"/>
        <v>1</v>
      </c>
      <c r="D716">
        <v>1</v>
      </c>
      <c r="E716" t="s">
        <v>5</v>
      </c>
      <c r="F716">
        <v>328</v>
      </c>
      <c r="G716" s="3">
        <v>5737.4</v>
      </c>
      <c r="H716" s="3">
        <f>Miami_Retail[[#This Row],[sales_usd]] / Miami_Retail[[#This Row],[customers]]</f>
        <v>17.492073170731707</v>
      </c>
      <c r="I716">
        <v>79</v>
      </c>
      <c r="J716">
        <f>(Miami_Retail[[#This Row],[avg_temp_f]]-32) * (5/9)</f>
        <v>26.111111111111111</v>
      </c>
      <c r="K716">
        <v>0</v>
      </c>
      <c r="L716">
        <v>0</v>
      </c>
      <c r="M716">
        <v>55.3</v>
      </c>
      <c r="N716">
        <v>48.9</v>
      </c>
      <c r="O716">
        <v>51.1</v>
      </c>
      <c r="P716">
        <v>50.4</v>
      </c>
      <c r="Q716">
        <v>49.6</v>
      </c>
    </row>
    <row r="717" spans="1:17" x14ac:dyDescent="0.25">
      <c r="A717" s="2">
        <v>45641</v>
      </c>
      <c r="B717" s="2" t="str">
        <f t="shared" si="22"/>
        <v>Sunday</v>
      </c>
      <c r="C717" s="2" t="b">
        <f t="shared" si="23"/>
        <v>1</v>
      </c>
      <c r="D717">
        <v>1</v>
      </c>
      <c r="E717" t="s">
        <v>5</v>
      </c>
      <c r="F717">
        <v>290</v>
      </c>
      <c r="G717" s="3">
        <v>5204.51</v>
      </c>
      <c r="H717" s="3">
        <f>Miami_Retail[[#This Row],[sales_usd]] / Miami_Retail[[#This Row],[customers]]</f>
        <v>17.946586206896551</v>
      </c>
      <c r="I717">
        <v>78.5</v>
      </c>
      <c r="J717">
        <f>(Miami_Retail[[#This Row],[avg_temp_f]]-32) * (5/9)</f>
        <v>25.833333333333336</v>
      </c>
      <c r="K717">
        <v>1.52</v>
      </c>
      <c r="L717">
        <v>1</v>
      </c>
      <c r="M717">
        <v>49</v>
      </c>
      <c r="N717">
        <v>47.8</v>
      </c>
      <c r="O717">
        <v>52.2</v>
      </c>
      <c r="P717">
        <v>49.3</v>
      </c>
      <c r="Q717">
        <v>50.7</v>
      </c>
    </row>
    <row r="718" spans="1:17" x14ac:dyDescent="0.25">
      <c r="A718" s="2">
        <v>45642</v>
      </c>
      <c r="B718" s="2" t="str">
        <f t="shared" si="22"/>
        <v>Monday</v>
      </c>
      <c r="C718" s="2" t="b">
        <f t="shared" si="23"/>
        <v>0</v>
      </c>
      <c r="D718">
        <v>1</v>
      </c>
      <c r="E718" t="s">
        <v>5</v>
      </c>
      <c r="F718">
        <v>260</v>
      </c>
      <c r="G718" s="3">
        <v>4833.22</v>
      </c>
      <c r="H718" s="3">
        <f>Miami_Retail[[#This Row],[sales_usd]] / Miami_Retail[[#This Row],[customers]]</f>
        <v>18.589307692307692</v>
      </c>
      <c r="I718">
        <v>78.8</v>
      </c>
      <c r="J718">
        <f>(Miami_Retail[[#This Row],[avg_temp_f]]-32) * (5/9)</f>
        <v>26</v>
      </c>
      <c r="K718">
        <v>0</v>
      </c>
      <c r="L718">
        <v>0</v>
      </c>
      <c r="M718">
        <v>59.7</v>
      </c>
      <c r="N718">
        <v>47.8</v>
      </c>
      <c r="O718">
        <v>52.2</v>
      </c>
      <c r="P718">
        <v>44.3</v>
      </c>
      <c r="Q718">
        <v>55.7</v>
      </c>
    </row>
    <row r="719" spans="1:17" x14ac:dyDescent="0.25">
      <c r="A719" s="2">
        <v>45643</v>
      </c>
      <c r="B719" s="2" t="str">
        <f t="shared" si="22"/>
        <v>Tuesday</v>
      </c>
      <c r="C719" s="2" t="b">
        <f t="shared" si="23"/>
        <v>0</v>
      </c>
      <c r="D719">
        <v>1</v>
      </c>
      <c r="E719" t="s">
        <v>5</v>
      </c>
      <c r="F719">
        <v>228</v>
      </c>
      <c r="G719" s="3">
        <v>3895.68</v>
      </c>
      <c r="H719" s="3">
        <f>Miami_Retail[[#This Row],[sales_usd]] / Miami_Retail[[#This Row],[customers]]</f>
        <v>17.086315789473684</v>
      </c>
      <c r="I719">
        <v>77</v>
      </c>
      <c r="J719">
        <f>(Miami_Retail[[#This Row],[avg_temp_f]]-32) * (5/9)</f>
        <v>25</v>
      </c>
      <c r="K719">
        <v>1.75</v>
      </c>
      <c r="L719">
        <v>1</v>
      </c>
      <c r="M719">
        <v>47.3</v>
      </c>
      <c r="N719">
        <v>47.7</v>
      </c>
      <c r="O719">
        <v>52.3</v>
      </c>
      <c r="P719">
        <v>41.3</v>
      </c>
      <c r="Q719">
        <v>58.7</v>
      </c>
    </row>
    <row r="720" spans="1:17" x14ac:dyDescent="0.25">
      <c r="A720" s="2">
        <v>45644</v>
      </c>
      <c r="B720" s="2" t="str">
        <f t="shared" si="22"/>
        <v>Wednesday</v>
      </c>
      <c r="C720" s="2" t="b">
        <f t="shared" si="23"/>
        <v>0</v>
      </c>
      <c r="D720">
        <v>1</v>
      </c>
      <c r="E720" t="s">
        <v>5</v>
      </c>
      <c r="F720">
        <v>190</v>
      </c>
      <c r="G720" s="3">
        <v>3869.65</v>
      </c>
      <c r="H720" s="3">
        <f>Miami_Retail[[#This Row],[sales_usd]] / Miami_Retail[[#This Row],[customers]]</f>
        <v>20.366578947368421</v>
      </c>
      <c r="I720">
        <v>76.400000000000006</v>
      </c>
      <c r="J720">
        <f>(Miami_Retail[[#This Row],[avg_temp_f]]-32) * (5/9)</f>
        <v>24.666666666666671</v>
      </c>
      <c r="K720">
        <v>2.21</v>
      </c>
      <c r="L720">
        <v>1</v>
      </c>
      <c r="M720">
        <v>47</v>
      </c>
      <c r="N720">
        <v>50.5</v>
      </c>
      <c r="O720">
        <v>49.5</v>
      </c>
      <c r="P720">
        <v>46.5</v>
      </c>
      <c r="Q720">
        <v>53.5</v>
      </c>
    </row>
    <row r="721" spans="1:17" x14ac:dyDescent="0.25">
      <c r="A721" s="2">
        <v>45645</v>
      </c>
      <c r="B721" s="2" t="str">
        <f t="shared" si="22"/>
        <v>Thursday</v>
      </c>
      <c r="C721" s="2" t="b">
        <f t="shared" si="23"/>
        <v>0</v>
      </c>
      <c r="D721">
        <v>1</v>
      </c>
      <c r="E721" t="s">
        <v>5</v>
      </c>
      <c r="F721">
        <v>239</v>
      </c>
      <c r="G721" s="3">
        <v>4216.8100000000004</v>
      </c>
      <c r="H721" s="3">
        <f>Miami_Retail[[#This Row],[sales_usd]] / Miami_Retail[[#This Row],[customers]]</f>
        <v>17.643556485355649</v>
      </c>
      <c r="I721">
        <v>73.8</v>
      </c>
      <c r="J721">
        <f>(Miami_Retail[[#This Row],[avg_temp_f]]-32) * (5/9)</f>
        <v>23.222222222222221</v>
      </c>
      <c r="K721">
        <v>0</v>
      </c>
      <c r="L721">
        <v>0</v>
      </c>
      <c r="M721">
        <v>49</v>
      </c>
      <c r="N721">
        <v>49.1</v>
      </c>
      <c r="O721">
        <v>50.9</v>
      </c>
      <c r="P721">
        <v>43</v>
      </c>
      <c r="Q721">
        <v>57</v>
      </c>
    </row>
    <row r="722" spans="1:17" x14ac:dyDescent="0.25">
      <c r="A722" s="2">
        <v>45646</v>
      </c>
      <c r="B722" s="2" t="str">
        <f t="shared" si="22"/>
        <v>Friday</v>
      </c>
      <c r="C722" s="2" t="b">
        <f t="shared" si="23"/>
        <v>0</v>
      </c>
      <c r="D722">
        <v>1</v>
      </c>
      <c r="E722" t="s">
        <v>5</v>
      </c>
      <c r="F722">
        <v>240</v>
      </c>
      <c r="G722" s="3">
        <v>4314.6099999999997</v>
      </c>
      <c r="H722" s="3">
        <f>Miami_Retail[[#This Row],[sales_usd]] / Miami_Retail[[#This Row],[customers]]</f>
        <v>17.977541666666664</v>
      </c>
      <c r="I722">
        <v>73.5</v>
      </c>
      <c r="J722">
        <f>(Miami_Retail[[#This Row],[avg_temp_f]]-32) * (5/9)</f>
        <v>23.055555555555557</v>
      </c>
      <c r="K722">
        <v>0</v>
      </c>
      <c r="L722">
        <v>0</v>
      </c>
      <c r="M722">
        <v>55.1</v>
      </c>
      <c r="N722">
        <v>46.1</v>
      </c>
      <c r="O722">
        <v>53.9</v>
      </c>
      <c r="P722">
        <v>44.4</v>
      </c>
      <c r="Q722">
        <v>55.6</v>
      </c>
    </row>
    <row r="723" spans="1:17" x14ac:dyDescent="0.25">
      <c r="A723" s="2">
        <v>45647</v>
      </c>
      <c r="B723" s="2" t="str">
        <f t="shared" si="22"/>
        <v>Saturday</v>
      </c>
      <c r="C723" s="2" t="b">
        <f t="shared" si="23"/>
        <v>1</v>
      </c>
      <c r="D723">
        <v>1</v>
      </c>
      <c r="E723" t="s">
        <v>5</v>
      </c>
      <c r="F723">
        <v>300</v>
      </c>
      <c r="G723" s="3">
        <v>5562.31</v>
      </c>
      <c r="H723" s="3">
        <f>Miami_Retail[[#This Row],[sales_usd]] / Miami_Retail[[#This Row],[customers]]</f>
        <v>18.541033333333335</v>
      </c>
      <c r="I723">
        <v>76.7</v>
      </c>
      <c r="J723">
        <f>(Miami_Retail[[#This Row],[avg_temp_f]]-32) * (5/9)</f>
        <v>24.833333333333336</v>
      </c>
      <c r="K723">
        <v>0</v>
      </c>
      <c r="L723">
        <v>0</v>
      </c>
      <c r="M723">
        <v>50.8</v>
      </c>
      <c r="N723">
        <v>49.7</v>
      </c>
      <c r="O723">
        <v>50.3</v>
      </c>
      <c r="P723">
        <v>51.9</v>
      </c>
      <c r="Q723">
        <v>48.1</v>
      </c>
    </row>
    <row r="724" spans="1:17" x14ac:dyDescent="0.25">
      <c r="A724" s="2">
        <v>45648</v>
      </c>
      <c r="B724" s="2" t="str">
        <f t="shared" si="22"/>
        <v>Sunday</v>
      </c>
      <c r="C724" s="2" t="b">
        <f t="shared" si="23"/>
        <v>1</v>
      </c>
      <c r="D724">
        <v>1</v>
      </c>
      <c r="E724" t="s">
        <v>5</v>
      </c>
      <c r="F724">
        <v>297</v>
      </c>
      <c r="G724" s="3">
        <v>5022.8500000000004</v>
      </c>
      <c r="H724" s="3">
        <f>Miami_Retail[[#This Row],[sales_usd]] / Miami_Retail[[#This Row],[customers]]</f>
        <v>16.911952861952862</v>
      </c>
      <c r="I724">
        <v>77.900000000000006</v>
      </c>
      <c r="J724">
        <f>(Miami_Retail[[#This Row],[avg_temp_f]]-32) * (5/9)</f>
        <v>25.500000000000004</v>
      </c>
      <c r="K724">
        <v>0</v>
      </c>
      <c r="L724">
        <v>0</v>
      </c>
      <c r="M724">
        <v>53.3</v>
      </c>
      <c r="N724">
        <v>48.3</v>
      </c>
      <c r="O724">
        <v>51.7</v>
      </c>
      <c r="P724">
        <v>49</v>
      </c>
      <c r="Q724">
        <v>51</v>
      </c>
    </row>
    <row r="725" spans="1:17" x14ac:dyDescent="0.25">
      <c r="A725" s="2">
        <v>45649</v>
      </c>
      <c r="B725" s="2" t="str">
        <f t="shared" si="22"/>
        <v>Monday</v>
      </c>
      <c r="C725" s="2" t="b">
        <f t="shared" si="23"/>
        <v>0</v>
      </c>
      <c r="D725">
        <v>1</v>
      </c>
      <c r="E725" t="s">
        <v>5</v>
      </c>
      <c r="F725">
        <v>237</v>
      </c>
      <c r="G725" s="3">
        <v>4404.17</v>
      </c>
      <c r="H725" s="3">
        <f>Miami_Retail[[#This Row],[sales_usd]] / Miami_Retail[[#This Row],[customers]]</f>
        <v>18.582995780590718</v>
      </c>
      <c r="I725">
        <v>74.400000000000006</v>
      </c>
      <c r="J725">
        <f>(Miami_Retail[[#This Row],[avg_temp_f]]-32) * (5/9)</f>
        <v>23.555555555555561</v>
      </c>
      <c r="K725">
        <v>0</v>
      </c>
      <c r="L725">
        <v>0</v>
      </c>
      <c r="M725">
        <v>49.2</v>
      </c>
      <c r="N725">
        <v>48.5</v>
      </c>
      <c r="O725">
        <v>51.5</v>
      </c>
      <c r="P725">
        <v>44.8</v>
      </c>
      <c r="Q725">
        <v>55.2</v>
      </c>
    </row>
    <row r="726" spans="1:17" x14ac:dyDescent="0.25">
      <c r="A726" s="2">
        <v>45650</v>
      </c>
      <c r="B726" s="2" t="str">
        <f t="shared" si="22"/>
        <v>Tuesday</v>
      </c>
      <c r="C726" s="2" t="b">
        <f t="shared" si="23"/>
        <v>0</v>
      </c>
      <c r="D726">
        <v>1</v>
      </c>
      <c r="E726" t="s">
        <v>5</v>
      </c>
      <c r="F726">
        <v>273</v>
      </c>
      <c r="G726" s="3">
        <v>5037.0200000000004</v>
      </c>
      <c r="H726" s="3">
        <f>Miami_Retail[[#This Row],[sales_usd]] / Miami_Retail[[#This Row],[customers]]</f>
        <v>18.450622710622714</v>
      </c>
      <c r="I726">
        <v>77.7</v>
      </c>
      <c r="J726">
        <f>(Miami_Retail[[#This Row],[avg_temp_f]]-32) * (5/9)</f>
        <v>25.388888888888893</v>
      </c>
      <c r="K726">
        <v>0</v>
      </c>
      <c r="L726">
        <v>0</v>
      </c>
      <c r="M726">
        <v>47.7</v>
      </c>
      <c r="N726">
        <v>49.3</v>
      </c>
      <c r="O726">
        <v>50.7</v>
      </c>
      <c r="P726">
        <v>43.8</v>
      </c>
      <c r="Q726">
        <v>56.2</v>
      </c>
    </row>
    <row r="727" spans="1:17" x14ac:dyDescent="0.25">
      <c r="A727" s="2">
        <v>45651</v>
      </c>
      <c r="B727" s="2" t="str">
        <f t="shared" si="22"/>
        <v>Wednesday</v>
      </c>
      <c r="C727" s="2" t="b">
        <f t="shared" si="23"/>
        <v>0</v>
      </c>
      <c r="D727">
        <v>1</v>
      </c>
      <c r="E727" t="s">
        <v>5</v>
      </c>
      <c r="F727">
        <v>231</v>
      </c>
      <c r="G727" s="3">
        <v>4271.63</v>
      </c>
      <c r="H727" s="3">
        <f>Miami_Retail[[#This Row],[sales_usd]] / Miami_Retail[[#This Row],[customers]]</f>
        <v>18.491904761904763</v>
      </c>
      <c r="I727">
        <v>76.099999999999994</v>
      </c>
      <c r="J727">
        <f>(Miami_Retail[[#This Row],[avg_temp_f]]-32) * (5/9)</f>
        <v>24.499999999999996</v>
      </c>
      <c r="K727">
        <v>0.67</v>
      </c>
      <c r="L727">
        <v>1</v>
      </c>
      <c r="M727">
        <v>53.5</v>
      </c>
      <c r="N727">
        <v>49.7</v>
      </c>
      <c r="O727">
        <v>50.3</v>
      </c>
      <c r="P727">
        <v>44.5</v>
      </c>
      <c r="Q727">
        <v>55.5</v>
      </c>
    </row>
    <row r="728" spans="1:17" x14ac:dyDescent="0.25">
      <c r="A728" s="2">
        <v>45652</v>
      </c>
      <c r="B728" s="2" t="str">
        <f t="shared" si="22"/>
        <v>Thursday</v>
      </c>
      <c r="C728" s="2" t="b">
        <f t="shared" si="23"/>
        <v>0</v>
      </c>
      <c r="D728">
        <v>1</v>
      </c>
      <c r="E728" t="s">
        <v>5</v>
      </c>
      <c r="F728">
        <v>281</v>
      </c>
      <c r="G728" s="3">
        <v>5444.6</v>
      </c>
      <c r="H728" s="3">
        <f>Miami_Retail[[#This Row],[sales_usd]] / Miami_Retail[[#This Row],[customers]]</f>
        <v>19.375800711743775</v>
      </c>
      <c r="I728">
        <v>79.099999999999994</v>
      </c>
      <c r="J728">
        <f>(Miami_Retail[[#This Row],[avg_temp_f]]-32) * (5/9)</f>
        <v>26.166666666666664</v>
      </c>
      <c r="K728">
        <v>0</v>
      </c>
      <c r="L728">
        <v>0</v>
      </c>
      <c r="M728">
        <v>35</v>
      </c>
      <c r="N728">
        <v>50.3</v>
      </c>
      <c r="O728">
        <v>49.7</v>
      </c>
      <c r="P728">
        <v>44.2</v>
      </c>
      <c r="Q728">
        <v>55.8</v>
      </c>
    </row>
    <row r="729" spans="1:17" x14ac:dyDescent="0.25">
      <c r="A729" s="2">
        <v>45653</v>
      </c>
      <c r="B729" s="2" t="str">
        <f t="shared" si="22"/>
        <v>Friday</v>
      </c>
      <c r="C729" s="2" t="b">
        <f t="shared" si="23"/>
        <v>0</v>
      </c>
      <c r="D729">
        <v>1</v>
      </c>
      <c r="E729" t="s">
        <v>5</v>
      </c>
      <c r="F729">
        <v>304</v>
      </c>
      <c r="G729" s="3">
        <v>5486.46</v>
      </c>
      <c r="H729" s="3">
        <f>Miami_Retail[[#This Row],[sales_usd]] / Miami_Retail[[#This Row],[customers]]</f>
        <v>18.047565789473683</v>
      </c>
      <c r="I729">
        <v>82.2</v>
      </c>
      <c r="J729">
        <f>(Miami_Retail[[#This Row],[avg_temp_f]]-32) * (5/9)</f>
        <v>27.888888888888893</v>
      </c>
      <c r="K729">
        <v>0</v>
      </c>
      <c r="L729">
        <v>0</v>
      </c>
      <c r="M729">
        <v>51.6</v>
      </c>
      <c r="N729">
        <v>48.5</v>
      </c>
      <c r="O729">
        <v>51.5</v>
      </c>
      <c r="P729">
        <v>44.5</v>
      </c>
      <c r="Q729">
        <v>55.5</v>
      </c>
    </row>
    <row r="730" spans="1:17" x14ac:dyDescent="0.25">
      <c r="A730" s="2">
        <v>45654</v>
      </c>
      <c r="B730" s="2" t="str">
        <f t="shared" si="22"/>
        <v>Saturday</v>
      </c>
      <c r="C730" s="2" t="b">
        <f t="shared" si="23"/>
        <v>1</v>
      </c>
      <c r="D730">
        <v>1</v>
      </c>
      <c r="E730" t="s">
        <v>5</v>
      </c>
      <c r="F730">
        <v>273</v>
      </c>
      <c r="G730" s="3">
        <v>4713.83</v>
      </c>
      <c r="H730" s="3">
        <f>Miami_Retail[[#This Row],[sales_usd]] / Miami_Retail[[#This Row],[customers]]</f>
        <v>17.266776556776556</v>
      </c>
      <c r="I730">
        <v>78.5</v>
      </c>
      <c r="J730">
        <f>(Miami_Retail[[#This Row],[avg_temp_f]]-32) * (5/9)</f>
        <v>25.833333333333336</v>
      </c>
      <c r="K730">
        <v>1.83</v>
      </c>
      <c r="L730">
        <v>1</v>
      </c>
      <c r="M730">
        <v>43.6</v>
      </c>
      <c r="N730">
        <v>48.2</v>
      </c>
      <c r="O730">
        <v>51.8</v>
      </c>
      <c r="P730">
        <v>51.9</v>
      </c>
      <c r="Q730">
        <v>48.1</v>
      </c>
    </row>
    <row r="731" spans="1:17" x14ac:dyDescent="0.25">
      <c r="A731" s="2">
        <v>45655</v>
      </c>
      <c r="B731" s="2" t="str">
        <f t="shared" si="22"/>
        <v>Sunday</v>
      </c>
      <c r="C731" s="2" t="b">
        <f t="shared" si="23"/>
        <v>1</v>
      </c>
      <c r="D731">
        <v>1</v>
      </c>
      <c r="E731" t="s">
        <v>5</v>
      </c>
      <c r="F731">
        <v>248</v>
      </c>
      <c r="G731" s="3">
        <v>4588.3900000000003</v>
      </c>
      <c r="H731" s="3">
        <f>Miami_Retail[[#This Row],[sales_usd]] / Miami_Retail[[#This Row],[customers]]</f>
        <v>18.501572580645163</v>
      </c>
      <c r="I731">
        <v>74</v>
      </c>
      <c r="J731">
        <f>(Miami_Retail[[#This Row],[avg_temp_f]]-32) * (5/9)</f>
        <v>23.333333333333336</v>
      </c>
      <c r="K731">
        <v>0</v>
      </c>
      <c r="L731">
        <v>0</v>
      </c>
      <c r="M731">
        <v>52.1</v>
      </c>
      <c r="N731">
        <v>50</v>
      </c>
      <c r="O731">
        <v>50</v>
      </c>
      <c r="P731">
        <v>51.9</v>
      </c>
      <c r="Q731">
        <v>48.1</v>
      </c>
    </row>
    <row r="732" spans="1:17" x14ac:dyDescent="0.25">
      <c r="A732" s="2">
        <v>45656</v>
      </c>
      <c r="B732" s="2" t="str">
        <f t="shared" si="22"/>
        <v>Monday</v>
      </c>
      <c r="C732" s="2" t="b">
        <f t="shared" si="23"/>
        <v>0</v>
      </c>
      <c r="D732">
        <v>1</v>
      </c>
      <c r="E732" t="s">
        <v>5</v>
      </c>
      <c r="F732">
        <v>235</v>
      </c>
      <c r="G732" s="3">
        <v>4554.18</v>
      </c>
      <c r="H732" s="3">
        <f>Miami_Retail[[#This Row],[sales_usd]] / Miami_Retail[[#This Row],[customers]]</f>
        <v>19.379489361702127</v>
      </c>
      <c r="I732">
        <v>75.5</v>
      </c>
      <c r="J732">
        <f>(Miami_Retail[[#This Row],[avg_temp_f]]-32) * (5/9)</f>
        <v>24.166666666666668</v>
      </c>
      <c r="K732">
        <v>0.48</v>
      </c>
      <c r="L732">
        <v>1</v>
      </c>
      <c r="M732">
        <v>39.299999999999997</v>
      </c>
      <c r="N732">
        <v>48.9</v>
      </c>
      <c r="O732">
        <v>51.1</v>
      </c>
      <c r="P732">
        <v>46.1</v>
      </c>
      <c r="Q732">
        <v>53.9</v>
      </c>
    </row>
    <row r="733" spans="1:17" x14ac:dyDescent="0.25">
      <c r="A733" s="2">
        <v>45657</v>
      </c>
      <c r="B733" s="2" t="str">
        <f t="shared" si="22"/>
        <v>Tuesday</v>
      </c>
      <c r="C733" s="2" t="b">
        <f t="shared" si="23"/>
        <v>0</v>
      </c>
      <c r="D733">
        <v>1</v>
      </c>
      <c r="E733" t="s">
        <v>5</v>
      </c>
      <c r="F733">
        <v>196</v>
      </c>
      <c r="G733" s="3">
        <v>3755.53</v>
      </c>
      <c r="H733" s="3">
        <f>Miami_Retail[[#This Row],[sales_usd]] / Miami_Retail[[#This Row],[customers]]</f>
        <v>19.160867346938776</v>
      </c>
      <c r="I733">
        <v>70.900000000000006</v>
      </c>
      <c r="J733">
        <f>(Miami_Retail[[#This Row],[avg_temp_f]]-32) * (5/9)</f>
        <v>21.611111111111114</v>
      </c>
      <c r="K733">
        <v>0</v>
      </c>
      <c r="L733">
        <v>0</v>
      </c>
      <c r="M733">
        <v>47.8</v>
      </c>
      <c r="N733">
        <v>50.2</v>
      </c>
      <c r="O733">
        <v>49.8</v>
      </c>
      <c r="P733">
        <v>43.8</v>
      </c>
      <c r="Q733">
        <v>56.2</v>
      </c>
    </row>
    <row r="734" spans="1:17" x14ac:dyDescent="0.25">
      <c r="A734" s="2">
        <v>44928</v>
      </c>
      <c r="B734" s="2" t="str">
        <f t="shared" si="22"/>
        <v>Monday</v>
      </c>
      <c r="C734" s="2" t="b">
        <f t="shared" si="23"/>
        <v>0</v>
      </c>
      <c r="D734">
        <v>2</v>
      </c>
      <c r="E734" t="s">
        <v>6</v>
      </c>
      <c r="F734">
        <v>219</v>
      </c>
      <c r="G734" s="3">
        <v>3968.51</v>
      </c>
      <c r="H734" s="3">
        <f>Miami_Retail[[#This Row],[sales_usd]] / Miami_Retail[[#This Row],[customers]]</f>
        <v>18.121050228310505</v>
      </c>
      <c r="I734">
        <v>73.900000000000006</v>
      </c>
      <c r="J734">
        <f>(Miami_Retail[[#This Row],[avg_temp_f]]-32) * (5/9)</f>
        <v>23.277777777777782</v>
      </c>
      <c r="K734">
        <v>0.31</v>
      </c>
      <c r="L734">
        <v>1</v>
      </c>
      <c r="M734">
        <v>51.1</v>
      </c>
      <c r="N734">
        <v>47.4</v>
      </c>
      <c r="O734">
        <v>52.6</v>
      </c>
      <c r="P734">
        <v>45.6</v>
      </c>
      <c r="Q734">
        <v>54.4</v>
      </c>
    </row>
    <row r="735" spans="1:17" x14ac:dyDescent="0.25">
      <c r="A735" s="2">
        <v>44929</v>
      </c>
      <c r="B735" s="2" t="str">
        <f t="shared" si="22"/>
        <v>Tuesday</v>
      </c>
      <c r="C735" s="2" t="b">
        <f t="shared" si="23"/>
        <v>0</v>
      </c>
      <c r="D735">
        <v>2</v>
      </c>
      <c r="E735" t="s">
        <v>6</v>
      </c>
      <c r="F735">
        <v>230</v>
      </c>
      <c r="G735" s="3">
        <v>4042.33</v>
      </c>
      <c r="H735" s="3">
        <f>Miami_Retail[[#This Row],[sales_usd]] / Miami_Retail[[#This Row],[customers]]</f>
        <v>17.575347826086958</v>
      </c>
      <c r="I735">
        <v>76.3</v>
      </c>
      <c r="J735">
        <f>(Miami_Retail[[#This Row],[avg_temp_f]]-32) * (5/9)</f>
        <v>24.611111111111111</v>
      </c>
      <c r="K735">
        <v>0</v>
      </c>
      <c r="L735">
        <v>0</v>
      </c>
      <c r="M735">
        <v>51.6</v>
      </c>
      <c r="N735">
        <v>50.3</v>
      </c>
      <c r="O735">
        <v>49.7</v>
      </c>
      <c r="P735">
        <v>43.9</v>
      </c>
      <c r="Q735">
        <v>56.1</v>
      </c>
    </row>
    <row r="736" spans="1:17" x14ac:dyDescent="0.25">
      <c r="A736" s="2">
        <v>44930</v>
      </c>
      <c r="B736" s="2" t="str">
        <f t="shared" si="22"/>
        <v>Wednesday</v>
      </c>
      <c r="C736" s="2" t="b">
        <f t="shared" si="23"/>
        <v>0</v>
      </c>
      <c r="D736">
        <v>2</v>
      </c>
      <c r="E736" t="s">
        <v>6</v>
      </c>
      <c r="F736">
        <v>192</v>
      </c>
      <c r="G736" s="3">
        <v>3425.17</v>
      </c>
      <c r="H736" s="3">
        <f>Miami_Retail[[#This Row],[sales_usd]] / Miami_Retail[[#This Row],[customers]]</f>
        <v>17.839427083333334</v>
      </c>
      <c r="I736">
        <v>74.2</v>
      </c>
      <c r="J736">
        <f>(Miami_Retail[[#This Row],[avg_temp_f]]-32) * (5/9)</f>
        <v>23.444444444444446</v>
      </c>
      <c r="K736">
        <v>0</v>
      </c>
      <c r="L736">
        <v>0</v>
      </c>
      <c r="M736">
        <v>51.6</v>
      </c>
      <c r="N736">
        <v>48.6</v>
      </c>
      <c r="O736">
        <v>51.4</v>
      </c>
      <c r="P736">
        <v>44.8</v>
      </c>
      <c r="Q736">
        <v>55.2</v>
      </c>
    </row>
    <row r="737" spans="1:17" x14ac:dyDescent="0.25">
      <c r="A737" s="2">
        <v>44931</v>
      </c>
      <c r="B737" s="2" t="str">
        <f t="shared" si="22"/>
        <v>Thursday</v>
      </c>
      <c r="C737" s="2" t="b">
        <f t="shared" si="23"/>
        <v>0</v>
      </c>
      <c r="D737">
        <v>2</v>
      </c>
      <c r="E737" t="s">
        <v>6</v>
      </c>
      <c r="F737">
        <v>188</v>
      </c>
      <c r="G737" s="3">
        <v>3260.61</v>
      </c>
      <c r="H737" s="3">
        <f>Miami_Retail[[#This Row],[sales_usd]] / Miami_Retail[[#This Row],[customers]]</f>
        <v>17.343670212765957</v>
      </c>
      <c r="I737">
        <v>72.7</v>
      </c>
      <c r="J737">
        <f>(Miami_Retail[[#This Row],[avg_temp_f]]-32) * (5/9)</f>
        <v>22.611111111111114</v>
      </c>
      <c r="K737">
        <v>0</v>
      </c>
      <c r="L737">
        <v>0</v>
      </c>
      <c r="M737">
        <v>54.8</v>
      </c>
      <c r="N737">
        <v>50.4</v>
      </c>
      <c r="O737">
        <v>49.6</v>
      </c>
      <c r="P737">
        <v>43.6</v>
      </c>
      <c r="Q737">
        <v>56.4</v>
      </c>
    </row>
    <row r="738" spans="1:17" x14ac:dyDescent="0.25">
      <c r="A738" s="2">
        <v>44932</v>
      </c>
      <c r="B738" s="2" t="str">
        <f t="shared" si="22"/>
        <v>Friday</v>
      </c>
      <c r="C738" s="2" t="b">
        <f t="shared" si="23"/>
        <v>0</v>
      </c>
      <c r="D738">
        <v>2</v>
      </c>
      <c r="E738" t="s">
        <v>6</v>
      </c>
      <c r="F738">
        <v>222</v>
      </c>
      <c r="G738" s="3">
        <v>3962.5</v>
      </c>
      <c r="H738" s="3">
        <f>Miami_Retail[[#This Row],[sales_usd]] / Miami_Retail[[#This Row],[customers]]</f>
        <v>17.849099099099099</v>
      </c>
      <c r="I738">
        <v>73.099999999999994</v>
      </c>
      <c r="J738">
        <f>(Miami_Retail[[#This Row],[avg_temp_f]]-32) * (5/9)</f>
        <v>22.833333333333332</v>
      </c>
      <c r="K738">
        <v>0.33</v>
      </c>
      <c r="L738">
        <v>1</v>
      </c>
      <c r="M738">
        <v>44.1</v>
      </c>
      <c r="N738">
        <v>50.7</v>
      </c>
      <c r="O738">
        <v>49.3</v>
      </c>
      <c r="P738">
        <v>45.3</v>
      </c>
      <c r="Q738">
        <v>54.7</v>
      </c>
    </row>
    <row r="739" spans="1:17" x14ac:dyDescent="0.25">
      <c r="A739" s="2">
        <v>44933</v>
      </c>
      <c r="B739" s="2" t="str">
        <f t="shared" si="22"/>
        <v>Saturday</v>
      </c>
      <c r="C739" s="2" t="b">
        <f t="shared" si="23"/>
        <v>1</v>
      </c>
      <c r="D739">
        <v>2</v>
      </c>
      <c r="E739" t="s">
        <v>6</v>
      </c>
      <c r="F739">
        <v>243</v>
      </c>
      <c r="G739" s="3">
        <v>4022.73</v>
      </c>
      <c r="H739" s="3">
        <f>Miami_Retail[[#This Row],[sales_usd]] / Miami_Retail[[#This Row],[customers]]</f>
        <v>16.554444444444446</v>
      </c>
      <c r="I739">
        <v>74.900000000000006</v>
      </c>
      <c r="J739">
        <f>(Miami_Retail[[#This Row],[avg_temp_f]]-32) * (5/9)</f>
        <v>23.833333333333339</v>
      </c>
      <c r="K739">
        <v>0</v>
      </c>
      <c r="L739">
        <v>0</v>
      </c>
      <c r="M739">
        <v>48.3</v>
      </c>
      <c r="N739">
        <v>49</v>
      </c>
      <c r="O739">
        <v>51</v>
      </c>
      <c r="P739">
        <v>52.5</v>
      </c>
      <c r="Q739">
        <v>47.5</v>
      </c>
    </row>
    <row r="740" spans="1:17" x14ac:dyDescent="0.25">
      <c r="A740" s="2">
        <v>44934</v>
      </c>
      <c r="B740" s="2" t="str">
        <f t="shared" si="22"/>
        <v>Sunday</v>
      </c>
      <c r="C740" s="2" t="b">
        <f t="shared" si="23"/>
        <v>1</v>
      </c>
      <c r="D740">
        <v>2</v>
      </c>
      <c r="E740" t="s">
        <v>6</v>
      </c>
      <c r="F740">
        <v>231</v>
      </c>
      <c r="G740" s="3">
        <v>4061.02</v>
      </c>
      <c r="H740" s="3">
        <f>Miami_Retail[[#This Row],[sales_usd]] / Miami_Retail[[#This Row],[customers]]</f>
        <v>17.58017316017316</v>
      </c>
      <c r="I740">
        <v>68.400000000000006</v>
      </c>
      <c r="J740">
        <f>(Miami_Retail[[#This Row],[avg_temp_f]]-32) * (5/9)</f>
        <v>20.222222222222225</v>
      </c>
      <c r="K740">
        <v>0.48</v>
      </c>
      <c r="L740">
        <v>1</v>
      </c>
      <c r="M740">
        <v>39.700000000000003</v>
      </c>
      <c r="N740">
        <v>49.1</v>
      </c>
      <c r="O740">
        <v>50.9</v>
      </c>
      <c r="P740">
        <v>50.9</v>
      </c>
      <c r="Q740">
        <v>49.1</v>
      </c>
    </row>
    <row r="741" spans="1:17" x14ac:dyDescent="0.25">
      <c r="A741" s="2">
        <v>44935</v>
      </c>
      <c r="B741" s="2" t="str">
        <f t="shared" si="22"/>
        <v>Monday</v>
      </c>
      <c r="C741" s="2" t="b">
        <f t="shared" si="23"/>
        <v>0</v>
      </c>
      <c r="D741">
        <v>2</v>
      </c>
      <c r="E741" t="s">
        <v>6</v>
      </c>
      <c r="F741">
        <v>257</v>
      </c>
      <c r="G741" s="3">
        <v>4292.67</v>
      </c>
      <c r="H741" s="3">
        <f>Miami_Retail[[#This Row],[sales_usd]] / Miami_Retail[[#This Row],[customers]]</f>
        <v>16.702996108949417</v>
      </c>
      <c r="I741">
        <v>74.3</v>
      </c>
      <c r="J741">
        <f>(Miami_Retail[[#This Row],[avg_temp_f]]-32) * (5/9)</f>
        <v>23.5</v>
      </c>
      <c r="K741">
        <v>0</v>
      </c>
      <c r="L741">
        <v>0</v>
      </c>
      <c r="M741">
        <v>49.8</v>
      </c>
      <c r="N741">
        <v>49.2</v>
      </c>
      <c r="O741">
        <v>50.8</v>
      </c>
      <c r="P741">
        <v>45.9</v>
      </c>
      <c r="Q741">
        <v>54.1</v>
      </c>
    </row>
    <row r="742" spans="1:17" x14ac:dyDescent="0.25">
      <c r="A742" s="2">
        <v>44936</v>
      </c>
      <c r="B742" s="2" t="str">
        <f t="shared" si="22"/>
        <v>Tuesday</v>
      </c>
      <c r="C742" s="2" t="b">
        <f t="shared" si="23"/>
        <v>0</v>
      </c>
      <c r="D742">
        <v>2</v>
      </c>
      <c r="E742" t="s">
        <v>6</v>
      </c>
      <c r="F742">
        <v>194</v>
      </c>
      <c r="G742" s="3">
        <v>3404.83</v>
      </c>
      <c r="H742" s="3">
        <f>Miami_Retail[[#This Row],[sales_usd]] / Miami_Retail[[#This Row],[customers]]</f>
        <v>17.550670103092784</v>
      </c>
      <c r="I742">
        <v>70.3</v>
      </c>
      <c r="J742">
        <f>(Miami_Retail[[#This Row],[avg_temp_f]]-32) * (5/9)</f>
        <v>21.277777777777779</v>
      </c>
      <c r="K742">
        <v>0</v>
      </c>
      <c r="L742">
        <v>0</v>
      </c>
      <c r="M742">
        <v>37.1</v>
      </c>
      <c r="N742">
        <v>48.5</v>
      </c>
      <c r="O742">
        <v>51.5</v>
      </c>
      <c r="P742">
        <v>42.5</v>
      </c>
      <c r="Q742">
        <v>57.5</v>
      </c>
    </row>
    <row r="743" spans="1:17" x14ac:dyDescent="0.25">
      <c r="A743" s="2">
        <v>44937</v>
      </c>
      <c r="B743" s="2" t="str">
        <f t="shared" si="22"/>
        <v>Wednesday</v>
      </c>
      <c r="C743" s="2" t="b">
        <f t="shared" si="23"/>
        <v>0</v>
      </c>
      <c r="D743">
        <v>2</v>
      </c>
      <c r="E743" t="s">
        <v>6</v>
      </c>
      <c r="F743">
        <v>208</v>
      </c>
      <c r="G743" s="3">
        <v>3360.16</v>
      </c>
      <c r="H743" s="3">
        <f>Miami_Retail[[#This Row],[sales_usd]] / Miami_Retail[[#This Row],[customers]]</f>
        <v>16.154615384615383</v>
      </c>
      <c r="I743">
        <v>71.900000000000006</v>
      </c>
      <c r="J743">
        <f>(Miami_Retail[[#This Row],[avg_temp_f]]-32) * (5/9)</f>
        <v>22.166666666666671</v>
      </c>
      <c r="K743">
        <v>0</v>
      </c>
      <c r="L743">
        <v>0</v>
      </c>
      <c r="M743">
        <v>44.6</v>
      </c>
      <c r="N743">
        <v>50.6</v>
      </c>
      <c r="O743">
        <v>49.4</v>
      </c>
      <c r="P743">
        <v>44.1</v>
      </c>
      <c r="Q743">
        <v>55.9</v>
      </c>
    </row>
    <row r="744" spans="1:17" x14ac:dyDescent="0.25">
      <c r="A744" s="2">
        <v>44938</v>
      </c>
      <c r="B744" s="2" t="str">
        <f t="shared" si="22"/>
        <v>Thursday</v>
      </c>
      <c r="C744" s="2" t="b">
        <f t="shared" si="23"/>
        <v>0</v>
      </c>
      <c r="D744">
        <v>2</v>
      </c>
      <c r="E744" t="s">
        <v>6</v>
      </c>
      <c r="F744">
        <v>172</v>
      </c>
      <c r="G744" s="3">
        <v>2747.66</v>
      </c>
      <c r="H744" s="3">
        <f>Miami_Retail[[#This Row],[sales_usd]] / Miami_Retail[[#This Row],[customers]]</f>
        <v>15.974767441860465</v>
      </c>
      <c r="I744">
        <v>72</v>
      </c>
      <c r="J744">
        <f>(Miami_Retail[[#This Row],[avg_temp_f]]-32) * (5/9)</f>
        <v>22.222222222222221</v>
      </c>
      <c r="K744">
        <v>0</v>
      </c>
      <c r="L744">
        <v>0</v>
      </c>
      <c r="M744">
        <v>42.7</v>
      </c>
      <c r="N744">
        <v>49.7</v>
      </c>
      <c r="O744">
        <v>50.3</v>
      </c>
      <c r="P744">
        <v>45.6</v>
      </c>
      <c r="Q744">
        <v>54.4</v>
      </c>
    </row>
    <row r="745" spans="1:17" x14ac:dyDescent="0.25">
      <c r="A745" s="2">
        <v>44939</v>
      </c>
      <c r="B745" s="2" t="str">
        <f t="shared" si="22"/>
        <v>Friday</v>
      </c>
      <c r="C745" s="2" t="b">
        <f t="shared" si="23"/>
        <v>0</v>
      </c>
      <c r="D745">
        <v>2</v>
      </c>
      <c r="E745" t="s">
        <v>6</v>
      </c>
      <c r="F745">
        <v>241</v>
      </c>
      <c r="G745" s="3">
        <v>3643.22</v>
      </c>
      <c r="H745" s="3">
        <f>Miami_Retail[[#This Row],[sales_usd]] / Miami_Retail[[#This Row],[customers]]</f>
        <v>15.117095435684647</v>
      </c>
      <c r="I745">
        <v>76.2</v>
      </c>
      <c r="J745">
        <f>(Miami_Retail[[#This Row],[avg_temp_f]]-32) * (5/9)</f>
        <v>24.555555555555557</v>
      </c>
      <c r="K745">
        <v>0</v>
      </c>
      <c r="L745">
        <v>0</v>
      </c>
      <c r="M745">
        <v>40.200000000000003</v>
      </c>
      <c r="N745">
        <v>49.5</v>
      </c>
      <c r="O745">
        <v>50.5</v>
      </c>
      <c r="P745">
        <v>47.3</v>
      </c>
      <c r="Q745">
        <v>52.7</v>
      </c>
    </row>
    <row r="746" spans="1:17" x14ac:dyDescent="0.25">
      <c r="A746" s="2">
        <v>44940</v>
      </c>
      <c r="B746" s="2" t="str">
        <f t="shared" si="22"/>
        <v>Saturday</v>
      </c>
      <c r="C746" s="2" t="b">
        <f t="shared" si="23"/>
        <v>1</v>
      </c>
      <c r="D746">
        <v>2</v>
      </c>
      <c r="E746" t="s">
        <v>6</v>
      </c>
      <c r="F746">
        <v>247</v>
      </c>
      <c r="G746" s="3">
        <v>4490.21</v>
      </c>
      <c r="H746" s="3">
        <f>Miami_Retail[[#This Row],[sales_usd]] / Miami_Retail[[#This Row],[customers]]</f>
        <v>18.178987854251012</v>
      </c>
      <c r="I746">
        <v>71.2</v>
      </c>
      <c r="J746">
        <f>(Miami_Retail[[#This Row],[avg_temp_f]]-32) * (5/9)</f>
        <v>21.777777777777779</v>
      </c>
      <c r="K746">
        <v>0</v>
      </c>
      <c r="L746">
        <v>0</v>
      </c>
      <c r="M746">
        <v>38.4</v>
      </c>
      <c r="N746">
        <v>50.4</v>
      </c>
      <c r="O746">
        <v>49.6</v>
      </c>
      <c r="P746">
        <v>50.6</v>
      </c>
      <c r="Q746">
        <v>49.4</v>
      </c>
    </row>
    <row r="747" spans="1:17" x14ac:dyDescent="0.25">
      <c r="A747" s="2">
        <v>44941</v>
      </c>
      <c r="B747" s="2" t="str">
        <f t="shared" si="22"/>
        <v>Sunday</v>
      </c>
      <c r="C747" s="2" t="b">
        <f t="shared" si="23"/>
        <v>1</v>
      </c>
      <c r="D747">
        <v>2</v>
      </c>
      <c r="E747" t="s">
        <v>6</v>
      </c>
      <c r="F747">
        <v>197</v>
      </c>
      <c r="G747" s="3">
        <v>3665.89</v>
      </c>
      <c r="H747" s="3">
        <f>Miami_Retail[[#This Row],[sales_usd]] / Miami_Retail[[#This Row],[customers]]</f>
        <v>18.608578680203046</v>
      </c>
      <c r="I747">
        <v>69.2</v>
      </c>
      <c r="J747">
        <f>(Miami_Retail[[#This Row],[avg_temp_f]]-32) * (5/9)</f>
        <v>20.666666666666668</v>
      </c>
      <c r="K747">
        <v>0</v>
      </c>
      <c r="L747">
        <v>0</v>
      </c>
      <c r="M747">
        <v>39.700000000000003</v>
      </c>
      <c r="N747">
        <v>49</v>
      </c>
      <c r="O747">
        <v>51</v>
      </c>
      <c r="P747">
        <v>51.5</v>
      </c>
      <c r="Q747">
        <v>48.5</v>
      </c>
    </row>
    <row r="748" spans="1:17" x14ac:dyDescent="0.25">
      <c r="A748" s="2">
        <v>44942</v>
      </c>
      <c r="B748" s="2" t="str">
        <f t="shared" si="22"/>
        <v>Monday</v>
      </c>
      <c r="C748" s="2" t="b">
        <f t="shared" si="23"/>
        <v>0</v>
      </c>
      <c r="D748">
        <v>2</v>
      </c>
      <c r="E748" t="s">
        <v>6</v>
      </c>
      <c r="F748">
        <v>185</v>
      </c>
      <c r="G748" s="3">
        <v>3014.91</v>
      </c>
      <c r="H748" s="3">
        <f>Miami_Retail[[#This Row],[sales_usd]] / Miami_Retail[[#This Row],[customers]]</f>
        <v>16.296810810810811</v>
      </c>
      <c r="I748">
        <v>72.5</v>
      </c>
      <c r="J748">
        <f>(Miami_Retail[[#This Row],[avg_temp_f]]-32) * (5/9)</f>
        <v>22.5</v>
      </c>
      <c r="K748">
        <v>0</v>
      </c>
      <c r="L748">
        <v>0</v>
      </c>
      <c r="M748">
        <v>42.2</v>
      </c>
      <c r="N748">
        <v>50.9</v>
      </c>
      <c r="O748">
        <v>49.1</v>
      </c>
      <c r="P748">
        <v>45.1</v>
      </c>
      <c r="Q748">
        <v>54.9</v>
      </c>
    </row>
    <row r="749" spans="1:17" x14ac:dyDescent="0.25">
      <c r="A749" s="2">
        <v>44943</v>
      </c>
      <c r="B749" s="2" t="str">
        <f t="shared" si="22"/>
        <v>Tuesday</v>
      </c>
      <c r="C749" s="2" t="b">
        <f t="shared" si="23"/>
        <v>0</v>
      </c>
      <c r="D749">
        <v>2</v>
      </c>
      <c r="E749" t="s">
        <v>6</v>
      </c>
      <c r="F749">
        <v>239</v>
      </c>
      <c r="G749" s="3">
        <v>4145.18</v>
      </c>
      <c r="H749" s="3">
        <f>Miami_Retail[[#This Row],[sales_usd]] / Miami_Retail[[#This Row],[customers]]</f>
        <v>17.343849372384938</v>
      </c>
      <c r="I749">
        <v>75.2</v>
      </c>
      <c r="J749">
        <f>(Miami_Retail[[#This Row],[avg_temp_f]]-32) * (5/9)</f>
        <v>24.000000000000004</v>
      </c>
      <c r="K749">
        <v>0</v>
      </c>
      <c r="L749">
        <v>0</v>
      </c>
      <c r="M749">
        <v>40.9</v>
      </c>
      <c r="N749">
        <v>48.3</v>
      </c>
      <c r="O749">
        <v>51.7</v>
      </c>
      <c r="P749">
        <v>43</v>
      </c>
      <c r="Q749">
        <v>57</v>
      </c>
    </row>
    <row r="750" spans="1:17" x14ac:dyDescent="0.25">
      <c r="A750" s="2">
        <v>44944</v>
      </c>
      <c r="B750" s="2" t="str">
        <f t="shared" si="22"/>
        <v>Wednesday</v>
      </c>
      <c r="C750" s="2" t="b">
        <f t="shared" si="23"/>
        <v>0</v>
      </c>
      <c r="D750">
        <v>2</v>
      </c>
      <c r="E750" t="s">
        <v>6</v>
      </c>
      <c r="F750">
        <v>169</v>
      </c>
      <c r="G750" s="3">
        <v>2820.04</v>
      </c>
      <c r="H750" s="3">
        <f>Miami_Retail[[#This Row],[sales_usd]] / Miami_Retail[[#This Row],[customers]]</f>
        <v>16.686627218934913</v>
      </c>
      <c r="I750">
        <v>69.2</v>
      </c>
      <c r="J750">
        <f>(Miami_Retail[[#This Row],[avg_temp_f]]-32) * (5/9)</f>
        <v>20.666666666666668</v>
      </c>
      <c r="K750">
        <v>2.5099999999999998</v>
      </c>
      <c r="L750">
        <v>1</v>
      </c>
      <c r="M750">
        <v>44.2</v>
      </c>
      <c r="N750">
        <v>49.7</v>
      </c>
      <c r="O750">
        <v>50.3</v>
      </c>
      <c r="P750">
        <v>44.7</v>
      </c>
      <c r="Q750">
        <v>55.3</v>
      </c>
    </row>
    <row r="751" spans="1:17" x14ac:dyDescent="0.25">
      <c r="A751" s="2">
        <v>44945</v>
      </c>
      <c r="B751" s="2" t="str">
        <f t="shared" si="22"/>
        <v>Thursday</v>
      </c>
      <c r="C751" s="2" t="b">
        <f t="shared" si="23"/>
        <v>0</v>
      </c>
      <c r="D751">
        <v>2</v>
      </c>
      <c r="E751" t="s">
        <v>6</v>
      </c>
      <c r="F751">
        <v>238</v>
      </c>
      <c r="G751" s="3">
        <v>4165.97</v>
      </c>
      <c r="H751" s="3">
        <f>Miami_Retail[[#This Row],[sales_usd]] / Miami_Retail[[#This Row],[customers]]</f>
        <v>17.504075630252103</v>
      </c>
      <c r="I751">
        <v>77.599999999999994</v>
      </c>
      <c r="J751">
        <f>(Miami_Retail[[#This Row],[avg_temp_f]]-32) * (5/9)</f>
        <v>25.333333333333332</v>
      </c>
      <c r="K751">
        <v>0</v>
      </c>
      <c r="L751">
        <v>0</v>
      </c>
      <c r="M751">
        <v>49.8</v>
      </c>
      <c r="N751">
        <v>49.4</v>
      </c>
      <c r="O751">
        <v>50.6</v>
      </c>
      <c r="P751">
        <v>45.5</v>
      </c>
      <c r="Q751">
        <v>54.5</v>
      </c>
    </row>
    <row r="752" spans="1:17" x14ac:dyDescent="0.25">
      <c r="A752" s="2">
        <v>44946</v>
      </c>
      <c r="B752" s="2" t="str">
        <f t="shared" si="22"/>
        <v>Friday</v>
      </c>
      <c r="C752" s="2" t="b">
        <f t="shared" si="23"/>
        <v>0</v>
      </c>
      <c r="D752">
        <v>2</v>
      </c>
      <c r="E752" t="s">
        <v>6</v>
      </c>
      <c r="F752">
        <v>203</v>
      </c>
      <c r="G752" s="3">
        <v>3335.91</v>
      </c>
      <c r="H752" s="3">
        <f>Miami_Retail[[#This Row],[sales_usd]] / Miami_Retail[[#This Row],[customers]]</f>
        <v>16.433054187192116</v>
      </c>
      <c r="I752">
        <v>72</v>
      </c>
      <c r="J752">
        <f>(Miami_Retail[[#This Row],[avg_temp_f]]-32) * (5/9)</f>
        <v>22.222222222222221</v>
      </c>
      <c r="K752">
        <v>0</v>
      </c>
      <c r="L752">
        <v>0</v>
      </c>
      <c r="M752">
        <v>45.2</v>
      </c>
      <c r="N752">
        <v>50.2</v>
      </c>
      <c r="O752">
        <v>49.8</v>
      </c>
      <c r="P752">
        <v>43.6</v>
      </c>
      <c r="Q752">
        <v>56.4</v>
      </c>
    </row>
    <row r="753" spans="1:17" x14ac:dyDescent="0.25">
      <c r="A753" s="2">
        <v>44947</v>
      </c>
      <c r="B753" s="2" t="str">
        <f t="shared" si="22"/>
        <v>Saturday</v>
      </c>
      <c r="C753" s="2" t="b">
        <f t="shared" si="23"/>
        <v>1</v>
      </c>
      <c r="D753">
        <v>2</v>
      </c>
      <c r="E753" t="s">
        <v>6</v>
      </c>
      <c r="F753">
        <v>212</v>
      </c>
      <c r="G753" s="3">
        <v>3911.01</v>
      </c>
      <c r="H753" s="3">
        <f>Miami_Retail[[#This Row],[sales_usd]] / Miami_Retail[[#This Row],[customers]]</f>
        <v>18.448160377358491</v>
      </c>
      <c r="I753">
        <v>70.7</v>
      </c>
      <c r="J753">
        <f>(Miami_Retail[[#This Row],[avg_temp_f]]-32) * (5/9)</f>
        <v>21.500000000000004</v>
      </c>
      <c r="K753">
        <v>0</v>
      </c>
      <c r="L753">
        <v>0</v>
      </c>
      <c r="M753">
        <v>36.700000000000003</v>
      </c>
      <c r="N753">
        <v>51.2</v>
      </c>
      <c r="O753">
        <v>48.8</v>
      </c>
      <c r="P753">
        <v>50.4</v>
      </c>
      <c r="Q753">
        <v>49.6</v>
      </c>
    </row>
    <row r="754" spans="1:17" x14ac:dyDescent="0.25">
      <c r="A754" s="2">
        <v>44948</v>
      </c>
      <c r="B754" s="2" t="str">
        <f t="shared" si="22"/>
        <v>Sunday</v>
      </c>
      <c r="C754" s="2" t="b">
        <f t="shared" si="23"/>
        <v>1</v>
      </c>
      <c r="D754">
        <v>2</v>
      </c>
      <c r="E754" t="s">
        <v>6</v>
      </c>
      <c r="F754">
        <v>233</v>
      </c>
      <c r="G754" s="3">
        <v>4106.6400000000003</v>
      </c>
      <c r="H754" s="3">
        <f>Miami_Retail[[#This Row],[sales_usd]] / Miami_Retail[[#This Row],[customers]]</f>
        <v>17.625064377682406</v>
      </c>
      <c r="I754">
        <v>69.8</v>
      </c>
      <c r="J754">
        <f>(Miami_Retail[[#This Row],[avg_temp_f]]-32) * (5/9)</f>
        <v>21</v>
      </c>
      <c r="K754">
        <v>0</v>
      </c>
      <c r="L754">
        <v>0</v>
      </c>
      <c r="M754">
        <v>42.4</v>
      </c>
      <c r="N754">
        <v>49.7</v>
      </c>
      <c r="O754">
        <v>50.3</v>
      </c>
      <c r="P754">
        <v>50.7</v>
      </c>
      <c r="Q754">
        <v>49.3</v>
      </c>
    </row>
    <row r="755" spans="1:17" x14ac:dyDescent="0.25">
      <c r="A755" s="2">
        <v>44949</v>
      </c>
      <c r="B755" s="2" t="str">
        <f t="shared" si="22"/>
        <v>Monday</v>
      </c>
      <c r="C755" s="2" t="b">
        <f t="shared" si="23"/>
        <v>0</v>
      </c>
      <c r="D755">
        <v>2</v>
      </c>
      <c r="E755" t="s">
        <v>6</v>
      </c>
      <c r="F755">
        <v>202</v>
      </c>
      <c r="G755" s="3">
        <v>3326.99</v>
      </c>
      <c r="H755" s="3">
        <f>Miami_Retail[[#This Row],[sales_usd]] / Miami_Retail[[#This Row],[customers]]</f>
        <v>16.470247524752473</v>
      </c>
      <c r="I755">
        <v>72</v>
      </c>
      <c r="J755">
        <f>(Miami_Retail[[#This Row],[avg_temp_f]]-32) * (5/9)</f>
        <v>22.222222222222221</v>
      </c>
      <c r="K755">
        <v>0</v>
      </c>
      <c r="L755">
        <v>0</v>
      </c>
      <c r="M755">
        <v>42.4</v>
      </c>
      <c r="N755">
        <v>49.9</v>
      </c>
      <c r="O755">
        <v>50.1</v>
      </c>
      <c r="P755">
        <v>44.1</v>
      </c>
      <c r="Q755">
        <v>55.9</v>
      </c>
    </row>
    <row r="756" spans="1:17" x14ac:dyDescent="0.25">
      <c r="A756" s="2">
        <v>44950</v>
      </c>
      <c r="B756" s="2" t="str">
        <f t="shared" si="22"/>
        <v>Tuesday</v>
      </c>
      <c r="C756" s="2" t="b">
        <f t="shared" si="23"/>
        <v>0</v>
      </c>
      <c r="D756">
        <v>2</v>
      </c>
      <c r="E756" t="s">
        <v>6</v>
      </c>
      <c r="F756">
        <v>226</v>
      </c>
      <c r="G756" s="3">
        <v>3763.66</v>
      </c>
      <c r="H756" s="3">
        <f>Miami_Retail[[#This Row],[sales_usd]] / Miami_Retail[[#This Row],[customers]]</f>
        <v>16.653362831858406</v>
      </c>
      <c r="I756">
        <v>69.099999999999994</v>
      </c>
      <c r="J756">
        <f>(Miami_Retail[[#This Row],[avg_temp_f]]-32) * (5/9)</f>
        <v>20.611111111111107</v>
      </c>
      <c r="K756">
        <v>0</v>
      </c>
      <c r="L756">
        <v>0</v>
      </c>
      <c r="M756">
        <v>46.4</v>
      </c>
      <c r="N756">
        <v>49.9</v>
      </c>
      <c r="O756">
        <v>50.1</v>
      </c>
      <c r="P756">
        <v>45.2</v>
      </c>
      <c r="Q756">
        <v>54.8</v>
      </c>
    </row>
    <row r="757" spans="1:17" x14ac:dyDescent="0.25">
      <c r="A757" s="2">
        <v>44951</v>
      </c>
      <c r="B757" s="2" t="str">
        <f t="shared" si="22"/>
        <v>Wednesday</v>
      </c>
      <c r="C757" s="2" t="b">
        <f t="shared" si="23"/>
        <v>0</v>
      </c>
      <c r="D757">
        <v>2</v>
      </c>
      <c r="E757" t="s">
        <v>6</v>
      </c>
      <c r="F757">
        <v>151</v>
      </c>
      <c r="G757" s="3">
        <v>2498.2600000000002</v>
      </c>
      <c r="H757" s="3">
        <f>Miami_Retail[[#This Row],[sales_usd]] / Miami_Retail[[#This Row],[customers]]</f>
        <v>16.54476821192053</v>
      </c>
      <c r="I757">
        <v>65.8</v>
      </c>
      <c r="J757">
        <f>(Miami_Retail[[#This Row],[avg_temp_f]]-32) * (5/9)</f>
        <v>18.777777777777779</v>
      </c>
      <c r="K757">
        <v>3.11</v>
      </c>
      <c r="L757">
        <v>1</v>
      </c>
      <c r="M757">
        <v>46.7</v>
      </c>
      <c r="N757">
        <v>48.7</v>
      </c>
      <c r="O757">
        <v>51.3</v>
      </c>
      <c r="P757">
        <v>46</v>
      </c>
      <c r="Q757">
        <v>54</v>
      </c>
    </row>
    <row r="758" spans="1:17" x14ac:dyDescent="0.25">
      <c r="A758" s="2">
        <v>44952</v>
      </c>
      <c r="B758" s="2" t="str">
        <f t="shared" si="22"/>
        <v>Thursday</v>
      </c>
      <c r="C758" s="2" t="b">
        <f t="shared" si="23"/>
        <v>0</v>
      </c>
      <c r="D758">
        <v>2</v>
      </c>
      <c r="E758" t="s">
        <v>6</v>
      </c>
      <c r="F758">
        <v>195</v>
      </c>
      <c r="G758" s="3">
        <v>3115.02</v>
      </c>
      <c r="H758" s="3">
        <f>Miami_Retail[[#This Row],[sales_usd]] / Miami_Retail[[#This Row],[customers]]</f>
        <v>15.974461538461538</v>
      </c>
      <c r="I758">
        <v>68.5</v>
      </c>
      <c r="J758">
        <f>(Miami_Retail[[#This Row],[avg_temp_f]]-32) * (5/9)</f>
        <v>20.277777777777779</v>
      </c>
      <c r="K758">
        <v>0</v>
      </c>
      <c r="L758">
        <v>0</v>
      </c>
      <c r="M758">
        <v>35</v>
      </c>
      <c r="N758">
        <v>51</v>
      </c>
      <c r="O758">
        <v>49</v>
      </c>
      <c r="P758">
        <v>46.8</v>
      </c>
      <c r="Q758">
        <v>53.2</v>
      </c>
    </row>
    <row r="759" spans="1:17" x14ac:dyDescent="0.25">
      <c r="A759" s="2">
        <v>44953</v>
      </c>
      <c r="B759" s="2" t="str">
        <f t="shared" si="22"/>
        <v>Friday</v>
      </c>
      <c r="C759" s="2" t="b">
        <f t="shared" si="23"/>
        <v>0</v>
      </c>
      <c r="D759">
        <v>2</v>
      </c>
      <c r="E759" t="s">
        <v>6</v>
      </c>
      <c r="F759">
        <v>183</v>
      </c>
      <c r="G759" s="3">
        <v>3391.73</v>
      </c>
      <c r="H759" s="3">
        <f>Miami_Retail[[#This Row],[sales_usd]] / Miami_Retail[[#This Row],[customers]]</f>
        <v>18.534043715846995</v>
      </c>
      <c r="I759">
        <v>67.400000000000006</v>
      </c>
      <c r="J759">
        <f>(Miami_Retail[[#This Row],[avg_temp_f]]-32) * (5/9)</f>
        <v>19.666666666666671</v>
      </c>
      <c r="K759">
        <v>1.5</v>
      </c>
      <c r="L759">
        <v>1</v>
      </c>
      <c r="M759">
        <v>42.3</v>
      </c>
      <c r="N759">
        <v>50.2</v>
      </c>
      <c r="O759">
        <v>49.8</v>
      </c>
      <c r="P759">
        <v>46.3</v>
      </c>
      <c r="Q759">
        <v>53.7</v>
      </c>
    </row>
    <row r="760" spans="1:17" x14ac:dyDescent="0.25">
      <c r="A760" s="2">
        <v>44954</v>
      </c>
      <c r="B760" s="2" t="str">
        <f t="shared" si="22"/>
        <v>Saturday</v>
      </c>
      <c r="C760" s="2" t="b">
        <f t="shared" si="23"/>
        <v>1</v>
      </c>
      <c r="D760">
        <v>2</v>
      </c>
      <c r="E760" t="s">
        <v>6</v>
      </c>
      <c r="F760">
        <v>208</v>
      </c>
      <c r="G760" s="3">
        <v>3591.58</v>
      </c>
      <c r="H760" s="3">
        <f>Miami_Retail[[#This Row],[sales_usd]] / Miami_Retail[[#This Row],[customers]]</f>
        <v>17.267211538461538</v>
      </c>
      <c r="I760">
        <v>70.3</v>
      </c>
      <c r="J760">
        <f>(Miami_Retail[[#This Row],[avg_temp_f]]-32) * (5/9)</f>
        <v>21.277777777777779</v>
      </c>
      <c r="K760">
        <v>0</v>
      </c>
      <c r="L760">
        <v>0</v>
      </c>
      <c r="M760">
        <v>44</v>
      </c>
      <c r="N760">
        <v>51.1</v>
      </c>
      <c r="O760">
        <v>48.9</v>
      </c>
      <c r="P760">
        <v>51.5</v>
      </c>
      <c r="Q760">
        <v>48.5</v>
      </c>
    </row>
    <row r="761" spans="1:17" x14ac:dyDescent="0.25">
      <c r="A761" s="2">
        <v>44955</v>
      </c>
      <c r="B761" s="2" t="str">
        <f t="shared" si="22"/>
        <v>Sunday</v>
      </c>
      <c r="C761" s="2" t="b">
        <f t="shared" si="23"/>
        <v>1</v>
      </c>
      <c r="D761">
        <v>2</v>
      </c>
      <c r="E761" t="s">
        <v>6</v>
      </c>
      <c r="F761">
        <v>246</v>
      </c>
      <c r="G761" s="3">
        <v>4433.99</v>
      </c>
      <c r="H761" s="3">
        <f>Miami_Retail[[#This Row],[sales_usd]] / Miami_Retail[[#This Row],[customers]]</f>
        <v>18.024349593495934</v>
      </c>
      <c r="I761">
        <v>75.099999999999994</v>
      </c>
      <c r="J761">
        <f>(Miami_Retail[[#This Row],[avg_temp_f]]-32) * (5/9)</f>
        <v>23.944444444444443</v>
      </c>
      <c r="K761">
        <v>0</v>
      </c>
      <c r="L761">
        <v>0</v>
      </c>
      <c r="M761">
        <v>35</v>
      </c>
      <c r="N761">
        <v>51.1</v>
      </c>
      <c r="O761">
        <v>48.9</v>
      </c>
      <c r="P761">
        <v>52.8</v>
      </c>
      <c r="Q761">
        <v>47.2</v>
      </c>
    </row>
    <row r="762" spans="1:17" x14ac:dyDescent="0.25">
      <c r="A762" s="2">
        <v>44956</v>
      </c>
      <c r="B762" s="2" t="str">
        <f t="shared" si="22"/>
        <v>Monday</v>
      </c>
      <c r="C762" s="2" t="b">
        <f t="shared" si="23"/>
        <v>0</v>
      </c>
      <c r="D762">
        <v>2</v>
      </c>
      <c r="E762" t="s">
        <v>6</v>
      </c>
      <c r="F762">
        <v>198</v>
      </c>
      <c r="G762" s="3">
        <v>3392.05</v>
      </c>
      <c r="H762" s="3">
        <f>Miami_Retail[[#This Row],[sales_usd]] / Miami_Retail[[#This Row],[customers]]</f>
        <v>17.131565656565659</v>
      </c>
      <c r="I762">
        <v>75.5</v>
      </c>
      <c r="J762">
        <f>(Miami_Retail[[#This Row],[avg_temp_f]]-32) * (5/9)</f>
        <v>24.166666666666668</v>
      </c>
      <c r="K762">
        <v>0</v>
      </c>
      <c r="L762">
        <v>0</v>
      </c>
      <c r="M762">
        <v>38.700000000000003</v>
      </c>
      <c r="N762">
        <v>49.6</v>
      </c>
      <c r="O762">
        <v>50.4</v>
      </c>
      <c r="P762">
        <v>45.8</v>
      </c>
      <c r="Q762">
        <v>54.2</v>
      </c>
    </row>
    <row r="763" spans="1:17" x14ac:dyDescent="0.25">
      <c r="A763" s="2">
        <v>44957</v>
      </c>
      <c r="B763" s="2" t="str">
        <f t="shared" si="22"/>
        <v>Tuesday</v>
      </c>
      <c r="C763" s="2" t="b">
        <f t="shared" si="23"/>
        <v>0</v>
      </c>
      <c r="D763">
        <v>2</v>
      </c>
      <c r="E763" t="s">
        <v>6</v>
      </c>
      <c r="F763">
        <v>173</v>
      </c>
      <c r="G763" s="3">
        <v>2881.82</v>
      </c>
      <c r="H763" s="3">
        <f>Miami_Retail[[#This Row],[sales_usd]] / Miami_Retail[[#This Row],[customers]]</f>
        <v>16.657919075144509</v>
      </c>
      <c r="I763">
        <v>69.2</v>
      </c>
      <c r="J763">
        <f>(Miami_Retail[[#This Row],[avg_temp_f]]-32) * (5/9)</f>
        <v>20.666666666666668</v>
      </c>
      <c r="K763">
        <v>0</v>
      </c>
      <c r="L763">
        <v>0</v>
      </c>
      <c r="M763">
        <v>35</v>
      </c>
      <c r="N763">
        <v>49.5</v>
      </c>
      <c r="O763">
        <v>50.5</v>
      </c>
      <c r="P763">
        <v>45.4</v>
      </c>
      <c r="Q763">
        <v>54.6</v>
      </c>
    </row>
    <row r="764" spans="1:17" x14ac:dyDescent="0.25">
      <c r="A764" s="2">
        <v>44958</v>
      </c>
      <c r="B764" s="2" t="str">
        <f t="shared" si="22"/>
        <v>Wednesday</v>
      </c>
      <c r="C764" s="2" t="b">
        <f t="shared" si="23"/>
        <v>0</v>
      </c>
      <c r="D764">
        <v>2</v>
      </c>
      <c r="E764" t="s">
        <v>6</v>
      </c>
      <c r="F764">
        <v>202</v>
      </c>
      <c r="G764" s="3">
        <v>3383.55</v>
      </c>
      <c r="H764" s="3">
        <f>Miami_Retail[[#This Row],[sales_usd]] / Miami_Retail[[#This Row],[customers]]</f>
        <v>16.750247524752478</v>
      </c>
      <c r="I764">
        <v>68.8</v>
      </c>
      <c r="J764">
        <f>(Miami_Retail[[#This Row],[avg_temp_f]]-32) * (5/9)</f>
        <v>20.444444444444443</v>
      </c>
      <c r="K764">
        <v>0</v>
      </c>
      <c r="L764">
        <v>0</v>
      </c>
      <c r="M764">
        <v>46.9</v>
      </c>
      <c r="N764">
        <v>50.5</v>
      </c>
      <c r="O764">
        <v>49.5</v>
      </c>
      <c r="P764">
        <v>46.4</v>
      </c>
      <c r="Q764">
        <v>53.6</v>
      </c>
    </row>
    <row r="765" spans="1:17" x14ac:dyDescent="0.25">
      <c r="A765" s="2">
        <v>44959</v>
      </c>
      <c r="B765" s="2" t="str">
        <f t="shared" si="22"/>
        <v>Thursday</v>
      </c>
      <c r="C765" s="2" t="b">
        <f t="shared" si="23"/>
        <v>0</v>
      </c>
      <c r="D765">
        <v>2</v>
      </c>
      <c r="E765" t="s">
        <v>6</v>
      </c>
      <c r="F765">
        <v>239</v>
      </c>
      <c r="G765" s="3">
        <v>4106.88</v>
      </c>
      <c r="H765" s="3">
        <f>Miami_Retail[[#This Row],[sales_usd]] / Miami_Retail[[#This Row],[customers]]</f>
        <v>17.183598326359832</v>
      </c>
      <c r="I765">
        <v>73.400000000000006</v>
      </c>
      <c r="J765">
        <f>(Miami_Retail[[#This Row],[avg_temp_f]]-32) * (5/9)</f>
        <v>23.000000000000004</v>
      </c>
      <c r="K765">
        <v>0</v>
      </c>
      <c r="L765">
        <v>0</v>
      </c>
      <c r="M765">
        <v>42.2</v>
      </c>
      <c r="N765">
        <v>50.3</v>
      </c>
      <c r="O765">
        <v>49.7</v>
      </c>
      <c r="P765">
        <v>45.2</v>
      </c>
      <c r="Q765">
        <v>54.8</v>
      </c>
    </row>
    <row r="766" spans="1:17" x14ac:dyDescent="0.25">
      <c r="A766" s="2">
        <v>44960</v>
      </c>
      <c r="B766" s="2" t="str">
        <f t="shared" si="22"/>
        <v>Friday</v>
      </c>
      <c r="C766" s="2" t="b">
        <f t="shared" si="23"/>
        <v>0</v>
      </c>
      <c r="D766">
        <v>2</v>
      </c>
      <c r="E766" t="s">
        <v>6</v>
      </c>
      <c r="F766">
        <v>257</v>
      </c>
      <c r="G766" s="3">
        <v>4326.75</v>
      </c>
      <c r="H766" s="3">
        <f>Miami_Retail[[#This Row],[sales_usd]] / Miami_Retail[[#This Row],[customers]]</f>
        <v>16.835603112840467</v>
      </c>
      <c r="I766">
        <v>74.7</v>
      </c>
      <c r="J766">
        <f>(Miami_Retail[[#This Row],[avg_temp_f]]-32) * (5/9)</f>
        <v>23.722222222222225</v>
      </c>
      <c r="K766">
        <v>0</v>
      </c>
      <c r="L766">
        <v>0</v>
      </c>
      <c r="M766">
        <v>35</v>
      </c>
      <c r="N766">
        <v>51</v>
      </c>
      <c r="O766">
        <v>49</v>
      </c>
      <c r="P766">
        <v>46</v>
      </c>
      <c r="Q766">
        <v>54</v>
      </c>
    </row>
    <row r="767" spans="1:17" x14ac:dyDescent="0.25">
      <c r="A767" s="2">
        <v>44961</v>
      </c>
      <c r="B767" s="2" t="str">
        <f t="shared" si="22"/>
        <v>Saturday</v>
      </c>
      <c r="C767" s="2" t="b">
        <f t="shared" si="23"/>
        <v>1</v>
      </c>
      <c r="D767">
        <v>2</v>
      </c>
      <c r="E767" t="s">
        <v>6</v>
      </c>
      <c r="F767">
        <v>238</v>
      </c>
      <c r="G767" s="3">
        <v>4190.5600000000004</v>
      </c>
      <c r="H767" s="3">
        <f>Miami_Retail[[#This Row],[sales_usd]] / Miami_Retail[[#This Row],[customers]]</f>
        <v>17.607394957983196</v>
      </c>
      <c r="I767">
        <v>66.2</v>
      </c>
      <c r="J767">
        <f>(Miami_Retail[[#This Row],[avg_temp_f]]-32) * (5/9)</f>
        <v>19.000000000000004</v>
      </c>
      <c r="K767">
        <v>0</v>
      </c>
      <c r="L767">
        <v>0</v>
      </c>
      <c r="M767">
        <v>43.6</v>
      </c>
      <c r="N767">
        <v>49.4</v>
      </c>
      <c r="O767">
        <v>50.6</v>
      </c>
      <c r="P767">
        <v>52.9</v>
      </c>
      <c r="Q767">
        <v>47.1</v>
      </c>
    </row>
    <row r="768" spans="1:17" x14ac:dyDescent="0.25">
      <c r="A768" s="2">
        <v>44962</v>
      </c>
      <c r="B768" s="2" t="str">
        <f t="shared" si="22"/>
        <v>Sunday</v>
      </c>
      <c r="C768" s="2" t="b">
        <f t="shared" si="23"/>
        <v>1</v>
      </c>
      <c r="D768">
        <v>2</v>
      </c>
      <c r="E768" t="s">
        <v>6</v>
      </c>
      <c r="F768">
        <v>210</v>
      </c>
      <c r="G768" s="3">
        <v>3582.17</v>
      </c>
      <c r="H768" s="3">
        <f>Miami_Retail[[#This Row],[sales_usd]] / Miami_Retail[[#This Row],[customers]]</f>
        <v>17.057952380952383</v>
      </c>
      <c r="I768">
        <v>66.8</v>
      </c>
      <c r="J768">
        <f>(Miami_Retail[[#This Row],[avg_temp_f]]-32) * (5/9)</f>
        <v>19.333333333333332</v>
      </c>
      <c r="K768">
        <v>0.79</v>
      </c>
      <c r="L768">
        <v>1</v>
      </c>
      <c r="M768">
        <v>36.9</v>
      </c>
      <c r="N768">
        <v>50.2</v>
      </c>
      <c r="O768">
        <v>49.8</v>
      </c>
      <c r="P768">
        <v>51.7</v>
      </c>
      <c r="Q768">
        <v>48.3</v>
      </c>
    </row>
    <row r="769" spans="1:17" x14ac:dyDescent="0.25">
      <c r="A769" s="2">
        <v>44963</v>
      </c>
      <c r="B769" s="2" t="str">
        <f t="shared" si="22"/>
        <v>Monday</v>
      </c>
      <c r="C769" s="2" t="b">
        <f t="shared" si="23"/>
        <v>0</v>
      </c>
      <c r="D769">
        <v>2</v>
      </c>
      <c r="E769" t="s">
        <v>6</v>
      </c>
      <c r="F769">
        <v>205</v>
      </c>
      <c r="G769" s="3">
        <v>3389.81</v>
      </c>
      <c r="H769" s="3">
        <f>Miami_Retail[[#This Row],[sales_usd]] / Miami_Retail[[#This Row],[customers]]</f>
        <v>16.535658536585366</v>
      </c>
      <c r="I769">
        <v>62</v>
      </c>
      <c r="J769">
        <f>(Miami_Retail[[#This Row],[avg_temp_f]]-32) * (5/9)</f>
        <v>16.666666666666668</v>
      </c>
      <c r="K769">
        <v>0</v>
      </c>
      <c r="L769">
        <v>0</v>
      </c>
      <c r="M769">
        <v>42.5</v>
      </c>
      <c r="N769">
        <v>51.2</v>
      </c>
      <c r="O769">
        <v>48.8</v>
      </c>
      <c r="P769">
        <v>44.9</v>
      </c>
      <c r="Q769">
        <v>55.1</v>
      </c>
    </row>
    <row r="770" spans="1:17" x14ac:dyDescent="0.25">
      <c r="A770" s="2">
        <v>44964</v>
      </c>
      <c r="B770" s="2" t="str">
        <f t="shared" ref="B770:B833" si="24">TEXT(A770, "dddd")</f>
        <v>Tuesday</v>
      </c>
      <c r="C770" s="2" t="b">
        <f t="shared" ref="C770:C833" si="25">IF(WEEKDAY(A770,2)&gt;5,TRUE,FALSE)</f>
        <v>0</v>
      </c>
      <c r="D770">
        <v>2</v>
      </c>
      <c r="E770" t="s">
        <v>6</v>
      </c>
      <c r="F770">
        <v>191</v>
      </c>
      <c r="G770" s="3">
        <v>3164.78</v>
      </c>
      <c r="H770" s="3">
        <f>Miami_Retail[[#This Row],[sales_usd]] / Miami_Retail[[#This Row],[customers]]</f>
        <v>16.569528795811518</v>
      </c>
      <c r="I770">
        <v>66.099999999999994</v>
      </c>
      <c r="J770">
        <f>(Miami_Retail[[#This Row],[avg_temp_f]]-32) * (5/9)</f>
        <v>18.944444444444443</v>
      </c>
      <c r="K770">
        <v>0</v>
      </c>
      <c r="L770">
        <v>0</v>
      </c>
      <c r="M770">
        <v>35</v>
      </c>
      <c r="N770">
        <v>50.6</v>
      </c>
      <c r="O770">
        <v>49.4</v>
      </c>
      <c r="P770">
        <v>46.9</v>
      </c>
      <c r="Q770">
        <v>53.1</v>
      </c>
    </row>
    <row r="771" spans="1:17" x14ac:dyDescent="0.25">
      <c r="A771" s="2">
        <v>44965</v>
      </c>
      <c r="B771" s="2" t="str">
        <f t="shared" si="24"/>
        <v>Wednesday</v>
      </c>
      <c r="C771" s="2" t="b">
        <f t="shared" si="25"/>
        <v>0</v>
      </c>
      <c r="D771">
        <v>2</v>
      </c>
      <c r="E771" t="s">
        <v>6</v>
      </c>
      <c r="F771">
        <v>156</v>
      </c>
      <c r="G771" s="3">
        <v>2609.38</v>
      </c>
      <c r="H771" s="3">
        <f>Miami_Retail[[#This Row],[sales_usd]] / Miami_Retail[[#This Row],[customers]]</f>
        <v>16.726794871794873</v>
      </c>
      <c r="I771">
        <v>65.5</v>
      </c>
      <c r="J771">
        <f>(Miami_Retail[[#This Row],[avg_temp_f]]-32) * (5/9)</f>
        <v>18.611111111111111</v>
      </c>
      <c r="K771">
        <v>3.29</v>
      </c>
      <c r="L771">
        <v>1</v>
      </c>
      <c r="M771">
        <v>41.9</v>
      </c>
      <c r="N771">
        <v>51.8</v>
      </c>
      <c r="O771">
        <v>48.2</v>
      </c>
      <c r="P771">
        <v>45.3</v>
      </c>
      <c r="Q771">
        <v>54.7</v>
      </c>
    </row>
    <row r="772" spans="1:17" x14ac:dyDescent="0.25">
      <c r="A772" s="2">
        <v>44966</v>
      </c>
      <c r="B772" s="2" t="str">
        <f t="shared" si="24"/>
        <v>Thursday</v>
      </c>
      <c r="C772" s="2" t="b">
        <f t="shared" si="25"/>
        <v>0</v>
      </c>
      <c r="D772">
        <v>2</v>
      </c>
      <c r="E772" t="s">
        <v>6</v>
      </c>
      <c r="F772">
        <v>197</v>
      </c>
      <c r="G772" s="3">
        <v>3130.41</v>
      </c>
      <c r="H772" s="3">
        <f>Miami_Retail[[#This Row],[sales_usd]] / Miami_Retail[[#This Row],[customers]]</f>
        <v>15.890406091370558</v>
      </c>
      <c r="I772">
        <v>70.400000000000006</v>
      </c>
      <c r="J772">
        <f>(Miami_Retail[[#This Row],[avg_temp_f]]-32) * (5/9)</f>
        <v>21.333333333333336</v>
      </c>
      <c r="K772">
        <v>0</v>
      </c>
      <c r="L772">
        <v>0</v>
      </c>
      <c r="M772">
        <v>36.9</v>
      </c>
      <c r="N772">
        <v>49.7</v>
      </c>
      <c r="O772">
        <v>50.3</v>
      </c>
      <c r="P772">
        <v>43.9</v>
      </c>
      <c r="Q772">
        <v>56.1</v>
      </c>
    </row>
    <row r="773" spans="1:17" x14ac:dyDescent="0.25">
      <c r="A773" s="2">
        <v>44967</v>
      </c>
      <c r="B773" s="2" t="str">
        <f t="shared" si="24"/>
        <v>Friday</v>
      </c>
      <c r="C773" s="2" t="b">
        <f t="shared" si="25"/>
        <v>0</v>
      </c>
      <c r="D773">
        <v>2</v>
      </c>
      <c r="E773" t="s">
        <v>6</v>
      </c>
      <c r="F773">
        <v>229</v>
      </c>
      <c r="G773" s="3">
        <v>3706.65</v>
      </c>
      <c r="H773" s="3">
        <f>Miami_Retail[[#This Row],[sales_usd]] / Miami_Retail[[#This Row],[customers]]</f>
        <v>16.186244541484715</v>
      </c>
      <c r="I773">
        <v>65.7</v>
      </c>
      <c r="J773">
        <f>(Miami_Retail[[#This Row],[avg_temp_f]]-32) * (5/9)</f>
        <v>18.722222222222225</v>
      </c>
      <c r="K773">
        <v>0</v>
      </c>
      <c r="L773">
        <v>0</v>
      </c>
      <c r="M773">
        <v>35</v>
      </c>
      <c r="N773">
        <v>51.7</v>
      </c>
      <c r="O773">
        <v>48.3</v>
      </c>
      <c r="P773">
        <v>45.9</v>
      </c>
      <c r="Q773">
        <v>54.1</v>
      </c>
    </row>
    <row r="774" spans="1:17" x14ac:dyDescent="0.25">
      <c r="A774" s="2">
        <v>44968</v>
      </c>
      <c r="B774" s="2" t="str">
        <f t="shared" si="24"/>
        <v>Saturday</v>
      </c>
      <c r="C774" s="2" t="b">
        <f t="shared" si="25"/>
        <v>1</v>
      </c>
      <c r="D774">
        <v>2</v>
      </c>
      <c r="E774" t="s">
        <v>6</v>
      </c>
      <c r="F774">
        <v>200</v>
      </c>
      <c r="G774" s="3">
        <v>3454.86</v>
      </c>
      <c r="H774" s="3">
        <f>Miami_Retail[[#This Row],[sales_usd]] / Miami_Retail[[#This Row],[customers]]</f>
        <v>17.2743</v>
      </c>
      <c r="I774">
        <v>64.7</v>
      </c>
      <c r="J774">
        <f>(Miami_Retail[[#This Row],[avg_temp_f]]-32) * (5/9)</f>
        <v>18.166666666666668</v>
      </c>
      <c r="K774">
        <v>2.4700000000000002</v>
      </c>
      <c r="L774">
        <v>1</v>
      </c>
      <c r="M774">
        <v>40.6</v>
      </c>
      <c r="N774">
        <v>50.1</v>
      </c>
      <c r="O774">
        <v>49.9</v>
      </c>
      <c r="P774">
        <v>50.7</v>
      </c>
      <c r="Q774">
        <v>49.3</v>
      </c>
    </row>
    <row r="775" spans="1:17" x14ac:dyDescent="0.25">
      <c r="A775" s="2">
        <v>44969</v>
      </c>
      <c r="B775" s="2" t="str">
        <f t="shared" si="24"/>
        <v>Sunday</v>
      </c>
      <c r="C775" s="2" t="b">
        <f t="shared" si="25"/>
        <v>1</v>
      </c>
      <c r="D775">
        <v>2</v>
      </c>
      <c r="E775" t="s">
        <v>6</v>
      </c>
      <c r="F775">
        <v>233</v>
      </c>
      <c r="G775" s="3">
        <v>3998.21</v>
      </c>
      <c r="H775" s="3">
        <f>Miami_Retail[[#This Row],[sales_usd]] / Miami_Retail[[#This Row],[customers]]</f>
        <v>17.159699570815452</v>
      </c>
      <c r="I775">
        <v>68.099999999999994</v>
      </c>
      <c r="J775">
        <f>(Miami_Retail[[#This Row],[avg_temp_f]]-32) * (5/9)</f>
        <v>20.055555555555554</v>
      </c>
      <c r="K775">
        <v>0</v>
      </c>
      <c r="L775">
        <v>0</v>
      </c>
      <c r="M775">
        <v>35.700000000000003</v>
      </c>
      <c r="N775">
        <v>51.2</v>
      </c>
      <c r="O775">
        <v>48.8</v>
      </c>
      <c r="P775">
        <v>52.1</v>
      </c>
      <c r="Q775">
        <v>47.9</v>
      </c>
    </row>
    <row r="776" spans="1:17" x14ac:dyDescent="0.25">
      <c r="A776" s="2">
        <v>44970</v>
      </c>
      <c r="B776" s="2" t="str">
        <f t="shared" si="24"/>
        <v>Monday</v>
      </c>
      <c r="C776" s="2" t="b">
        <f t="shared" si="25"/>
        <v>0</v>
      </c>
      <c r="D776">
        <v>2</v>
      </c>
      <c r="E776" t="s">
        <v>6</v>
      </c>
      <c r="F776">
        <v>193</v>
      </c>
      <c r="G776" s="3">
        <v>3706.63</v>
      </c>
      <c r="H776" s="3">
        <f>Miami_Retail[[#This Row],[sales_usd]] / Miami_Retail[[#This Row],[customers]]</f>
        <v>19.205336787564768</v>
      </c>
      <c r="I776">
        <v>69.7</v>
      </c>
      <c r="J776">
        <f>(Miami_Retail[[#This Row],[avg_temp_f]]-32) * (5/9)</f>
        <v>20.944444444444446</v>
      </c>
      <c r="K776">
        <v>0</v>
      </c>
      <c r="L776">
        <v>0</v>
      </c>
      <c r="M776">
        <v>35</v>
      </c>
      <c r="N776">
        <v>52</v>
      </c>
      <c r="O776">
        <v>48</v>
      </c>
      <c r="P776">
        <v>47.6</v>
      </c>
      <c r="Q776">
        <v>52.4</v>
      </c>
    </row>
    <row r="777" spans="1:17" x14ac:dyDescent="0.25">
      <c r="A777" s="2">
        <v>44971</v>
      </c>
      <c r="B777" s="2" t="str">
        <f t="shared" si="24"/>
        <v>Tuesday</v>
      </c>
      <c r="C777" s="2" t="b">
        <f t="shared" si="25"/>
        <v>0</v>
      </c>
      <c r="D777">
        <v>2</v>
      </c>
      <c r="E777" t="s">
        <v>6</v>
      </c>
      <c r="F777">
        <v>214</v>
      </c>
      <c r="G777" s="3">
        <v>3550.75</v>
      </c>
      <c r="H777" s="3">
        <f>Miami_Retail[[#This Row],[sales_usd]] / Miami_Retail[[#This Row],[customers]]</f>
        <v>16.592289719626169</v>
      </c>
      <c r="I777">
        <v>63.7</v>
      </c>
      <c r="J777">
        <f>(Miami_Retail[[#This Row],[avg_temp_f]]-32) * (5/9)</f>
        <v>17.611111111111114</v>
      </c>
      <c r="K777">
        <v>0</v>
      </c>
      <c r="L777">
        <v>0</v>
      </c>
      <c r="M777">
        <v>35</v>
      </c>
      <c r="N777">
        <v>51.4</v>
      </c>
      <c r="O777">
        <v>48.6</v>
      </c>
      <c r="P777">
        <v>45.8</v>
      </c>
      <c r="Q777">
        <v>54.2</v>
      </c>
    </row>
    <row r="778" spans="1:17" x14ac:dyDescent="0.25">
      <c r="A778" s="2">
        <v>44972</v>
      </c>
      <c r="B778" s="2" t="str">
        <f t="shared" si="24"/>
        <v>Wednesday</v>
      </c>
      <c r="C778" s="2" t="b">
        <f t="shared" si="25"/>
        <v>0</v>
      </c>
      <c r="D778">
        <v>2</v>
      </c>
      <c r="E778" t="s">
        <v>6</v>
      </c>
      <c r="F778">
        <v>219</v>
      </c>
      <c r="G778" s="3">
        <v>3662.56</v>
      </c>
      <c r="H778" s="3">
        <f>Miami_Retail[[#This Row],[sales_usd]] / Miami_Retail[[#This Row],[customers]]</f>
        <v>16.724018264840183</v>
      </c>
      <c r="I778">
        <v>59.8</v>
      </c>
      <c r="J778">
        <f>(Miami_Retail[[#This Row],[avg_temp_f]]-32) * (5/9)</f>
        <v>15.444444444444443</v>
      </c>
      <c r="K778">
        <v>0</v>
      </c>
      <c r="L778">
        <v>0</v>
      </c>
      <c r="M778">
        <v>35</v>
      </c>
      <c r="N778">
        <v>52.4</v>
      </c>
      <c r="O778">
        <v>47.6</v>
      </c>
      <c r="P778">
        <v>47.6</v>
      </c>
      <c r="Q778">
        <v>52.4</v>
      </c>
    </row>
    <row r="779" spans="1:17" x14ac:dyDescent="0.25">
      <c r="A779" s="2">
        <v>44973</v>
      </c>
      <c r="B779" s="2" t="str">
        <f t="shared" si="24"/>
        <v>Thursday</v>
      </c>
      <c r="C779" s="2" t="b">
        <f t="shared" si="25"/>
        <v>0</v>
      </c>
      <c r="D779">
        <v>2</v>
      </c>
      <c r="E779" t="s">
        <v>6</v>
      </c>
      <c r="F779">
        <v>191</v>
      </c>
      <c r="G779" s="3">
        <v>3287.9</v>
      </c>
      <c r="H779" s="3">
        <f>Miami_Retail[[#This Row],[sales_usd]] / Miami_Retail[[#This Row],[customers]]</f>
        <v>17.214136125654452</v>
      </c>
      <c r="I779">
        <v>69.400000000000006</v>
      </c>
      <c r="J779">
        <f>(Miami_Retail[[#This Row],[avg_temp_f]]-32) * (5/9)</f>
        <v>20.777777777777782</v>
      </c>
      <c r="K779">
        <v>0.8</v>
      </c>
      <c r="L779">
        <v>1</v>
      </c>
      <c r="M779">
        <v>37.1</v>
      </c>
      <c r="N779">
        <v>50.9</v>
      </c>
      <c r="O779">
        <v>49.1</v>
      </c>
      <c r="P779">
        <v>45.8</v>
      </c>
      <c r="Q779">
        <v>54.2</v>
      </c>
    </row>
    <row r="780" spans="1:17" x14ac:dyDescent="0.25">
      <c r="A780" s="2">
        <v>44974</v>
      </c>
      <c r="B780" s="2" t="str">
        <f t="shared" si="24"/>
        <v>Friday</v>
      </c>
      <c r="C780" s="2" t="b">
        <f t="shared" si="25"/>
        <v>0</v>
      </c>
      <c r="D780">
        <v>2</v>
      </c>
      <c r="E780" t="s">
        <v>6</v>
      </c>
      <c r="F780">
        <v>182</v>
      </c>
      <c r="G780" s="3">
        <v>3174.36</v>
      </c>
      <c r="H780" s="3">
        <f>Miami_Retail[[#This Row],[sales_usd]] / Miami_Retail[[#This Row],[customers]]</f>
        <v>17.441538461538464</v>
      </c>
      <c r="I780">
        <v>59.8</v>
      </c>
      <c r="J780">
        <f>(Miami_Retail[[#This Row],[avg_temp_f]]-32) * (5/9)</f>
        <v>15.444444444444443</v>
      </c>
      <c r="K780">
        <v>0</v>
      </c>
      <c r="L780">
        <v>0</v>
      </c>
      <c r="M780">
        <v>37.200000000000003</v>
      </c>
      <c r="N780">
        <v>52.5</v>
      </c>
      <c r="O780">
        <v>47.5</v>
      </c>
      <c r="P780">
        <v>45.9</v>
      </c>
      <c r="Q780">
        <v>54.1</v>
      </c>
    </row>
    <row r="781" spans="1:17" x14ac:dyDescent="0.25">
      <c r="A781" s="2">
        <v>44975</v>
      </c>
      <c r="B781" s="2" t="str">
        <f t="shared" si="24"/>
        <v>Saturday</v>
      </c>
      <c r="C781" s="2" t="b">
        <f t="shared" si="25"/>
        <v>1</v>
      </c>
      <c r="D781">
        <v>2</v>
      </c>
      <c r="E781" t="s">
        <v>6</v>
      </c>
      <c r="F781">
        <v>222</v>
      </c>
      <c r="G781" s="3">
        <v>3986.83</v>
      </c>
      <c r="H781" s="3">
        <f>Miami_Retail[[#This Row],[sales_usd]] / Miami_Retail[[#This Row],[customers]]</f>
        <v>17.958693693693693</v>
      </c>
      <c r="I781">
        <v>73.5</v>
      </c>
      <c r="J781">
        <f>(Miami_Retail[[#This Row],[avg_temp_f]]-32) * (5/9)</f>
        <v>23.055555555555557</v>
      </c>
      <c r="K781">
        <v>0</v>
      </c>
      <c r="L781">
        <v>0</v>
      </c>
      <c r="M781">
        <v>35</v>
      </c>
      <c r="N781">
        <v>52.4</v>
      </c>
      <c r="O781">
        <v>47.6</v>
      </c>
      <c r="P781">
        <v>52</v>
      </c>
      <c r="Q781">
        <v>48</v>
      </c>
    </row>
    <row r="782" spans="1:17" x14ac:dyDescent="0.25">
      <c r="A782" s="2">
        <v>44976</v>
      </c>
      <c r="B782" s="2" t="str">
        <f t="shared" si="24"/>
        <v>Sunday</v>
      </c>
      <c r="C782" s="2" t="b">
        <f t="shared" si="25"/>
        <v>1</v>
      </c>
      <c r="D782">
        <v>2</v>
      </c>
      <c r="E782" t="s">
        <v>6</v>
      </c>
      <c r="F782">
        <v>249</v>
      </c>
      <c r="G782" s="3">
        <v>4204.91</v>
      </c>
      <c r="H782" s="3">
        <f>Miami_Retail[[#This Row],[sales_usd]] / Miami_Retail[[#This Row],[customers]]</f>
        <v>16.88718875502008</v>
      </c>
      <c r="I782">
        <v>67.8</v>
      </c>
      <c r="J782">
        <f>(Miami_Retail[[#This Row],[avg_temp_f]]-32) * (5/9)</f>
        <v>19.888888888888889</v>
      </c>
      <c r="K782">
        <v>0</v>
      </c>
      <c r="L782">
        <v>0</v>
      </c>
      <c r="M782">
        <v>35.200000000000003</v>
      </c>
      <c r="N782">
        <v>52.1</v>
      </c>
      <c r="O782">
        <v>47.9</v>
      </c>
      <c r="P782">
        <v>53.8</v>
      </c>
      <c r="Q782">
        <v>46.2</v>
      </c>
    </row>
    <row r="783" spans="1:17" x14ac:dyDescent="0.25">
      <c r="A783" s="2">
        <v>44977</v>
      </c>
      <c r="B783" s="2" t="str">
        <f t="shared" si="24"/>
        <v>Monday</v>
      </c>
      <c r="C783" s="2" t="b">
        <f t="shared" si="25"/>
        <v>0</v>
      </c>
      <c r="D783">
        <v>2</v>
      </c>
      <c r="E783" t="s">
        <v>6</v>
      </c>
      <c r="F783">
        <v>206</v>
      </c>
      <c r="G783" s="3">
        <v>3587.59</v>
      </c>
      <c r="H783" s="3">
        <f>Miami_Retail[[#This Row],[sales_usd]] / Miami_Retail[[#This Row],[customers]]</f>
        <v>17.415485436893203</v>
      </c>
      <c r="I783">
        <v>70.900000000000006</v>
      </c>
      <c r="J783">
        <f>(Miami_Retail[[#This Row],[avg_temp_f]]-32) * (5/9)</f>
        <v>21.611111111111114</v>
      </c>
      <c r="K783">
        <v>0.32</v>
      </c>
      <c r="L783">
        <v>1</v>
      </c>
      <c r="M783">
        <v>35.9</v>
      </c>
      <c r="N783">
        <v>51.8</v>
      </c>
      <c r="O783">
        <v>48.2</v>
      </c>
      <c r="P783">
        <v>47.9</v>
      </c>
      <c r="Q783">
        <v>52.1</v>
      </c>
    </row>
    <row r="784" spans="1:17" x14ac:dyDescent="0.25">
      <c r="A784" s="2">
        <v>44978</v>
      </c>
      <c r="B784" s="2" t="str">
        <f t="shared" si="24"/>
        <v>Tuesday</v>
      </c>
      <c r="C784" s="2" t="b">
        <f t="shared" si="25"/>
        <v>0</v>
      </c>
      <c r="D784">
        <v>2</v>
      </c>
      <c r="E784" t="s">
        <v>6</v>
      </c>
      <c r="F784">
        <v>193</v>
      </c>
      <c r="G784" s="3">
        <v>3398.96</v>
      </c>
      <c r="H784" s="3">
        <f>Miami_Retail[[#This Row],[sales_usd]] / Miami_Retail[[#This Row],[customers]]</f>
        <v>17.611191709844558</v>
      </c>
      <c r="I784">
        <v>69.5</v>
      </c>
      <c r="J784">
        <f>(Miami_Retail[[#This Row],[avg_temp_f]]-32) * (5/9)</f>
        <v>20.833333333333336</v>
      </c>
      <c r="K784">
        <v>0.59</v>
      </c>
      <c r="L784">
        <v>1</v>
      </c>
      <c r="M784">
        <v>35</v>
      </c>
      <c r="N784">
        <v>50.7</v>
      </c>
      <c r="O784">
        <v>49.3</v>
      </c>
      <c r="P784">
        <v>46.5</v>
      </c>
      <c r="Q784">
        <v>53.5</v>
      </c>
    </row>
    <row r="785" spans="1:17" x14ac:dyDescent="0.25">
      <c r="A785" s="2">
        <v>44979</v>
      </c>
      <c r="B785" s="2" t="str">
        <f t="shared" si="24"/>
        <v>Wednesday</v>
      </c>
      <c r="C785" s="2" t="b">
        <f t="shared" si="25"/>
        <v>0</v>
      </c>
      <c r="D785">
        <v>2</v>
      </c>
      <c r="E785" t="s">
        <v>6</v>
      </c>
      <c r="F785">
        <v>192</v>
      </c>
      <c r="G785" s="3">
        <v>3237.33</v>
      </c>
      <c r="H785" s="3">
        <f>Miami_Retail[[#This Row],[sales_usd]] / Miami_Retail[[#This Row],[customers]]</f>
        <v>16.861093749999998</v>
      </c>
      <c r="I785">
        <v>69.5</v>
      </c>
      <c r="J785">
        <f>(Miami_Retail[[#This Row],[avg_temp_f]]-32) * (5/9)</f>
        <v>20.833333333333336</v>
      </c>
      <c r="K785">
        <v>0</v>
      </c>
      <c r="L785">
        <v>0</v>
      </c>
      <c r="M785">
        <v>38.6</v>
      </c>
      <c r="N785">
        <v>50.3</v>
      </c>
      <c r="O785">
        <v>49.7</v>
      </c>
      <c r="P785">
        <v>46.2</v>
      </c>
      <c r="Q785">
        <v>53.8</v>
      </c>
    </row>
    <row r="786" spans="1:17" x14ac:dyDescent="0.25">
      <c r="A786" s="2">
        <v>44980</v>
      </c>
      <c r="B786" s="2" t="str">
        <f t="shared" si="24"/>
        <v>Thursday</v>
      </c>
      <c r="C786" s="2" t="b">
        <f t="shared" si="25"/>
        <v>0</v>
      </c>
      <c r="D786">
        <v>2</v>
      </c>
      <c r="E786" t="s">
        <v>6</v>
      </c>
      <c r="F786">
        <v>212</v>
      </c>
      <c r="G786" s="3">
        <v>3550.4</v>
      </c>
      <c r="H786" s="3">
        <f>Miami_Retail[[#This Row],[sales_usd]] / Miami_Retail[[#This Row],[customers]]</f>
        <v>16.747169811320756</v>
      </c>
      <c r="I786">
        <v>67.8</v>
      </c>
      <c r="J786">
        <f>(Miami_Retail[[#This Row],[avg_temp_f]]-32) * (5/9)</f>
        <v>19.888888888888889</v>
      </c>
      <c r="K786">
        <v>0</v>
      </c>
      <c r="L786">
        <v>0</v>
      </c>
      <c r="M786">
        <v>35</v>
      </c>
      <c r="N786">
        <v>50.8</v>
      </c>
      <c r="O786">
        <v>49.2</v>
      </c>
      <c r="P786">
        <v>46.6</v>
      </c>
      <c r="Q786">
        <v>53.4</v>
      </c>
    </row>
    <row r="787" spans="1:17" x14ac:dyDescent="0.25">
      <c r="A787" s="2">
        <v>44981</v>
      </c>
      <c r="B787" s="2" t="str">
        <f t="shared" si="24"/>
        <v>Friday</v>
      </c>
      <c r="C787" s="2" t="b">
        <f t="shared" si="25"/>
        <v>0</v>
      </c>
      <c r="D787">
        <v>2</v>
      </c>
      <c r="E787" t="s">
        <v>6</v>
      </c>
      <c r="F787">
        <v>183</v>
      </c>
      <c r="G787" s="3">
        <v>3093.58</v>
      </c>
      <c r="H787" s="3">
        <f>Miami_Retail[[#This Row],[sales_usd]] / Miami_Retail[[#This Row],[customers]]</f>
        <v>16.904808743169397</v>
      </c>
      <c r="I787">
        <v>55.5</v>
      </c>
      <c r="J787">
        <f>(Miami_Retail[[#This Row],[avg_temp_f]]-32) * (5/9)</f>
        <v>13.055555555555555</v>
      </c>
      <c r="K787">
        <v>0</v>
      </c>
      <c r="L787">
        <v>0</v>
      </c>
      <c r="M787">
        <v>37.6</v>
      </c>
      <c r="N787">
        <v>52.5</v>
      </c>
      <c r="O787">
        <v>47.5</v>
      </c>
      <c r="P787">
        <v>46.6</v>
      </c>
      <c r="Q787">
        <v>53.4</v>
      </c>
    </row>
    <row r="788" spans="1:17" x14ac:dyDescent="0.25">
      <c r="A788" s="2">
        <v>44982</v>
      </c>
      <c r="B788" s="2" t="str">
        <f t="shared" si="24"/>
        <v>Saturday</v>
      </c>
      <c r="C788" s="2" t="b">
        <f t="shared" si="25"/>
        <v>1</v>
      </c>
      <c r="D788">
        <v>2</v>
      </c>
      <c r="E788" t="s">
        <v>6</v>
      </c>
      <c r="F788">
        <v>239</v>
      </c>
      <c r="G788" s="3">
        <v>3833.5</v>
      </c>
      <c r="H788" s="3">
        <f>Miami_Retail[[#This Row],[sales_usd]] / Miami_Retail[[#This Row],[customers]]</f>
        <v>16.039748953974897</v>
      </c>
      <c r="I788">
        <v>62.7</v>
      </c>
      <c r="J788">
        <f>(Miami_Retail[[#This Row],[avg_temp_f]]-32) * (5/9)</f>
        <v>17.055555555555557</v>
      </c>
      <c r="K788">
        <v>0.24</v>
      </c>
      <c r="L788">
        <v>1</v>
      </c>
      <c r="M788">
        <v>35.200000000000003</v>
      </c>
      <c r="N788">
        <v>50.5</v>
      </c>
      <c r="O788">
        <v>49.5</v>
      </c>
      <c r="P788">
        <v>54.2</v>
      </c>
      <c r="Q788">
        <v>45.8</v>
      </c>
    </row>
    <row r="789" spans="1:17" x14ac:dyDescent="0.25">
      <c r="A789" s="2">
        <v>44983</v>
      </c>
      <c r="B789" s="2" t="str">
        <f t="shared" si="24"/>
        <v>Sunday</v>
      </c>
      <c r="C789" s="2" t="b">
        <f t="shared" si="25"/>
        <v>1</v>
      </c>
      <c r="D789">
        <v>2</v>
      </c>
      <c r="E789" t="s">
        <v>6</v>
      </c>
      <c r="F789">
        <v>272</v>
      </c>
      <c r="G789" s="3">
        <v>4808</v>
      </c>
      <c r="H789" s="3">
        <f>Miami_Retail[[#This Row],[sales_usd]] / Miami_Retail[[#This Row],[customers]]</f>
        <v>17.676470588235293</v>
      </c>
      <c r="I789">
        <v>71.8</v>
      </c>
      <c r="J789">
        <f>(Miami_Retail[[#This Row],[avg_temp_f]]-32) * (5/9)</f>
        <v>22.111111111111111</v>
      </c>
      <c r="K789">
        <v>0</v>
      </c>
      <c r="L789">
        <v>0</v>
      </c>
      <c r="M789">
        <v>41.9</v>
      </c>
      <c r="N789">
        <v>50.6</v>
      </c>
      <c r="O789">
        <v>49.4</v>
      </c>
      <c r="P789">
        <v>51.7</v>
      </c>
      <c r="Q789">
        <v>48.3</v>
      </c>
    </row>
    <row r="790" spans="1:17" x14ac:dyDescent="0.25">
      <c r="A790" s="2">
        <v>44984</v>
      </c>
      <c r="B790" s="2" t="str">
        <f t="shared" si="24"/>
        <v>Monday</v>
      </c>
      <c r="C790" s="2" t="b">
        <f t="shared" si="25"/>
        <v>0</v>
      </c>
      <c r="D790">
        <v>2</v>
      </c>
      <c r="E790" t="s">
        <v>6</v>
      </c>
      <c r="F790">
        <v>187</v>
      </c>
      <c r="G790" s="3">
        <v>3181.69</v>
      </c>
      <c r="H790" s="3">
        <f>Miami_Retail[[#This Row],[sales_usd]] / Miami_Retail[[#This Row],[customers]]</f>
        <v>17.014385026737969</v>
      </c>
      <c r="I790">
        <v>61.3</v>
      </c>
      <c r="J790">
        <f>(Miami_Retail[[#This Row],[avg_temp_f]]-32) * (5/9)</f>
        <v>16.277777777777779</v>
      </c>
      <c r="K790">
        <v>0</v>
      </c>
      <c r="L790">
        <v>0</v>
      </c>
      <c r="M790">
        <v>39.1</v>
      </c>
      <c r="N790">
        <v>53.1</v>
      </c>
      <c r="O790">
        <v>46.9</v>
      </c>
      <c r="P790">
        <v>48.7</v>
      </c>
      <c r="Q790">
        <v>51.3</v>
      </c>
    </row>
    <row r="791" spans="1:17" x14ac:dyDescent="0.25">
      <c r="A791" s="2">
        <v>44985</v>
      </c>
      <c r="B791" s="2" t="str">
        <f t="shared" si="24"/>
        <v>Tuesday</v>
      </c>
      <c r="C791" s="2" t="b">
        <f t="shared" si="25"/>
        <v>0</v>
      </c>
      <c r="D791">
        <v>2</v>
      </c>
      <c r="E791" t="s">
        <v>6</v>
      </c>
      <c r="F791">
        <v>193</v>
      </c>
      <c r="G791" s="3">
        <v>3204.21</v>
      </c>
      <c r="H791" s="3">
        <f>Miami_Retail[[#This Row],[sales_usd]] / Miami_Retail[[#This Row],[customers]]</f>
        <v>16.602124352331607</v>
      </c>
      <c r="I791">
        <v>65.8</v>
      </c>
      <c r="J791">
        <f>(Miami_Retail[[#This Row],[avg_temp_f]]-32) * (5/9)</f>
        <v>18.777777777777779</v>
      </c>
      <c r="K791">
        <v>0</v>
      </c>
      <c r="L791">
        <v>0</v>
      </c>
      <c r="M791">
        <v>35</v>
      </c>
      <c r="N791">
        <v>50.3</v>
      </c>
      <c r="O791">
        <v>49.7</v>
      </c>
      <c r="P791">
        <v>47.1</v>
      </c>
      <c r="Q791">
        <v>52.9</v>
      </c>
    </row>
    <row r="792" spans="1:17" x14ac:dyDescent="0.25">
      <c r="A792" s="2">
        <v>44986</v>
      </c>
      <c r="B792" s="2" t="str">
        <f t="shared" si="24"/>
        <v>Wednesday</v>
      </c>
      <c r="C792" s="2" t="b">
        <f t="shared" si="25"/>
        <v>0</v>
      </c>
      <c r="D792">
        <v>2</v>
      </c>
      <c r="E792" t="s">
        <v>6</v>
      </c>
      <c r="F792">
        <v>199</v>
      </c>
      <c r="G792" s="3">
        <v>3290.99</v>
      </c>
      <c r="H792" s="3">
        <f>Miami_Retail[[#This Row],[sales_usd]] / Miami_Retail[[#This Row],[customers]]</f>
        <v>16.537638190954773</v>
      </c>
      <c r="I792">
        <v>71.3</v>
      </c>
      <c r="J792">
        <f>(Miami_Retail[[#This Row],[avg_temp_f]]-32) * (5/9)</f>
        <v>21.833333333333332</v>
      </c>
      <c r="K792">
        <v>0.09</v>
      </c>
      <c r="L792">
        <v>1</v>
      </c>
      <c r="M792">
        <v>35</v>
      </c>
      <c r="N792">
        <v>52.8</v>
      </c>
      <c r="O792">
        <v>47.2</v>
      </c>
      <c r="P792">
        <v>45.3</v>
      </c>
      <c r="Q792">
        <v>54.7</v>
      </c>
    </row>
    <row r="793" spans="1:17" x14ac:dyDescent="0.25">
      <c r="A793" s="2">
        <v>44987</v>
      </c>
      <c r="B793" s="2" t="str">
        <f t="shared" si="24"/>
        <v>Thursday</v>
      </c>
      <c r="C793" s="2" t="b">
        <f t="shared" si="25"/>
        <v>0</v>
      </c>
      <c r="D793">
        <v>2</v>
      </c>
      <c r="E793" t="s">
        <v>6</v>
      </c>
      <c r="F793">
        <v>183</v>
      </c>
      <c r="G793" s="3">
        <v>2975.69</v>
      </c>
      <c r="H793" s="3">
        <f>Miami_Retail[[#This Row],[sales_usd]] / Miami_Retail[[#This Row],[customers]]</f>
        <v>16.260601092896174</v>
      </c>
      <c r="I793">
        <v>65.599999999999994</v>
      </c>
      <c r="J793">
        <f>(Miami_Retail[[#This Row],[avg_temp_f]]-32) * (5/9)</f>
        <v>18.666666666666664</v>
      </c>
      <c r="K793">
        <v>0</v>
      </c>
      <c r="L793">
        <v>0</v>
      </c>
      <c r="M793">
        <v>37.200000000000003</v>
      </c>
      <c r="N793">
        <v>50.9</v>
      </c>
      <c r="O793">
        <v>49.1</v>
      </c>
      <c r="P793">
        <v>46.8</v>
      </c>
      <c r="Q793">
        <v>53.2</v>
      </c>
    </row>
    <row r="794" spans="1:17" x14ac:dyDescent="0.25">
      <c r="A794" s="2">
        <v>44988</v>
      </c>
      <c r="B794" s="2" t="str">
        <f t="shared" si="24"/>
        <v>Friday</v>
      </c>
      <c r="C794" s="2" t="b">
        <f t="shared" si="25"/>
        <v>0</v>
      </c>
      <c r="D794">
        <v>2</v>
      </c>
      <c r="E794" t="s">
        <v>6</v>
      </c>
      <c r="F794">
        <v>215</v>
      </c>
      <c r="G794" s="3">
        <v>3815.32</v>
      </c>
      <c r="H794" s="3">
        <f>Miami_Retail[[#This Row],[sales_usd]] / Miami_Retail[[#This Row],[customers]]</f>
        <v>17.745674418604651</v>
      </c>
      <c r="I794">
        <v>66.900000000000006</v>
      </c>
      <c r="J794">
        <f>(Miami_Retail[[#This Row],[avg_temp_f]]-32) * (5/9)</f>
        <v>19.388888888888893</v>
      </c>
      <c r="K794">
        <v>0</v>
      </c>
      <c r="L794">
        <v>0</v>
      </c>
      <c r="M794">
        <v>40.4</v>
      </c>
      <c r="N794">
        <v>51</v>
      </c>
      <c r="O794">
        <v>49</v>
      </c>
      <c r="P794">
        <v>46.8</v>
      </c>
      <c r="Q794">
        <v>53.2</v>
      </c>
    </row>
    <row r="795" spans="1:17" x14ac:dyDescent="0.25">
      <c r="A795" s="2">
        <v>44989</v>
      </c>
      <c r="B795" s="2" t="str">
        <f t="shared" si="24"/>
        <v>Saturday</v>
      </c>
      <c r="C795" s="2" t="b">
        <f t="shared" si="25"/>
        <v>1</v>
      </c>
      <c r="D795">
        <v>2</v>
      </c>
      <c r="E795" t="s">
        <v>6</v>
      </c>
      <c r="F795">
        <v>244</v>
      </c>
      <c r="G795" s="3">
        <v>4078.52</v>
      </c>
      <c r="H795" s="3">
        <f>Miami_Retail[[#This Row],[sales_usd]] / Miami_Retail[[#This Row],[customers]]</f>
        <v>16.715245901639346</v>
      </c>
      <c r="I795">
        <v>67.5</v>
      </c>
      <c r="J795">
        <f>(Miami_Retail[[#This Row],[avg_temp_f]]-32) * (5/9)</f>
        <v>19.722222222222221</v>
      </c>
      <c r="K795">
        <v>0</v>
      </c>
      <c r="L795">
        <v>0</v>
      </c>
      <c r="M795">
        <v>35</v>
      </c>
      <c r="N795">
        <v>51.1</v>
      </c>
      <c r="O795">
        <v>48.9</v>
      </c>
      <c r="P795">
        <v>51.9</v>
      </c>
      <c r="Q795">
        <v>48.1</v>
      </c>
    </row>
    <row r="796" spans="1:17" x14ac:dyDescent="0.25">
      <c r="A796" s="2">
        <v>44990</v>
      </c>
      <c r="B796" s="2" t="str">
        <f t="shared" si="24"/>
        <v>Sunday</v>
      </c>
      <c r="C796" s="2" t="b">
        <f t="shared" si="25"/>
        <v>1</v>
      </c>
      <c r="D796">
        <v>2</v>
      </c>
      <c r="E796" t="s">
        <v>6</v>
      </c>
      <c r="F796">
        <v>248</v>
      </c>
      <c r="G796" s="3">
        <v>4161.84</v>
      </c>
      <c r="H796" s="3">
        <f>Miami_Retail[[#This Row],[sales_usd]] / Miami_Retail[[#This Row],[customers]]</f>
        <v>16.781612903225806</v>
      </c>
      <c r="I796">
        <v>62.1</v>
      </c>
      <c r="J796">
        <f>(Miami_Retail[[#This Row],[avg_temp_f]]-32) * (5/9)</f>
        <v>16.722222222222225</v>
      </c>
      <c r="K796">
        <v>0</v>
      </c>
      <c r="L796">
        <v>0</v>
      </c>
      <c r="M796">
        <v>38</v>
      </c>
      <c r="N796">
        <v>50.8</v>
      </c>
      <c r="O796">
        <v>49.2</v>
      </c>
      <c r="P796">
        <v>53.6</v>
      </c>
      <c r="Q796">
        <v>46.4</v>
      </c>
    </row>
    <row r="797" spans="1:17" x14ac:dyDescent="0.25">
      <c r="A797" s="2">
        <v>44991</v>
      </c>
      <c r="B797" s="2" t="str">
        <f t="shared" si="24"/>
        <v>Monday</v>
      </c>
      <c r="C797" s="2" t="b">
        <f t="shared" si="25"/>
        <v>0</v>
      </c>
      <c r="D797">
        <v>2</v>
      </c>
      <c r="E797" t="s">
        <v>6</v>
      </c>
      <c r="F797">
        <v>194</v>
      </c>
      <c r="G797" s="3">
        <v>3442.21</v>
      </c>
      <c r="H797" s="3">
        <f>Miami_Retail[[#This Row],[sales_usd]] / Miami_Retail[[#This Row],[customers]]</f>
        <v>17.743350515463916</v>
      </c>
      <c r="I797">
        <v>64.7</v>
      </c>
      <c r="J797">
        <f>(Miami_Retail[[#This Row],[avg_temp_f]]-32) * (5/9)</f>
        <v>18.166666666666668</v>
      </c>
      <c r="K797">
        <v>0.44</v>
      </c>
      <c r="L797">
        <v>1</v>
      </c>
      <c r="M797">
        <v>35</v>
      </c>
      <c r="N797">
        <v>51.3</v>
      </c>
      <c r="O797">
        <v>48.7</v>
      </c>
      <c r="P797">
        <v>46.9</v>
      </c>
      <c r="Q797">
        <v>53.1</v>
      </c>
    </row>
    <row r="798" spans="1:17" x14ac:dyDescent="0.25">
      <c r="A798" s="2">
        <v>44992</v>
      </c>
      <c r="B798" s="2" t="str">
        <f t="shared" si="24"/>
        <v>Tuesday</v>
      </c>
      <c r="C798" s="2" t="b">
        <f t="shared" si="25"/>
        <v>0</v>
      </c>
      <c r="D798">
        <v>2</v>
      </c>
      <c r="E798" t="s">
        <v>6</v>
      </c>
      <c r="F798">
        <v>214</v>
      </c>
      <c r="G798" s="3">
        <v>3831.16</v>
      </c>
      <c r="H798" s="3">
        <f>Miami_Retail[[#This Row],[sales_usd]] / Miami_Retail[[#This Row],[customers]]</f>
        <v>17.902616822429906</v>
      </c>
      <c r="I798">
        <v>61</v>
      </c>
      <c r="J798">
        <f>(Miami_Retail[[#This Row],[avg_temp_f]]-32) * (5/9)</f>
        <v>16.111111111111111</v>
      </c>
      <c r="K798">
        <v>0.65</v>
      </c>
      <c r="L798">
        <v>1</v>
      </c>
      <c r="M798">
        <v>37.200000000000003</v>
      </c>
      <c r="N798">
        <v>51.4</v>
      </c>
      <c r="O798">
        <v>48.6</v>
      </c>
      <c r="P798">
        <v>46.6</v>
      </c>
      <c r="Q798">
        <v>53.4</v>
      </c>
    </row>
    <row r="799" spans="1:17" x14ac:dyDescent="0.25">
      <c r="A799" s="2">
        <v>44993</v>
      </c>
      <c r="B799" s="2" t="str">
        <f t="shared" si="24"/>
        <v>Wednesday</v>
      </c>
      <c r="C799" s="2" t="b">
        <f t="shared" si="25"/>
        <v>0</v>
      </c>
      <c r="D799">
        <v>2</v>
      </c>
      <c r="E799" t="s">
        <v>6</v>
      </c>
      <c r="F799">
        <v>177</v>
      </c>
      <c r="G799" s="3">
        <v>3031.03</v>
      </c>
      <c r="H799" s="3">
        <f>Miami_Retail[[#This Row],[sales_usd]] / Miami_Retail[[#This Row],[customers]]</f>
        <v>17.12446327683616</v>
      </c>
      <c r="I799">
        <v>66.5</v>
      </c>
      <c r="J799">
        <f>(Miami_Retail[[#This Row],[avg_temp_f]]-32) * (5/9)</f>
        <v>19.166666666666668</v>
      </c>
      <c r="K799">
        <v>0</v>
      </c>
      <c r="L799">
        <v>0</v>
      </c>
      <c r="M799">
        <v>35</v>
      </c>
      <c r="N799">
        <v>51.7</v>
      </c>
      <c r="O799">
        <v>48.3</v>
      </c>
      <c r="P799">
        <v>45.4</v>
      </c>
      <c r="Q799">
        <v>54.6</v>
      </c>
    </row>
    <row r="800" spans="1:17" x14ac:dyDescent="0.25">
      <c r="A800" s="2">
        <v>44994</v>
      </c>
      <c r="B800" s="2" t="str">
        <f t="shared" si="24"/>
        <v>Thursday</v>
      </c>
      <c r="C800" s="2" t="b">
        <f t="shared" si="25"/>
        <v>0</v>
      </c>
      <c r="D800">
        <v>2</v>
      </c>
      <c r="E800" t="s">
        <v>6</v>
      </c>
      <c r="F800">
        <v>204</v>
      </c>
      <c r="G800" s="3">
        <v>3492.73</v>
      </c>
      <c r="H800" s="3">
        <f>Miami_Retail[[#This Row],[sales_usd]] / Miami_Retail[[#This Row],[customers]]</f>
        <v>17.121225490196078</v>
      </c>
      <c r="I800">
        <v>63.7</v>
      </c>
      <c r="J800">
        <f>(Miami_Retail[[#This Row],[avg_temp_f]]-32) * (5/9)</f>
        <v>17.611111111111114</v>
      </c>
      <c r="K800">
        <v>0</v>
      </c>
      <c r="L800">
        <v>0</v>
      </c>
      <c r="M800">
        <v>36.9</v>
      </c>
      <c r="N800">
        <v>53.2</v>
      </c>
      <c r="O800">
        <v>46.8</v>
      </c>
      <c r="P800">
        <v>47.9</v>
      </c>
      <c r="Q800">
        <v>52.1</v>
      </c>
    </row>
    <row r="801" spans="1:17" x14ac:dyDescent="0.25">
      <c r="A801" s="2">
        <v>44995</v>
      </c>
      <c r="B801" s="2" t="str">
        <f t="shared" si="24"/>
        <v>Friday</v>
      </c>
      <c r="C801" s="2" t="b">
        <f t="shared" si="25"/>
        <v>0</v>
      </c>
      <c r="D801">
        <v>2</v>
      </c>
      <c r="E801" t="s">
        <v>6</v>
      </c>
      <c r="F801">
        <v>197</v>
      </c>
      <c r="G801" s="3">
        <v>3274.53</v>
      </c>
      <c r="H801" s="3">
        <f>Miami_Retail[[#This Row],[sales_usd]] / Miami_Retail[[#This Row],[customers]]</f>
        <v>16.621979695431474</v>
      </c>
      <c r="I801">
        <v>63.4</v>
      </c>
      <c r="J801">
        <f>(Miami_Retail[[#This Row],[avg_temp_f]]-32) * (5/9)</f>
        <v>17.444444444444443</v>
      </c>
      <c r="K801">
        <v>0</v>
      </c>
      <c r="L801">
        <v>0</v>
      </c>
      <c r="M801">
        <v>35</v>
      </c>
      <c r="N801">
        <v>50.5</v>
      </c>
      <c r="O801">
        <v>49.5</v>
      </c>
      <c r="P801">
        <v>47.2</v>
      </c>
      <c r="Q801">
        <v>52.8</v>
      </c>
    </row>
    <row r="802" spans="1:17" x14ac:dyDescent="0.25">
      <c r="A802" s="2">
        <v>44996</v>
      </c>
      <c r="B802" s="2" t="str">
        <f t="shared" si="24"/>
        <v>Saturday</v>
      </c>
      <c r="C802" s="2" t="b">
        <f t="shared" si="25"/>
        <v>1</v>
      </c>
      <c r="D802">
        <v>2</v>
      </c>
      <c r="E802" t="s">
        <v>6</v>
      </c>
      <c r="F802">
        <v>198</v>
      </c>
      <c r="G802" s="3">
        <v>3289.09</v>
      </c>
      <c r="H802" s="3">
        <f>Miami_Retail[[#This Row],[sales_usd]] / Miami_Retail[[#This Row],[customers]]</f>
        <v>16.611565656565656</v>
      </c>
      <c r="I802">
        <v>68.7</v>
      </c>
      <c r="J802">
        <f>(Miami_Retail[[#This Row],[avg_temp_f]]-32) * (5/9)</f>
        <v>20.388888888888893</v>
      </c>
      <c r="K802">
        <v>0.03</v>
      </c>
      <c r="L802">
        <v>1</v>
      </c>
      <c r="M802">
        <v>35</v>
      </c>
      <c r="N802">
        <v>50.4</v>
      </c>
      <c r="O802">
        <v>49.6</v>
      </c>
      <c r="P802">
        <v>53.2</v>
      </c>
      <c r="Q802">
        <v>46.8</v>
      </c>
    </row>
    <row r="803" spans="1:17" x14ac:dyDescent="0.25">
      <c r="A803" s="2">
        <v>44997</v>
      </c>
      <c r="B803" s="2" t="str">
        <f t="shared" si="24"/>
        <v>Sunday</v>
      </c>
      <c r="C803" s="2" t="b">
        <f t="shared" si="25"/>
        <v>1</v>
      </c>
      <c r="D803">
        <v>2</v>
      </c>
      <c r="E803" t="s">
        <v>6</v>
      </c>
      <c r="F803">
        <v>191</v>
      </c>
      <c r="G803" s="3">
        <v>3082.82</v>
      </c>
      <c r="H803" s="3">
        <f>Miami_Retail[[#This Row],[sales_usd]] / Miami_Retail[[#This Row],[customers]]</f>
        <v>16.140418848167538</v>
      </c>
      <c r="I803">
        <v>71.900000000000006</v>
      </c>
      <c r="J803">
        <f>(Miami_Retail[[#This Row],[avg_temp_f]]-32) * (5/9)</f>
        <v>22.166666666666671</v>
      </c>
      <c r="K803">
        <v>0</v>
      </c>
      <c r="L803">
        <v>0</v>
      </c>
      <c r="M803">
        <v>35</v>
      </c>
      <c r="N803">
        <v>51.7</v>
      </c>
      <c r="O803">
        <v>48.3</v>
      </c>
      <c r="P803">
        <v>53.2</v>
      </c>
      <c r="Q803">
        <v>46.8</v>
      </c>
    </row>
    <row r="804" spans="1:17" x14ac:dyDescent="0.25">
      <c r="A804" s="2">
        <v>44998</v>
      </c>
      <c r="B804" s="2" t="str">
        <f t="shared" si="24"/>
        <v>Monday</v>
      </c>
      <c r="C804" s="2" t="b">
        <f t="shared" si="25"/>
        <v>0</v>
      </c>
      <c r="D804">
        <v>2</v>
      </c>
      <c r="E804" t="s">
        <v>6</v>
      </c>
      <c r="F804">
        <v>198</v>
      </c>
      <c r="G804" s="3">
        <v>3488.19</v>
      </c>
      <c r="H804" s="3">
        <f>Miami_Retail[[#This Row],[sales_usd]] / Miami_Retail[[#This Row],[customers]]</f>
        <v>17.617121212121212</v>
      </c>
      <c r="I804">
        <v>66.5</v>
      </c>
      <c r="J804">
        <f>(Miami_Retail[[#This Row],[avg_temp_f]]-32) * (5/9)</f>
        <v>19.166666666666668</v>
      </c>
      <c r="K804">
        <v>0.21</v>
      </c>
      <c r="L804">
        <v>1</v>
      </c>
      <c r="M804">
        <v>43.3</v>
      </c>
      <c r="N804">
        <v>52.4</v>
      </c>
      <c r="O804">
        <v>47.6</v>
      </c>
      <c r="P804">
        <v>49.2</v>
      </c>
      <c r="Q804">
        <v>50.8</v>
      </c>
    </row>
    <row r="805" spans="1:17" x14ac:dyDescent="0.25">
      <c r="A805" s="2">
        <v>44999</v>
      </c>
      <c r="B805" s="2" t="str">
        <f t="shared" si="24"/>
        <v>Tuesday</v>
      </c>
      <c r="C805" s="2" t="b">
        <f t="shared" si="25"/>
        <v>0</v>
      </c>
      <c r="D805">
        <v>2</v>
      </c>
      <c r="E805" t="s">
        <v>6</v>
      </c>
      <c r="F805">
        <v>181</v>
      </c>
      <c r="G805" s="3">
        <v>2936.61</v>
      </c>
      <c r="H805" s="3">
        <f>Miami_Retail[[#This Row],[sales_usd]] / Miami_Retail[[#This Row],[customers]]</f>
        <v>16.22436464088398</v>
      </c>
      <c r="I805">
        <v>65.400000000000006</v>
      </c>
      <c r="J805">
        <f>(Miami_Retail[[#This Row],[avg_temp_f]]-32) * (5/9)</f>
        <v>18.555555555555561</v>
      </c>
      <c r="K805">
        <v>0</v>
      </c>
      <c r="L805">
        <v>0</v>
      </c>
      <c r="M805">
        <v>38.799999999999997</v>
      </c>
      <c r="N805">
        <v>52.5</v>
      </c>
      <c r="O805">
        <v>47.5</v>
      </c>
      <c r="P805">
        <v>46.5</v>
      </c>
      <c r="Q805">
        <v>53.5</v>
      </c>
    </row>
    <row r="806" spans="1:17" x14ac:dyDescent="0.25">
      <c r="A806" s="2">
        <v>45000</v>
      </c>
      <c r="B806" s="2" t="str">
        <f t="shared" si="24"/>
        <v>Wednesday</v>
      </c>
      <c r="C806" s="2" t="b">
        <f t="shared" si="25"/>
        <v>0</v>
      </c>
      <c r="D806">
        <v>2</v>
      </c>
      <c r="E806" t="s">
        <v>6</v>
      </c>
      <c r="F806">
        <v>178</v>
      </c>
      <c r="G806" s="3">
        <v>3017.37</v>
      </c>
      <c r="H806" s="3">
        <f>Miami_Retail[[#This Row],[sales_usd]] / Miami_Retail[[#This Row],[customers]]</f>
        <v>16.951516853932585</v>
      </c>
      <c r="I806">
        <v>66.900000000000006</v>
      </c>
      <c r="J806">
        <f>(Miami_Retail[[#This Row],[avg_temp_f]]-32) * (5/9)</f>
        <v>19.388888888888893</v>
      </c>
      <c r="K806">
        <v>0</v>
      </c>
      <c r="L806">
        <v>0</v>
      </c>
      <c r="M806">
        <v>35</v>
      </c>
      <c r="N806">
        <v>50.5</v>
      </c>
      <c r="O806">
        <v>49.5</v>
      </c>
      <c r="P806">
        <v>47.9</v>
      </c>
      <c r="Q806">
        <v>52.1</v>
      </c>
    </row>
    <row r="807" spans="1:17" x14ac:dyDescent="0.25">
      <c r="A807" s="2">
        <v>45001</v>
      </c>
      <c r="B807" s="2" t="str">
        <f t="shared" si="24"/>
        <v>Thursday</v>
      </c>
      <c r="C807" s="2" t="b">
        <f t="shared" si="25"/>
        <v>0</v>
      </c>
      <c r="D807">
        <v>2</v>
      </c>
      <c r="E807" t="s">
        <v>6</v>
      </c>
      <c r="F807">
        <v>195</v>
      </c>
      <c r="G807" s="3">
        <v>3197.06</v>
      </c>
      <c r="H807" s="3">
        <f>Miami_Retail[[#This Row],[sales_usd]] / Miami_Retail[[#This Row],[customers]]</f>
        <v>16.395179487179487</v>
      </c>
      <c r="I807">
        <v>72.3</v>
      </c>
      <c r="J807">
        <f>(Miami_Retail[[#This Row],[avg_temp_f]]-32) * (5/9)</f>
        <v>22.388888888888889</v>
      </c>
      <c r="K807">
        <v>0</v>
      </c>
      <c r="L807">
        <v>0</v>
      </c>
      <c r="M807">
        <v>35</v>
      </c>
      <c r="N807">
        <v>51.4</v>
      </c>
      <c r="O807">
        <v>48.6</v>
      </c>
      <c r="P807">
        <v>47.1</v>
      </c>
      <c r="Q807">
        <v>52.9</v>
      </c>
    </row>
    <row r="808" spans="1:17" x14ac:dyDescent="0.25">
      <c r="A808" s="2">
        <v>45002</v>
      </c>
      <c r="B808" s="2" t="str">
        <f t="shared" si="24"/>
        <v>Friday</v>
      </c>
      <c r="C808" s="2" t="b">
        <f t="shared" si="25"/>
        <v>0</v>
      </c>
      <c r="D808">
        <v>2</v>
      </c>
      <c r="E808" t="s">
        <v>6</v>
      </c>
      <c r="F808">
        <v>211</v>
      </c>
      <c r="G808" s="3">
        <v>3907.56</v>
      </c>
      <c r="H808" s="3">
        <f>Miami_Retail[[#This Row],[sales_usd]] / Miami_Retail[[#This Row],[customers]]</f>
        <v>18.519241706161136</v>
      </c>
      <c r="I808">
        <v>65</v>
      </c>
      <c r="J808">
        <f>(Miami_Retail[[#This Row],[avg_temp_f]]-32) * (5/9)</f>
        <v>18.333333333333336</v>
      </c>
      <c r="K808">
        <v>0</v>
      </c>
      <c r="L808">
        <v>0</v>
      </c>
      <c r="M808">
        <v>39.700000000000003</v>
      </c>
      <c r="N808">
        <v>51.9</v>
      </c>
      <c r="O808">
        <v>48.1</v>
      </c>
      <c r="P808">
        <v>47.6</v>
      </c>
      <c r="Q808">
        <v>52.4</v>
      </c>
    </row>
    <row r="809" spans="1:17" x14ac:dyDescent="0.25">
      <c r="A809" s="2">
        <v>45003</v>
      </c>
      <c r="B809" s="2" t="str">
        <f t="shared" si="24"/>
        <v>Saturday</v>
      </c>
      <c r="C809" s="2" t="b">
        <f t="shared" si="25"/>
        <v>1</v>
      </c>
      <c r="D809">
        <v>2</v>
      </c>
      <c r="E809" t="s">
        <v>6</v>
      </c>
      <c r="F809">
        <v>182</v>
      </c>
      <c r="G809" s="3">
        <v>3111.84</v>
      </c>
      <c r="H809" s="3">
        <f>Miami_Retail[[#This Row],[sales_usd]] / Miami_Retail[[#This Row],[customers]]</f>
        <v>17.098021978021979</v>
      </c>
      <c r="I809">
        <v>62.4</v>
      </c>
      <c r="J809">
        <f>(Miami_Retail[[#This Row],[avg_temp_f]]-32) * (5/9)</f>
        <v>16.888888888888889</v>
      </c>
      <c r="K809">
        <v>2.29</v>
      </c>
      <c r="L809">
        <v>1</v>
      </c>
      <c r="M809">
        <v>35</v>
      </c>
      <c r="N809">
        <v>53.2</v>
      </c>
      <c r="O809">
        <v>46.8</v>
      </c>
      <c r="P809">
        <v>52.2</v>
      </c>
      <c r="Q809">
        <v>47.8</v>
      </c>
    </row>
    <row r="810" spans="1:17" x14ac:dyDescent="0.25">
      <c r="A810" s="2">
        <v>45004</v>
      </c>
      <c r="B810" s="2" t="str">
        <f t="shared" si="24"/>
        <v>Sunday</v>
      </c>
      <c r="C810" s="2" t="b">
        <f t="shared" si="25"/>
        <v>1</v>
      </c>
      <c r="D810">
        <v>2</v>
      </c>
      <c r="E810" t="s">
        <v>6</v>
      </c>
      <c r="F810">
        <v>205</v>
      </c>
      <c r="G810" s="3">
        <v>3549</v>
      </c>
      <c r="H810" s="3">
        <f>Miami_Retail[[#This Row],[sales_usd]] / Miami_Retail[[#This Row],[customers]]</f>
        <v>17.31219512195122</v>
      </c>
      <c r="I810">
        <v>64.3</v>
      </c>
      <c r="J810">
        <f>(Miami_Retail[[#This Row],[avg_temp_f]]-32) * (5/9)</f>
        <v>17.944444444444443</v>
      </c>
      <c r="K810">
        <v>0</v>
      </c>
      <c r="L810">
        <v>0</v>
      </c>
      <c r="M810">
        <v>35</v>
      </c>
      <c r="N810">
        <v>51.9</v>
      </c>
      <c r="O810">
        <v>48.1</v>
      </c>
      <c r="P810">
        <v>52.8</v>
      </c>
      <c r="Q810">
        <v>47.2</v>
      </c>
    </row>
    <row r="811" spans="1:17" x14ac:dyDescent="0.25">
      <c r="A811" s="2">
        <v>45005</v>
      </c>
      <c r="B811" s="2" t="str">
        <f t="shared" si="24"/>
        <v>Monday</v>
      </c>
      <c r="C811" s="2" t="b">
        <f t="shared" si="25"/>
        <v>0</v>
      </c>
      <c r="D811">
        <v>2</v>
      </c>
      <c r="E811" t="s">
        <v>6</v>
      </c>
      <c r="F811">
        <v>183</v>
      </c>
      <c r="G811" s="3">
        <v>3213.68</v>
      </c>
      <c r="H811" s="3">
        <f>Miami_Retail[[#This Row],[sales_usd]] / Miami_Retail[[#This Row],[customers]]</f>
        <v>17.561092896174863</v>
      </c>
      <c r="I811">
        <v>68.8</v>
      </c>
      <c r="J811">
        <f>(Miami_Retail[[#This Row],[avg_temp_f]]-32) * (5/9)</f>
        <v>20.444444444444443</v>
      </c>
      <c r="K811">
        <v>0.67</v>
      </c>
      <c r="L811">
        <v>1</v>
      </c>
      <c r="M811">
        <v>38.700000000000003</v>
      </c>
      <c r="N811">
        <v>52.6</v>
      </c>
      <c r="O811">
        <v>47.4</v>
      </c>
      <c r="P811">
        <v>47.3</v>
      </c>
      <c r="Q811">
        <v>52.7</v>
      </c>
    </row>
    <row r="812" spans="1:17" x14ac:dyDescent="0.25">
      <c r="A812" s="2">
        <v>45006</v>
      </c>
      <c r="B812" s="2" t="str">
        <f t="shared" si="24"/>
        <v>Tuesday</v>
      </c>
      <c r="C812" s="2" t="b">
        <f t="shared" si="25"/>
        <v>0</v>
      </c>
      <c r="D812">
        <v>2</v>
      </c>
      <c r="E812" t="s">
        <v>6</v>
      </c>
      <c r="F812">
        <v>172</v>
      </c>
      <c r="G812" s="3">
        <v>2895.38</v>
      </c>
      <c r="H812" s="3">
        <f>Miami_Retail[[#This Row],[sales_usd]] / Miami_Retail[[#This Row],[customers]]</f>
        <v>16.833604651162791</v>
      </c>
      <c r="I812">
        <v>69.8</v>
      </c>
      <c r="J812">
        <f>(Miami_Retail[[#This Row],[avg_temp_f]]-32) * (5/9)</f>
        <v>21</v>
      </c>
      <c r="K812">
        <v>0</v>
      </c>
      <c r="L812">
        <v>0</v>
      </c>
      <c r="M812">
        <v>39.299999999999997</v>
      </c>
      <c r="N812">
        <v>53.8</v>
      </c>
      <c r="O812">
        <v>46.2</v>
      </c>
      <c r="P812">
        <v>48.2</v>
      </c>
      <c r="Q812">
        <v>51.8</v>
      </c>
    </row>
    <row r="813" spans="1:17" x14ac:dyDescent="0.25">
      <c r="A813" s="2">
        <v>45007</v>
      </c>
      <c r="B813" s="2" t="str">
        <f t="shared" si="24"/>
        <v>Wednesday</v>
      </c>
      <c r="C813" s="2" t="b">
        <f t="shared" si="25"/>
        <v>0</v>
      </c>
      <c r="D813">
        <v>2</v>
      </c>
      <c r="E813" t="s">
        <v>6</v>
      </c>
      <c r="F813">
        <v>215</v>
      </c>
      <c r="G813" s="3">
        <v>3832.82</v>
      </c>
      <c r="H813" s="3">
        <f>Miami_Retail[[#This Row],[sales_usd]] / Miami_Retail[[#This Row],[customers]]</f>
        <v>17.827069767441863</v>
      </c>
      <c r="I813">
        <v>60.4</v>
      </c>
      <c r="J813">
        <f>(Miami_Retail[[#This Row],[avg_temp_f]]-32) * (5/9)</f>
        <v>15.777777777777779</v>
      </c>
      <c r="K813">
        <v>0</v>
      </c>
      <c r="L813">
        <v>0</v>
      </c>
      <c r="M813">
        <v>35</v>
      </c>
      <c r="N813">
        <v>53.6</v>
      </c>
      <c r="O813">
        <v>46.4</v>
      </c>
      <c r="P813">
        <v>46.4</v>
      </c>
      <c r="Q813">
        <v>53.6</v>
      </c>
    </row>
    <row r="814" spans="1:17" x14ac:dyDescent="0.25">
      <c r="A814" s="2">
        <v>45008</v>
      </c>
      <c r="B814" s="2" t="str">
        <f t="shared" si="24"/>
        <v>Thursday</v>
      </c>
      <c r="C814" s="2" t="b">
        <f t="shared" si="25"/>
        <v>0</v>
      </c>
      <c r="D814">
        <v>2</v>
      </c>
      <c r="E814" t="s">
        <v>6</v>
      </c>
      <c r="F814">
        <v>217</v>
      </c>
      <c r="G814" s="3">
        <v>3678.53</v>
      </c>
      <c r="H814" s="3">
        <f>Miami_Retail[[#This Row],[sales_usd]] / Miami_Retail[[#This Row],[customers]]</f>
        <v>16.951751152073733</v>
      </c>
      <c r="I814">
        <v>67.900000000000006</v>
      </c>
      <c r="J814">
        <f>(Miami_Retail[[#This Row],[avg_temp_f]]-32) * (5/9)</f>
        <v>19.94444444444445</v>
      </c>
      <c r="K814">
        <v>0</v>
      </c>
      <c r="L814">
        <v>0</v>
      </c>
      <c r="M814">
        <v>38.200000000000003</v>
      </c>
      <c r="N814">
        <v>52.9</v>
      </c>
      <c r="O814">
        <v>47.1</v>
      </c>
      <c r="P814">
        <v>48.6</v>
      </c>
      <c r="Q814">
        <v>51.4</v>
      </c>
    </row>
    <row r="815" spans="1:17" x14ac:dyDescent="0.25">
      <c r="A815" s="2">
        <v>45009</v>
      </c>
      <c r="B815" s="2" t="str">
        <f t="shared" si="24"/>
        <v>Friday</v>
      </c>
      <c r="C815" s="2" t="b">
        <f t="shared" si="25"/>
        <v>0</v>
      </c>
      <c r="D815">
        <v>2</v>
      </c>
      <c r="E815" t="s">
        <v>6</v>
      </c>
      <c r="F815">
        <v>211</v>
      </c>
      <c r="G815" s="3">
        <v>3539.08</v>
      </c>
      <c r="H815" s="3">
        <f>Miami_Retail[[#This Row],[sales_usd]] / Miami_Retail[[#This Row],[customers]]</f>
        <v>16.772890995260664</v>
      </c>
      <c r="I815">
        <v>63.6</v>
      </c>
      <c r="J815">
        <f>(Miami_Retail[[#This Row],[avg_temp_f]]-32) * (5/9)</f>
        <v>17.555555555555557</v>
      </c>
      <c r="K815">
        <v>0</v>
      </c>
      <c r="L815">
        <v>0</v>
      </c>
      <c r="M815">
        <v>39.299999999999997</v>
      </c>
      <c r="N815">
        <v>53.2</v>
      </c>
      <c r="O815">
        <v>46.8</v>
      </c>
      <c r="P815">
        <v>47</v>
      </c>
      <c r="Q815">
        <v>53</v>
      </c>
    </row>
    <row r="816" spans="1:17" x14ac:dyDescent="0.25">
      <c r="A816" s="2">
        <v>45010</v>
      </c>
      <c r="B816" s="2" t="str">
        <f t="shared" si="24"/>
        <v>Saturday</v>
      </c>
      <c r="C816" s="2" t="b">
        <f t="shared" si="25"/>
        <v>1</v>
      </c>
      <c r="D816">
        <v>2</v>
      </c>
      <c r="E816" t="s">
        <v>6</v>
      </c>
      <c r="F816">
        <v>234</v>
      </c>
      <c r="G816" s="3">
        <v>3514.03</v>
      </c>
      <c r="H816" s="3">
        <f>Miami_Retail[[#This Row],[sales_usd]] / Miami_Retail[[#This Row],[customers]]</f>
        <v>15.017222222222223</v>
      </c>
      <c r="I816">
        <v>61.9</v>
      </c>
      <c r="J816">
        <f>(Miami_Retail[[#This Row],[avg_temp_f]]-32) * (5/9)</f>
        <v>16.611111111111111</v>
      </c>
      <c r="K816">
        <v>0</v>
      </c>
      <c r="L816">
        <v>0</v>
      </c>
      <c r="M816">
        <v>41.9</v>
      </c>
      <c r="N816">
        <v>51</v>
      </c>
      <c r="O816">
        <v>49</v>
      </c>
      <c r="P816">
        <v>52.7</v>
      </c>
      <c r="Q816">
        <v>47.3</v>
      </c>
    </row>
    <row r="817" spans="1:17" x14ac:dyDescent="0.25">
      <c r="A817" s="2">
        <v>45011</v>
      </c>
      <c r="B817" s="2" t="str">
        <f t="shared" si="24"/>
        <v>Sunday</v>
      </c>
      <c r="C817" s="2" t="b">
        <f t="shared" si="25"/>
        <v>1</v>
      </c>
      <c r="D817">
        <v>2</v>
      </c>
      <c r="E817" t="s">
        <v>6</v>
      </c>
      <c r="F817">
        <v>219</v>
      </c>
      <c r="G817" s="3">
        <v>3555.29</v>
      </c>
      <c r="H817" s="3">
        <f>Miami_Retail[[#This Row],[sales_usd]] / Miami_Retail[[#This Row],[customers]]</f>
        <v>16.23420091324201</v>
      </c>
      <c r="I817">
        <v>66.5</v>
      </c>
      <c r="J817">
        <f>(Miami_Retail[[#This Row],[avg_temp_f]]-32) * (5/9)</f>
        <v>19.166666666666668</v>
      </c>
      <c r="K817">
        <v>0</v>
      </c>
      <c r="L817">
        <v>0</v>
      </c>
      <c r="M817">
        <v>35</v>
      </c>
      <c r="N817">
        <v>52.6</v>
      </c>
      <c r="O817">
        <v>47.4</v>
      </c>
      <c r="P817">
        <v>53.1</v>
      </c>
      <c r="Q817">
        <v>46.9</v>
      </c>
    </row>
    <row r="818" spans="1:17" x14ac:dyDescent="0.25">
      <c r="A818" s="2">
        <v>45012</v>
      </c>
      <c r="B818" s="2" t="str">
        <f t="shared" si="24"/>
        <v>Monday</v>
      </c>
      <c r="C818" s="2" t="b">
        <f t="shared" si="25"/>
        <v>0</v>
      </c>
      <c r="D818">
        <v>2</v>
      </c>
      <c r="E818" t="s">
        <v>6</v>
      </c>
      <c r="F818">
        <v>196</v>
      </c>
      <c r="G818" s="3">
        <v>3399.26</v>
      </c>
      <c r="H818" s="3">
        <f>Miami_Retail[[#This Row],[sales_usd]] / Miami_Retail[[#This Row],[customers]]</f>
        <v>17.343163265306124</v>
      </c>
      <c r="I818">
        <v>67.8</v>
      </c>
      <c r="J818">
        <f>(Miami_Retail[[#This Row],[avg_temp_f]]-32) * (5/9)</f>
        <v>19.888888888888889</v>
      </c>
      <c r="K818">
        <v>0</v>
      </c>
      <c r="L818">
        <v>0</v>
      </c>
      <c r="M818">
        <v>38.299999999999997</v>
      </c>
      <c r="N818">
        <v>53.3</v>
      </c>
      <c r="O818">
        <v>46.7</v>
      </c>
      <c r="P818">
        <v>47.5</v>
      </c>
      <c r="Q818">
        <v>52.5</v>
      </c>
    </row>
    <row r="819" spans="1:17" x14ac:dyDescent="0.25">
      <c r="A819" s="2">
        <v>45013</v>
      </c>
      <c r="B819" s="2" t="str">
        <f t="shared" si="24"/>
        <v>Tuesday</v>
      </c>
      <c r="C819" s="2" t="b">
        <f t="shared" si="25"/>
        <v>0</v>
      </c>
      <c r="D819">
        <v>2</v>
      </c>
      <c r="E819" t="s">
        <v>6</v>
      </c>
      <c r="F819">
        <v>198</v>
      </c>
      <c r="G819" s="3">
        <v>3445.28</v>
      </c>
      <c r="H819" s="3">
        <f>Miami_Retail[[#This Row],[sales_usd]] / Miami_Retail[[#This Row],[customers]]</f>
        <v>17.400404040404041</v>
      </c>
      <c r="I819">
        <v>62.2</v>
      </c>
      <c r="J819">
        <f>(Miami_Retail[[#This Row],[avg_temp_f]]-32) * (5/9)</f>
        <v>16.777777777777779</v>
      </c>
      <c r="K819">
        <v>0</v>
      </c>
      <c r="L819">
        <v>0</v>
      </c>
      <c r="M819">
        <v>43.5</v>
      </c>
      <c r="N819">
        <v>52.2</v>
      </c>
      <c r="O819">
        <v>47.8</v>
      </c>
      <c r="P819">
        <v>47.7</v>
      </c>
      <c r="Q819">
        <v>52.3</v>
      </c>
    </row>
    <row r="820" spans="1:17" x14ac:dyDescent="0.25">
      <c r="A820" s="2">
        <v>45014</v>
      </c>
      <c r="B820" s="2" t="str">
        <f t="shared" si="24"/>
        <v>Wednesday</v>
      </c>
      <c r="C820" s="2" t="b">
        <f t="shared" si="25"/>
        <v>0</v>
      </c>
      <c r="D820">
        <v>2</v>
      </c>
      <c r="E820" t="s">
        <v>6</v>
      </c>
      <c r="F820">
        <v>177</v>
      </c>
      <c r="G820" s="3">
        <v>3183.23</v>
      </c>
      <c r="H820" s="3">
        <f>Miami_Retail[[#This Row],[sales_usd]] / Miami_Retail[[#This Row],[customers]]</f>
        <v>17.984350282485877</v>
      </c>
      <c r="I820">
        <v>62.5</v>
      </c>
      <c r="J820">
        <f>(Miami_Retail[[#This Row],[avg_temp_f]]-32) * (5/9)</f>
        <v>16.944444444444446</v>
      </c>
      <c r="K820">
        <v>0</v>
      </c>
      <c r="L820">
        <v>0</v>
      </c>
      <c r="M820">
        <v>39.200000000000003</v>
      </c>
      <c r="N820">
        <v>52.5</v>
      </c>
      <c r="O820">
        <v>47.5</v>
      </c>
      <c r="P820">
        <v>45.7</v>
      </c>
      <c r="Q820">
        <v>54.3</v>
      </c>
    </row>
    <row r="821" spans="1:17" x14ac:dyDescent="0.25">
      <c r="A821" s="2">
        <v>45015</v>
      </c>
      <c r="B821" s="2" t="str">
        <f t="shared" si="24"/>
        <v>Thursday</v>
      </c>
      <c r="C821" s="2" t="b">
        <f t="shared" si="25"/>
        <v>0</v>
      </c>
      <c r="D821">
        <v>2</v>
      </c>
      <c r="E821" t="s">
        <v>6</v>
      </c>
      <c r="F821">
        <v>223</v>
      </c>
      <c r="G821" s="3">
        <v>4019.88</v>
      </c>
      <c r="H821" s="3">
        <f>Miami_Retail[[#This Row],[sales_usd]] / Miami_Retail[[#This Row],[customers]]</f>
        <v>18.026367713004486</v>
      </c>
      <c r="I821">
        <v>70.3</v>
      </c>
      <c r="J821">
        <f>(Miami_Retail[[#This Row],[avg_temp_f]]-32) * (5/9)</f>
        <v>21.277777777777779</v>
      </c>
      <c r="K821">
        <v>0</v>
      </c>
      <c r="L821">
        <v>0</v>
      </c>
      <c r="M821">
        <v>40.5</v>
      </c>
      <c r="N821">
        <v>52.7</v>
      </c>
      <c r="O821">
        <v>47.3</v>
      </c>
      <c r="P821">
        <v>45.7</v>
      </c>
      <c r="Q821">
        <v>54.3</v>
      </c>
    </row>
    <row r="822" spans="1:17" x14ac:dyDescent="0.25">
      <c r="A822" s="2">
        <v>45016</v>
      </c>
      <c r="B822" s="2" t="str">
        <f t="shared" si="24"/>
        <v>Friday</v>
      </c>
      <c r="C822" s="2" t="b">
        <f t="shared" si="25"/>
        <v>0</v>
      </c>
      <c r="D822">
        <v>2</v>
      </c>
      <c r="E822" t="s">
        <v>6</v>
      </c>
      <c r="F822">
        <v>199</v>
      </c>
      <c r="G822" s="3">
        <v>3266.66</v>
      </c>
      <c r="H822" s="3">
        <f>Miami_Retail[[#This Row],[sales_usd]] / Miami_Retail[[#This Row],[customers]]</f>
        <v>16.415376884422109</v>
      </c>
      <c r="I822">
        <v>66.5</v>
      </c>
      <c r="J822">
        <f>(Miami_Retail[[#This Row],[avg_temp_f]]-32) * (5/9)</f>
        <v>19.166666666666668</v>
      </c>
      <c r="K822">
        <v>0</v>
      </c>
      <c r="L822">
        <v>0</v>
      </c>
      <c r="M822">
        <v>42.4</v>
      </c>
      <c r="N822">
        <v>51.8</v>
      </c>
      <c r="O822">
        <v>48.2</v>
      </c>
      <c r="P822">
        <v>47.2</v>
      </c>
      <c r="Q822">
        <v>52.8</v>
      </c>
    </row>
    <row r="823" spans="1:17" x14ac:dyDescent="0.25">
      <c r="A823" s="2">
        <v>45017</v>
      </c>
      <c r="B823" s="2" t="str">
        <f t="shared" si="24"/>
        <v>Saturday</v>
      </c>
      <c r="C823" s="2" t="b">
        <f t="shared" si="25"/>
        <v>1</v>
      </c>
      <c r="D823">
        <v>2</v>
      </c>
      <c r="E823" t="s">
        <v>6</v>
      </c>
      <c r="F823">
        <v>267</v>
      </c>
      <c r="G823" s="3">
        <v>4540.43</v>
      </c>
      <c r="H823" s="3">
        <f>Miami_Retail[[#This Row],[sales_usd]] / Miami_Retail[[#This Row],[customers]]</f>
        <v>17.005355805243447</v>
      </c>
      <c r="I823">
        <v>65.8</v>
      </c>
      <c r="J823">
        <f>(Miami_Retail[[#This Row],[avg_temp_f]]-32) * (5/9)</f>
        <v>18.777777777777779</v>
      </c>
      <c r="K823">
        <v>0</v>
      </c>
      <c r="L823">
        <v>0</v>
      </c>
      <c r="M823">
        <v>37</v>
      </c>
      <c r="N823">
        <v>50.9</v>
      </c>
      <c r="O823">
        <v>49.1</v>
      </c>
      <c r="P823">
        <v>53.4</v>
      </c>
      <c r="Q823">
        <v>46.6</v>
      </c>
    </row>
    <row r="824" spans="1:17" x14ac:dyDescent="0.25">
      <c r="A824" s="2">
        <v>45018</v>
      </c>
      <c r="B824" s="2" t="str">
        <f t="shared" si="24"/>
        <v>Sunday</v>
      </c>
      <c r="C824" s="2" t="b">
        <f t="shared" si="25"/>
        <v>1</v>
      </c>
      <c r="D824">
        <v>2</v>
      </c>
      <c r="E824" t="s">
        <v>6</v>
      </c>
      <c r="F824">
        <v>274</v>
      </c>
      <c r="G824" s="3">
        <v>4751.9399999999996</v>
      </c>
      <c r="H824" s="3">
        <f>Miami_Retail[[#This Row],[sales_usd]] / Miami_Retail[[#This Row],[customers]]</f>
        <v>17.342846715328466</v>
      </c>
      <c r="I824">
        <v>67.099999999999994</v>
      </c>
      <c r="J824">
        <f>(Miami_Retail[[#This Row],[avg_temp_f]]-32) * (5/9)</f>
        <v>19.499999999999996</v>
      </c>
      <c r="K824">
        <v>0</v>
      </c>
      <c r="L824">
        <v>0</v>
      </c>
      <c r="M824">
        <v>35</v>
      </c>
      <c r="N824">
        <v>51.6</v>
      </c>
      <c r="O824">
        <v>48.4</v>
      </c>
      <c r="P824">
        <v>52.3</v>
      </c>
      <c r="Q824">
        <v>47.7</v>
      </c>
    </row>
    <row r="825" spans="1:17" x14ac:dyDescent="0.25">
      <c r="A825" s="2">
        <v>45019</v>
      </c>
      <c r="B825" s="2" t="str">
        <f t="shared" si="24"/>
        <v>Monday</v>
      </c>
      <c r="C825" s="2" t="b">
        <f t="shared" si="25"/>
        <v>0</v>
      </c>
      <c r="D825">
        <v>2</v>
      </c>
      <c r="E825" t="s">
        <v>6</v>
      </c>
      <c r="F825">
        <v>198</v>
      </c>
      <c r="G825" s="3">
        <v>3463.05</v>
      </c>
      <c r="H825" s="3">
        <f>Miami_Retail[[#This Row],[sales_usd]] / Miami_Retail[[#This Row],[customers]]</f>
        <v>17.490151515151517</v>
      </c>
      <c r="I825">
        <v>70.5</v>
      </c>
      <c r="J825">
        <f>(Miami_Retail[[#This Row],[avg_temp_f]]-32) * (5/9)</f>
        <v>21.388888888888889</v>
      </c>
      <c r="K825">
        <v>0</v>
      </c>
      <c r="L825">
        <v>0</v>
      </c>
      <c r="M825">
        <v>44</v>
      </c>
      <c r="N825">
        <v>53.3</v>
      </c>
      <c r="O825">
        <v>46.7</v>
      </c>
      <c r="P825">
        <v>46.2</v>
      </c>
      <c r="Q825">
        <v>53.8</v>
      </c>
    </row>
    <row r="826" spans="1:17" x14ac:dyDescent="0.25">
      <c r="A826" s="2">
        <v>45020</v>
      </c>
      <c r="B826" s="2" t="str">
        <f t="shared" si="24"/>
        <v>Tuesday</v>
      </c>
      <c r="C826" s="2" t="b">
        <f t="shared" si="25"/>
        <v>0</v>
      </c>
      <c r="D826">
        <v>2</v>
      </c>
      <c r="E826" t="s">
        <v>6</v>
      </c>
      <c r="F826">
        <v>208</v>
      </c>
      <c r="G826" s="3">
        <v>3805.38</v>
      </c>
      <c r="H826" s="3">
        <f>Miami_Retail[[#This Row],[sales_usd]] / Miami_Retail[[#This Row],[customers]]</f>
        <v>18.295096153846153</v>
      </c>
      <c r="I826">
        <v>68</v>
      </c>
      <c r="J826">
        <f>(Miami_Retail[[#This Row],[avg_temp_f]]-32) * (5/9)</f>
        <v>20</v>
      </c>
      <c r="K826">
        <v>0.17</v>
      </c>
      <c r="L826">
        <v>1</v>
      </c>
      <c r="M826">
        <v>38.1</v>
      </c>
      <c r="N826">
        <v>50.9</v>
      </c>
      <c r="O826">
        <v>49.1</v>
      </c>
      <c r="P826">
        <v>46.7</v>
      </c>
      <c r="Q826">
        <v>53.3</v>
      </c>
    </row>
    <row r="827" spans="1:17" x14ac:dyDescent="0.25">
      <c r="A827" s="2">
        <v>45021</v>
      </c>
      <c r="B827" s="2" t="str">
        <f t="shared" si="24"/>
        <v>Wednesday</v>
      </c>
      <c r="C827" s="2" t="b">
        <f t="shared" si="25"/>
        <v>0</v>
      </c>
      <c r="D827">
        <v>2</v>
      </c>
      <c r="E827" t="s">
        <v>6</v>
      </c>
      <c r="F827">
        <v>221</v>
      </c>
      <c r="G827" s="3">
        <v>3572.72</v>
      </c>
      <c r="H827" s="3">
        <f>Miami_Retail[[#This Row],[sales_usd]] / Miami_Retail[[#This Row],[customers]]</f>
        <v>16.166153846153847</v>
      </c>
      <c r="I827">
        <v>62.9</v>
      </c>
      <c r="J827">
        <f>(Miami_Retail[[#This Row],[avg_temp_f]]-32) * (5/9)</f>
        <v>17.166666666666668</v>
      </c>
      <c r="K827">
        <v>0</v>
      </c>
      <c r="L827">
        <v>0</v>
      </c>
      <c r="M827">
        <v>45.5</v>
      </c>
      <c r="N827">
        <v>53.3</v>
      </c>
      <c r="O827">
        <v>46.7</v>
      </c>
      <c r="P827">
        <v>47.7</v>
      </c>
      <c r="Q827">
        <v>52.3</v>
      </c>
    </row>
    <row r="828" spans="1:17" x14ac:dyDescent="0.25">
      <c r="A828" s="2">
        <v>45022</v>
      </c>
      <c r="B828" s="2" t="str">
        <f t="shared" si="24"/>
        <v>Thursday</v>
      </c>
      <c r="C828" s="2" t="b">
        <f t="shared" si="25"/>
        <v>0</v>
      </c>
      <c r="D828">
        <v>2</v>
      </c>
      <c r="E828" t="s">
        <v>6</v>
      </c>
      <c r="F828">
        <v>191</v>
      </c>
      <c r="G828" s="3">
        <v>3367.21</v>
      </c>
      <c r="H828" s="3">
        <f>Miami_Retail[[#This Row],[sales_usd]] / Miami_Retail[[#This Row],[customers]]</f>
        <v>17.629371727748691</v>
      </c>
      <c r="I828">
        <v>62.9</v>
      </c>
      <c r="J828">
        <f>(Miami_Retail[[#This Row],[avg_temp_f]]-32) * (5/9)</f>
        <v>17.166666666666668</v>
      </c>
      <c r="K828">
        <v>0</v>
      </c>
      <c r="L828">
        <v>0</v>
      </c>
      <c r="M828">
        <v>36.9</v>
      </c>
      <c r="N828">
        <v>51.2</v>
      </c>
      <c r="O828">
        <v>48.8</v>
      </c>
      <c r="P828">
        <v>47.4</v>
      </c>
      <c r="Q828">
        <v>52.6</v>
      </c>
    </row>
    <row r="829" spans="1:17" x14ac:dyDescent="0.25">
      <c r="A829" s="2">
        <v>45023</v>
      </c>
      <c r="B829" s="2" t="str">
        <f t="shared" si="24"/>
        <v>Friday</v>
      </c>
      <c r="C829" s="2" t="b">
        <f t="shared" si="25"/>
        <v>0</v>
      </c>
      <c r="D829">
        <v>2</v>
      </c>
      <c r="E829" t="s">
        <v>6</v>
      </c>
      <c r="F829">
        <v>217</v>
      </c>
      <c r="G829" s="3">
        <v>3476.89</v>
      </c>
      <c r="H829" s="3">
        <f>Miami_Retail[[#This Row],[sales_usd]] / Miami_Retail[[#This Row],[customers]]</f>
        <v>16.02253456221198</v>
      </c>
      <c r="I829">
        <v>65.3</v>
      </c>
      <c r="J829">
        <f>(Miami_Retail[[#This Row],[avg_temp_f]]-32) * (5/9)</f>
        <v>18.5</v>
      </c>
      <c r="K829">
        <v>0</v>
      </c>
      <c r="L829">
        <v>0</v>
      </c>
      <c r="M829">
        <v>35.4</v>
      </c>
      <c r="N829">
        <v>51.6</v>
      </c>
      <c r="O829">
        <v>48.4</v>
      </c>
      <c r="P829">
        <v>48.5</v>
      </c>
      <c r="Q829">
        <v>51.5</v>
      </c>
    </row>
    <row r="830" spans="1:17" x14ac:dyDescent="0.25">
      <c r="A830" s="2">
        <v>45024</v>
      </c>
      <c r="B830" s="2" t="str">
        <f t="shared" si="24"/>
        <v>Saturday</v>
      </c>
      <c r="C830" s="2" t="b">
        <f t="shared" si="25"/>
        <v>1</v>
      </c>
      <c r="D830">
        <v>2</v>
      </c>
      <c r="E830" t="s">
        <v>6</v>
      </c>
      <c r="F830">
        <v>242</v>
      </c>
      <c r="G830" s="3">
        <v>4044.95</v>
      </c>
      <c r="H830" s="3">
        <f>Miami_Retail[[#This Row],[sales_usd]] / Miami_Retail[[#This Row],[customers]]</f>
        <v>16.714669421487603</v>
      </c>
      <c r="I830">
        <v>61.2</v>
      </c>
      <c r="J830">
        <f>(Miami_Retail[[#This Row],[avg_temp_f]]-32) * (5/9)</f>
        <v>16.222222222222225</v>
      </c>
      <c r="K830">
        <v>0</v>
      </c>
      <c r="L830">
        <v>0</v>
      </c>
      <c r="M830">
        <v>38.4</v>
      </c>
      <c r="N830">
        <v>50.8</v>
      </c>
      <c r="O830">
        <v>49.2</v>
      </c>
      <c r="P830">
        <v>54</v>
      </c>
      <c r="Q830">
        <v>46</v>
      </c>
    </row>
    <row r="831" spans="1:17" x14ac:dyDescent="0.25">
      <c r="A831" s="2">
        <v>45025</v>
      </c>
      <c r="B831" s="2" t="str">
        <f t="shared" si="24"/>
        <v>Sunday</v>
      </c>
      <c r="C831" s="2" t="b">
        <f t="shared" si="25"/>
        <v>1</v>
      </c>
      <c r="D831">
        <v>2</v>
      </c>
      <c r="E831" t="s">
        <v>6</v>
      </c>
      <c r="F831">
        <v>224</v>
      </c>
      <c r="G831" s="3">
        <v>3948.92</v>
      </c>
      <c r="H831" s="3">
        <f>Miami_Retail[[#This Row],[sales_usd]] / Miami_Retail[[#This Row],[customers]]</f>
        <v>17.629107142857144</v>
      </c>
      <c r="I831">
        <v>64.900000000000006</v>
      </c>
      <c r="J831">
        <f>(Miami_Retail[[#This Row],[avg_temp_f]]-32) * (5/9)</f>
        <v>18.277777777777782</v>
      </c>
      <c r="K831">
        <v>0</v>
      </c>
      <c r="L831">
        <v>0</v>
      </c>
      <c r="M831">
        <v>48</v>
      </c>
      <c r="N831">
        <v>52.5</v>
      </c>
      <c r="O831">
        <v>47.5</v>
      </c>
      <c r="P831">
        <v>52.6</v>
      </c>
      <c r="Q831">
        <v>47.4</v>
      </c>
    </row>
    <row r="832" spans="1:17" x14ac:dyDescent="0.25">
      <c r="A832" s="2">
        <v>45026</v>
      </c>
      <c r="B832" s="2" t="str">
        <f t="shared" si="24"/>
        <v>Monday</v>
      </c>
      <c r="C832" s="2" t="b">
        <f t="shared" si="25"/>
        <v>0</v>
      </c>
      <c r="D832">
        <v>2</v>
      </c>
      <c r="E832" t="s">
        <v>6</v>
      </c>
      <c r="F832">
        <v>199</v>
      </c>
      <c r="G832" s="3">
        <v>3352.44</v>
      </c>
      <c r="H832" s="3">
        <f>Miami_Retail[[#This Row],[sales_usd]] / Miami_Retail[[#This Row],[customers]]</f>
        <v>16.846432160804021</v>
      </c>
      <c r="I832">
        <v>63.2</v>
      </c>
      <c r="J832">
        <f>(Miami_Retail[[#This Row],[avg_temp_f]]-32) * (5/9)</f>
        <v>17.333333333333336</v>
      </c>
      <c r="K832">
        <v>0</v>
      </c>
      <c r="L832">
        <v>0</v>
      </c>
      <c r="M832">
        <v>35</v>
      </c>
      <c r="N832">
        <v>52.4</v>
      </c>
      <c r="O832">
        <v>47.6</v>
      </c>
      <c r="P832">
        <v>49.3</v>
      </c>
      <c r="Q832">
        <v>50.7</v>
      </c>
    </row>
    <row r="833" spans="1:17" x14ac:dyDescent="0.25">
      <c r="A833" s="2">
        <v>45027</v>
      </c>
      <c r="B833" s="2" t="str">
        <f t="shared" si="24"/>
        <v>Tuesday</v>
      </c>
      <c r="C833" s="2" t="b">
        <f t="shared" si="25"/>
        <v>0</v>
      </c>
      <c r="D833">
        <v>2</v>
      </c>
      <c r="E833" t="s">
        <v>6</v>
      </c>
      <c r="F833">
        <v>187</v>
      </c>
      <c r="G833" s="3">
        <v>3204.84</v>
      </c>
      <c r="H833" s="3">
        <f>Miami_Retail[[#This Row],[sales_usd]] / Miami_Retail[[#This Row],[customers]]</f>
        <v>17.13818181818182</v>
      </c>
      <c r="I833">
        <v>64.3</v>
      </c>
      <c r="J833">
        <f>(Miami_Retail[[#This Row],[avg_temp_f]]-32) * (5/9)</f>
        <v>17.944444444444443</v>
      </c>
      <c r="K833">
        <v>0</v>
      </c>
      <c r="L833">
        <v>0</v>
      </c>
      <c r="M833">
        <v>41.6</v>
      </c>
      <c r="N833">
        <v>52.8</v>
      </c>
      <c r="O833">
        <v>47.2</v>
      </c>
      <c r="P833">
        <v>47.2</v>
      </c>
      <c r="Q833">
        <v>52.8</v>
      </c>
    </row>
    <row r="834" spans="1:17" x14ac:dyDescent="0.25">
      <c r="A834" s="2">
        <v>45028</v>
      </c>
      <c r="B834" s="2" t="str">
        <f t="shared" ref="B834:B897" si="26">TEXT(A834, "dddd")</f>
        <v>Wednesday</v>
      </c>
      <c r="C834" s="2" t="b">
        <f t="shared" ref="C834:C897" si="27">IF(WEEKDAY(A834,2)&gt;5,TRUE,FALSE)</f>
        <v>0</v>
      </c>
      <c r="D834">
        <v>2</v>
      </c>
      <c r="E834" t="s">
        <v>6</v>
      </c>
      <c r="F834">
        <v>197</v>
      </c>
      <c r="G834" s="3">
        <v>3417.13</v>
      </c>
      <c r="H834" s="3">
        <f>Miami_Retail[[#This Row],[sales_usd]] / Miami_Retail[[#This Row],[customers]]</f>
        <v>17.345837563451777</v>
      </c>
      <c r="I834">
        <v>71.099999999999994</v>
      </c>
      <c r="J834">
        <f>(Miami_Retail[[#This Row],[avg_temp_f]]-32) * (5/9)</f>
        <v>21.722222222222221</v>
      </c>
      <c r="K834">
        <v>0</v>
      </c>
      <c r="L834">
        <v>0</v>
      </c>
      <c r="M834">
        <v>35</v>
      </c>
      <c r="N834">
        <v>51.3</v>
      </c>
      <c r="O834">
        <v>48.7</v>
      </c>
      <c r="P834">
        <v>48.3</v>
      </c>
      <c r="Q834">
        <v>51.7</v>
      </c>
    </row>
    <row r="835" spans="1:17" x14ac:dyDescent="0.25">
      <c r="A835" s="2">
        <v>45029</v>
      </c>
      <c r="B835" s="2" t="str">
        <f t="shared" si="26"/>
        <v>Thursday</v>
      </c>
      <c r="C835" s="2" t="b">
        <f t="shared" si="27"/>
        <v>0</v>
      </c>
      <c r="D835">
        <v>2</v>
      </c>
      <c r="E835" t="s">
        <v>6</v>
      </c>
      <c r="F835">
        <v>188</v>
      </c>
      <c r="G835" s="3">
        <v>3221.73</v>
      </c>
      <c r="H835" s="3">
        <f>Miami_Retail[[#This Row],[sales_usd]] / Miami_Retail[[#This Row],[customers]]</f>
        <v>17.136861702127661</v>
      </c>
      <c r="I835">
        <v>73.5</v>
      </c>
      <c r="J835">
        <f>(Miami_Retail[[#This Row],[avg_temp_f]]-32) * (5/9)</f>
        <v>23.055555555555557</v>
      </c>
      <c r="K835">
        <v>0</v>
      </c>
      <c r="L835">
        <v>0</v>
      </c>
      <c r="M835">
        <v>42.1</v>
      </c>
      <c r="N835">
        <v>52.7</v>
      </c>
      <c r="O835">
        <v>47.3</v>
      </c>
      <c r="P835">
        <v>46.8</v>
      </c>
      <c r="Q835">
        <v>53.2</v>
      </c>
    </row>
    <row r="836" spans="1:17" x14ac:dyDescent="0.25">
      <c r="A836" s="2">
        <v>45030</v>
      </c>
      <c r="B836" s="2" t="str">
        <f t="shared" si="26"/>
        <v>Friday</v>
      </c>
      <c r="C836" s="2" t="b">
        <f t="shared" si="27"/>
        <v>0</v>
      </c>
      <c r="D836">
        <v>2</v>
      </c>
      <c r="E836" t="s">
        <v>6</v>
      </c>
      <c r="F836">
        <v>131</v>
      </c>
      <c r="G836" s="3">
        <v>2205.1999999999998</v>
      </c>
      <c r="H836" s="3">
        <f>Miami_Retail[[#This Row],[sales_usd]] / Miami_Retail[[#This Row],[customers]]</f>
        <v>16.833587786259539</v>
      </c>
      <c r="I836">
        <v>65</v>
      </c>
      <c r="J836">
        <f>(Miami_Retail[[#This Row],[avg_temp_f]]-32) * (5/9)</f>
        <v>18.333333333333336</v>
      </c>
      <c r="K836">
        <v>3.1</v>
      </c>
      <c r="L836">
        <v>1</v>
      </c>
      <c r="M836">
        <v>48.6</v>
      </c>
      <c r="N836">
        <v>53.1</v>
      </c>
      <c r="O836">
        <v>46.9</v>
      </c>
      <c r="P836">
        <v>48.3</v>
      </c>
      <c r="Q836">
        <v>51.7</v>
      </c>
    </row>
    <row r="837" spans="1:17" x14ac:dyDescent="0.25">
      <c r="A837" s="2">
        <v>45031</v>
      </c>
      <c r="B837" s="2" t="str">
        <f t="shared" si="26"/>
        <v>Saturday</v>
      </c>
      <c r="C837" s="2" t="b">
        <f t="shared" si="27"/>
        <v>1</v>
      </c>
      <c r="D837">
        <v>2</v>
      </c>
      <c r="E837" t="s">
        <v>6</v>
      </c>
      <c r="F837">
        <v>214</v>
      </c>
      <c r="G837" s="3">
        <v>3657.83</v>
      </c>
      <c r="H837" s="3">
        <f>Miami_Retail[[#This Row],[sales_usd]] / Miami_Retail[[#This Row],[customers]]</f>
        <v>17.09266355140187</v>
      </c>
      <c r="I837">
        <v>69.599999999999994</v>
      </c>
      <c r="J837">
        <f>(Miami_Retail[[#This Row],[avg_temp_f]]-32) * (5/9)</f>
        <v>20.888888888888886</v>
      </c>
      <c r="K837">
        <v>1.46</v>
      </c>
      <c r="L837">
        <v>1</v>
      </c>
      <c r="M837">
        <v>37.200000000000003</v>
      </c>
      <c r="N837">
        <v>50.9</v>
      </c>
      <c r="O837">
        <v>49.1</v>
      </c>
      <c r="P837">
        <v>53.4</v>
      </c>
      <c r="Q837">
        <v>46.6</v>
      </c>
    </row>
    <row r="838" spans="1:17" x14ac:dyDescent="0.25">
      <c r="A838" s="2">
        <v>45032</v>
      </c>
      <c r="B838" s="2" t="str">
        <f t="shared" si="26"/>
        <v>Sunday</v>
      </c>
      <c r="C838" s="2" t="b">
        <f t="shared" si="27"/>
        <v>1</v>
      </c>
      <c r="D838">
        <v>2</v>
      </c>
      <c r="E838" t="s">
        <v>6</v>
      </c>
      <c r="F838">
        <v>232</v>
      </c>
      <c r="G838" s="3">
        <v>4099.46</v>
      </c>
      <c r="H838" s="3">
        <f>Miami_Retail[[#This Row],[sales_usd]] / Miami_Retail[[#This Row],[customers]]</f>
        <v>17.670086206896553</v>
      </c>
      <c r="I838">
        <v>61</v>
      </c>
      <c r="J838">
        <f>(Miami_Retail[[#This Row],[avg_temp_f]]-32) * (5/9)</f>
        <v>16.111111111111111</v>
      </c>
      <c r="K838">
        <v>0</v>
      </c>
      <c r="L838">
        <v>0</v>
      </c>
      <c r="M838">
        <v>39</v>
      </c>
      <c r="N838">
        <v>51.3</v>
      </c>
      <c r="O838">
        <v>48.7</v>
      </c>
      <c r="P838">
        <v>53.1</v>
      </c>
      <c r="Q838">
        <v>46.9</v>
      </c>
    </row>
    <row r="839" spans="1:17" x14ac:dyDescent="0.25">
      <c r="A839" s="2">
        <v>45033</v>
      </c>
      <c r="B839" s="2" t="str">
        <f t="shared" si="26"/>
        <v>Monday</v>
      </c>
      <c r="C839" s="2" t="b">
        <f t="shared" si="27"/>
        <v>0</v>
      </c>
      <c r="D839">
        <v>2</v>
      </c>
      <c r="E839" t="s">
        <v>6</v>
      </c>
      <c r="F839">
        <v>207</v>
      </c>
      <c r="G839" s="3">
        <v>3676.18</v>
      </c>
      <c r="H839" s="3">
        <f>Miami_Retail[[#This Row],[sales_usd]] / Miami_Retail[[#This Row],[customers]]</f>
        <v>17.759323671497583</v>
      </c>
      <c r="I839">
        <v>64.599999999999994</v>
      </c>
      <c r="J839">
        <f>(Miami_Retail[[#This Row],[avg_temp_f]]-32) * (5/9)</f>
        <v>18.111111111111107</v>
      </c>
      <c r="K839">
        <v>0</v>
      </c>
      <c r="L839">
        <v>0</v>
      </c>
      <c r="M839">
        <v>46.1</v>
      </c>
      <c r="N839">
        <v>51.7</v>
      </c>
      <c r="O839">
        <v>48.3</v>
      </c>
      <c r="P839">
        <v>46.6</v>
      </c>
      <c r="Q839">
        <v>53.4</v>
      </c>
    </row>
    <row r="840" spans="1:17" x14ac:dyDescent="0.25">
      <c r="A840" s="2">
        <v>45034</v>
      </c>
      <c r="B840" s="2" t="str">
        <f t="shared" si="26"/>
        <v>Tuesday</v>
      </c>
      <c r="C840" s="2" t="b">
        <f t="shared" si="27"/>
        <v>0</v>
      </c>
      <c r="D840">
        <v>2</v>
      </c>
      <c r="E840" t="s">
        <v>6</v>
      </c>
      <c r="F840">
        <v>195</v>
      </c>
      <c r="G840" s="3">
        <v>3233.41</v>
      </c>
      <c r="H840" s="3">
        <f>Miami_Retail[[#This Row],[sales_usd]] / Miami_Retail[[#This Row],[customers]]</f>
        <v>16.581589743589742</v>
      </c>
      <c r="I840">
        <v>70.099999999999994</v>
      </c>
      <c r="J840">
        <f>(Miami_Retail[[#This Row],[avg_temp_f]]-32) * (5/9)</f>
        <v>21.166666666666664</v>
      </c>
      <c r="K840">
        <v>0</v>
      </c>
      <c r="L840">
        <v>0</v>
      </c>
      <c r="M840">
        <v>37</v>
      </c>
      <c r="N840">
        <v>52.9</v>
      </c>
      <c r="O840">
        <v>47.1</v>
      </c>
      <c r="P840">
        <v>45.8</v>
      </c>
      <c r="Q840">
        <v>54.2</v>
      </c>
    </row>
    <row r="841" spans="1:17" x14ac:dyDescent="0.25">
      <c r="A841" s="2">
        <v>45035</v>
      </c>
      <c r="B841" s="2" t="str">
        <f t="shared" si="26"/>
        <v>Wednesday</v>
      </c>
      <c r="C841" s="2" t="b">
        <f t="shared" si="27"/>
        <v>0</v>
      </c>
      <c r="D841">
        <v>2</v>
      </c>
      <c r="E841" t="s">
        <v>6</v>
      </c>
      <c r="F841">
        <v>195</v>
      </c>
      <c r="G841" s="3">
        <v>3189.98</v>
      </c>
      <c r="H841" s="3">
        <f>Miami_Retail[[#This Row],[sales_usd]] / Miami_Retail[[#This Row],[customers]]</f>
        <v>16.358871794871796</v>
      </c>
      <c r="I841">
        <v>67.2</v>
      </c>
      <c r="J841">
        <f>(Miami_Retail[[#This Row],[avg_temp_f]]-32) * (5/9)</f>
        <v>19.555555555555557</v>
      </c>
      <c r="K841">
        <v>0</v>
      </c>
      <c r="L841">
        <v>0</v>
      </c>
      <c r="M841">
        <v>41.2</v>
      </c>
      <c r="N841">
        <v>51.5</v>
      </c>
      <c r="O841">
        <v>48.5</v>
      </c>
      <c r="P841">
        <v>47.2</v>
      </c>
      <c r="Q841">
        <v>52.8</v>
      </c>
    </row>
    <row r="842" spans="1:17" x14ac:dyDescent="0.25">
      <c r="A842" s="2">
        <v>45036</v>
      </c>
      <c r="B842" s="2" t="str">
        <f t="shared" si="26"/>
        <v>Thursday</v>
      </c>
      <c r="C842" s="2" t="b">
        <f t="shared" si="27"/>
        <v>0</v>
      </c>
      <c r="D842">
        <v>2</v>
      </c>
      <c r="E842" t="s">
        <v>6</v>
      </c>
      <c r="F842">
        <v>195</v>
      </c>
      <c r="G842" s="3">
        <v>3239.74</v>
      </c>
      <c r="H842" s="3">
        <f>Miami_Retail[[#This Row],[sales_usd]] / Miami_Retail[[#This Row],[customers]]</f>
        <v>16.614051282051282</v>
      </c>
      <c r="I842">
        <v>70.400000000000006</v>
      </c>
      <c r="J842">
        <f>(Miami_Retail[[#This Row],[avg_temp_f]]-32) * (5/9)</f>
        <v>21.333333333333336</v>
      </c>
      <c r="K842">
        <v>0.35</v>
      </c>
      <c r="L842">
        <v>1</v>
      </c>
      <c r="M842">
        <v>35.5</v>
      </c>
      <c r="N842">
        <v>50.2</v>
      </c>
      <c r="O842">
        <v>49.8</v>
      </c>
      <c r="P842">
        <v>48.7</v>
      </c>
      <c r="Q842">
        <v>51.3</v>
      </c>
    </row>
    <row r="843" spans="1:17" x14ac:dyDescent="0.25">
      <c r="A843" s="2">
        <v>45037</v>
      </c>
      <c r="B843" s="2" t="str">
        <f t="shared" si="26"/>
        <v>Friday</v>
      </c>
      <c r="C843" s="2" t="b">
        <f t="shared" si="27"/>
        <v>0</v>
      </c>
      <c r="D843">
        <v>2</v>
      </c>
      <c r="E843" t="s">
        <v>6</v>
      </c>
      <c r="F843">
        <v>220</v>
      </c>
      <c r="G843" s="3">
        <v>3816.58</v>
      </c>
      <c r="H843" s="3">
        <f>Miami_Retail[[#This Row],[sales_usd]] / Miami_Retail[[#This Row],[customers]]</f>
        <v>17.34809090909091</v>
      </c>
      <c r="I843">
        <v>71.900000000000006</v>
      </c>
      <c r="J843">
        <f>(Miami_Retail[[#This Row],[avg_temp_f]]-32) * (5/9)</f>
        <v>22.166666666666671</v>
      </c>
      <c r="K843">
        <v>0</v>
      </c>
      <c r="L843">
        <v>0</v>
      </c>
      <c r="M843">
        <v>37.5</v>
      </c>
      <c r="N843">
        <v>52.1</v>
      </c>
      <c r="O843">
        <v>47.9</v>
      </c>
      <c r="P843">
        <v>48.6</v>
      </c>
      <c r="Q843">
        <v>51.4</v>
      </c>
    </row>
    <row r="844" spans="1:17" x14ac:dyDescent="0.25">
      <c r="A844" s="2">
        <v>45038</v>
      </c>
      <c r="B844" s="2" t="str">
        <f t="shared" si="26"/>
        <v>Saturday</v>
      </c>
      <c r="C844" s="2" t="b">
        <f t="shared" si="27"/>
        <v>1</v>
      </c>
      <c r="D844">
        <v>2</v>
      </c>
      <c r="E844" t="s">
        <v>6</v>
      </c>
      <c r="F844">
        <v>257</v>
      </c>
      <c r="G844" s="3">
        <v>4708.8500000000004</v>
      </c>
      <c r="H844" s="3">
        <f>Miami_Retail[[#This Row],[sales_usd]] / Miami_Retail[[#This Row],[customers]]</f>
        <v>18.322373540856031</v>
      </c>
      <c r="I844">
        <v>66.400000000000006</v>
      </c>
      <c r="J844">
        <f>(Miami_Retail[[#This Row],[avg_temp_f]]-32) * (5/9)</f>
        <v>19.111111111111114</v>
      </c>
      <c r="K844">
        <v>0</v>
      </c>
      <c r="L844">
        <v>0</v>
      </c>
      <c r="M844">
        <v>35</v>
      </c>
      <c r="N844">
        <v>53.1</v>
      </c>
      <c r="O844">
        <v>46.9</v>
      </c>
      <c r="P844">
        <v>54.9</v>
      </c>
      <c r="Q844">
        <v>45.1</v>
      </c>
    </row>
    <row r="845" spans="1:17" x14ac:dyDescent="0.25">
      <c r="A845" s="2">
        <v>45039</v>
      </c>
      <c r="B845" s="2" t="str">
        <f t="shared" si="26"/>
        <v>Sunday</v>
      </c>
      <c r="C845" s="2" t="b">
        <f t="shared" si="27"/>
        <v>1</v>
      </c>
      <c r="D845">
        <v>2</v>
      </c>
      <c r="E845" t="s">
        <v>6</v>
      </c>
      <c r="F845">
        <v>231</v>
      </c>
      <c r="G845" s="3">
        <v>3522.98</v>
      </c>
      <c r="H845" s="3">
        <f>Miami_Retail[[#This Row],[sales_usd]] / Miami_Retail[[#This Row],[customers]]</f>
        <v>15.250995670995671</v>
      </c>
      <c r="I845">
        <v>71.099999999999994</v>
      </c>
      <c r="J845">
        <f>(Miami_Retail[[#This Row],[avg_temp_f]]-32) * (5/9)</f>
        <v>21.722222222222221</v>
      </c>
      <c r="K845">
        <v>0</v>
      </c>
      <c r="L845">
        <v>0</v>
      </c>
      <c r="M845">
        <v>35</v>
      </c>
      <c r="N845">
        <v>51.3</v>
      </c>
      <c r="O845">
        <v>48.7</v>
      </c>
      <c r="P845">
        <v>53.2</v>
      </c>
      <c r="Q845">
        <v>46.8</v>
      </c>
    </row>
    <row r="846" spans="1:17" x14ac:dyDescent="0.25">
      <c r="A846" s="2">
        <v>45040</v>
      </c>
      <c r="B846" s="2" t="str">
        <f t="shared" si="26"/>
        <v>Monday</v>
      </c>
      <c r="C846" s="2" t="b">
        <f t="shared" si="27"/>
        <v>0</v>
      </c>
      <c r="D846">
        <v>2</v>
      </c>
      <c r="E846" t="s">
        <v>6</v>
      </c>
      <c r="F846">
        <v>192</v>
      </c>
      <c r="G846" s="3">
        <v>3220.86</v>
      </c>
      <c r="H846" s="3">
        <f>Miami_Retail[[#This Row],[sales_usd]] / Miami_Retail[[#This Row],[customers]]</f>
        <v>16.775312500000002</v>
      </c>
      <c r="I846">
        <v>68.599999999999994</v>
      </c>
      <c r="J846">
        <f>(Miami_Retail[[#This Row],[avg_temp_f]]-32) * (5/9)</f>
        <v>20.333333333333332</v>
      </c>
      <c r="K846">
        <v>0</v>
      </c>
      <c r="L846">
        <v>0</v>
      </c>
      <c r="M846">
        <v>41.2</v>
      </c>
      <c r="N846">
        <v>50.8</v>
      </c>
      <c r="O846">
        <v>49.2</v>
      </c>
      <c r="P846">
        <v>49.2</v>
      </c>
      <c r="Q846">
        <v>50.8</v>
      </c>
    </row>
    <row r="847" spans="1:17" x14ac:dyDescent="0.25">
      <c r="A847" s="2">
        <v>45041</v>
      </c>
      <c r="B847" s="2" t="str">
        <f t="shared" si="26"/>
        <v>Tuesday</v>
      </c>
      <c r="C847" s="2" t="b">
        <f t="shared" si="27"/>
        <v>0</v>
      </c>
      <c r="D847">
        <v>2</v>
      </c>
      <c r="E847" t="s">
        <v>6</v>
      </c>
      <c r="F847">
        <v>163</v>
      </c>
      <c r="G847" s="3">
        <v>2917.36</v>
      </c>
      <c r="H847" s="3">
        <f>Miami_Retail[[#This Row],[sales_usd]] / Miami_Retail[[#This Row],[customers]]</f>
        <v>17.897914110429447</v>
      </c>
      <c r="I847">
        <v>70.5</v>
      </c>
      <c r="J847">
        <f>(Miami_Retail[[#This Row],[avg_temp_f]]-32) * (5/9)</f>
        <v>21.388888888888889</v>
      </c>
      <c r="K847">
        <v>1.79</v>
      </c>
      <c r="L847">
        <v>1</v>
      </c>
      <c r="M847">
        <v>46.2</v>
      </c>
      <c r="N847">
        <v>50.6</v>
      </c>
      <c r="O847">
        <v>49.4</v>
      </c>
      <c r="P847">
        <v>47.3</v>
      </c>
      <c r="Q847">
        <v>52.7</v>
      </c>
    </row>
    <row r="848" spans="1:17" x14ac:dyDescent="0.25">
      <c r="A848" s="2">
        <v>45042</v>
      </c>
      <c r="B848" s="2" t="str">
        <f t="shared" si="26"/>
        <v>Wednesday</v>
      </c>
      <c r="C848" s="2" t="b">
        <f t="shared" si="27"/>
        <v>0</v>
      </c>
      <c r="D848">
        <v>2</v>
      </c>
      <c r="E848" t="s">
        <v>6</v>
      </c>
      <c r="F848">
        <v>192</v>
      </c>
      <c r="G848" s="3">
        <v>3647.06</v>
      </c>
      <c r="H848" s="3">
        <f>Miami_Retail[[#This Row],[sales_usd]] / Miami_Retail[[#This Row],[customers]]</f>
        <v>18.995104166666668</v>
      </c>
      <c r="I848">
        <v>63.6</v>
      </c>
      <c r="J848">
        <f>(Miami_Retail[[#This Row],[avg_temp_f]]-32) * (5/9)</f>
        <v>17.555555555555557</v>
      </c>
      <c r="K848">
        <v>0</v>
      </c>
      <c r="L848">
        <v>0</v>
      </c>
      <c r="M848">
        <v>38.4</v>
      </c>
      <c r="N848">
        <v>51.6</v>
      </c>
      <c r="O848">
        <v>48.4</v>
      </c>
      <c r="P848">
        <v>47.8</v>
      </c>
      <c r="Q848">
        <v>52.2</v>
      </c>
    </row>
    <row r="849" spans="1:17" x14ac:dyDescent="0.25">
      <c r="A849" s="2">
        <v>45043</v>
      </c>
      <c r="B849" s="2" t="str">
        <f t="shared" si="26"/>
        <v>Thursday</v>
      </c>
      <c r="C849" s="2" t="b">
        <f t="shared" si="27"/>
        <v>0</v>
      </c>
      <c r="D849">
        <v>2</v>
      </c>
      <c r="E849" t="s">
        <v>6</v>
      </c>
      <c r="F849">
        <v>237</v>
      </c>
      <c r="G849" s="3">
        <v>3953.75</v>
      </c>
      <c r="H849" s="3">
        <f>Miami_Retail[[#This Row],[sales_usd]] / Miami_Retail[[#This Row],[customers]]</f>
        <v>16.682489451476794</v>
      </c>
      <c r="I849">
        <v>72.2</v>
      </c>
      <c r="J849">
        <f>(Miami_Retail[[#This Row],[avg_temp_f]]-32) * (5/9)</f>
        <v>22.333333333333336</v>
      </c>
      <c r="K849">
        <v>0.37</v>
      </c>
      <c r="L849">
        <v>1</v>
      </c>
      <c r="M849">
        <v>40.5</v>
      </c>
      <c r="N849">
        <v>51.3</v>
      </c>
      <c r="O849">
        <v>48.7</v>
      </c>
      <c r="P849">
        <v>48.5</v>
      </c>
      <c r="Q849">
        <v>51.5</v>
      </c>
    </row>
    <row r="850" spans="1:17" x14ac:dyDescent="0.25">
      <c r="A850" s="2">
        <v>45044</v>
      </c>
      <c r="B850" s="2" t="str">
        <f t="shared" si="26"/>
        <v>Friday</v>
      </c>
      <c r="C850" s="2" t="b">
        <f t="shared" si="27"/>
        <v>0</v>
      </c>
      <c r="D850">
        <v>2</v>
      </c>
      <c r="E850" t="s">
        <v>6</v>
      </c>
      <c r="F850">
        <v>195</v>
      </c>
      <c r="G850" s="3">
        <v>3398.63</v>
      </c>
      <c r="H850" s="3">
        <f>Miami_Retail[[#This Row],[sales_usd]] / Miami_Retail[[#This Row],[customers]]</f>
        <v>17.428871794871796</v>
      </c>
      <c r="I850">
        <v>68.3</v>
      </c>
      <c r="J850">
        <f>(Miami_Retail[[#This Row],[avg_temp_f]]-32) * (5/9)</f>
        <v>20.166666666666664</v>
      </c>
      <c r="K850">
        <v>0</v>
      </c>
      <c r="L850">
        <v>0</v>
      </c>
      <c r="M850">
        <v>39.9</v>
      </c>
      <c r="N850">
        <v>52.4</v>
      </c>
      <c r="O850">
        <v>47.6</v>
      </c>
      <c r="P850">
        <v>48.1</v>
      </c>
      <c r="Q850">
        <v>51.9</v>
      </c>
    </row>
    <row r="851" spans="1:17" x14ac:dyDescent="0.25">
      <c r="A851" s="2">
        <v>45045</v>
      </c>
      <c r="B851" s="2" t="str">
        <f t="shared" si="26"/>
        <v>Saturday</v>
      </c>
      <c r="C851" s="2" t="b">
        <f t="shared" si="27"/>
        <v>1</v>
      </c>
      <c r="D851">
        <v>2</v>
      </c>
      <c r="E851" t="s">
        <v>6</v>
      </c>
      <c r="F851">
        <v>237</v>
      </c>
      <c r="G851" s="3">
        <v>4021.68</v>
      </c>
      <c r="H851" s="3">
        <f>Miami_Retail[[#This Row],[sales_usd]] / Miami_Retail[[#This Row],[customers]]</f>
        <v>16.969113924050632</v>
      </c>
      <c r="I851">
        <v>72.900000000000006</v>
      </c>
      <c r="J851">
        <f>(Miami_Retail[[#This Row],[avg_temp_f]]-32) * (5/9)</f>
        <v>22.722222222222225</v>
      </c>
      <c r="K851">
        <v>0</v>
      </c>
      <c r="L851">
        <v>0</v>
      </c>
      <c r="M851">
        <v>41</v>
      </c>
      <c r="N851">
        <v>50.4</v>
      </c>
      <c r="O851">
        <v>49.6</v>
      </c>
      <c r="P851">
        <v>53</v>
      </c>
      <c r="Q851">
        <v>47</v>
      </c>
    </row>
    <row r="852" spans="1:17" x14ac:dyDescent="0.25">
      <c r="A852" s="2">
        <v>45046</v>
      </c>
      <c r="B852" s="2" t="str">
        <f t="shared" si="26"/>
        <v>Sunday</v>
      </c>
      <c r="C852" s="2" t="b">
        <f t="shared" si="27"/>
        <v>1</v>
      </c>
      <c r="D852">
        <v>2</v>
      </c>
      <c r="E852" t="s">
        <v>6</v>
      </c>
      <c r="F852">
        <v>229</v>
      </c>
      <c r="G852" s="3">
        <v>3626.56</v>
      </c>
      <c r="H852" s="3">
        <f>Miami_Retail[[#This Row],[sales_usd]] / Miami_Retail[[#This Row],[customers]]</f>
        <v>15.83650655021834</v>
      </c>
      <c r="I852">
        <v>69.400000000000006</v>
      </c>
      <c r="J852">
        <f>(Miami_Retail[[#This Row],[avg_temp_f]]-32) * (5/9)</f>
        <v>20.777777777777782</v>
      </c>
      <c r="K852">
        <v>0</v>
      </c>
      <c r="L852">
        <v>0</v>
      </c>
      <c r="M852">
        <v>48</v>
      </c>
      <c r="N852">
        <v>52.3</v>
      </c>
      <c r="O852">
        <v>47.7</v>
      </c>
      <c r="P852">
        <v>54.7</v>
      </c>
      <c r="Q852">
        <v>45.3</v>
      </c>
    </row>
    <row r="853" spans="1:17" x14ac:dyDescent="0.25">
      <c r="A853" s="2">
        <v>45047</v>
      </c>
      <c r="B853" s="2" t="str">
        <f t="shared" si="26"/>
        <v>Monday</v>
      </c>
      <c r="C853" s="2" t="b">
        <f t="shared" si="27"/>
        <v>0</v>
      </c>
      <c r="D853">
        <v>2</v>
      </c>
      <c r="E853" t="s">
        <v>6</v>
      </c>
      <c r="F853">
        <v>178</v>
      </c>
      <c r="G853" s="3">
        <v>2861.3</v>
      </c>
      <c r="H853" s="3">
        <f>Miami_Retail[[#This Row],[sales_usd]] / Miami_Retail[[#This Row],[customers]]</f>
        <v>16.074719101123595</v>
      </c>
      <c r="I853">
        <v>68.2</v>
      </c>
      <c r="J853">
        <f>(Miami_Retail[[#This Row],[avg_temp_f]]-32) * (5/9)</f>
        <v>20.111111111111114</v>
      </c>
      <c r="K853">
        <v>0.9</v>
      </c>
      <c r="L853">
        <v>1</v>
      </c>
      <c r="M853">
        <v>40.700000000000003</v>
      </c>
      <c r="N853">
        <v>50.7</v>
      </c>
      <c r="O853">
        <v>49.3</v>
      </c>
      <c r="P853">
        <v>47.2</v>
      </c>
      <c r="Q853">
        <v>52.8</v>
      </c>
    </row>
    <row r="854" spans="1:17" x14ac:dyDescent="0.25">
      <c r="A854" s="2">
        <v>45048</v>
      </c>
      <c r="B854" s="2" t="str">
        <f t="shared" si="26"/>
        <v>Tuesday</v>
      </c>
      <c r="C854" s="2" t="b">
        <f t="shared" si="27"/>
        <v>0</v>
      </c>
      <c r="D854">
        <v>2</v>
      </c>
      <c r="E854" t="s">
        <v>6</v>
      </c>
      <c r="F854">
        <v>221</v>
      </c>
      <c r="G854" s="3">
        <v>3409.68</v>
      </c>
      <c r="H854" s="3">
        <f>Miami_Retail[[#This Row],[sales_usd]] / Miami_Retail[[#This Row],[customers]]</f>
        <v>15.428416289592759</v>
      </c>
      <c r="I854">
        <v>66</v>
      </c>
      <c r="J854">
        <f>(Miami_Retail[[#This Row],[avg_temp_f]]-32) * (5/9)</f>
        <v>18.888888888888889</v>
      </c>
      <c r="K854">
        <v>0.72</v>
      </c>
      <c r="L854">
        <v>1</v>
      </c>
      <c r="M854">
        <v>43.7</v>
      </c>
      <c r="N854">
        <v>52.1</v>
      </c>
      <c r="O854">
        <v>47.9</v>
      </c>
      <c r="P854">
        <v>46.3</v>
      </c>
      <c r="Q854">
        <v>53.7</v>
      </c>
    </row>
    <row r="855" spans="1:17" x14ac:dyDescent="0.25">
      <c r="A855" s="2">
        <v>45049</v>
      </c>
      <c r="B855" s="2" t="str">
        <f t="shared" si="26"/>
        <v>Wednesday</v>
      </c>
      <c r="C855" s="2" t="b">
        <f t="shared" si="27"/>
        <v>0</v>
      </c>
      <c r="D855">
        <v>2</v>
      </c>
      <c r="E855" t="s">
        <v>6</v>
      </c>
      <c r="F855">
        <v>166</v>
      </c>
      <c r="G855" s="3">
        <v>3000.68</v>
      </c>
      <c r="H855" s="3">
        <f>Miami_Retail[[#This Row],[sales_usd]] / Miami_Retail[[#This Row],[customers]]</f>
        <v>18.076385542168673</v>
      </c>
      <c r="I855">
        <v>70.400000000000006</v>
      </c>
      <c r="J855">
        <f>(Miami_Retail[[#This Row],[avg_temp_f]]-32) * (5/9)</f>
        <v>21.333333333333336</v>
      </c>
      <c r="K855">
        <v>2.17</v>
      </c>
      <c r="L855">
        <v>1</v>
      </c>
      <c r="M855">
        <v>40.200000000000003</v>
      </c>
      <c r="N855">
        <v>50.1</v>
      </c>
      <c r="O855">
        <v>49.9</v>
      </c>
      <c r="P855">
        <v>47.5</v>
      </c>
      <c r="Q855">
        <v>52.5</v>
      </c>
    </row>
    <row r="856" spans="1:17" x14ac:dyDescent="0.25">
      <c r="A856" s="2">
        <v>45050</v>
      </c>
      <c r="B856" s="2" t="str">
        <f t="shared" si="26"/>
        <v>Thursday</v>
      </c>
      <c r="C856" s="2" t="b">
        <f t="shared" si="27"/>
        <v>0</v>
      </c>
      <c r="D856">
        <v>2</v>
      </c>
      <c r="E856" t="s">
        <v>6</v>
      </c>
      <c r="F856">
        <v>215</v>
      </c>
      <c r="G856" s="3">
        <v>3471.6</v>
      </c>
      <c r="H856" s="3">
        <f>Miami_Retail[[#This Row],[sales_usd]] / Miami_Retail[[#This Row],[customers]]</f>
        <v>16.146976744186045</v>
      </c>
      <c r="I856">
        <v>69.8</v>
      </c>
      <c r="J856">
        <f>(Miami_Retail[[#This Row],[avg_temp_f]]-32) * (5/9)</f>
        <v>21</v>
      </c>
      <c r="K856">
        <v>0</v>
      </c>
      <c r="L856">
        <v>0</v>
      </c>
      <c r="M856">
        <v>48.8</v>
      </c>
      <c r="N856">
        <v>51</v>
      </c>
      <c r="O856">
        <v>49</v>
      </c>
      <c r="P856">
        <v>47.4</v>
      </c>
      <c r="Q856">
        <v>52.6</v>
      </c>
    </row>
    <row r="857" spans="1:17" x14ac:dyDescent="0.25">
      <c r="A857" s="2">
        <v>45051</v>
      </c>
      <c r="B857" s="2" t="str">
        <f t="shared" si="26"/>
        <v>Friday</v>
      </c>
      <c r="C857" s="2" t="b">
        <f t="shared" si="27"/>
        <v>0</v>
      </c>
      <c r="D857">
        <v>2</v>
      </c>
      <c r="E857" t="s">
        <v>6</v>
      </c>
      <c r="F857">
        <v>202</v>
      </c>
      <c r="G857" s="3">
        <v>3376.89</v>
      </c>
      <c r="H857" s="3">
        <f>Miami_Retail[[#This Row],[sales_usd]] / Miami_Retail[[#This Row],[customers]]</f>
        <v>16.717277227722771</v>
      </c>
      <c r="I857">
        <v>67.400000000000006</v>
      </c>
      <c r="J857">
        <f>(Miami_Retail[[#This Row],[avg_temp_f]]-32) * (5/9)</f>
        <v>19.666666666666671</v>
      </c>
      <c r="K857">
        <v>1.58</v>
      </c>
      <c r="L857">
        <v>1</v>
      </c>
      <c r="M857">
        <v>37</v>
      </c>
      <c r="N857">
        <v>50.5</v>
      </c>
      <c r="O857">
        <v>49.5</v>
      </c>
      <c r="P857">
        <v>47.5</v>
      </c>
      <c r="Q857">
        <v>52.5</v>
      </c>
    </row>
    <row r="858" spans="1:17" x14ac:dyDescent="0.25">
      <c r="A858" s="2">
        <v>45052</v>
      </c>
      <c r="B858" s="2" t="str">
        <f t="shared" si="26"/>
        <v>Saturday</v>
      </c>
      <c r="C858" s="2" t="b">
        <f t="shared" si="27"/>
        <v>1</v>
      </c>
      <c r="D858">
        <v>2</v>
      </c>
      <c r="E858" t="s">
        <v>6</v>
      </c>
      <c r="F858">
        <v>245</v>
      </c>
      <c r="G858" s="3">
        <v>3496.46</v>
      </c>
      <c r="H858" s="3">
        <f>Miami_Retail[[#This Row],[sales_usd]] / Miami_Retail[[#This Row],[customers]]</f>
        <v>14.27126530612245</v>
      </c>
      <c r="I858">
        <v>70.5</v>
      </c>
      <c r="J858">
        <f>(Miami_Retail[[#This Row],[avg_temp_f]]-32) * (5/9)</f>
        <v>21.388888888888889</v>
      </c>
      <c r="K858">
        <v>0.53</v>
      </c>
      <c r="L858">
        <v>1</v>
      </c>
      <c r="M858">
        <v>44.3</v>
      </c>
      <c r="N858">
        <v>52.4</v>
      </c>
      <c r="O858">
        <v>47.6</v>
      </c>
      <c r="P858">
        <v>55.3</v>
      </c>
      <c r="Q858">
        <v>44.7</v>
      </c>
    </row>
    <row r="859" spans="1:17" x14ac:dyDescent="0.25">
      <c r="A859" s="2">
        <v>45053</v>
      </c>
      <c r="B859" s="2" t="str">
        <f t="shared" si="26"/>
        <v>Sunday</v>
      </c>
      <c r="C859" s="2" t="b">
        <f t="shared" si="27"/>
        <v>1</v>
      </c>
      <c r="D859">
        <v>2</v>
      </c>
      <c r="E859" t="s">
        <v>6</v>
      </c>
      <c r="F859">
        <v>256</v>
      </c>
      <c r="G859" s="3">
        <v>4360.62</v>
      </c>
      <c r="H859" s="3">
        <f>Miami_Retail[[#This Row],[sales_usd]] / Miami_Retail[[#This Row],[customers]]</f>
        <v>17.033671875</v>
      </c>
      <c r="I859">
        <v>64.5</v>
      </c>
      <c r="J859">
        <f>(Miami_Retail[[#This Row],[avg_temp_f]]-32) * (5/9)</f>
        <v>18.055555555555557</v>
      </c>
      <c r="K859">
        <v>0</v>
      </c>
      <c r="L859">
        <v>0</v>
      </c>
      <c r="M859">
        <v>44.8</v>
      </c>
      <c r="N859">
        <v>52.9</v>
      </c>
      <c r="O859">
        <v>47.1</v>
      </c>
      <c r="P859">
        <v>53.5</v>
      </c>
      <c r="Q859">
        <v>46.5</v>
      </c>
    </row>
    <row r="860" spans="1:17" x14ac:dyDescent="0.25">
      <c r="A860" s="2">
        <v>45054</v>
      </c>
      <c r="B860" s="2" t="str">
        <f t="shared" si="26"/>
        <v>Monday</v>
      </c>
      <c r="C860" s="2" t="b">
        <f t="shared" si="27"/>
        <v>0</v>
      </c>
      <c r="D860">
        <v>2</v>
      </c>
      <c r="E860" t="s">
        <v>6</v>
      </c>
      <c r="F860">
        <v>216</v>
      </c>
      <c r="G860" s="3">
        <v>3429.57</v>
      </c>
      <c r="H860" s="3">
        <f>Miami_Retail[[#This Row],[sales_usd]] / Miami_Retail[[#This Row],[customers]]</f>
        <v>15.877638888888889</v>
      </c>
      <c r="I860">
        <v>70</v>
      </c>
      <c r="J860">
        <f>(Miami_Retail[[#This Row],[avg_temp_f]]-32) * (5/9)</f>
        <v>21.111111111111111</v>
      </c>
      <c r="K860">
        <v>0</v>
      </c>
      <c r="L860">
        <v>0</v>
      </c>
      <c r="M860">
        <v>43.8</v>
      </c>
      <c r="N860">
        <v>51.4</v>
      </c>
      <c r="O860">
        <v>48.6</v>
      </c>
      <c r="P860">
        <v>48.3</v>
      </c>
      <c r="Q860">
        <v>51.7</v>
      </c>
    </row>
    <row r="861" spans="1:17" x14ac:dyDescent="0.25">
      <c r="A861" s="2">
        <v>45055</v>
      </c>
      <c r="B861" s="2" t="str">
        <f t="shared" si="26"/>
        <v>Tuesday</v>
      </c>
      <c r="C861" s="2" t="b">
        <f t="shared" si="27"/>
        <v>0</v>
      </c>
      <c r="D861">
        <v>2</v>
      </c>
      <c r="E861" t="s">
        <v>6</v>
      </c>
      <c r="F861">
        <v>200</v>
      </c>
      <c r="G861" s="3">
        <v>3541.42</v>
      </c>
      <c r="H861" s="3">
        <f>Miami_Retail[[#This Row],[sales_usd]] / Miami_Retail[[#This Row],[customers]]</f>
        <v>17.707100000000001</v>
      </c>
      <c r="I861">
        <v>70.3</v>
      </c>
      <c r="J861">
        <f>(Miami_Retail[[#This Row],[avg_temp_f]]-32) * (5/9)</f>
        <v>21.277777777777779</v>
      </c>
      <c r="K861">
        <v>0.69</v>
      </c>
      <c r="L861">
        <v>1</v>
      </c>
      <c r="M861">
        <v>36.700000000000003</v>
      </c>
      <c r="N861">
        <v>51.6</v>
      </c>
      <c r="O861">
        <v>48.4</v>
      </c>
      <c r="P861">
        <v>50</v>
      </c>
      <c r="Q861">
        <v>50</v>
      </c>
    </row>
    <row r="862" spans="1:17" x14ac:dyDescent="0.25">
      <c r="A862" s="2">
        <v>45056</v>
      </c>
      <c r="B862" s="2" t="str">
        <f t="shared" si="26"/>
        <v>Wednesday</v>
      </c>
      <c r="C862" s="2" t="b">
        <f t="shared" si="27"/>
        <v>0</v>
      </c>
      <c r="D862">
        <v>2</v>
      </c>
      <c r="E862" t="s">
        <v>6</v>
      </c>
      <c r="F862">
        <v>215</v>
      </c>
      <c r="G862" s="3">
        <v>3503.98</v>
      </c>
      <c r="H862" s="3">
        <f>Miami_Retail[[#This Row],[sales_usd]] / Miami_Retail[[#This Row],[customers]]</f>
        <v>16.297581395348836</v>
      </c>
      <c r="I862">
        <v>69.599999999999994</v>
      </c>
      <c r="J862">
        <f>(Miami_Retail[[#This Row],[avg_temp_f]]-32) * (5/9)</f>
        <v>20.888888888888886</v>
      </c>
      <c r="K862">
        <v>0</v>
      </c>
      <c r="L862">
        <v>0</v>
      </c>
      <c r="M862">
        <v>43.3</v>
      </c>
      <c r="N862">
        <v>50.9</v>
      </c>
      <c r="O862">
        <v>49.1</v>
      </c>
      <c r="P862">
        <v>48.2</v>
      </c>
      <c r="Q862">
        <v>51.8</v>
      </c>
    </row>
    <row r="863" spans="1:17" x14ac:dyDescent="0.25">
      <c r="A863" s="2">
        <v>45057</v>
      </c>
      <c r="B863" s="2" t="str">
        <f t="shared" si="26"/>
        <v>Thursday</v>
      </c>
      <c r="C863" s="2" t="b">
        <f t="shared" si="27"/>
        <v>0</v>
      </c>
      <c r="D863">
        <v>2</v>
      </c>
      <c r="E863" t="s">
        <v>6</v>
      </c>
      <c r="F863">
        <v>228</v>
      </c>
      <c r="G863" s="3">
        <v>4112.21</v>
      </c>
      <c r="H863" s="3">
        <f>Miami_Retail[[#This Row],[sales_usd]] / Miami_Retail[[#This Row],[customers]]</f>
        <v>18.036008771929826</v>
      </c>
      <c r="I863">
        <v>67.3</v>
      </c>
      <c r="J863">
        <f>(Miami_Retail[[#This Row],[avg_temp_f]]-32) * (5/9)</f>
        <v>19.611111111111111</v>
      </c>
      <c r="K863">
        <v>0</v>
      </c>
      <c r="L863">
        <v>0</v>
      </c>
      <c r="M863">
        <v>46.5</v>
      </c>
      <c r="N863">
        <v>51.7</v>
      </c>
      <c r="O863">
        <v>48.3</v>
      </c>
      <c r="P863">
        <v>48.4</v>
      </c>
      <c r="Q863">
        <v>51.6</v>
      </c>
    </row>
    <row r="864" spans="1:17" x14ac:dyDescent="0.25">
      <c r="A864" s="2">
        <v>45058</v>
      </c>
      <c r="B864" s="2" t="str">
        <f t="shared" si="26"/>
        <v>Friday</v>
      </c>
      <c r="C864" s="2" t="b">
        <f t="shared" si="27"/>
        <v>0</v>
      </c>
      <c r="D864">
        <v>2</v>
      </c>
      <c r="E864" t="s">
        <v>6</v>
      </c>
      <c r="F864">
        <v>208</v>
      </c>
      <c r="G864" s="3">
        <v>3436.57</v>
      </c>
      <c r="H864" s="3">
        <f>Miami_Retail[[#This Row],[sales_usd]] / Miami_Retail[[#This Row],[customers]]</f>
        <v>16.521971153846156</v>
      </c>
      <c r="I864">
        <v>65.400000000000006</v>
      </c>
      <c r="J864">
        <f>(Miami_Retail[[#This Row],[avg_temp_f]]-32) * (5/9)</f>
        <v>18.555555555555561</v>
      </c>
      <c r="K864">
        <v>0</v>
      </c>
      <c r="L864">
        <v>0</v>
      </c>
      <c r="M864">
        <v>41.1</v>
      </c>
      <c r="N864">
        <v>49.4</v>
      </c>
      <c r="O864">
        <v>50.6</v>
      </c>
      <c r="P864">
        <v>47.5</v>
      </c>
      <c r="Q864">
        <v>52.5</v>
      </c>
    </row>
    <row r="865" spans="1:17" x14ac:dyDescent="0.25">
      <c r="A865" s="2">
        <v>45059</v>
      </c>
      <c r="B865" s="2" t="str">
        <f t="shared" si="26"/>
        <v>Saturday</v>
      </c>
      <c r="C865" s="2" t="b">
        <f t="shared" si="27"/>
        <v>1</v>
      </c>
      <c r="D865">
        <v>2</v>
      </c>
      <c r="E865" t="s">
        <v>6</v>
      </c>
      <c r="F865">
        <v>218</v>
      </c>
      <c r="G865" s="3">
        <v>3727.04</v>
      </c>
      <c r="H865" s="3">
        <f>Miami_Retail[[#This Row],[sales_usd]] / Miami_Retail[[#This Row],[customers]]</f>
        <v>17.096513761467889</v>
      </c>
      <c r="I865">
        <v>70</v>
      </c>
      <c r="J865">
        <f>(Miami_Retail[[#This Row],[avg_temp_f]]-32) * (5/9)</f>
        <v>21.111111111111111</v>
      </c>
      <c r="K865">
        <v>0.88</v>
      </c>
      <c r="L865">
        <v>1</v>
      </c>
      <c r="M865">
        <v>38.1</v>
      </c>
      <c r="N865">
        <v>49.8</v>
      </c>
      <c r="O865">
        <v>50.2</v>
      </c>
      <c r="P865">
        <v>53.1</v>
      </c>
      <c r="Q865">
        <v>46.9</v>
      </c>
    </row>
    <row r="866" spans="1:17" x14ac:dyDescent="0.25">
      <c r="A866" s="2">
        <v>45060</v>
      </c>
      <c r="B866" s="2" t="str">
        <f t="shared" si="26"/>
        <v>Sunday</v>
      </c>
      <c r="C866" s="2" t="b">
        <f t="shared" si="27"/>
        <v>1</v>
      </c>
      <c r="D866">
        <v>2</v>
      </c>
      <c r="E866" t="s">
        <v>6</v>
      </c>
      <c r="F866">
        <v>201</v>
      </c>
      <c r="G866" s="3">
        <v>3365.47</v>
      </c>
      <c r="H866" s="3">
        <f>Miami_Retail[[#This Row],[sales_usd]] / Miami_Retail[[#This Row],[customers]]</f>
        <v>16.74363184079602</v>
      </c>
      <c r="I866">
        <v>72.900000000000006</v>
      </c>
      <c r="J866">
        <f>(Miami_Retail[[#This Row],[avg_temp_f]]-32) * (5/9)</f>
        <v>22.722222222222225</v>
      </c>
      <c r="K866">
        <v>0</v>
      </c>
      <c r="L866">
        <v>0</v>
      </c>
      <c r="M866">
        <v>44.8</v>
      </c>
      <c r="N866">
        <v>53.5</v>
      </c>
      <c r="O866">
        <v>46.5</v>
      </c>
      <c r="P866">
        <v>54.3</v>
      </c>
      <c r="Q866">
        <v>45.7</v>
      </c>
    </row>
    <row r="867" spans="1:17" x14ac:dyDescent="0.25">
      <c r="A867" s="2">
        <v>45061</v>
      </c>
      <c r="B867" s="2" t="str">
        <f t="shared" si="26"/>
        <v>Monday</v>
      </c>
      <c r="C867" s="2" t="b">
        <f t="shared" si="27"/>
        <v>0</v>
      </c>
      <c r="D867">
        <v>2</v>
      </c>
      <c r="E867" t="s">
        <v>6</v>
      </c>
      <c r="F867">
        <v>223</v>
      </c>
      <c r="G867" s="3">
        <v>3563.15</v>
      </c>
      <c r="H867" s="3">
        <f>Miami_Retail[[#This Row],[sales_usd]] / Miami_Retail[[#This Row],[customers]]</f>
        <v>15.978251121076234</v>
      </c>
      <c r="I867">
        <v>74.8</v>
      </c>
      <c r="J867">
        <f>(Miami_Retail[[#This Row],[avg_temp_f]]-32) * (5/9)</f>
        <v>23.777777777777779</v>
      </c>
      <c r="K867">
        <v>0</v>
      </c>
      <c r="L867">
        <v>0</v>
      </c>
      <c r="M867">
        <v>49</v>
      </c>
      <c r="N867">
        <v>52.2</v>
      </c>
      <c r="O867">
        <v>47.8</v>
      </c>
      <c r="P867">
        <v>47.8</v>
      </c>
      <c r="Q867">
        <v>52.2</v>
      </c>
    </row>
    <row r="868" spans="1:17" x14ac:dyDescent="0.25">
      <c r="A868" s="2">
        <v>45062</v>
      </c>
      <c r="B868" s="2" t="str">
        <f t="shared" si="26"/>
        <v>Tuesday</v>
      </c>
      <c r="C868" s="2" t="b">
        <f t="shared" si="27"/>
        <v>0</v>
      </c>
      <c r="D868">
        <v>2</v>
      </c>
      <c r="E868" t="s">
        <v>6</v>
      </c>
      <c r="F868">
        <v>229</v>
      </c>
      <c r="G868" s="3">
        <v>3886.24</v>
      </c>
      <c r="H868" s="3">
        <f>Miami_Retail[[#This Row],[sales_usd]] / Miami_Retail[[#This Row],[customers]]</f>
        <v>16.970480349344978</v>
      </c>
      <c r="I868">
        <v>74.8</v>
      </c>
      <c r="J868">
        <f>(Miami_Retail[[#This Row],[avg_temp_f]]-32) * (5/9)</f>
        <v>23.777777777777779</v>
      </c>
      <c r="K868">
        <v>0</v>
      </c>
      <c r="L868">
        <v>0</v>
      </c>
      <c r="M868">
        <v>40.5</v>
      </c>
      <c r="N868">
        <v>50.5</v>
      </c>
      <c r="O868">
        <v>49.5</v>
      </c>
      <c r="P868">
        <v>47.4</v>
      </c>
      <c r="Q868">
        <v>52.6</v>
      </c>
    </row>
    <row r="869" spans="1:17" x14ac:dyDescent="0.25">
      <c r="A869" s="2">
        <v>45063</v>
      </c>
      <c r="B869" s="2" t="str">
        <f t="shared" si="26"/>
        <v>Wednesday</v>
      </c>
      <c r="C869" s="2" t="b">
        <f t="shared" si="27"/>
        <v>0</v>
      </c>
      <c r="D869">
        <v>2</v>
      </c>
      <c r="E869" t="s">
        <v>6</v>
      </c>
      <c r="F869">
        <v>169</v>
      </c>
      <c r="G869" s="3">
        <v>2768.99</v>
      </c>
      <c r="H869" s="3">
        <f>Miami_Retail[[#This Row],[sales_usd]] / Miami_Retail[[#This Row],[customers]]</f>
        <v>16.384556213017749</v>
      </c>
      <c r="I869">
        <v>72.400000000000006</v>
      </c>
      <c r="J869">
        <f>(Miami_Retail[[#This Row],[avg_temp_f]]-32) * (5/9)</f>
        <v>22.44444444444445</v>
      </c>
      <c r="K869">
        <v>0.79</v>
      </c>
      <c r="L869">
        <v>1</v>
      </c>
      <c r="M869">
        <v>47.5</v>
      </c>
      <c r="N869">
        <v>51.2</v>
      </c>
      <c r="O869">
        <v>48.8</v>
      </c>
      <c r="P869">
        <v>46.5</v>
      </c>
      <c r="Q869">
        <v>53.5</v>
      </c>
    </row>
    <row r="870" spans="1:17" x14ac:dyDescent="0.25">
      <c r="A870" s="2">
        <v>45064</v>
      </c>
      <c r="B870" s="2" t="str">
        <f t="shared" si="26"/>
        <v>Thursday</v>
      </c>
      <c r="C870" s="2" t="b">
        <f t="shared" si="27"/>
        <v>0</v>
      </c>
      <c r="D870">
        <v>2</v>
      </c>
      <c r="E870" t="s">
        <v>6</v>
      </c>
      <c r="F870">
        <v>206</v>
      </c>
      <c r="G870" s="3">
        <v>3349.23</v>
      </c>
      <c r="H870" s="3">
        <f>Miami_Retail[[#This Row],[sales_usd]] / Miami_Retail[[#This Row],[customers]]</f>
        <v>16.258398058252428</v>
      </c>
      <c r="I870">
        <v>70</v>
      </c>
      <c r="J870">
        <f>(Miami_Retail[[#This Row],[avg_temp_f]]-32) * (5/9)</f>
        <v>21.111111111111111</v>
      </c>
      <c r="K870">
        <v>0</v>
      </c>
      <c r="L870">
        <v>0</v>
      </c>
      <c r="M870">
        <v>45.5</v>
      </c>
      <c r="N870">
        <v>50.1</v>
      </c>
      <c r="O870">
        <v>49.9</v>
      </c>
      <c r="P870">
        <v>47.8</v>
      </c>
      <c r="Q870">
        <v>52.2</v>
      </c>
    </row>
    <row r="871" spans="1:17" x14ac:dyDescent="0.25">
      <c r="A871" s="2">
        <v>45065</v>
      </c>
      <c r="B871" s="2" t="str">
        <f t="shared" si="26"/>
        <v>Friday</v>
      </c>
      <c r="C871" s="2" t="b">
        <f t="shared" si="27"/>
        <v>0</v>
      </c>
      <c r="D871">
        <v>2</v>
      </c>
      <c r="E871" t="s">
        <v>6</v>
      </c>
      <c r="F871">
        <v>205</v>
      </c>
      <c r="G871" s="3">
        <v>3451.49</v>
      </c>
      <c r="H871" s="3">
        <f>Miami_Retail[[#This Row],[sales_usd]] / Miami_Retail[[#This Row],[customers]]</f>
        <v>16.836536585365852</v>
      </c>
      <c r="I871">
        <v>76.7</v>
      </c>
      <c r="J871">
        <f>(Miami_Retail[[#This Row],[avg_temp_f]]-32) * (5/9)</f>
        <v>24.833333333333336</v>
      </c>
      <c r="K871">
        <v>0</v>
      </c>
      <c r="L871">
        <v>0</v>
      </c>
      <c r="M871">
        <v>47.4</v>
      </c>
      <c r="N871">
        <v>52.9</v>
      </c>
      <c r="O871">
        <v>47.1</v>
      </c>
      <c r="P871">
        <v>47.9</v>
      </c>
      <c r="Q871">
        <v>52.1</v>
      </c>
    </row>
    <row r="872" spans="1:17" x14ac:dyDescent="0.25">
      <c r="A872" s="2">
        <v>45066</v>
      </c>
      <c r="B872" s="2" t="str">
        <f t="shared" si="26"/>
        <v>Saturday</v>
      </c>
      <c r="C872" s="2" t="b">
        <f t="shared" si="27"/>
        <v>1</v>
      </c>
      <c r="D872">
        <v>2</v>
      </c>
      <c r="E872" t="s">
        <v>6</v>
      </c>
      <c r="F872">
        <v>237</v>
      </c>
      <c r="G872" s="3">
        <v>4156.47</v>
      </c>
      <c r="H872" s="3">
        <f>Miami_Retail[[#This Row],[sales_usd]] / Miami_Retail[[#This Row],[customers]]</f>
        <v>17.537848101265823</v>
      </c>
      <c r="I872">
        <v>67.7</v>
      </c>
      <c r="J872">
        <f>(Miami_Retail[[#This Row],[avg_temp_f]]-32) * (5/9)</f>
        <v>19.833333333333336</v>
      </c>
      <c r="K872">
        <v>0</v>
      </c>
      <c r="L872">
        <v>0</v>
      </c>
      <c r="M872">
        <v>37.200000000000003</v>
      </c>
      <c r="N872">
        <v>51.4</v>
      </c>
      <c r="O872">
        <v>48.6</v>
      </c>
      <c r="P872">
        <v>54</v>
      </c>
      <c r="Q872">
        <v>46</v>
      </c>
    </row>
    <row r="873" spans="1:17" x14ac:dyDescent="0.25">
      <c r="A873" s="2">
        <v>45067</v>
      </c>
      <c r="B873" s="2" t="str">
        <f t="shared" si="26"/>
        <v>Sunday</v>
      </c>
      <c r="C873" s="2" t="b">
        <f t="shared" si="27"/>
        <v>1</v>
      </c>
      <c r="D873">
        <v>2</v>
      </c>
      <c r="E873" t="s">
        <v>6</v>
      </c>
      <c r="F873">
        <v>225</v>
      </c>
      <c r="G873" s="3">
        <v>3768.31</v>
      </c>
      <c r="H873" s="3">
        <f>Miami_Retail[[#This Row],[sales_usd]] / Miami_Retail[[#This Row],[customers]]</f>
        <v>16.748044444444446</v>
      </c>
      <c r="I873">
        <v>66.400000000000006</v>
      </c>
      <c r="J873">
        <f>(Miami_Retail[[#This Row],[avg_temp_f]]-32) * (5/9)</f>
        <v>19.111111111111114</v>
      </c>
      <c r="K873">
        <v>0</v>
      </c>
      <c r="L873">
        <v>0</v>
      </c>
      <c r="M873">
        <v>57.4</v>
      </c>
      <c r="N873">
        <v>51.1</v>
      </c>
      <c r="O873">
        <v>48.9</v>
      </c>
      <c r="P873">
        <v>53.3</v>
      </c>
      <c r="Q873">
        <v>46.7</v>
      </c>
    </row>
    <row r="874" spans="1:17" x14ac:dyDescent="0.25">
      <c r="A874" s="2">
        <v>45068</v>
      </c>
      <c r="B874" s="2" t="str">
        <f t="shared" si="26"/>
        <v>Monday</v>
      </c>
      <c r="C874" s="2" t="b">
        <f t="shared" si="27"/>
        <v>0</v>
      </c>
      <c r="D874">
        <v>2</v>
      </c>
      <c r="E874" t="s">
        <v>6</v>
      </c>
      <c r="F874">
        <v>187</v>
      </c>
      <c r="G874" s="3">
        <v>2990.44</v>
      </c>
      <c r="H874" s="3">
        <f>Miami_Retail[[#This Row],[sales_usd]] / Miami_Retail[[#This Row],[customers]]</f>
        <v>15.991657754010696</v>
      </c>
      <c r="I874">
        <v>70.7</v>
      </c>
      <c r="J874">
        <f>(Miami_Retail[[#This Row],[avg_temp_f]]-32) * (5/9)</f>
        <v>21.500000000000004</v>
      </c>
      <c r="K874">
        <v>0</v>
      </c>
      <c r="L874">
        <v>0</v>
      </c>
      <c r="M874">
        <v>56.6</v>
      </c>
      <c r="N874">
        <v>50.7</v>
      </c>
      <c r="O874">
        <v>49.3</v>
      </c>
      <c r="P874">
        <v>49</v>
      </c>
      <c r="Q874">
        <v>51</v>
      </c>
    </row>
    <row r="875" spans="1:17" x14ac:dyDescent="0.25">
      <c r="A875" s="2">
        <v>45069</v>
      </c>
      <c r="B875" s="2" t="str">
        <f t="shared" si="26"/>
        <v>Tuesday</v>
      </c>
      <c r="C875" s="2" t="b">
        <f t="shared" si="27"/>
        <v>0</v>
      </c>
      <c r="D875">
        <v>2</v>
      </c>
      <c r="E875" t="s">
        <v>6</v>
      </c>
      <c r="F875">
        <v>233</v>
      </c>
      <c r="G875" s="3">
        <v>3887.21</v>
      </c>
      <c r="H875" s="3">
        <f>Miami_Retail[[#This Row],[sales_usd]] / Miami_Retail[[#This Row],[customers]]</f>
        <v>16.683304721030044</v>
      </c>
      <c r="I875">
        <v>78.400000000000006</v>
      </c>
      <c r="J875">
        <f>(Miami_Retail[[#This Row],[avg_temp_f]]-32) * (5/9)</f>
        <v>25.777777777777782</v>
      </c>
      <c r="K875">
        <v>0</v>
      </c>
      <c r="L875">
        <v>0</v>
      </c>
      <c r="M875">
        <v>44.1</v>
      </c>
      <c r="N875">
        <v>52</v>
      </c>
      <c r="O875">
        <v>48</v>
      </c>
      <c r="P875">
        <v>46.4</v>
      </c>
      <c r="Q875">
        <v>53.6</v>
      </c>
    </row>
    <row r="876" spans="1:17" x14ac:dyDescent="0.25">
      <c r="A876" s="2">
        <v>45070</v>
      </c>
      <c r="B876" s="2" t="str">
        <f t="shared" si="26"/>
        <v>Wednesday</v>
      </c>
      <c r="C876" s="2" t="b">
        <f t="shared" si="27"/>
        <v>0</v>
      </c>
      <c r="D876">
        <v>2</v>
      </c>
      <c r="E876" t="s">
        <v>6</v>
      </c>
      <c r="F876">
        <v>256</v>
      </c>
      <c r="G876" s="3">
        <v>3964.24</v>
      </c>
      <c r="H876" s="3">
        <f>Miami_Retail[[#This Row],[sales_usd]] / Miami_Retail[[#This Row],[customers]]</f>
        <v>15.485312499999999</v>
      </c>
      <c r="I876">
        <v>77.7</v>
      </c>
      <c r="J876">
        <f>(Miami_Retail[[#This Row],[avg_temp_f]]-32) * (5/9)</f>
        <v>25.388888888888893</v>
      </c>
      <c r="K876">
        <v>0</v>
      </c>
      <c r="L876">
        <v>0</v>
      </c>
      <c r="M876">
        <v>52.9</v>
      </c>
      <c r="N876">
        <v>50</v>
      </c>
      <c r="O876">
        <v>50</v>
      </c>
      <c r="P876">
        <v>48.5</v>
      </c>
      <c r="Q876">
        <v>51.5</v>
      </c>
    </row>
    <row r="877" spans="1:17" x14ac:dyDescent="0.25">
      <c r="A877" s="2">
        <v>45071</v>
      </c>
      <c r="B877" s="2" t="str">
        <f t="shared" si="26"/>
        <v>Thursday</v>
      </c>
      <c r="C877" s="2" t="b">
        <f t="shared" si="27"/>
        <v>0</v>
      </c>
      <c r="D877">
        <v>2</v>
      </c>
      <c r="E877" t="s">
        <v>6</v>
      </c>
      <c r="F877">
        <v>223</v>
      </c>
      <c r="G877" s="3">
        <v>3663.75</v>
      </c>
      <c r="H877" s="3">
        <f>Miami_Retail[[#This Row],[sales_usd]] / Miami_Retail[[#This Row],[customers]]</f>
        <v>16.429372197309416</v>
      </c>
      <c r="I877">
        <v>75.099999999999994</v>
      </c>
      <c r="J877">
        <f>(Miami_Retail[[#This Row],[avg_temp_f]]-32) * (5/9)</f>
        <v>23.944444444444443</v>
      </c>
      <c r="K877">
        <v>0</v>
      </c>
      <c r="L877">
        <v>0</v>
      </c>
      <c r="M877">
        <v>50.1</v>
      </c>
      <c r="N877">
        <v>51.2</v>
      </c>
      <c r="O877">
        <v>48.8</v>
      </c>
      <c r="P877">
        <v>46.6</v>
      </c>
      <c r="Q877">
        <v>53.4</v>
      </c>
    </row>
    <row r="878" spans="1:17" x14ac:dyDescent="0.25">
      <c r="A878" s="2">
        <v>45072</v>
      </c>
      <c r="B878" s="2" t="str">
        <f t="shared" si="26"/>
        <v>Friday</v>
      </c>
      <c r="C878" s="2" t="b">
        <f t="shared" si="27"/>
        <v>0</v>
      </c>
      <c r="D878">
        <v>2</v>
      </c>
      <c r="E878" t="s">
        <v>6</v>
      </c>
      <c r="F878">
        <v>206</v>
      </c>
      <c r="G878" s="3">
        <v>3689.33</v>
      </c>
      <c r="H878" s="3">
        <f>Miami_Retail[[#This Row],[sales_usd]] / Miami_Retail[[#This Row],[customers]]</f>
        <v>17.909368932038834</v>
      </c>
      <c r="I878">
        <v>72.5</v>
      </c>
      <c r="J878">
        <f>(Miami_Retail[[#This Row],[avg_temp_f]]-32) * (5/9)</f>
        <v>22.5</v>
      </c>
      <c r="K878">
        <v>0</v>
      </c>
      <c r="L878">
        <v>0</v>
      </c>
      <c r="M878">
        <v>41.3</v>
      </c>
      <c r="N878">
        <v>50.5</v>
      </c>
      <c r="O878">
        <v>49.5</v>
      </c>
      <c r="P878">
        <v>48.8</v>
      </c>
      <c r="Q878">
        <v>51.2</v>
      </c>
    </row>
    <row r="879" spans="1:17" x14ac:dyDescent="0.25">
      <c r="A879" s="2">
        <v>45073</v>
      </c>
      <c r="B879" s="2" t="str">
        <f t="shared" si="26"/>
        <v>Saturday</v>
      </c>
      <c r="C879" s="2" t="b">
        <f t="shared" si="27"/>
        <v>1</v>
      </c>
      <c r="D879">
        <v>2</v>
      </c>
      <c r="E879" t="s">
        <v>6</v>
      </c>
      <c r="F879">
        <v>236</v>
      </c>
      <c r="G879" s="3">
        <v>4338.62</v>
      </c>
      <c r="H879" s="3">
        <f>Miami_Retail[[#This Row],[sales_usd]] / Miami_Retail[[#This Row],[customers]]</f>
        <v>18.383983050847458</v>
      </c>
      <c r="I879">
        <v>74.900000000000006</v>
      </c>
      <c r="J879">
        <f>(Miami_Retail[[#This Row],[avg_temp_f]]-32) * (5/9)</f>
        <v>23.833333333333339</v>
      </c>
      <c r="K879">
        <v>0.47</v>
      </c>
      <c r="L879">
        <v>1</v>
      </c>
      <c r="M879">
        <v>44.5</v>
      </c>
      <c r="N879">
        <v>49.9</v>
      </c>
      <c r="O879">
        <v>50.1</v>
      </c>
      <c r="P879">
        <v>54.5</v>
      </c>
      <c r="Q879">
        <v>45.5</v>
      </c>
    </row>
    <row r="880" spans="1:17" x14ac:dyDescent="0.25">
      <c r="A880" s="2">
        <v>45074</v>
      </c>
      <c r="B880" s="2" t="str">
        <f t="shared" si="26"/>
        <v>Sunday</v>
      </c>
      <c r="C880" s="2" t="b">
        <f t="shared" si="27"/>
        <v>1</v>
      </c>
      <c r="D880">
        <v>2</v>
      </c>
      <c r="E880" t="s">
        <v>6</v>
      </c>
      <c r="F880">
        <v>219</v>
      </c>
      <c r="G880" s="3">
        <v>3689.44</v>
      </c>
      <c r="H880" s="3">
        <f>Miami_Retail[[#This Row],[sales_usd]] / Miami_Retail[[#This Row],[customers]]</f>
        <v>16.84675799086758</v>
      </c>
      <c r="I880">
        <v>68.2</v>
      </c>
      <c r="J880">
        <f>(Miami_Retail[[#This Row],[avg_temp_f]]-32) * (5/9)</f>
        <v>20.111111111111114</v>
      </c>
      <c r="K880">
        <v>0.76</v>
      </c>
      <c r="L880">
        <v>1</v>
      </c>
      <c r="M880">
        <v>59.8</v>
      </c>
      <c r="N880">
        <v>51.4</v>
      </c>
      <c r="O880">
        <v>48.6</v>
      </c>
      <c r="P880">
        <v>53.4</v>
      </c>
      <c r="Q880">
        <v>46.6</v>
      </c>
    </row>
    <row r="881" spans="1:17" x14ac:dyDescent="0.25">
      <c r="A881" s="2">
        <v>45075</v>
      </c>
      <c r="B881" s="2" t="str">
        <f t="shared" si="26"/>
        <v>Monday</v>
      </c>
      <c r="C881" s="2" t="b">
        <f t="shared" si="27"/>
        <v>0</v>
      </c>
      <c r="D881">
        <v>2</v>
      </c>
      <c r="E881" t="s">
        <v>6</v>
      </c>
      <c r="F881">
        <v>194</v>
      </c>
      <c r="G881" s="3">
        <v>3661.34</v>
      </c>
      <c r="H881" s="3">
        <f>Miami_Retail[[#This Row],[sales_usd]] / Miami_Retail[[#This Row],[customers]]</f>
        <v>18.872886597938145</v>
      </c>
      <c r="I881">
        <v>72.400000000000006</v>
      </c>
      <c r="J881">
        <f>(Miami_Retail[[#This Row],[avg_temp_f]]-32) * (5/9)</f>
        <v>22.44444444444445</v>
      </c>
      <c r="K881">
        <v>0.99</v>
      </c>
      <c r="L881">
        <v>1</v>
      </c>
      <c r="M881">
        <v>53.6</v>
      </c>
      <c r="N881">
        <v>51.8</v>
      </c>
      <c r="O881">
        <v>48.2</v>
      </c>
      <c r="P881">
        <v>48.3</v>
      </c>
      <c r="Q881">
        <v>51.7</v>
      </c>
    </row>
    <row r="882" spans="1:17" x14ac:dyDescent="0.25">
      <c r="A882" s="2">
        <v>45076</v>
      </c>
      <c r="B882" s="2" t="str">
        <f t="shared" si="26"/>
        <v>Tuesday</v>
      </c>
      <c r="C882" s="2" t="b">
        <f t="shared" si="27"/>
        <v>0</v>
      </c>
      <c r="D882">
        <v>2</v>
      </c>
      <c r="E882" t="s">
        <v>6</v>
      </c>
      <c r="F882">
        <v>248</v>
      </c>
      <c r="G882" s="3">
        <v>4391.79</v>
      </c>
      <c r="H882" s="3">
        <f>Miami_Retail[[#This Row],[sales_usd]] / Miami_Retail[[#This Row],[customers]]</f>
        <v>17.708830645161289</v>
      </c>
      <c r="I882">
        <v>76.8</v>
      </c>
      <c r="J882">
        <f>(Miami_Retail[[#This Row],[avg_temp_f]]-32) * (5/9)</f>
        <v>24.888888888888889</v>
      </c>
      <c r="K882">
        <v>1.28</v>
      </c>
      <c r="L882">
        <v>1</v>
      </c>
      <c r="M882">
        <v>56.8</v>
      </c>
      <c r="N882">
        <v>51.2</v>
      </c>
      <c r="O882">
        <v>48.8</v>
      </c>
      <c r="P882">
        <v>48.4</v>
      </c>
      <c r="Q882">
        <v>51.6</v>
      </c>
    </row>
    <row r="883" spans="1:17" x14ac:dyDescent="0.25">
      <c r="A883" s="2">
        <v>45077</v>
      </c>
      <c r="B883" s="2" t="str">
        <f t="shared" si="26"/>
        <v>Wednesday</v>
      </c>
      <c r="C883" s="2" t="b">
        <f t="shared" si="27"/>
        <v>0</v>
      </c>
      <c r="D883">
        <v>2</v>
      </c>
      <c r="E883" t="s">
        <v>6</v>
      </c>
      <c r="F883">
        <v>227</v>
      </c>
      <c r="G883" s="3">
        <v>3957.86</v>
      </c>
      <c r="H883" s="3">
        <f>Miami_Retail[[#This Row],[sales_usd]] / Miami_Retail[[#This Row],[customers]]</f>
        <v>17.435506607929515</v>
      </c>
      <c r="I883">
        <v>76.400000000000006</v>
      </c>
      <c r="J883">
        <f>(Miami_Retail[[#This Row],[avg_temp_f]]-32) * (5/9)</f>
        <v>24.666666666666671</v>
      </c>
      <c r="K883">
        <v>0</v>
      </c>
      <c r="L883">
        <v>0</v>
      </c>
      <c r="M883">
        <v>46.4</v>
      </c>
      <c r="N883">
        <v>51.4</v>
      </c>
      <c r="O883">
        <v>48.6</v>
      </c>
      <c r="P883">
        <v>45.8</v>
      </c>
      <c r="Q883">
        <v>54.2</v>
      </c>
    </row>
    <row r="884" spans="1:17" x14ac:dyDescent="0.25">
      <c r="A884" s="2">
        <v>45078</v>
      </c>
      <c r="B884" s="2" t="str">
        <f t="shared" si="26"/>
        <v>Thursday</v>
      </c>
      <c r="C884" s="2" t="b">
        <f t="shared" si="27"/>
        <v>0</v>
      </c>
      <c r="D884">
        <v>2</v>
      </c>
      <c r="E884" t="s">
        <v>6</v>
      </c>
      <c r="F884">
        <v>227</v>
      </c>
      <c r="G884" s="3">
        <v>4079.34</v>
      </c>
      <c r="H884" s="3">
        <f>Miami_Retail[[#This Row],[sales_usd]] / Miami_Retail[[#This Row],[customers]]</f>
        <v>17.970660792951541</v>
      </c>
      <c r="I884">
        <v>72.8</v>
      </c>
      <c r="J884">
        <f>(Miami_Retail[[#This Row],[avg_temp_f]]-32) * (5/9)</f>
        <v>22.666666666666668</v>
      </c>
      <c r="K884">
        <v>0</v>
      </c>
      <c r="L884">
        <v>0</v>
      </c>
      <c r="M884">
        <v>59.4</v>
      </c>
      <c r="N884">
        <v>49.3</v>
      </c>
      <c r="O884">
        <v>50.7</v>
      </c>
      <c r="P884">
        <v>47.4</v>
      </c>
      <c r="Q884">
        <v>52.6</v>
      </c>
    </row>
    <row r="885" spans="1:17" x14ac:dyDescent="0.25">
      <c r="A885" s="2">
        <v>45079</v>
      </c>
      <c r="B885" s="2" t="str">
        <f t="shared" si="26"/>
        <v>Friday</v>
      </c>
      <c r="C885" s="2" t="b">
        <f t="shared" si="27"/>
        <v>0</v>
      </c>
      <c r="D885">
        <v>2</v>
      </c>
      <c r="E885" t="s">
        <v>6</v>
      </c>
      <c r="F885">
        <v>187</v>
      </c>
      <c r="G885" s="3">
        <v>3511.3</v>
      </c>
      <c r="H885" s="3">
        <f>Miami_Retail[[#This Row],[sales_usd]] / Miami_Retail[[#This Row],[customers]]</f>
        <v>18.777005347593583</v>
      </c>
      <c r="I885">
        <v>68.900000000000006</v>
      </c>
      <c r="J885">
        <f>(Miami_Retail[[#This Row],[avg_temp_f]]-32) * (5/9)</f>
        <v>20.500000000000004</v>
      </c>
      <c r="K885">
        <v>0</v>
      </c>
      <c r="L885">
        <v>0</v>
      </c>
      <c r="M885">
        <v>50.8</v>
      </c>
      <c r="N885">
        <v>50.7</v>
      </c>
      <c r="O885">
        <v>49.3</v>
      </c>
      <c r="P885">
        <v>47.7</v>
      </c>
      <c r="Q885">
        <v>52.3</v>
      </c>
    </row>
    <row r="886" spans="1:17" x14ac:dyDescent="0.25">
      <c r="A886" s="2">
        <v>45080</v>
      </c>
      <c r="B886" s="2" t="str">
        <f t="shared" si="26"/>
        <v>Saturday</v>
      </c>
      <c r="C886" s="2" t="b">
        <f t="shared" si="27"/>
        <v>1</v>
      </c>
      <c r="D886">
        <v>2</v>
      </c>
      <c r="E886" t="s">
        <v>6</v>
      </c>
      <c r="F886">
        <v>247</v>
      </c>
      <c r="G886" s="3">
        <v>4458.26</v>
      </c>
      <c r="H886" s="3">
        <f>Miami_Retail[[#This Row],[sales_usd]] / Miami_Retail[[#This Row],[customers]]</f>
        <v>18.049635627530364</v>
      </c>
      <c r="I886">
        <v>74.7</v>
      </c>
      <c r="J886">
        <f>(Miami_Retail[[#This Row],[avg_temp_f]]-32) * (5/9)</f>
        <v>23.722222222222225</v>
      </c>
      <c r="K886">
        <v>0.11</v>
      </c>
      <c r="L886">
        <v>1</v>
      </c>
      <c r="M886">
        <v>41.6</v>
      </c>
      <c r="N886">
        <v>50.9</v>
      </c>
      <c r="O886">
        <v>49.1</v>
      </c>
      <c r="P886">
        <v>55.2</v>
      </c>
      <c r="Q886">
        <v>44.8</v>
      </c>
    </row>
    <row r="887" spans="1:17" x14ac:dyDescent="0.25">
      <c r="A887" s="2">
        <v>45081</v>
      </c>
      <c r="B887" s="2" t="str">
        <f t="shared" si="26"/>
        <v>Sunday</v>
      </c>
      <c r="C887" s="2" t="b">
        <f t="shared" si="27"/>
        <v>1</v>
      </c>
      <c r="D887">
        <v>2</v>
      </c>
      <c r="E887" t="s">
        <v>6</v>
      </c>
      <c r="F887">
        <v>278</v>
      </c>
      <c r="G887" s="3">
        <v>4949.16</v>
      </c>
      <c r="H887" s="3">
        <f>Miami_Retail[[#This Row],[sales_usd]] / Miami_Retail[[#This Row],[customers]]</f>
        <v>17.80273381294964</v>
      </c>
      <c r="I887">
        <v>76.599999999999994</v>
      </c>
      <c r="J887">
        <f>(Miami_Retail[[#This Row],[avg_temp_f]]-32) * (5/9)</f>
        <v>24.777777777777775</v>
      </c>
      <c r="K887">
        <v>0</v>
      </c>
      <c r="L887">
        <v>0</v>
      </c>
      <c r="M887">
        <v>44</v>
      </c>
      <c r="N887">
        <v>49.6</v>
      </c>
      <c r="O887">
        <v>50.4</v>
      </c>
      <c r="P887">
        <v>52.3</v>
      </c>
      <c r="Q887">
        <v>47.7</v>
      </c>
    </row>
    <row r="888" spans="1:17" x14ac:dyDescent="0.25">
      <c r="A888" s="2">
        <v>45082</v>
      </c>
      <c r="B888" s="2" t="str">
        <f t="shared" si="26"/>
        <v>Monday</v>
      </c>
      <c r="C888" s="2" t="b">
        <f t="shared" si="27"/>
        <v>0</v>
      </c>
      <c r="D888">
        <v>2</v>
      </c>
      <c r="E888" t="s">
        <v>6</v>
      </c>
      <c r="F888">
        <v>263</v>
      </c>
      <c r="G888" s="3">
        <v>4537.96</v>
      </c>
      <c r="H888" s="3">
        <f>Miami_Retail[[#This Row],[sales_usd]] / Miami_Retail[[#This Row],[customers]]</f>
        <v>17.254600760456274</v>
      </c>
      <c r="I888">
        <v>76.5</v>
      </c>
      <c r="J888">
        <f>(Miami_Retail[[#This Row],[avg_temp_f]]-32) * (5/9)</f>
        <v>24.722222222222225</v>
      </c>
      <c r="K888">
        <v>0.63</v>
      </c>
      <c r="L888">
        <v>1</v>
      </c>
      <c r="M888">
        <v>58.1</v>
      </c>
      <c r="N888">
        <v>49.1</v>
      </c>
      <c r="O888">
        <v>50.9</v>
      </c>
      <c r="P888">
        <v>46.4</v>
      </c>
      <c r="Q888">
        <v>53.6</v>
      </c>
    </row>
    <row r="889" spans="1:17" x14ac:dyDescent="0.25">
      <c r="A889" s="2">
        <v>45083</v>
      </c>
      <c r="B889" s="2" t="str">
        <f t="shared" si="26"/>
        <v>Tuesday</v>
      </c>
      <c r="C889" s="2" t="b">
        <f t="shared" si="27"/>
        <v>0</v>
      </c>
      <c r="D889">
        <v>2</v>
      </c>
      <c r="E889" t="s">
        <v>6</v>
      </c>
      <c r="F889">
        <v>243</v>
      </c>
      <c r="G889" s="3">
        <v>4068.1</v>
      </c>
      <c r="H889" s="3">
        <f>Miami_Retail[[#This Row],[sales_usd]] / Miami_Retail[[#This Row],[customers]]</f>
        <v>16.741152263374484</v>
      </c>
      <c r="I889">
        <v>74.900000000000006</v>
      </c>
      <c r="J889">
        <f>(Miami_Retail[[#This Row],[avg_temp_f]]-32) * (5/9)</f>
        <v>23.833333333333339</v>
      </c>
      <c r="K889">
        <v>0</v>
      </c>
      <c r="L889">
        <v>0</v>
      </c>
      <c r="M889">
        <v>58.4</v>
      </c>
      <c r="N889">
        <v>50.6</v>
      </c>
      <c r="O889">
        <v>49.4</v>
      </c>
      <c r="P889">
        <v>46.4</v>
      </c>
      <c r="Q889">
        <v>53.6</v>
      </c>
    </row>
    <row r="890" spans="1:17" x14ac:dyDescent="0.25">
      <c r="A890" s="2">
        <v>45084</v>
      </c>
      <c r="B890" s="2" t="str">
        <f t="shared" si="26"/>
        <v>Wednesday</v>
      </c>
      <c r="C890" s="2" t="b">
        <f t="shared" si="27"/>
        <v>0</v>
      </c>
      <c r="D890">
        <v>2</v>
      </c>
      <c r="E890" t="s">
        <v>6</v>
      </c>
      <c r="F890">
        <v>217</v>
      </c>
      <c r="G890" s="3">
        <v>3692.44</v>
      </c>
      <c r="H890" s="3">
        <f>Miami_Retail[[#This Row],[sales_usd]] / Miami_Retail[[#This Row],[customers]]</f>
        <v>17.015852534562214</v>
      </c>
      <c r="I890">
        <v>73.2</v>
      </c>
      <c r="J890">
        <f>(Miami_Retail[[#This Row],[avg_temp_f]]-32) * (5/9)</f>
        <v>22.888888888888893</v>
      </c>
      <c r="K890">
        <v>1.85</v>
      </c>
      <c r="L890">
        <v>1</v>
      </c>
      <c r="M890">
        <v>53.4</v>
      </c>
      <c r="N890">
        <v>50</v>
      </c>
      <c r="O890">
        <v>50</v>
      </c>
      <c r="P890">
        <v>48.7</v>
      </c>
      <c r="Q890">
        <v>51.3</v>
      </c>
    </row>
    <row r="891" spans="1:17" x14ac:dyDescent="0.25">
      <c r="A891" s="2">
        <v>45085</v>
      </c>
      <c r="B891" s="2" t="str">
        <f t="shared" si="26"/>
        <v>Thursday</v>
      </c>
      <c r="C891" s="2" t="b">
        <f t="shared" si="27"/>
        <v>0</v>
      </c>
      <c r="D891">
        <v>2</v>
      </c>
      <c r="E891" t="s">
        <v>6</v>
      </c>
      <c r="F891">
        <v>244</v>
      </c>
      <c r="G891" s="3">
        <v>4326.43</v>
      </c>
      <c r="H891" s="3">
        <f>Miami_Retail[[#This Row],[sales_usd]] / Miami_Retail[[#This Row],[customers]]</f>
        <v>17.731270491803279</v>
      </c>
      <c r="I891">
        <v>78.599999999999994</v>
      </c>
      <c r="J891">
        <f>(Miami_Retail[[#This Row],[avg_temp_f]]-32) * (5/9)</f>
        <v>25.888888888888886</v>
      </c>
      <c r="K891">
        <v>0.81</v>
      </c>
      <c r="L891">
        <v>1</v>
      </c>
      <c r="M891">
        <v>64.7</v>
      </c>
      <c r="N891">
        <v>48.6</v>
      </c>
      <c r="O891">
        <v>51.4</v>
      </c>
      <c r="P891">
        <v>48.4</v>
      </c>
      <c r="Q891">
        <v>51.6</v>
      </c>
    </row>
    <row r="892" spans="1:17" x14ac:dyDescent="0.25">
      <c r="A892" s="2">
        <v>45086</v>
      </c>
      <c r="B892" s="2" t="str">
        <f t="shared" si="26"/>
        <v>Friday</v>
      </c>
      <c r="C892" s="2" t="b">
        <f t="shared" si="27"/>
        <v>0</v>
      </c>
      <c r="D892">
        <v>2</v>
      </c>
      <c r="E892" t="s">
        <v>6</v>
      </c>
      <c r="F892">
        <v>235</v>
      </c>
      <c r="G892" s="3">
        <v>3987.83</v>
      </c>
      <c r="H892" s="3">
        <f>Miami_Retail[[#This Row],[sales_usd]] / Miami_Retail[[#This Row],[customers]]</f>
        <v>16.969489361702127</v>
      </c>
      <c r="I892">
        <v>74.3</v>
      </c>
      <c r="J892">
        <f>(Miami_Retail[[#This Row],[avg_temp_f]]-32) * (5/9)</f>
        <v>23.5</v>
      </c>
      <c r="K892">
        <v>0.49</v>
      </c>
      <c r="L892">
        <v>1</v>
      </c>
      <c r="M892">
        <v>62.3</v>
      </c>
      <c r="N892">
        <v>50</v>
      </c>
      <c r="O892">
        <v>50</v>
      </c>
      <c r="P892">
        <v>46.1</v>
      </c>
      <c r="Q892">
        <v>53.9</v>
      </c>
    </row>
    <row r="893" spans="1:17" x14ac:dyDescent="0.25">
      <c r="A893" s="2">
        <v>45087</v>
      </c>
      <c r="B893" s="2" t="str">
        <f t="shared" si="26"/>
        <v>Saturday</v>
      </c>
      <c r="C893" s="2" t="b">
        <f t="shared" si="27"/>
        <v>1</v>
      </c>
      <c r="D893">
        <v>2</v>
      </c>
      <c r="E893" t="s">
        <v>6</v>
      </c>
      <c r="F893">
        <v>256</v>
      </c>
      <c r="G893" s="3">
        <v>4390.92</v>
      </c>
      <c r="H893" s="3">
        <f>Miami_Retail[[#This Row],[sales_usd]] / Miami_Retail[[#This Row],[customers]]</f>
        <v>17.15203125</v>
      </c>
      <c r="I893">
        <v>74.8</v>
      </c>
      <c r="J893">
        <f>(Miami_Retail[[#This Row],[avg_temp_f]]-32) * (5/9)</f>
        <v>23.777777777777779</v>
      </c>
      <c r="K893">
        <v>0</v>
      </c>
      <c r="L893">
        <v>0</v>
      </c>
      <c r="M893">
        <v>58.9</v>
      </c>
      <c r="N893">
        <v>50.6</v>
      </c>
      <c r="O893">
        <v>49.4</v>
      </c>
      <c r="P893">
        <v>52.6</v>
      </c>
      <c r="Q893">
        <v>47.4</v>
      </c>
    </row>
    <row r="894" spans="1:17" x14ac:dyDescent="0.25">
      <c r="A894" s="2">
        <v>45088</v>
      </c>
      <c r="B894" s="2" t="str">
        <f t="shared" si="26"/>
        <v>Sunday</v>
      </c>
      <c r="C894" s="2" t="b">
        <f t="shared" si="27"/>
        <v>1</v>
      </c>
      <c r="D894">
        <v>2</v>
      </c>
      <c r="E894" t="s">
        <v>6</v>
      </c>
      <c r="F894">
        <v>276</v>
      </c>
      <c r="G894" s="3">
        <v>4705.92</v>
      </c>
      <c r="H894" s="3">
        <f>Miami_Retail[[#This Row],[sales_usd]] / Miami_Retail[[#This Row],[customers]]</f>
        <v>17.050434782608697</v>
      </c>
      <c r="I894">
        <v>78.3</v>
      </c>
      <c r="J894">
        <f>(Miami_Retail[[#This Row],[avg_temp_f]]-32) * (5/9)</f>
        <v>25.722222222222221</v>
      </c>
      <c r="K894">
        <v>0</v>
      </c>
      <c r="L894">
        <v>0</v>
      </c>
      <c r="M894">
        <v>50.2</v>
      </c>
      <c r="N894">
        <v>47.9</v>
      </c>
      <c r="O894">
        <v>52.1</v>
      </c>
      <c r="P894">
        <v>55.8</v>
      </c>
      <c r="Q894">
        <v>44.2</v>
      </c>
    </row>
    <row r="895" spans="1:17" x14ac:dyDescent="0.25">
      <c r="A895" s="2">
        <v>45089</v>
      </c>
      <c r="B895" s="2" t="str">
        <f t="shared" si="26"/>
        <v>Monday</v>
      </c>
      <c r="C895" s="2" t="b">
        <f t="shared" si="27"/>
        <v>0</v>
      </c>
      <c r="D895">
        <v>2</v>
      </c>
      <c r="E895" t="s">
        <v>6</v>
      </c>
      <c r="F895">
        <v>245</v>
      </c>
      <c r="G895" s="3">
        <v>4403.21</v>
      </c>
      <c r="H895" s="3">
        <f>Miami_Retail[[#This Row],[sales_usd]] / Miami_Retail[[#This Row],[customers]]</f>
        <v>17.972285714285714</v>
      </c>
      <c r="I895">
        <v>75.8</v>
      </c>
      <c r="J895">
        <f>(Miami_Retail[[#This Row],[avg_temp_f]]-32) * (5/9)</f>
        <v>24.333333333333332</v>
      </c>
      <c r="K895">
        <v>0</v>
      </c>
      <c r="L895">
        <v>0</v>
      </c>
      <c r="M895">
        <v>55.5</v>
      </c>
      <c r="N895">
        <v>51.1</v>
      </c>
      <c r="O895">
        <v>48.9</v>
      </c>
      <c r="P895">
        <v>47.2</v>
      </c>
      <c r="Q895">
        <v>52.8</v>
      </c>
    </row>
    <row r="896" spans="1:17" x14ac:dyDescent="0.25">
      <c r="A896" s="2">
        <v>45090</v>
      </c>
      <c r="B896" s="2" t="str">
        <f t="shared" si="26"/>
        <v>Tuesday</v>
      </c>
      <c r="C896" s="2" t="b">
        <f t="shared" si="27"/>
        <v>0</v>
      </c>
      <c r="D896">
        <v>2</v>
      </c>
      <c r="E896" t="s">
        <v>6</v>
      </c>
      <c r="F896">
        <v>267</v>
      </c>
      <c r="G896" s="3">
        <v>4214.41</v>
      </c>
      <c r="H896" s="3">
        <f>Miami_Retail[[#This Row],[sales_usd]] / Miami_Retail[[#This Row],[customers]]</f>
        <v>15.784307116104868</v>
      </c>
      <c r="I896">
        <v>82.7</v>
      </c>
      <c r="J896">
        <f>(Miami_Retail[[#This Row],[avg_temp_f]]-32) * (5/9)</f>
        <v>28.166666666666668</v>
      </c>
      <c r="K896">
        <v>0.67</v>
      </c>
      <c r="L896">
        <v>1</v>
      </c>
      <c r="M896">
        <v>57.7</v>
      </c>
      <c r="N896">
        <v>49.9</v>
      </c>
      <c r="O896">
        <v>50.1</v>
      </c>
      <c r="P896">
        <v>48.3</v>
      </c>
      <c r="Q896">
        <v>51.7</v>
      </c>
    </row>
    <row r="897" spans="1:17" x14ac:dyDescent="0.25">
      <c r="A897" s="2">
        <v>45091</v>
      </c>
      <c r="B897" s="2" t="str">
        <f t="shared" si="26"/>
        <v>Wednesday</v>
      </c>
      <c r="C897" s="2" t="b">
        <f t="shared" si="27"/>
        <v>0</v>
      </c>
      <c r="D897">
        <v>2</v>
      </c>
      <c r="E897" t="s">
        <v>6</v>
      </c>
      <c r="F897">
        <v>254</v>
      </c>
      <c r="G897" s="3">
        <v>4405.3</v>
      </c>
      <c r="H897" s="3">
        <f>Miami_Retail[[#This Row],[sales_usd]] / Miami_Retail[[#This Row],[customers]]</f>
        <v>17.343700787401577</v>
      </c>
      <c r="I897">
        <v>76.900000000000006</v>
      </c>
      <c r="J897">
        <f>(Miami_Retail[[#This Row],[avg_temp_f]]-32) * (5/9)</f>
        <v>24.94444444444445</v>
      </c>
      <c r="K897">
        <v>1.6</v>
      </c>
      <c r="L897">
        <v>1</v>
      </c>
      <c r="M897">
        <v>62</v>
      </c>
      <c r="N897">
        <v>49.3</v>
      </c>
      <c r="O897">
        <v>50.7</v>
      </c>
      <c r="P897">
        <v>46.6</v>
      </c>
      <c r="Q897">
        <v>53.4</v>
      </c>
    </row>
    <row r="898" spans="1:17" x14ac:dyDescent="0.25">
      <c r="A898" s="2">
        <v>45092</v>
      </c>
      <c r="B898" s="2" t="str">
        <f t="shared" ref="B898:B961" si="28">TEXT(A898, "dddd")</f>
        <v>Thursday</v>
      </c>
      <c r="C898" s="2" t="b">
        <f t="shared" ref="C898:C961" si="29">IF(WEEKDAY(A898,2)&gt;5,TRUE,FALSE)</f>
        <v>0</v>
      </c>
      <c r="D898">
        <v>2</v>
      </c>
      <c r="E898" t="s">
        <v>6</v>
      </c>
      <c r="F898">
        <v>239</v>
      </c>
      <c r="G898" s="3">
        <v>3868.56</v>
      </c>
      <c r="H898" s="3">
        <f>Miami_Retail[[#This Row],[sales_usd]] / Miami_Retail[[#This Row],[customers]]</f>
        <v>16.186443514644353</v>
      </c>
      <c r="I898">
        <v>78.5</v>
      </c>
      <c r="J898">
        <f>(Miami_Retail[[#This Row],[avg_temp_f]]-32) * (5/9)</f>
        <v>25.833333333333336</v>
      </c>
      <c r="K898">
        <v>0</v>
      </c>
      <c r="L898">
        <v>0</v>
      </c>
      <c r="M898">
        <v>58.7</v>
      </c>
      <c r="N898">
        <v>49</v>
      </c>
      <c r="O898">
        <v>51</v>
      </c>
      <c r="P898">
        <v>47.1</v>
      </c>
      <c r="Q898">
        <v>52.9</v>
      </c>
    </row>
    <row r="899" spans="1:17" x14ac:dyDescent="0.25">
      <c r="A899" s="2">
        <v>45093</v>
      </c>
      <c r="B899" s="2" t="str">
        <f t="shared" si="28"/>
        <v>Friday</v>
      </c>
      <c r="C899" s="2" t="b">
        <f t="shared" si="29"/>
        <v>0</v>
      </c>
      <c r="D899">
        <v>2</v>
      </c>
      <c r="E899" t="s">
        <v>6</v>
      </c>
      <c r="F899">
        <v>263</v>
      </c>
      <c r="G899" s="3">
        <v>4527.07</v>
      </c>
      <c r="H899" s="3">
        <f>Miami_Retail[[#This Row],[sales_usd]] / Miami_Retail[[#This Row],[customers]]</f>
        <v>17.213193916349809</v>
      </c>
      <c r="I899">
        <v>82.1</v>
      </c>
      <c r="J899">
        <f>(Miami_Retail[[#This Row],[avg_temp_f]]-32) * (5/9)</f>
        <v>27.833333333333332</v>
      </c>
      <c r="K899">
        <v>0</v>
      </c>
      <c r="L899">
        <v>0</v>
      </c>
      <c r="M899">
        <v>57.6</v>
      </c>
      <c r="N899">
        <v>50.6</v>
      </c>
      <c r="O899">
        <v>49.4</v>
      </c>
      <c r="P899">
        <v>47.9</v>
      </c>
      <c r="Q899">
        <v>52.1</v>
      </c>
    </row>
    <row r="900" spans="1:17" x14ac:dyDescent="0.25">
      <c r="A900" s="2">
        <v>45094</v>
      </c>
      <c r="B900" s="2" t="str">
        <f t="shared" si="28"/>
        <v>Saturday</v>
      </c>
      <c r="C900" s="2" t="b">
        <f t="shared" si="29"/>
        <v>1</v>
      </c>
      <c r="D900">
        <v>2</v>
      </c>
      <c r="E900" t="s">
        <v>6</v>
      </c>
      <c r="F900">
        <v>314</v>
      </c>
      <c r="G900" s="3">
        <v>5565.79</v>
      </c>
      <c r="H900" s="3">
        <f>Miami_Retail[[#This Row],[sales_usd]] / Miami_Retail[[#This Row],[customers]]</f>
        <v>17.725445859872611</v>
      </c>
      <c r="I900">
        <v>83.5</v>
      </c>
      <c r="J900">
        <f>(Miami_Retail[[#This Row],[avg_temp_f]]-32) * (5/9)</f>
        <v>28.611111111111111</v>
      </c>
      <c r="K900">
        <v>0</v>
      </c>
      <c r="L900">
        <v>0</v>
      </c>
      <c r="M900">
        <v>56.4</v>
      </c>
      <c r="N900">
        <v>48.8</v>
      </c>
      <c r="O900">
        <v>51.2</v>
      </c>
      <c r="P900">
        <v>53.5</v>
      </c>
      <c r="Q900">
        <v>46.5</v>
      </c>
    </row>
    <row r="901" spans="1:17" x14ac:dyDescent="0.25">
      <c r="A901" s="2">
        <v>45095</v>
      </c>
      <c r="B901" s="2" t="str">
        <f t="shared" si="28"/>
        <v>Sunday</v>
      </c>
      <c r="C901" s="2" t="b">
        <f t="shared" si="29"/>
        <v>1</v>
      </c>
      <c r="D901">
        <v>2</v>
      </c>
      <c r="E901" t="s">
        <v>6</v>
      </c>
      <c r="F901">
        <v>250</v>
      </c>
      <c r="G901" s="3">
        <v>4247.3100000000004</v>
      </c>
      <c r="H901" s="3">
        <f>Miami_Retail[[#This Row],[sales_usd]] / Miami_Retail[[#This Row],[customers]]</f>
        <v>16.989240000000002</v>
      </c>
      <c r="I901">
        <v>71.900000000000006</v>
      </c>
      <c r="J901">
        <f>(Miami_Retail[[#This Row],[avg_temp_f]]-32) * (5/9)</f>
        <v>22.166666666666671</v>
      </c>
      <c r="K901">
        <v>0</v>
      </c>
      <c r="L901">
        <v>0</v>
      </c>
      <c r="M901">
        <v>60</v>
      </c>
      <c r="N901">
        <v>49.2</v>
      </c>
      <c r="O901">
        <v>50.8</v>
      </c>
      <c r="P901">
        <v>54.3</v>
      </c>
      <c r="Q901">
        <v>45.7</v>
      </c>
    </row>
    <row r="902" spans="1:17" x14ac:dyDescent="0.25">
      <c r="A902" s="2">
        <v>45096</v>
      </c>
      <c r="B902" s="2" t="str">
        <f t="shared" si="28"/>
        <v>Monday</v>
      </c>
      <c r="C902" s="2" t="b">
        <f t="shared" si="29"/>
        <v>0</v>
      </c>
      <c r="D902">
        <v>2</v>
      </c>
      <c r="E902" t="s">
        <v>6</v>
      </c>
      <c r="F902">
        <v>227</v>
      </c>
      <c r="G902" s="3">
        <v>3548.07</v>
      </c>
      <c r="H902" s="3">
        <f>Miami_Retail[[#This Row],[sales_usd]] / Miami_Retail[[#This Row],[customers]]</f>
        <v>15.630264317180618</v>
      </c>
      <c r="I902">
        <v>78.5</v>
      </c>
      <c r="J902">
        <f>(Miami_Retail[[#This Row],[avg_temp_f]]-32) * (5/9)</f>
        <v>25.833333333333336</v>
      </c>
      <c r="K902">
        <v>7.0000000000000007E-2</v>
      </c>
      <c r="L902">
        <v>1</v>
      </c>
      <c r="M902">
        <v>58.4</v>
      </c>
      <c r="N902">
        <v>48.7</v>
      </c>
      <c r="O902">
        <v>51.3</v>
      </c>
      <c r="P902">
        <v>45.5</v>
      </c>
      <c r="Q902">
        <v>54.5</v>
      </c>
    </row>
    <row r="903" spans="1:17" x14ac:dyDescent="0.25">
      <c r="A903" s="2">
        <v>45097</v>
      </c>
      <c r="B903" s="2" t="str">
        <f t="shared" si="28"/>
        <v>Tuesday</v>
      </c>
      <c r="C903" s="2" t="b">
        <f t="shared" si="29"/>
        <v>0</v>
      </c>
      <c r="D903">
        <v>2</v>
      </c>
      <c r="E903" t="s">
        <v>6</v>
      </c>
      <c r="F903">
        <v>258</v>
      </c>
      <c r="G903" s="3">
        <v>4345.3</v>
      </c>
      <c r="H903" s="3">
        <f>Miami_Retail[[#This Row],[sales_usd]] / Miami_Retail[[#This Row],[customers]]</f>
        <v>16.842248062015504</v>
      </c>
      <c r="I903">
        <v>72.7</v>
      </c>
      <c r="J903">
        <f>(Miami_Retail[[#This Row],[avg_temp_f]]-32) * (5/9)</f>
        <v>22.611111111111114</v>
      </c>
      <c r="K903">
        <v>0</v>
      </c>
      <c r="L903">
        <v>0</v>
      </c>
      <c r="M903">
        <v>64.400000000000006</v>
      </c>
      <c r="N903">
        <v>50.1</v>
      </c>
      <c r="O903">
        <v>49.9</v>
      </c>
      <c r="P903">
        <v>47.8</v>
      </c>
      <c r="Q903">
        <v>52.2</v>
      </c>
    </row>
    <row r="904" spans="1:17" x14ac:dyDescent="0.25">
      <c r="A904" s="2">
        <v>45098</v>
      </c>
      <c r="B904" s="2" t="str">
        <f t="shared" si="28"/>
        <v>Wednesday</v>
      </c>
      <c r="C904" s="2" t="b">
        <f t="shared" si="29"/>
        <v>0</v>
      </c>
      <c r="D904">
        <v>2</v>
      </c>
      <c r="E904" t="s">
        <v>6</v>
      </c>
      <c r="F904">
        <v>226</v>
      </c>
      <c r="G904" s="3">
        <v>4416.57</v>
      </c>
      <c r="H904" s="3">
        <f>Miami_Retail[[#This Row],[sales_usd]] / Miami_Retail[[#This Row],[customers]]</f>
        <v>19.54234513274336</v>
      </c>
      <c r="I904">
        <v>77.3</v>
      </c>
      <c r="J904">
        <f>(Miami_Retail[[#This Row],[avg_temp_f]]-32) * (5/9)</f>
        <v>25.166666666666668</v>
      </c>
      <c r="K904">
        <v>0</v>
      </c>
      <c r="L904">
        <v>0</v>
      </c>
      <c r="M904">
        <v>59</v>
      </c>
      <c r="N904">
        <v>48.1</v>
      </c>
      <c r="O904">
        <v>51.9</v>
      </c>
      <c r="P904">
        <v>48.5</v>
      </c>
      <c r="Q904">
        <v>51.5</v>
      </c>
    </row>
    <row r="905" spans="1:17" x14ac:dyDescent="0.25">
      <c r="A905" s="2">
        <v>45099</v>
      </c>
      <c r="B905" s="2" t="str">
        <f t="shared" si="28"/>
        <v>Thursday</v>
      </c>
      <c r="C905" s="2" t="b">
        <f t="shared" si="29"/>
        <v>0</v>
      </c>
      <c r="D905">
        <v>2</v>
      </c>
      <c r="E905" t="s">
        <v>6</v>
      </c>
      <c r="F905">
        <v>234</v>
      </c>
      <c r="G905" s="3">
        <v>3978.13</v>
      </c>
      <c r="H905" s="3">
        <f>Miami_Retail[[#This Row],[sales_usd]] / Miami_Retail[[#This Row],[customers]]</f>
        <v>17.000555555555557</v>
      </c>
      <c r="I905">
        <v>78.7</v>
      </c>
      <c r="J905">
        <f>(Miami_Retail[[#This Row],[avg_temp_f]]-32) * (5/9)</f>
        <v>25.944444444444446</v>
      </c>
      <c r="K905">
        <v>0</v>
      </c>
      <c r="L905">
        <v>0</v>
      </c>
      <c r="M905">
        <v>48.7</v>
      </c>
      <c r="N905">
        <v>51.2</v>
      </c>
      <c r="O905">
        <v>48.8</v>
      </c>
      <c r="P905">
        <v>47.2</v>
      </c>
      <c r="Q905">
        <v>52.8</v>
      </c>
    </row>
    <row r="906" spans="1:17" x14ac:dyDescent="0.25">
      <c r="A906" s="2">
        <v>45100</v>
      </c>
      <c r="B906" s="2" t="str">
        <f t="shared" si="28"/>
        <v>Friday</v>
      </c>
      <c r="C906" s="2" t="b">
        <f t="shared" si="29"/>
        <v>0</v>
      </c>
      <c r="D906">
        <v>2</v>
      </c>
      <c r="E906" t="s">
        <v>6</v>
      </c>
      <c r="F906">
        <v>248</v>
      </c>
      <c r="G906" s="3">
        <v>4159.3599999999997</v>
      </c>
      <c r="H906" s="3">
        <f>Miami_Retail[[#This Row],[sales_usd]] / Miami_Retail[[#This Row],[customers]]</f>
        <v>16.771612903225805</v>
      </c>
      <c r="I906">
        <v>81.400000000000006</v>
      </c>
      <c r="J906">
        <f>(Miami_Retail[[#This Row],[avg_temp_f]]-32) * (5/9)</f>
        <v>27.44444444444445</v>
      </c>
      <c r="K906">
        <v>1.02</v>
      </c>
      <c r="L906">
        <v>1</v>
      </c>
      <c r="M906">
        <v>60.4</v>
      </c>
      <c r="N906">
        <v>48.2</v>
      </c>
      <c r="O906">
        <v>51.8</v>
      </c>
      <c r="P906">
        <v>48.1</v>
      </c>
      <c r="Q906">
        <v>51.9</v>
      </c>
    </row>
    <row r="907" spans="1:17" x14ac:dyDescent="0.25">
      <c r="A907" s="2">
        <v>45101</v>
      </c>
      <c r="B907" s="2" t="str">
        <f t="shared" si="28"/>
        <v>Saturday</v>
      </c>
      <c r="C907" s="2" t="b">
        <f t="shared" si="29"/>
        <v>1</v>
      </c>
      <c r="D907">
        <v>2</v>
      </c>
      <c r="E907" t="s">
        <v>6</v>
      </c>
      <c r="F907">
        <v>314</v>
      </c>
      <c r="G907" s="3">
        <v>5447.7</v>
      </c>
      <c r="H907" s="3">
        <f>Miami_Retail[[#This Row],[sales_usd]] / Miami_Retail[[#This Row],[customers]]</f>
        <v>17.34936305732484</v>
      </c>
      <c r="I907">
        <v>86.1</v>
      </c>
      <c r="J907">
        <f>(Miami_Retail[[#This Row],[avg_temp_f]]-32) * (5/9)</f>
        <v>30.055555555555554</v>
      </c>
      <c r="K907">
        <v>1.04</v>
      </c>
      <c r="L907">
        <v>1</v>
      </c>
      <c r="M907">
        <v>56.7</v>
      </c>
      <c r="N907">
        <v>49.4</v>
      </c>
      <c r="O907">
        <v>50.6</v>
      </c>
      <c r="P907">
        <v>53.2</v>
      </c>
      <c r="Q907">
        <v>46.8</v>
      </c>
    </row>
    <row r="908" spans="1:17" x14ac:dyDescent="0.25">
      <c r="A908" s="2">
        <v>45102</v>
      </c>
      <c r="B908" s="2" t="str">
        <f t="shared" si="28"/>
        <v>Sunday</v>
      </c>
      <c r="C908" s="2" t="b">
        <f t="shared" si="29"/>
        <v>1</v>
      </c>
      <c r="D908">
        <v>2</v>
      </c>
      <c r="E908" t="s">
        <v>6</v>
      </c>
      <c r="F908">
        <v>254</v>
      </c>
      <c r="G908" s="3">
        <v>4594.53</v>
      </c>
      <c r="H908" s="3">
        <f>Miami_Retail[[#This Row],[sales_usd]] / Miami_Retail[[#This Row],[customers]]</f>
        <v>18.088700787401574</v>
      </c>
      <c r="I908">
        <v>73.900000000000006</v>
      </c>
      <c r="J908">
        <f>(Miami_Retail[[#This Row],[avg_temp_f]]-32) * (5/9)</f>
        <v>23.277777777777782</v>
      </c>
      <c r="K908">
        <v>0</v>
      </c>
      <c r="L908">
        <v>0</v>
      </c>
      <c r="M908">
        <v>50.8</v>
      </c>
      <c r="N908">
        <v>48.3</v>
      </c>
      <c r="O908">
        <v>51.7</v>
      </c>
      <c r="P908">
        <v>52.3</v>
      </c>
      <c r="Q908">
        <v>47.7</v>
      </c>
    </row>
    <row r="909" spans="1:17" x14ac:dyDescent="0.25">
      <c r="A909" s="2">
        <v>45103</v>
      </c>
      <c r="B909" s="2" t="str">
        <f t="shared" si="28"/>
        <v>Monday</v>
      </c>
      <c r="C909" s="2" t="b">
        <f t="shared" si="29"/>
        <v>0</v>
      </c>
      <c r="D909">
        <v>2</v>
      </c>
      <c r="E909" t="s">
        <v>6</v>
      </c>
      <c r="F909">
        <v>243</v>
      </c>
      <c r="G909" s="3">
        <v>4477.21</v>
      </c>
      <c r="H909" s="3">
        <f>Miami_Retail[[#This Row],[sales_usd]] / Miami_Retail[[#This Row],[customers]]</f>
        <v>18.424732510288067</v>
      </c>
      <c r="I909">
        <v>85.7</v>
      </c>
      <c r="J909">
        <f>(Miami_Retail[[#This Row],[avg_temp_f]]-32) * (5/9)</f>
        <v>29.833333333333336</v>
      </c>
      <c r="K909">
        <v>0</v>
      </c>
      <c r="L909">
        <v>0</v>
      </c>
      <c r="M909">
        <v>63.4</v>
      </c>
      <c r="N909">
        <v>50.5</v>
      </c>
      <c r="O909">
        <v>49.5</v>
      </c>
      <c r="P909">
        <v>47.4</v>
      </c>
      <c r="Q909">
        <v>52.6</v>
      </c>
    </row>
    <row r="910" spans="1:17" x14ac:dyDescent="0.25">
      <c r="A910" s="2">
        <v>45104</v>
      </c>
      <c r="B910" s="2" t="str">
        <f t="shared" si="28"/>
        <v>Tuesday</v>
      </c>
      <c r="C910" s="2" t="b">
        <f t="shared" si="29"/>
        <v>0</v>
      </c>
      <c r="D910">
        <v>2</v>
      </c>
      <c r="E910" t="s">
        <v>6</v>
      </c>
      <c r="F910">
        <v>207</v>
      </c>
      <c r="G910" s="3">
        <v>3498.21</v>
      </c>
      <c r="H910" s="3">
        <f>Miami_Retail[[#This Row],[sales_usd]] / Miami_Retail[[#This Row],[customers]]</f>
        <v>16.899565217391306</v>
      </c>
      <c r="I910">
        <v>80.3</v>
      </c>
      <c r="J910">
        <f>(Miami_Retail[[#This Row],[avg_temp_f]]-32) * (5/9)</f>
        <v>26.833333333333332</v>
      </c>
      <c r="K910">
        <v>2.4500000000000002</v>
      </c>
      <c r="L910">
        <v>1</v>
      </c>
      <c r="M910">
        <v>56.4</v>
      </c>
      <c r="N910">
        <v>48.9</v>
      </c>
      <c r="O910">
        <v>51.1</v>
      </c>
      <c r="P910">
        <v>47.8</v>
      </c>
      <c r="Q910">
        <v>52.2</v>
      </c>
    </row>
    <row r="911" spans="1:17" x14ac:dyDescent="0.25">
      <c r="A911" s="2">
        <v>45105</v>
      </c>
      <c r="B911" s="2" t="str">
        <f t="shared" si="28"/>
        <v>Wednesday</v>
      </c>
      <c r="C911" s="2" t="b">
        <f t="shared" si="29"/>
        <v>0</v>
      </c>
      <c r="D911">
        <v>2</v>
      </c>
      <c r="E911" t="s">
        <v>6</v>
      </c>
      <c r="F911">
        <v>211</v>
      </c>
      <c r="G911" s="3">
        <v>3399.86</v>
      </c>
      <c r="H911" s="3">
        <f>Miami_Retail[[#This Row],[sales_usd]] / Miami_Retail[[#This Row],[customers]]</f>
        <v>16.113080568720381</v>
      </c>
      <c r="I911">
        <v>79.3</v>
      </c>
      <c r="J911">
        <f>(Miami_Retail[[#This Row],[avg_temp_f]]-32) * (5/9)</f>
        <v>26.277777777777779</v>
      </c>
      <c r="K911">
        <v>0</v>
      </c>
      <c r="L911">
        <v>0</v>
      </c>
      <c r="M911">
        <v>65.5</v>
      </c>
      <c r="N911">
        <v>49.2</v>
      </c>
      <c r="O911">
        <v>50.8</v>
      </c>
      <c r="P911">
        <v>46.8</v>
      </c>
      <c r="Q911">
        <v>53.2</v>
      </c>
    </row>
    <row r="912" spans="1:17" x14ac:dyDescent="0.25">
      <c r="A912" s="2">
        <v>45106</v>
      </c>
      <c r="B912" s="2" t="str">
        <f t="shared" si="28"/>
        <v>Thursday</v>
      </c>
      <c r="C912" s="2" t="b">
        <f t="shared" si="29"/>
        <v>0</v>
      </c>
      <c r="D912">
        <v>2</v>
      </c>
      <c r="E912" t="s">
        <v>6</v>
      </c>
      <c r="F912">
        <v>266</v>
      </c>
      <c r="G912" s="3">
        <v>4193.0600000000004</v>
      </c>
      <c r="H912" s="3">
        <f>Miami_Retail[[#This Row],[sales_usd]] / Miami_Retail[[#This Row],[customers]]</f>
        <v>15.763383458646619</v>
      </c>
      <c r="I912">
        <v>83.2</v>
      </c>
      <c r="J912">
        <f>(Miami_Retail[[#This Row],[avg_temp_f]]-32) * (5/9)</f>
        <v>28.444444444444446</v>
      </c>
      <c r="K912">
        <v>0.11</v>
      </c>
      <c r="L912">
        <v>1</v>
      </c>
      <c r="M912">
        <v>75.7</v>
      </c>
      <c r="N912">
        <v>48.5</v>
      </c>
      <c r="O912">
        <v>51.5</v>
      </c>
      <c r="P912">
        <v>47.5</v>
      </c>
      <c r="Q912">
        <v>52.5</v>
      </c>
    </row>
    <row r="913" spans="1:17" x14ac:dyDescent="0.25">
      <c r="A913" s="2">
        <v>45107</v>
      </c>
      <c r="B913" s="2" t="str">
        <f t="shared" si="28"/>
        <v>Friday</v>
      </c>
      <c r="C913" s="2" t="b">
        <f t="shared" si="29"/>
        <v>0</v>
      </c>
      <c r="D913">
        <v>2</v>
      </c>
      <c r="E913" t="s">
        <v>6</v>
      </c>
      <c r="F913">
        <v>231</v>
      </c>
      <c r="G913" s="3">
        <v>4420.7700000000004</v>
      </c>
      <c r="H913" s="3">
        <f>Miami_Retail[[#This Row],[sales_usd]] / Miami_Retail[[#This Row],[customers]]</f>
        <v>19.13753246753247</v>
      </c>
      <c r="I913">
        <v>78.099999999999994</v>
      </c>
      <c r="J913">
        <f>(Miami_Retail[[#This Row],[avg_temp_f]]-32) * (5/9)</f>
        <v>25.611111111111111</v>
      </c>
      <c r="K913">
        <v>0.96</v>
      </c>
      <c r="L913">
        <v>1</v>
      </c>
      <c r="M913">
        <v>58.9</v>
      </c>
      <c r="N913">
        <v>48.7</v>
      </c>
      <c r="O913">
        <v>51.3</v>
      </c>
      <c r="P913">
        <v>46.4</v>
      </c>
      <c r="Q913">
        <v>53.6</v>
      </c>
    </row>
    <row r="914" spans="1:17" x14ac:dyDescent="0.25">
      <c r="A914" s="2">
        <v>45108</v>
      </c>
      <c r="B914" s="2" t="str">
        <f t="shared" si="28"/>
        <v>Saturday</v>
      </c>
      <c r="C914" s="2" t="b">
        <f t="shared" si="29"/>
        <v>1</v>
      </c>
      <c r="D914">
        <v>2</v>
      </c>
      <c r="E914" t="s">
        <v>6</v>
      </c>
      <c r="F914">
        <v>287</v>
      </c>
      <c r="G914" s="3">
        <v>4756.55</v>
      </c>
      <c r="H914" s="3">
        <f>Miami_Retail[[#This Row],[sales_usd]] / Miami_Retail[[#This Row],[customers]]</f>
        <v>16.573344947735194</v>
      </c>
      <c r="I914">
        <v>83.5</v>
      </c>
      <c r="J914">
        <f>(Miami_Retail[[#This Row],[avg_temp_f]]-32) * (5/9)</f>
        <v>28.611111111111111</v>
      </c>
      <c r="K914">
        <v>0</v>
      </c>
      <c r="L914">
        <v>0</v>
      </c>
      <c r="M914">
        <v>65.099999999999994</v>
      </c>
      <c r="N914">
        <v>48.9</v>
      </c>
      <c r="O914">
        <v>51.1</v>
      </c>
      <c r="P914">
        <v>53.6</v>
      </c>
      <c r="Q914">
        <v>46.4</v>
      </c>
    </row>
    <row r="915" spans="1:17" x14ac:dyDescent="0.25">
      <c r="A915" s="2">
        <v>45109</v>
      </c>
      <c r="B915" s="2" t="str">
        <f t="shared" si="28"/>
        <v>Sunday</v>
      </c>
      <c r="C915" s="2" t="b">
        <f t="shared" si="29"/>
        <v>1</v>
      </c>
      <c r="D915">
        <v>2</v>
      </c>
      <c r="E915" t="s">
        <v>6</v>
      </c>
      <c r="F915">
        <v>229</v>
      </c>
      <c r="G915" s="3">
        <v>3851.43</v>
      </c>
      <c r="H915" s="3">
        <f>Miami_Retail[[#This Row],[sales_usd]] / Miami_Retail[[#This Row],[customers]]</f>
        <v>16.818471615720522</v>
      </c>
      <c r="I915">
        <v>77</v>
      </c>
      <c r="J915">
        <f>(Miami_Retail[[#This Row],[avg_temp_f]]-32) * (5/9)</f>
        <v>25</v>
      </c>
      <c r="K915">
        <v>2.08</v>
      </c>
      <c r="L915">
        <v>1</v>
      </c>
      <c r="M915">
        <v>61.3</v>
      </c>
      <c r="N915">
        <v>48.3</v>
      </c>
      <c r="O915">
        <v>51.7</v>
      </c>
      <c r="P915">
        <v>53.1</v>
      </c>
      <c r="Q915">
        <v>46.9</v>
      </c>
    </row>
    <row r="916" spans="1:17" x14ac:dyDescent="0.25">
      <c r="A916" s="2">
        <v>45110</v>
      </c>
      <c r="B916" s="2" t="str">
        <f t="shared" si="28"/>
        <v>Monday</v>
      </c>
      <c r="C916" s="2" t="b">
        <f t="shared" si="29"/>
        <v>0</v>
      </c>
      <c r="D916">
        <v>2</v>
      </c>
      <c r="E916" t="s">
        <v>6</v>
      </c>
      <c r="F916">
        <v>252</v>
      </c>
      <c r="G916" s="3">
        <v>4328.8900000000003</v>
      </c>
      <c r="H916" s="3">
        <f>Miami_Retail[[#This Row],[sales_usd]] / Miami_Retail[[#This Row],[customers]]</f>
        <v>17.178134920634921</v>
      </c>
      <c r="I916">
        <v>82.9</v>
      </c>
      <c r="J916">
        <f>(Miami_Retail[[#This Row],[avg_temp_f]]-32) * (5/9)</f>
        <v>28.277777777777782</v>
      </c>
      <c r="K916">
        <v>1.27</v>
      </c>
      <c r="L916">
        <v>1</v>
      </c>
      <c r="M916">
        <v>69.5</v>
      </c>
      <c r="N916">
        <v>50.9</v>
      </c>
      <c r="O916">
        <v>49.1</v>
      </c>
      <c r="P916">
        <v>48.8</v>
      </c>
      <c r="Q916">
        <v>51.2</v>
      </c>
    </row>
    <row r="917" spans="1:17" x14ac:dyDescent="0.25">
      <c r="A917" s="2">
        <v>45111</v>
      </c>
      <c r="B917" s="2" t="str">
        <f t="shared" si="28"/>
        <v>Tuesday</v>
      </c>
      <c r="C917" s="2" t="b">
        <f t="shared" si="29"/>
        <v>0</v>
      </c>
      <c r="D917">
        <v>2</v>
      </c>
      <c r="E917" t="s">
        <v>6</v>
      </c>
      <c r="F917">
        <v>285</v>
      </c>
      <c r="G917" s="3">
        <v>4463.41</v>
      </c>
      <c r="H917" s="3">
        <f>Miami_Retail[[#This Row],[sales_usd]] / Miami_Retail[[#This Row],[customers]]</f>
        <v>15.661087719298244</v>
      </c>
      <c r="I917">
        <v>82.7</v>
      </c>
      <c r="J917">
        <f>(Miami_Retail[[#This Row],[avg_temp_f]]-32) * (5/9)</f>
        <v>28.166666666666668</v>
      </c>
      <c r="K917">
        <v>0.51</v>
      </c>
      <c r="L917">
        <v>1</v>
      </c>
      <c r="M917">
        <v>56.7</v>
      </c>
      <c r="N917">
        <v>48.9</v>
      </c>
      <c r="O917">
        <v>51.1</v>
      </c>
      <c r="P917">
        <v>47</v>
      </c>
      <c r="Q917">
        <v>53</v>
      </c>
    </row>
    <row r="918" spans="1:17" x14ac:dyDescent="0.25">
      <c r="A918" s="2">
        <v>45112</v>
      </c>
      <c r="B918" s="2" t="str">
        <f t="shared" si="28"/>
        <v>Wednesday</v>
      </c>
      <c r="C918" s="2" t="b">
        <f t="shared" si="29"/>
        <v>0</v>
      </c>
      <c r="D918">
        <v>2</v>
      </c>
      <c r="E918" t="s">
        <v>6</v>
      </c>
      <c r="F918">
        <v>265</v>
      </c>
      <c r="G918" s="3">
        <v>4515.2700000000004</v>
      </c>
      <c r="H918" s="3">
        <f>Miami_Retail[[#This Row],[sales_usd]] / Miami_Retail[[#This Row],[customers]]</f>
        <v>17.038754716981135</v>
      </c>
      <c r="I918">
        <v>77.599999999999994</v>
      </c>
      <c r="J918">
        <f>(Miami_Retail[[#This Row],[avg_temp_f]]-32) * (5/9)</f>
        <v>25.333333333333332</v>
      </c>
      <c r="K918">
        <v>0</v>
      </c>
      <c r="L918">
        <v>0</v>
      </c>
      <c r="M918">
        <v>64.3</v>
      </c>
      <c r="N918">
        <v>48.3</v>
      </c>
      <c r="O918">
        <v>51.7</v>
      </c>
      <c r="P918">
        <v>46.7</v>
      </c>
      <c r="Q918">
        <v>53.3</v>
      </c>
    </row>
    <row r="919" spans="1:17" x14ac:dyDescent="0.25">
      <c r="A919" s="2">
        <v>45113</v>
      </c>
      <c r="B919" s="2" t="str">
        <f t="shared" si="28"/>
        <v>Thursday</v>
      </c>
      <c r="C919" s="2" t="b">
        <f t="shared" si="29"/>
        <v>0</v>
      </c>
      <c r="D919">
        <v>2</v>
      </c>
      <c r="E919" t="s">
        <v>6</v>
      </c>
      <c r="F919">
        <v>254</v>
      </c>
      <c r="G919" s="3">
        <v>4572.84</v>
      </c>
      <c r="H919" s="3">
        <f>Miami_Retail[[#This Row],[sales_usd]] / Miami_Retail[[#This Row],[customers]]</f>
        <v>18.003307086614175</v>
      </c>
      <c r="I919">
        <v>79.900000000000006</v>
      </c>
      <c r="J919">
        <f>(Miami_Retail[[#This Row],[avg_temp_f]]-32) * (5/9)</f>
        <v>26.611111111111114</v>
      </c>
      <c r="K919">
        <v>0.95</v>
      </c>
      <c r="L919">
        <v>1</v>
      </c>
      <c r="M919">
        <v>68.8</v>
      </c>
      <c r="N919">
        <v>48.6</v>
      </c>
      <c r="O919">
        <v>51.4</v>
      </c>
      <c r="P919">
        <v>46.3</v>
      </c>
      <c r="Q919">
        <v>53.7</v>
      </c>
    </row>
    <row r="920" spans="1:17" x14ac:dyDescent="0.25">
      <c r="A920" s="2">
        <v>45114</v>
      </c>
      <c r="B920" s="2" t="str">
        <f t="shared" si="28"/>
        <v>Friday</v>
      </c>
      <c r="C920" s="2" t="b">
        <f t="shared" si="29"/>
        <v>0</v>
      </c>
      <c r="D920">
        <v>2</v>
      </c>
      <c r="E920" t="s">
        <v>6</v>
      </c>
      <c r="F920">
        <v>241</v>
      </c>
      <c r="G920" s="3">
        <v>3912.66</v>
      </c>
      <c r="H920" s="3">
        <f>Miami_Retail[[#This Row],[sales_usd]] / Miami_Retail[[#This Row],[customers]]</f>
        <v>16.235103734439832</v>
      </c>
      <c r="I920">
        <v>77.3</v>
      </c>
      <c r="J920">
        <f>(Miami_Retail[[#This Row],[avg_temp_f]]-32) * (5/9)</f>
        <v>25.166666666666668</v>
      </c>
      <c r="K920">
        <v>0</v>
      </c>
      <c r="L920">
        <v>0</v>
      </c>
      <c r="M920">
        <v>61</v>
      </c>
      <c r="N920">
        <v>48.9</v>
      </c>
      <c r="O920">
        <v>51.1</v>
      </c>
      <c r="P920">
        <v>45.4</v>
      </c>
      <c r="Q920">
        <v>54.6</v>
      </c>
    </row>
    <row r="921" spans="1:17" x14ac:dyDescent="0.25">
      <c r="A921" s="2">
        <v>45115</v>
      </c>
      <c r="B921" s="2" t="str">
        <f t="shared" si="28"/>
        <v>Saturday</v>
      </c>
      <c r="C921" s="2" t="b">
        <f t="shared" si="29"/>
        <v>1</v>
      </c>
      <c r="D921">
        <v>2</v>
      </c>
      <c r="E921" t="s">
        <v>6</v>
      </c>
      <c r="F921">
        <v>287</v>
      </c>
      <c r="G921" s="3">
        <v>4849.16</v>
      </c>
      <c r="H921" s="3">
        <f>Miami_Retail[[#This Row],[sales_usd]] / Miami_Retail[[#This Row],[customers]]</f>
        <v>16.89602787456446</v>
      </c>
      <c r="I921">
        <v>82</v>
      </c>
      <c r="J921">
        <f>(Miami_Retail[[#This Row],[avg_temp_f]]-32) * (5/9)</f>
        <v>27.777777777777779</v>
      </c>
      <c r="K921">
        <v>0.56999999999999995</v>
      </c>
      <c r="L921">
        <v>1</v>
      </c>
      <c r="M921">
        <v>63.8</v>
      </c>
      <c r="N921">
        <v>49.2</v>
      </c>
      <c r="O921">
        <v>50.8</v>
      </c>
      <c r="P921">
        <v>51.9</v>
      </c>
      <c r="Q921">
        <v>48.1</v>
      </c>
    </row>
    <row r="922" spans="1:17" x14ac:dyDescent="0.25">
      <c r="A922" s="2">
        <v>45116</v>
      </c>
      <c r="B922" s="2" t="str">
        <f t="shared" si="28"/>
        <v>Sunday</v>
      </c>
      <c r="C922" s="2" t="b">
        <f t="shared" si="29"/>
        <v>1</v>
      </c>
      <c r="D922">
        <v>2</v>
      </c>
      <c r="E922" t="s">
        <v>6</v>
      </c>
      <c r="F922">
        <v>292</v>
      </c>
      <c r="G922" s="3">
        <v>4833.54</v>
      </c>
      <c r="H922" s="3">
        <f>Miami_Retail[[#This Row],[sales_usd]] / Miami_Retail[[#This Row],[customers]]</f>
        <v>16.553219178082191</v>
      </c>
      <c r="I922">
        <v>79.099999999999994</v>
      </c>
      <c r="J922">
        <f>(Miami_Retail[[#This Row],[avg_temp_f]]-32) * (5/9)</f>
        <v>26.166666666666664</v>
      </c>
      <c r="K922">
        <v>0</v>
      </c>
      <c r="L922">
        <v>0</v>
      </c>
      <c r="M922">
        <v>61.1</v>
      </c>
      <c r="N922">
        <v>49.3</v>
      </c>
      <c r="O922">
        <v>50.7</v>
      </c>
      <c r="P922">
        <v>52.4</v>
      </c>
      <c r="Q922">
        <v>47.6</v>
      </c>
    </row>
    <row r="923" spans="1:17" x14ac:dyDescent="0.25">
      <c r="A923" s="2">
        <v>45117</v>
      </c>
      <c r="B923" s="2" t="str">
        <f t="shared" si="28"/>
        <v>Monday</v>
      </c>
      <c r="C923" s="2" t="b">
        <f t="shared" si="29"/>
        <v>0</v>
      </c>
      <c r="D923">
        <v>2</v>
      </c>
      <c r="E923" t="s">
        <v>6</v>
      </c>
      <c r="F923">
        <v>271</v>
      </c>
      <c r="G923" s="3">
        <v>4529.6899999999996</v>
      </c>
      <c r="H923" s="3">
        <f>Miami_Retail[[#This Row],[sales_usd]] / Miami_Retail[[#This Row],[customers]]</f>
        <v>16.71472324723247</v>
      </c>
      <c r="I923">
        <v>80.7</v>
      </c>
      <c r="J923">
        <f>(Miami_Retail[[#This Row],[avg_temp_f]]-32) * (5/9)</f>
        <v>27.055555555555557</v>
      </c>
      <c r="K923">
        <v>1</v>
      </c>
      <c r="L923">
        <v>1</v>
      </c>
      <c r="M923">
        <v>69.599999999999994</v>
      </c>
      <c r="N923">
        <v>47.3</v>
      </c>
      <c r="O923">
        <v>52.7</v>
      </c>
      <c r="P923">
        <v>46.3</v>
      </c>
      <c r="Q923">
        <v>53.7</v>
      </c>
    </row>
    <row r="924" spans="1:17" x14ac:dyDescent="0.25">
      <c r="A924" s="2">
        <v>45118</v>
      </c>
      <c r="B924" s="2" t="str">
        <f t="shared" si="28"/>
        <v>Tuesday</v>
      </c>
      <c r="C924" s="2" t="b">
        <f t="shared" si="29"/>
        <v>0</v>
      </c>
      <c r="D924">
        <v>2</v>
      </c>
      <c r="E924" t="s">
        <v>6</v>
      </c>
      <c r="F924">
        <v>261</v>
      </c>
      <c r="G924" s="3">
        <v>4528.92</v>
      </c>
      <c r="H924" s="3">
        <f>Miami_Retail[[#This Row],[sales_usd]] / Miami_Retail[[#This Row],[customers]]</f>
        <v>17.352183908045976</v>
      </c>
      <c r="I924">
        <v>83.3</v>
      </c>
      <c r="J924">
        <f>(Miami_Retail[[#This Row],[avg_temp_f]]-32) * (5/9)</f>
        <v>28.5</v>
      </c>
      <c r="K924">
        <v>0</v>
      </c>
      <c r="L924">
        <v>0</v>
      </c>
      <c r="M924">
        <v>68.5</v>
      </c>
      <c r="N924">
        <v>49.4</v>
      </c>
      <c r="O924">
        <v>50.6</v>
      </c>
      <c r="P924">
        <v>48.2</v>
      </c>
      <c r="Q924">
        <v>51.8</v>
      </c>
    </row>
    <row r="925" spans="1:17" x14ac:dyDescent="0.25">
      <c r="A925" s="2">
        <v>45119</v>
      </c>
      <c r="B925" s="2" t="str">
        <f t="shared" si="28"/>
        <v>Wednesday</v>
      </c>
      <c r="C925" s="2" t="b">
        <f t="shared" si="29"/>
        <v>0</v>
      </c>
      <c r="D925">
        <v>2</v>
      </c>
      <c r="E925" t="s">
        <v>6</v>
      </c>
      <c r="F925">
        <v>259</v>
      </c>
      <c r="G925" s="3">
        <v>4774.54</v>
      </c>
      <c r="H925" s="3">
        <f>Miami_Retail[[#This Row],[sales_usd]] / Miami_Retail[[#This Row],[customers]]</f>
        <v>18.434517374517373</v>
      </c>
      <c r="I925">
        <v>82.7</v>
      </c>
      <c r="J925">
        <f>(Miami_Retail[[#This Row],[avg_temp_f]]-32) * (5/9)</f>
        <v>28.166666666666668</v>
      </c>
      <c r="K925">
        <v>0</v>
      </c>
      <c r="L925">
        <v>0</v>
      </c>
      <c r="M925">
        <v>70.099999999999994</v>
      </c>
      <c r="N925">
        <v>48.8</v>
      </c>
      <c r="O925">
        <v>51.2</v>
      </c>
      <c r="P925">
        <v>46.7</v>
      </c>
      <c r="Q925">
        <v>53.3</v>
      </c>
    </row>
    <row r="926" spans="1:17" x14ac:dyDescent="0.25">
      <c r="A926" s="2">
        <v>45120</v>
      </c>
      <c r="B926" s="2" t="str">
        <f t="shared" si="28"/>
        <v>Thursday</v>
      </c>
      <c r="C926" s="2" t="b">
        <f t="shared" si="29"/>
        <v>0</v>
      </c>
      <c r="D926">
        <v>2</v>
      </c>
      <c r="E926" t="s">
        <v>6</v>
      </c>
      <c r="F926">
        <v>263</v>
      </c>
      <c r="G926" s="3">
        <v>4929.32</v>
      </c>
      <c r="H926" s="3">
        <f>Miami_Retail[[#This Row],[sales_usd]] / Miami_Retail[[#This Row],[customers]]</f>
        <v>18.742661596958175</v>
      </c>
      <c r="I926">
        <v>84.7</v>
      </c>
      <c r="J926">
        <f>(Miami_Retail[[#This Row],[avg_temp_f]]-32) * (5/9)</f>
        <v>29.277777777777782</v>
      </c>
      <c r="K926">
        <v>1.2</v>
      </c>
      <c r="L926">
        <v>1</v>
      </c>
      <c r="M926">
        <v>68.900000000000006</v>
      </c>
      <c r="N926">
        <v>49</v>
      </c>
      <c r="O926">
        <v>51</v>
      </c>
      <c r="P926">
        <v>45.6</v>
      </c>
      <c r="Q926">
        <v>54.4</v>
      </c>
    </row>
    <row r="927" spans="1:17" x14ac:dyDescent="0.25">
      <c r="A927" s="2">
        <v>45121</v>
      </c>
      <c r="B927" s="2" t="str">
        <f t="shared" si="28"/>
        <v>Friday</v>
      </c>
      <c r="C927" s="2" t="b">
        <f t="shared" si="29"/>
        <v>0</v>
      </c>
      <c r="D927">
        <v>2</v>
      </c>
      <c r="E927" t="s">
        <v>6</v>
      </c>
      <c r="F927">
        <v>266</v>
      </c>
      <c r="G927" s="3">
        <v>4868.26</v>
      </c>
      <c r="H927" s="3">
        <f>Miami_Retail[[#This Row],[sales_usd]] / Miami_Retail[[#This Row],[customers]]</f>
        <v>18.301729323308273</v>
      </c>
      <c r="I927">
        <v>89</v>
      </c>
      <c r="J927">
        <f>(Miami_Retail[[#This Row],[avg_temp_f]]-32) * (5/9)</f>
        <v>31.666666666666668</v>
      </c>
      <c r="K927">
        <v>1.1100000000000001</v>
      </c>
      <c r="L927">
        <v>1</v>
      </c>
      <c r="M927">
        <v>68.8</v>
      </c>
      <c r="N927">
        <v>49.4</v>
      </c>
      <c r="O927">
        <v>50.6</v>
      </c>
      <c r="P927">
        <v>47</v>
      </c>
      <c r="Q927">
        <v>53</v>
      </c>
    </row>
    <row r="928" spans="1:17" x14ac:dyDescent="0.25">
      <c r="A928" s="2">
        <v>45122</v>
      </c>
      <c r="B928" s="2" t="str">
        <f t="shared" si="28"/>
        <v>Saturday</v>
      </c>
      <c r="C928" s="2" t="b">
        <f t="shared" si="29"/>
        <v>1</v>
      </c>
      <c r="D928">
        <v>2</v>
      </c>
      <c r="E928" t="s">
        <v>6</v>
      </c>
      <c r="F928">
        <v>309</v>
      </c>
      <c r="G928" s="3">
        <v>5014.71</v>
      </c>
      <c r="H928" s="3">
        <f>Miami_Retail[[#This Row],[sales_usd]] / Miami_Retail[[#This Row],[customers]]</f>
        <v>16.22883495145631</v>
      </c>
      <c r="I928">
        <v>81.3</v>
      </c>
      <c r="J928">
        <f>(Miami_Retail[[#This Row],[avg_temp_f]]-32) * (5/9)</f>
        <v>27.388888888888889</v>
      </c>
      <c r="K928">
        <v>0</v>
      </c>
      <c r="L928">
        <v>0</v>
      </c>
      <c r="M928">
        <v>72.400000000000006</v>
      </c>
      <c r="N928">
        <v>47.9</v>
      </c>
      <c r="O928">
        <v>52.1</v>
      </c>
      <c r="P928">
        <v>52.7</v>
      </c>
      <c r="Q928">
        <v>47.3</v>
      </c>
    </row>
    <row r="929" spans="1:17" x14ac:dyDescent="0.25">
      <c r="A929" s="2">
        <v>45123</v>
      </c>
      <c r="B929" s="2" t="str">
        <f t="shared" si="28"/>
        <v>Sunday</v>
      </c>
      <c r="C929" s="2" t="b">
        <f t="shared" si="29"/>
        <v>1</v>
      </c>
      <c r="D929">
        <v>2</v>
      </c>
      <c r="E929" t="s">
        <v>6</v>
      </c>
      <c r="F929">
        <v>277</v>
      </c>
      <c r="G929" s="3">
        <v>5117.28</v>
      </c>
      <c r="H929" s="3">
        <f>Miami_Retail[[#This Row],[sales_usd]] / Miami_Retail[[#This Row],[customers]]</f>
        <v>18.47393501805054</v>
      </c>
      <c r="I929">
        <v>80.7</v>
      </c>
      <c r="J929">
        <f>(Miami_Retail[[#This Row],[avg_temp_f]]-32) * (5/9)</f>
        <v>27.055555555555557</v>
      </c>
      <c r="K929">
        <v>0.31</v>
      </c>
      <c r="L929">
        <v>1</v>
      </c>
      <c r="M929">
        <v>73.599999999999994</v>
      </c>
      <c r="N929">
        <v>48.3</v>
      </c>
      <c r="O929">
        <v>51.7</v>
      </c>
      <c r="P929">
        <v>55.4</v>
      </c>
      <c r="Q929">
        <v>44.6</v>
      </c>
    </row>
    <row r="930" spans="1:17" x14ac:dyDescent="0.25">
      <c r="A930" s="2">
        <v>45124</v>
      </c>
      <c r="B930" s="2" t="str">
        <f t="shared" si="28"/>
        <v>Monday</v>
      </c>
      <c r="C930" s="2" t="b">
        <f t="shared" si="29"/>
        <v>0</v>
      </c>
      <c r="D930">
        <v>2</v>
      </c>
      <c r="E930" t="s">
        <v>6</v>
      </c>
      <c r="F930">
        <v>287</v>
      </c>
      <c r="G930" s="3">
        <v>5044.2</v>
      </c>
      <c r="H930" s="3">
        <f>Miami_Retail[[#This Row],[sales_usd]] / Miami_Retail[[#This Row],[customers]]</f>
        <v>17.57560975609756</v>
      </c>
      <c r="I930">
        <v>87.8</v>
      </c>
      <c r="J930">
        <f>(Miami_Retail[[#This Row],[avg_temp_f]]-32) * (5/9)</f>
        <v>31</v>
      </c>
      <c r="K930">
        <v>0</v>
      </c>
      <c r="L930">
        <v>0</v>
      </c>
      <c r="M930">
        <v>62.5</v>
      </c>
      <c r="N930">
        <v>45.7</v>
      </c>
      <c r="O930">
        <v>54.3</v>
      </c>
      <c r="P930">
        <v>47</v>
      </c>
      <c r="Q930">
        <v>53</v>
      </c>
    </row>
    <row r="931" spans="1:17" x14ac:dyDescent="0.25">
      <c r="A931" s="2">
        <v>45125</v>
      </c>
      <c r="B931" s="2" t="str">
        <f t="shared" si="28"/>
        <v>Tuesday</v>
      </c>
      <c r="C931" s="2" t="b">
        <f t="shared" si="29"/>
        <v>0</v>
      </c>
      <c r="D931">
        <v>2</v>
      </c>
      <c r="E931" t="s">
        <v>6</v>
      </c>
      <c r="F931">
        <v>277</v>
      </c>
      <c r="G931" s="3">
        <v>5133.03</v>
      </c>
      <c r="H931" s="3">
        <f>Miami_Retail[[#This Row],[sales_usd]] / Miami_Retail[[#This Row],[customers]]</f>
        <v>18.530794223826714</v>
      </c>
      <c r="I931">
        <v>85</v>
      </c>
      <c r="J931">
        <f>(Miami_Retail[[#This Row],[avg_temp_f]]-32) * (5/9)</f>
        <v>29.444444444444446</v>
      </c>
      <c r="K931">
        <v>0</v>
      </c>
      <c r="L931">
        <v>0</v>
      </c>
      <c r="M931">
        <v>70.3</v>
      </c>
      <c r="N931">
        <v>48</v>
      </c>
      <c r="O931">
        <v>52</v>
      </c>
      <c r="P931">
        <v>47.1</v>
      </c>
      <c r="Q931">
        <v>52.9</v>
      </c>
    </row>
    <row r="932" spans="1:17" x14ac:dyDescent="0.25">
      <c r="A932" s="2">
        <v>45126</v>
      </c>
      <c r="B932" s="2" t="str">
        <f t="shared" si="28"/>
        <v>Wednesday</v>
      </c>
      <c r="C932" s="2" t="b">
        <f t="shared" si="29"/>
        <v>0</v>
      </c>
      <c r="D932">
        <v>2</v>
      </c>
      <c r="E932" t="s">
        <v>6</v>
      </c>
      <c r="F932">
        <v>286</v>
      </c>
      <c r="G932" s="3">
        <v>5330.06</v>
      </c>
      <c r="H932" s="3">
        <f>Miami_Retail[[#This Row],[sales_usd]] / Miami_Retail[[#This Row],[customers]]</f>
        <v>18.636573426573428</v>
      </c>
      <c r="I932">
        <v>84.6</v>
      </c>
      <c r="J932">
        <f>(Miami_Retail[[#This Row],[avg_temp_f]]-32) * (5/9)</f>
        <v>29.222222222222221</v>
      </c>
      <c r="K932">
        <v>0</v>
      </c>
      <c r="L932">
        <v>0</v>
      </c>
      <c r="M932">
        <v>72.900000000000006</v>
      </c>
      <c r="N932">
        <v>48.3</v>
      </c>
      <c r="O932">
        <v>51.7</v>
      </c>
      <c r="P932">
        <v>45.9</v>
      </c>
      <c r="Q932">
        <v>54.1</v>
      </c>
    </row>
    <row r="933" spans="1:17" x14ac:dyDescent="0.25">
      <c r="A933" s="2">
        <v>45127</v>
      </c>
      <c r="B933" s="2" t="str">
        <f t="shared" si="28"/>
        <v>Thursday</v>
      </c>
      <c r="C933" s="2" t="b">
        <f t="shared" si="29"/>
        <v>0</v>
      </c>
      <c r="D933">
        <v>2</v>
      </c>
      <c r="E933" t="s">
        <v>6</v>
      </c>
      <c r="F933">
        <v>311</v>
      </c>
      <c r="G933" s="3">
        <v>5473.83</v>
      </c>
      <c r="H933" s="3">
        <f>Miami_Retail[[#This Row],[sales_usd]] / Miami_Retail[[#This Row],[customers]]</f>
        <v>17.600739549839229</v>
      </c>
      <c r="I933">
        <v>85.7</v>
      </c>
      <c r="J933">
        <f>(Miami_Retail[[#This Row],[avg_temp_f]]-32) * (5/9)</f>
        <v>29.833333333333336</v>
      </c>
      <c r="K933">
        <v>0</v>
      </c>
      <c r="L933">
        <v>0</v>
      </c>
      <c r="M933">
        <v>68.3</v>
      </c>
      <c r="N933">
        <v>48.2</v>
      </c>
      <c r="O933">
        <v>51.8</v>
      </c>
      <c r="P933">
        <v>47.6</v>
      </c>
      <c r="Q933">
        <v>52.4</v>
      </c>
    </row>
    <row r="934" spans="1:17" x14ac:dyDescent="0.25">
      <c r="A934" s="2">
        <v>45128</v>
      </c>
      <c r="B934" s="2" t="str">
        <f t="shared" si="28"/>
        <v>Friday</v>
      </c>
      <c r="C934" s="2" t="b">
        <f t="shared" si="29"/>
        <v>0</v>
      </c>
      <c r="D934">
        <v>2</v>
      </c>
      <c r="E934" t="s">
        <v>6</v>
      </c>
      <c r="F934">
        <v>274</v>
      </c>
      <c r="G934" s="3">
        <v>4585.18</v>
      </c>
      <c r="H934" s="3">
        <f>Miami_Retail[[#This Row],[sales_usd]] / Miami_Retail[[#This Row],[customers]]</f>
        <v>16.734233576642335</v>
      </c>
      <c r="I934">
        <v>83.4</v>
      </c>
      <c r="J934">
        <f>(Miami_Retail[[#This Row],[avg_temp_f]]-32) * (5/9)</f>
        <v>28.555555555555561</v>
      </c>
      <c r="K934">
        <v>0</v>
      </c>
      <c r="L934">
        <v>0</v>
      </c>
      <c r="M934">
        <v>68.099999999999994</v>
      </c>
      <c r="N934">
        <v>47.7</v>
      </c>
      <c r="O934">
        <v>52.3</v>
      </c>
      <c r="P934">
        <v>45.6</v>
      </c>
      <c r="Q934">
        <v>54.4</v>
      </c>
    </row>
    <row r="935" spans="1:17" x14ac:dyDescent="0.25">
      <c r="A935" s="2">
        <v>45129</v>
      </c>
      <c r="B935" s="2" t="str">
        <f t="shared" si="28"/>
        <v>Saturday</v>
      </c>
      <c r="C935" s="2" t="b">
        <f t="shared" si="29"/>
        <v>1</v>
      </c>
      <c r="D935">
        <v>2</v>
      </c>
      <c r="E935" t="s">
        <v>6</v>
      </c>
      <c r="F935">
        <v>297</v>
      </c>
      <c r="G935" s="3">
        <v>5394.44</v>
      </c>
      <c r="H935" s="3">
        <f>Miami_Retail[[#This Row],[sales_usd]] / Miami_Retail[[#This Row],[customers]]</f>
        <v>18.163097643097643</v>
      </c>
      <c r="I935">
        <v>83</v>
      </c>
      <c r="J935">
        <f>(Miami_Retail[[#This Row],[avg_temp_f]]-32) * (5/9)</f>
        <v>28.333333333333336</v>
      </c>
      <c r="K935">
        <v>0.49</v>
      </c>
      <c r="L935">
        <v>1</v>
      </c>
      <c r="M935">
        <v>61.9</v>
      </c>
      <c r="N935">
        <v>47.6</v>
      </c>
      <c r="O935">
        <v>52.4</v>
      </c>
      <c r="P935">
        <v>53.7</v>
      </c>
      <c r="Q935">
        <v>46.3</v>
      </c>
    </row>
    <row r="936" spans="1:17" x14ac:dyDescent="0.25">
      <c r="A936" s="2">
        <v>45130</v>
      </c>
      <c r="B936" s="2" t="str">
        <f t="shared" si="28"/>
        <v>Sunday</v>
      </c>
      <c r="C936" s="2" t="b">
        <f t="shared" si="29"/>
        <v>1</v>
      </c>
      <c r="D936">
        <v>2</v>
      </c>
      <c r="E936" t="s">
        <v>6</v>
      </c>
      <c r="F936">
        <v>309</v>
      </c>
      <c r="G936" s="3">
        <v>5404.08</v>
      </c>
      <c r="H936" s="3">
        <f>Miami_Retail[[#This Row],[sales_usd]] / Miami_Retail[[#This Row],[customers]]</f>
        <v>17.48893203883495</v>
      </c>
      <c r="I936">
        <v>84.9</v>
      </c>
      <c r="J936">
        <f>(Miami_Retail[[#This Row],[avg_temp_f]]-32) * (5/9)</f>
        <v>29.388888888888893</v>
      </c>
      <c r="K936">
        <v>0.01</v>
      </c>
      <c r="L936">
        <v>1</v>
      </c>
      <c r="M936">
        <v>70.7</v>
      </c>
      <c r="N936">
        <v>47.1</v>
      </c>
      <c r="O936">
        <v>52.9</v>
      </c>
      <c r="P936">
        <v>54.1</v>
      </c>
      <c r="Q936">
        <v>45.9</v>
      </c>
    </row>
    <row r="937" spans="1:17" x14ac:dyDescent="0.25">
      <c r="A937" s="2">
        <v>45131</v>
      </c>
      <c r="B937" s="2" t="str">
        <f t="shared" si="28"/>
        <v>Monday</v>
      </c>
      <c r="C937" s="2" t="b">
        <f t="shared" si="29"/>
        <v>0</v>
      </c>
      <c r="D937">
        <v>2</v>
      </c>
      <c r="E937" t="s">
        <v>6</v>
      </c>
      <c r="F937">
        <v>298</v>
      </c>
      <c r="G937" s="3">
        <v>4990.46</v>
      </c>
      <c r="H937" s="3">
        <f>Miami_Retail[[#This Row],[sales_usd]] / Miami_Retail[[#This Row],[customers]]</f>
        <v>16.746510067114095</v>
      </c>
      <c r="I937">
        <v>88.9</v>
      </c>
      <c r="J937">
        <f>(Miami_Retail[[#This Row],[avg_temp_f]]-32) * (5/9)</f>
        <v>31.611111111111114</v>
      </c>
      <c r="K937">
        <v>0.48</v>
      </c>
      <c r="L937">
        <v>1</v>
      </c>
      <c r="M937">
        <v>58.4</v>
      </c>
      <c r="N937">
        <v>47.2</v>
      </c>
      <c r="O937">
        <v>52.8</v>
      </c>
      <c r="P937">
        <v>47.1</v>
      </c>
      <c r="Q937">
        <v>52.9</v>
      </c>
    </row>
    <row r="938" spans="1:17" x14ac:dyDescent="0.25">
      <c r="A938" s="2">
        <v>45132</v>
      </c>
      <c r="B938" s="2" t="str">
        <f t="shared" si="28"/>
        <v>Tuesday</v>
      </c>
      <c r="C938" s="2" t="b">
        <f t="shared" si="29"/>
        <v>0</v>
      </c>
      <c r="D938">
        <v>2</v>
      </c>
      <c r="E938" t="s">
        <v>6</v>
      </c>
      <c r="F938">
        <v>258</v>
      </c>
      <c r="G938" s="3">
        <v>4546.78</v>
      </c>
      <c r="H938" s="3">
        <f>Miami_Retail[[#This Row],[sales_usd]] / Miami_Retail[[#This Row],[customers]]</f>
        <v>17.623178294573641</v>
      </c>
      <c r="I938">
        <v>82.1</v>
      </c>
      <c r="J938">
        <f>(Miami_Retail[[#This Row],[avg_temp_f]]-32) * (5/9)</f>
        <v>27.833333333333332</v>
      </c>
      <c r="K938">
        <v>0</v>
      </c>
      <c r="L938">
        <v>0</v>
      </c>
      <c r="M938">
        <v>78.7</v>
      </c>
      <c r="N938">
        <v>48.6</v>
      </c>
      <c r="O938">
        <v>51.4</v>
      </c>
      <c r="P938">
        <v>46.3</v>
      </c>
      <c r="Q938">
        <v>53.7</v>
      </c>
    </row>
    <row r="939" spans="1:17" x14ac:dyDescent="0.25">
      <c r="A939" s="2">
        <v>45133</v>
      </c>
      <c r="B939" s="2" t="str">
        <f t="shared" si="28"/>
        <v>Wednesday</v>
      </c>
      <c r="C939" s="2" t="b">
        <f t="shared" si="29"/>
        <v>0</v>
      </c>
      <c r="D939">
        <v>2</v>
      </c>
      <c r="E939" t="s">
        <v>6</v>
      </c>
      <c r="F939">
        <v>256</v>
      </c>
      <c r="G939" s="3">
        <v>4298.2700000000004</v>
      </c>
      <c r="H939" s="3">
        <f>Miami_Retail[[#This Row],[sales_usd]] / Miami_Retail[[#This Row],[customers]]</f>
        <v>16.790117187500002</v>
      </c>
      <c r="I939">
        <v>88.4</v>
      </c>
      <c r="J939">
        <f>(Miami_Retail[[#This Row],[avg_temp_f]]-32) * (5/9)</f>
        <v>31.333333333333339</v>
      </c>
      <c r="K939">
        <v>1.02</v>
      </c>
      <c r="L939">
        <v>1</v>
      </c>
      <c r="M939">
        <v>69.8</v>
      </c>
      <c r="N939">
        <v>47.3</v>
      </c>
      <c r="O939">
        <v>52.7</v>
      </c>
      <c r="P939">
        <v>48.6</v>
      </c>
      <c r="Q939">
        <v>51.4</v>
      </c>
    </row>
    <row r="940" spans="1:17" x14ac:dyDescent="0.25">
      <c r="A940" s="2">
        <v>45134</v>
      </c>
      <c r="B940" s="2" t="str">
        <f t="shared" si="28"/>
        <v>Thursday</v>
      </c>
      <c r="C940" s="2" t="b">
        <f t="shared" si="29"/>
        <v>0</v>
      </c>
      <c r="D940">
        <v>2</v>
      </c>
      <c r="E940" t="s">
        <v>6</v>
      </c>
      <c r="F940">
        <v>277</v>
      </c>
      <c r="G940" s="3">
        <v>4535.18</v>
      </c>
      <c r="H940" s="3">
        <f>Miami_Retail[[#This Row],[sales_usd]] / Miami_Retail[[#This Row],[customers]]</f>
        <v>16.372490974729242</v>
      </c>
      <c r="I940">
        <v>85.4</v>
      </c>
      <c r="J940">
        <f>(Miami_Retail[[#This Row],[avg_temp_f]]-32) * (5/9)</f>
        <v>29.666666666666671</v>
      </c>
      <c r="K940">
        <v>0</v>
      </c>
      <c r="L940">
        <v>0</v>
      </c>
      <c r="M940">
        <v>78.3</v>
      </c>
      <c r="N940">
        <v>47</v>
      </c>
      <c r="O940">
        <v>53</v>
      </c>
      <c r="P940">
        <v>45.7</v>
      </c>
      <c r="Q940">
        <v>54.3</v>
      </c>
    </row>
    <row r="941" spans="1:17" x14ac:dyDescent="0.25">
      <c r="A941" s="2">
        <v>45135</v>
      </c>
      <c r="B941" s="2" t="str">
        <f t="shared" si="28"/>
        <v>Friday</v>
      </c>
      <c r="C941" s="2" t="b">
        <f t="shared" si="29"/>
        <v>0</v>
      </c>
      <c r="D941">
        <v>2</v>
      </c>
      <c r="E941" t="s">
        <v>6</v>
      </c>
      <c r="F941">
        <v>284</v>
      </c>
      <c r="G941" s="3">
        <v>4849.1000000000004</v>
      </c>
      <c r="H941" s="3">
        <f>Miami_Retail[[#This Row],[sales_usd]] / Miami_Retail[[#This Row],[customers]]</f>
        <v>17.07429577464789</v>
      </c>
      <c r="I941">
        <v>86.2</v>
      </c>
      <c r="J941">
        <f>(Miami_Retail[[#This Row],[avg_temp_f]]-32) * (5/9)</f>
        <v>30.111111111111114</v>
      </c>
      <c r="K941">
        <v>0</v>
      </c>
      <c r="L941">
        <v>0</v>
      </c>
      <c r="M941">
        <v>62.3</v>
      </c>
      <c r="N941">
        <v>48.7</v>
      </c>
      <c r="O941">
        <v>51.3</v>
      </c>
      <c r="P941">
        <v>47.4</v>
      </c>
      <c r="Q941">
        <v>52.6</v>
      </c>
    </row>
    <row r="942" spans="1:17" x14ac:dyDescent="0.25">
      <c r="A942" s="2">
        <v>45136</v>
      </c>
      <c r="B942" s="2" t="str">
        <f t="shared" si="28"/>
        <v>Saturday</v>
      </c>
      <c r="C942" s="2" t="b">
        <f t="shared" si="29"/>
        <v>1</v>
      </c>
      <c r="D942">
        <v>2</v>
      </c>
      <c r="E942" t="s">
        <v>6</v>
      </c>
      <c r="F942">
        <v>343</v>
      </c>
      <c r="G942" s="3">
        <v>5712.54</v>
      </c>
      <c r="H942" s="3">
        <f>Miami_Retail[[#This Row],[sales_usd]] / Miami_Retail[[#This Row],[customers]]</f>
        <v>16.654635568513118</v>
      </c>
      <c r="I942">
        <v>84.5</v>
      </c>
      <c r="J942">
        <f>(Miami_Retail[[#This Row],[avg_temp_f]]-32) * (5/9)</f>
        <v>29.166666666666668</v>
      </c>
      <c r="K942">
        <v>0</v>
      </c>
      <c r="L942">
        <v>0</v>
      </c>
      <c r="M942">
        <v>63.8</v>
      </c>
      <c r="N942">
        <v>47.9</v>
      </c>
      <c r="O942">
        <v>52.1</v>
      </c>
      <c r="P942">
        <v>52.2</v>
      </c>
      <c r="Q942">
        <v>47.8</v>
      </c>
    </row>
    <row r="943" spans="1:17" x14ac:dyDescent="0.25">
      <c r="A943" s="2">
        <v>45137</v>
      </c>
      <c r="B943" s="2" t="str">
        <f t="shared" si="28"/>
        <v>Sunday</v>
      </c>
      <c r="C943" s="2" t="b">
        <f t="shared" si="29"/>
        <v>1</v>
      </c>
      <c r="D943">
        <v>2</v>
      </c>
      <c r="E943" t="s">
        <v>6</v>
      </c>
      <c r="F943">
        <v>328</v>
      </c>
      <c r="G943" s="3">
        <v>6183.35</v>
      </c>
      <c r="H943" s="3">
        <f>Miami_Retail[[#This Row],[sales_usd]] / Miami_Retail[[#This Row],[customers]]</f>
        <v>18.851676829268293</v>
      </c>
      <c r="I943">
        <v>87.4</v>
      </c>
      <c r="J943">
        <f>(Miami_Retail[[#This Row],[avg_temp_f]]-32) * (5/9)</f>
        <v>30.777777777777782</v>
      </c>
      <c r="K943">
        <v>0</v>
      </c>
      <c r="L943">
        <v>0</v>
      </c>
      <c r="M943">
        <v>72.900000000000006</v>
      </c>
      <c r="N943">
        <v>46.9</v>
      </c>
      <c r="O943">
        <v>53.1</v>
      </c>
      <c r="P943">
        <v>52.3</v>
      </c>
      <c r="Q943">
        <v>47.7</v>
      </c>
    </row>
    <row r="944" spans="1:17" x14ac:dyDescent="0.25">
      <c r="A944" s="2">
        <v>45138</v>
      </c>
      <c r="B944" s="2" t="str">
        <f t="shared" si="28"/>
        <v>Monday</v>
      </c>
      <c r="C944" s="2" t="b">
        <f t="shared" si="29"/>
        <v>0</v>
      </c>
      <c r="D944">
        <v>2</v>
      </c>
      <c r="E944" t="s">
        <v>6</v>
      </c>
      <c r="F944">
        <v>261</v>
      </c>
      <c r="G944" s="3">
        <v>4389.49</v>
      </c>
      <c r="H944" s="3">
        <f>Miami_Retail[[#This Row],[sales_usd]] / Miami_Retail[[#This Row],[customers]]</f>
        <v>16.817969348659002</v>
      </c>
      <c r="I944">
        <v>89.8</v>
      </c>
      <c r="J944">
        <f>(Miami_Retail[[#This Row],[avg_temp_f]]-32) * (5/9)</f>
        <v>32.111111111111114</v>
      </c>
      <c r="K944">
        <v>0.71</v>
      </c>
      <c r="L944">
        <v>1</v>
      </c>
      <c r="M944">
        <v>69</v>
      </c>
      <c r="N944">
        <v>48.1</v>
      </c>
      <c r="O944">
        <v>51.9</v>
      </c>
      <c r="P944">
        <v>45.4</v>
      </c>
      <c r="Q944">
        <v>54.6</v>
      </c>
    </row>
    <row r="945" spans="1:17" x14ac:dyDescent="0.25">
      <c r="A945" s="2">
        <v>45139</v>
      </c>
      <c r="B945" s="2" t="str">
        <f t="shared" si="28"/>
        <v>Tuesday</v>
      </c>
      <c r="C945" s="2" t="b">
        <f t="shared" si="29"/>
        <v>0</v>
      </c>
      <c r="D945">
        <v>2</v>
      </c>
      <c r="E945" t="s">
        <v>6</v>
      </c>
      <c r="F945">
        <v>285</v>
      </c>
      <c r="G945" s="3">
        <v>4712.9799999999996</v>
      </c>
      <c r="H945" s="3">
        <f>Miami_Retail[[#This Row],[sales_usd]] / Miami_Retail[[#This Row],[customers]]</f>
        <v>16.53677192982456</v>
      </c>
      <c r="I945">
        <v>86.3</v>
      </c>
      <c r="J945">
        <f>(Miami_Retail[[#This Row],[avg_temp_f]]-32) * (5/9)</f>
        <v>30.166666666666668</v>
      </c>
      <c r="K945">
        <v>0</v>
      </c>
      <c r="L945">
        <v>0</v>
      </c>
      <c r="M945">
        <v>71.599999999999994</v>
      </c>
      <c r="N945">
        <v>48.6</v>
      </c>
      <c r="O945">
        <v>51.4</v>
      </c>
      <c r="P945">
        <v>46.8</v>
      </c>
      <c r="Q945">
        <v>53.2</v>
      </c>
    </row>
    <row r="946" spans="1:17" x14ac:dyDescent="0.25">
      <c r="A946" s="2">
        <v>45140</v>
      </c>
      <c r="B946" s="2" t="str">
        <f t="shared" si="28"/>
        <v>Wednesday</v>
      </c>
      <c r="C946" s="2" t="b">
        <f t="shared" si="29"/>
        <v>0</v>
      </c>
      <c r="D946">
        <v>2</v>
      </c>
      <c r="E946" t="s">
        <v>6</v>
      </c>
      <c r="F946">
        <v>281</v>
      </c>
      <c r="G946" s="3">
        <v>4782.96</v>
      </c>
      <c r="H946" s="3">
        <f>Miami_Retail[[#This Row],[sales_usd]] / Miami_Retail[[#This Row],[customers]]</f>
        <v>17.021209964412812</v>
      </c>
      <c r="I946">
        <v>88</v>
      </c>
      <c r="J946">
        <f>(Miami_Retail[[#This Row],[avg_temp_f]]-32) * (5/9)</f>
        <v>31.111111111111114</v>
      </c>
      <c r="K946">
        <v>0</v>
      </c>
      <c r="L946">
        <v>0</v>
      </c>
      <c r="M946">
        <v>77.2</v>
      </c>
      <c r="N946">
        <v>46.6</v>
      </c>
      <c r="O946">
        <v>53.4</v>
      </c>
      <c r="P946">
        <v>46.8</v>
      </c>
      <c r="Q946">
        <v>53.2</v>
      </c>
    </row>
    <row r="947" spans="1:17" x14ac:dyDescent="0.25">
      <c r="A947" s="2">
        <v>45141</v>
      </c>
      <c r="B947" s="2" t="str">
        <f t="shared" si="28"/>
        <v>Thursday</v>
      </c>
      <c r="C947" s="2" t="b">
        <f t="shared" si="29"/>
        <v>0</v>
      </c>
      <c r="D947">
        <v>2</v>
      </c>
      <c r="E947" t="s">
        <v>6</v>
      </c>
      <c r="F947">
        <v>271</v>
      </c>
      <c r="G947" s="3">
        <v>4353.05</v>
      </c>
      <c r="H947" s="3">
        <f>Miami_Retail[[#This Row],[sales_usd]] / Miami_Retail[[#This Row],[customers]]</f>
        <v>16.062915129151293</v>
      </c>
      <c r="I947">
        <v>84.8</v>
      </c>
      <c r="J947">
        <f>(Miami_Retail[[#This Row],[avg_temp_f]]-32) * (5/9)</f>
        <v>29.333333333333332</v>
      </c>
      <c r="K947">
        <v>2.21</v>
      </c>
      <c r="L947">
        <v>1</v>
      </c>
      <c r="M947">
        <v>61.5</v>
      </c>
      <c r="N947">
        <v>46.1</v>
      </c>
      <c r="O947">
        <v>53.9</v>
      </c>
      <c r="P947">
        <v>46.7</v>
      </c>
      <c r="Q947">
        <v>53.3</v>
      </c>
    </row>
    <row r="948" spans="1:17" x14ac:dyDescent="0.25">
      <c r="A948" s="2">
        <v>45142</v>
      </c>
      <c r="B948" s="2" t="str">
        <f t="shared" si="28"/>
        <v>Friday</v>
      </c>
      <c r="C948" s="2" t="b">
        <f t="shared" si="29"/>
        <v>0</v>
      </c>
      <c r="D948">
        <v>2</v>
      </c>
      <c r="E948" t="s">
        <v>6</v>
      </c>
      <c r="F948">
        <v>297</v>
      </c>
      <c r="G948" s="3">
        <v>5014.12</v>
      </c>
      <c r="H948" s="3">
        <f>Miami_Retail[[#This Row],[sales_usd]] / Miami_Retail[[#This Row],[customers]]</f>
        <v>16.882558922558921</v>
      </c>
      <c r="I948">
        <v>84.1</v>
      </c>
      <c r="J948">
        <f>(Miami_Retail[[#This Row],[avg_temp_f]]-32) * (5/9)</f>
        <v>28.944444444444443</v>
      </c>
      <c r="K948">
        <v>0.42</v>
      </c>
      <c r="L948">
        <v>1</v>
      </c>
      <c r="M948">
        <v>64.7</v>
      </c>
      <c r="N948">
        <v>48.7</v>
      </c>
      <c r="O948">
        <v>51.3</v>
      </c>
      <c r="P948">
        <v>47</v>
      </c>
      <c r="Q948">
        <v>53</v>
      </c>
    </row>
    <row r="949" spans="1:17" x14ac:dyDescent="0.25">
      <c r="A949" s="2">
        <v>45143</v>
      </c>
      <c r="B949" s="2" t="str">
        <f t="shared" si="28"/>
        <v>Saturday</v>
      </c>
      <c r="C949" s="2" t="b">
        <f t="shared" si="29"/>
        <v>1</v>
      </c>
      <c r="D949">
        <v>2</v>
      </c>
      <c r="E949" t="s">
        <v>6</v>
      </c>
      <c r="F949">
        <v>321</v>
      </c>
      <c r="G949" s="3">
        <v>5684.39</v>
      </c>
      <c r="H949" s="3">
        <f>Miami_Retail[[#This Row],[sales_usd]] / Miami_Retail[[#This Row],[customers]]</f>
        <v>17.708380062305299</v>
      </c>
      <c r="I949">
        <v>88.9</v>
      </c>
      <c r="J949">
        <f>(Miami_Retail[[#This Row],[avg_temp_f]]-32) * (5/9)</f>
        <v>31.611111111111114</v>
      </c>
      <c r="K949">
        <v>0</v>
      </c>
      <c r="L949">
        <v>0</v>
      </c>
      <c r="M949">
        <v>67.7</v>
      </c>
      <c r="N949">
        <v>45.7</v>
      </c>
      <c r="O949">
        <v>54.3</v>
      </c>
      <c r="P949">
        <v>53.3</v>
      </c>
      <c r="Q949">
        <v>46.7</v>
      </c>
    </row>
    <row r="950" spans="1:17" x14ac:dyDescent="0.25">
      <c r="A950" s="2">
        <v>45144</v>
      </c>
      <c r="B950" s="2" t="str">
        <f t="shared" si="28"/>
        <v>Sunday</v>
      </c>
      <c r="C950" s="2" t="b">
        <f t="shared" si="29"/>
        <v>1</v>
      </c>
      <c r="D950">
        <v>2</v>
      </c>
      <c r="E950" t="s">
        <v>6</v>
      </c>
      <c r="F950">
        <v>314</v>
      </c>
      <c r="G950" s="3">
        <v>5207.4399999999996</v>
      </c>
      <c r="H950" s="3">
        <f>Miami_Retail[[#This Row],[sales_usd]] / Miami_Retail[[#This Row],[customers]]</f>
        <v>16.58420382165605</v>
      </c>
      <c r="I950">
        <v>90.9</v>
      </c>
      <c r="J950">
        <f>(Miami_Retail[[#This Row],[avg_temp_f]]-32) * (5/9)</f>
        <v>32.722222222222229</v>
      </c>
      <c r="K950">
        <v>1.5</v>
      </c>
      <c r="L950">
        <v>1</v>
      </c>
      <c r="M950">
        <v>68.099999999999994</v>
      </c>
      <c r="N950">
        <v>45.5</v>
      </c>
      <c r="O950">
        <v>54.5</v>
      </c>
      <c r="P950">
        <v>51.4</v>
      </c>
      <c r="Q950">
        <v>48.6</v>
      </c>
    </row>
    <row r="951" spans="1:17" x14ac:dyDescent="0.25">
      <c r="A951" s="2">
        <v>45145</v>
      </c>
      <c r="B951" s="2" t="str">
        <f t="shared" si="28"/>
        <v>Monday</v>
      </c>
      <c r="C951" s="2" t="b">
        <f t="shared" si="29"/>
        <v>0</v>
      </c>
      <c r="D951">
        <v>2</v>
      </c>
      <c r="E951" t="s">
        <v>6</v>
      </c>
      <c r="F951">
        <v>273</v>
      </c>
      <c r="G951" s="3">
        <v>5116.6099999999997</v>
      </c>
      <c r="H951" s="3">
        <f>Miami_Retail[[#This Row],[sales_usd]] / Miami_Retail[[#This Row],[customers]]</f>
        <v>18.742161172161172</v>
      </c>
      <c r="I951">
        <v>87.4</v>
      </c>
      <c r="J951">
        <f>(Miami_Retail[[#This Row],[avg_temp_f]]-32) * (5/9)</f>
        <v>30.777777777777782</v>
      </c>
      <c r="K951">
        <v>0</v>
      </c>
      <c r="L951">
        <v>0</v>
      </c>
      <c r="M951">
        <v>75.900000000000006</v>
      </c>
      <c r="N951">
        <v>47</v>
      </c>
      <c r="O951">
        <v>53</v>
      </c>
      <c r="P951">
        <v>45.1</v>
      </c>
      <c r="Q951">
        <v>54.9</v>
      </c>
    </row>
    <row r="952" spans="1:17" x14ac:dyDescent="0.25">
      <c r="A952" s="2">
        <v>45146</v>
      </c>
      <c r="B952" s="2" t="str">
        <f t="shared" si="28"/>
        <v>Tuesday</v>
      </c>
      <c r="C952" s="2" t="b">
        <f t="shared" si="29"/>
        <v>0</v>
      </c>
      <c r="D952">
        <v>2</v>
      </c>
      <c r="E952" t="s">
        <v>6</v>
      </c>
      <c r="F952">
        <v>268</v>
      </c>
      <c r="G952" s="3">
        <v>4421.08</v>
      </c>
      <c r="H952" s="3">
        <f>Miami_Retail[[#This Row],[sales_usd]] / Miami_Retail[[#This Row],[customers]]</f>
        <v>16.496567164179105</v>
      </c>
      <c r="I952">
        <v>86.4</v>
      </c>
      <c r="J952">
        <f>(Miami_Retail[[#This Row],[avg_temp_f]]-32) * (5/9)</f>
        <v>30.222222222222225</v>
      </c>
      <c r="K952">
        <v>0.5</v>
      </c>
      <c r="L952">
        <v>1</v>
      </c>
      <c r="M952">
        <v>69.099999999999994</v>
      </c>
      <c r="N952">
        <v>47.6</v>
      </c>
      <c r="O952">
        <v>52.4</v>
      </c>
      <c r="P952">
        <v>46.2</v>
      </c>
      <c r="Q952">
        <v>53.8</v>
      </c>
    </row>
    <row r="953" spans="1:17" x14ac:dyDescent="0.25">
      <c r="A953" s="2">
        <v>45147</v>
      </c>
      <c r="B953" s="2" t="str">
        <f t="shared" si="28"/>
        <v>Wednesday</v>
      </c>
      <c r="C953" s="2" t="b">
        <f t="shared" si="29"/>
        <v>0</v>
      </c>
      <c r="D953">
        <v>2</v>
      </c>
      <c r="E953" t="s">
        <v>6</v>
      </c>
      <c r="F953">
        <v>291</v>
      </c>
      <c r="G953" s="3">
        <v>4918.29</v>
      </c>
      <c r="H953" s="3">
        <f>Miami_Retail[[#This Row],[sales_usd]] / Miami_Retail[[#This Row],[customers]]</f>
        <v>16.901340206185566</v>
      </c>
      <c r="I953">
        <v>83.5</v>
      </c>
      <c r="J953">
        <f>(Miami_Retail[[#This Row],[avg_temp_f]]-32) * (5/9)</f>
        <v>28.611111111111111</v>
      </c>
      <c r="K953">
        <v>0</v>
      </c>
      <c r="L953">
        <v>0</v>
      </c>
      <c r="M953">
        <v>78.2</v>
      </c>
      <c r="N953">
        <v>47.4</v>
      </c>
      <c r="O953">
        <v>52.6</v>
      </c>
      <c r="P953">
        <v>47.4</v>
      </c>
      <c r="Q953">
        <v>52.6</v>
      </c>
    </row>
    <row r="954" spans="1:17" x14ac:dyDescent="0.25">
      <c r="A954" s="2">
        <v>45148</v>
      </c>
      <c r="B954" s="2" t="str">
        <f t="shared" si="28"/>
        <v>Thursday</v>
      </c>
      <c r="C954" s="2" t="b">
        <f t="shared" si="29"/>
        <v>0</v>
      </c>
      <c r="D954">
        <v>2</v>
      </c>
      <c r="E954" t="s">
        <v>6</v>
      </c>
      <c r="F954">
        <v>251</v>
      </c>
      <c r="G954" s="3">
        <v>4470.55</v>
      </c>
      <c r="H954" s="3">
        <f>Miami_Retail[[#This Row],[sales_usd]] / Miami_Retail[[#This Row],[customers]]</f>
        <v>17.810956175298806</v>
      </c>
      <c r="I954">
        <v>86.5</v>
      </c>
      <c r="J954">
        <f>(Miami_Retail[[#This Row],[avg_temp_f]]-32) * (5/9)</f>
        <v>30.277777777777779</v>
      </c>
      <c r="K954">
        <v>0.86</v>
      </c>
      <c r="L954">
        <v>1</v>
      </c>
      <c r="M954">
        <v>71.099999999999994</v>
      </c>
      <c r="N954">
        <v>47</v>
      </c>
      <c r="O954">
        <v>53</v>
      </c>
      <c r="P954">
        <v>45.5</v>
      </c>
      <c r="Q954">
        <v>54.5</v>
      </c>
    </row>
    <row r="955" spans="1:17" x14ac:dyDescent="0.25">
      <c r="A955" s="2">
        <v>45149</v>
      </c>
      <c r="B955" s="2" t="str">
        <f t="shared" si="28"/>
        <v>Friday</v>
      </c>
      <c r="C955" s="2" t="b">
        <f t="shared" si="29"/>
        <v>0</v>
      </c>
      <c r="D955">
        <v>2</v>
      </c>
      <c r="E955" t="s">
        <v>6</v>
      </c>
      <c r="F955">
        <v>296</v>
      </c>
      <c r="G955" s="3">
        <v>4537.96</v>
      </c>
      <c r="H955" s="3">
        <f>Miami_Retail[[#This Row],[sales_usd]] / Miami_Retail[[#This Row],[customers]]</f>
        <v>15.330945945945945</v>
      </c>
      <c r="I955">
        <v>81.3</v>
      </c>
      <c r="J955">
        <f>(Miami_Retail[[#This Row],[avg_temp_f]]-32) * (5/9)</f>
        <v>27.388888888888889</v>
      </c>
      <c r="K955">
        <v>0</v>
      </c>
      <c r="L955">
        <v>0</v>
      </c>
      <c r="M955">
        <v>76.900000000000006</v>
      </c>
      <c r="N955">
        <v>49.6</v>
      </c>
      <c r="O955">
        <v>50.4</v>
      </c>
      <c r="P955">
        <v>45.9</v>
      </c>
      <c r="Q955">
        <v>54.1</v>
      </c>
    </row>
    <row r="956" spans="1:17" x14ac:dyDescent="0.25">
      <c r="A956" s="2">
        <v>45150</v>
      </c>
      <c r="B956" s="2" t="str">
        <f t="shared" si="28"/>
        <v>Saturday</v>
      </c>
      <c r="C956" s="2" t="b">
        <f t="shared" si="29"/>
        <v>1</v>
      </c>
      <c r="D956">
        <v>2</v>
      </c>
      <c r="E956" t="s">
        <v>6</v>
      </c>
      <c r="F956">
        <v>252</v>
      </c>
      <c r="G956" s="3">
        <v>4400.71</v>
      </c>
      <c r="H956" s="3">
        <f>Miami_Retail[[#This Row],[sales_usd]] / Miami_Retail[[#This Row],[customers]]</f>
        <v>17.463134920634921</v>
      </c>
      <c r="I956">
        <v>82.7</v>
      </c>
      <c r="J956">
        <f>(Miami_Retail[[#This Row],[avg_temp_f]]-32) * (5/9)</f>
        <v>28.166666666666668</v>
      </c>
      <c r="K956">
        <v>5.72</v>
      </c>
      <c r="L956">
        <v>1</v>
      </c>
      <c r="M956">
        <v>79.400000000000006</v>
      </c>
      <c r="N956">
        <v>46.8</v>
      </c>
      <c r="O956">
        <v>53.2</v>
      </c>
      <c r="P956">
        <v>51.9</v>
      </c>
      <c r="Q956">
        <v>48.1</v>
      </c>
    </row>
    <row r="957" spans="1:17" x14ac:dyDescent="0.25">
      <c r="A957" s="2">
        <v>45151</v>
      </c>
      <c r="B957" s="2" t="str">
        <f t="shared" si="28"/>
        <v>Sunday</v>
      </c>
      <c r="C957" s="2" t="b">
        <f t="shared" si="29"/>
        <v>1</v>
      </c>
      <c r="D957">
        <v>2</v>
      </c>
      <c r="E957" t="s">
        <v>6</v>
      </c>
      <c r="F957">
        <v>307</v>
      </c>
      <c r="G957" s="3">
        <v>5118.24</v>
      </c>
      <c r="H957" s="3">
        <f>Miami_Retail[[#This Row],[sales_usd]] / Miami_Retail[[#This Row],[customers]]</f>
        <v>16.671791530944624</v>
      </c>
      <c r="I957">
        <v>87.2</v>
      </c>
      <c r="J957">
        <f>(Miami_Retail[[#This Row],[avg_temp_f]]-32) * (5/9)</f>
        <v>30.666666666666668</v>
      </c>
      <c r="K957">
        <v>0</v>
      </c>
      <c r="L957">
        <v>0</v>
      </c>
      <c r="M957">
        <v>75.099999999999994</v>
      </c>
      <c r="N957">
        <v>46</v>
      </c>
      <c r="O957">
        <v>54</v>
      </c>
      <c r="P957">
        <v>49.7</v>
      </c>
      <c r="Q957">
        <v>50.3</v>
      </c>
    </row>
    <row r="958" spans="1:17" x14ac:dyDescent="0.25">
      <c r="A958" s="2">
        <v>45152</v>
      </c>
      <c r="B958" s="2" t="str">
        <f t="shared" si="28"/>
        <v>Monday</v>
      </c>
      <c r="C958" s="2" t="b">
        <f t="shared" si="29"/>
        <v>0</v>
      </c>
      <c r="D958">
        <v>2</v>
      </c>
      <c r="E958" t="s">
        <v>6</v>
      </c>
      <c r="F958">
        <v>284</v>
      </c>
      <c r="G958" s="3">
        <v>4693.41</v>
      </c>
      <c r="H958" s="3">
        <f>Miami_Retail[[#This Row],[sales_usd]] / Miami_Retail[[#This Row],[customers]]</f>
        <v>16.526091549295774</v>
      </c>
      <c r="I958">
        <v>85.6</v>
      </c>
      <c r="J958">
        <f>(Miami_Retail[[#This Row],[avg_temp_f]]-32) * (5/9)</f>
        <v>29.777777777777775</v>
      </c>
      <c r="K958">
        <v>0</v>
      </c>
      <c r="L958">
        <v>0</v>
      </c>
      <c r="M958">
        <v>76.2</v>
      </c>
      <c r="N958">
        <v>46.4</v>
      </c>
      <c r="O958">
        <v>53.6</v>
      </c>
      <c r="P958">
        <v>45.3</v>
      </c>
      <c r="Q958">
        <v>54.7</v>
      </c>
    </row>
    <row r="959" spans="1:17" x14ac:dyDescent="0.25">
      <c r="A959" s="2">
        <v>45153</v>
      </c>
      <c r="B959" s="2" t="str">
        <f t="shared" si="28"/>
        <v>Tuesday</v>
      </c>
      <c r="C959" s="2" t="b">
        <f t="shared" si="29"/>
        <v>0</v>
      </c>
      <c r="D959">
        <v>2</v>
      </c>
      <c r="E959" t="s">
        <v>6</v>
      </c>
      <c r="F959">
        <v>257</v>
      </c>
      <c r="G959" s="3">
        <v>4236.28</v>
      </c>
      <c r="H959" s="3">
        <f>Miami_Retail[[#This Row],[sales_usd]] / Miami_Retail[[#This Row],[customers]]</f>
        <v>16.483579766536963</v>
      </c>
      <c r="I959">
        <v>82.9</v>
      </c>
      <c r="J959">
        <f>(Miami_Retail[[#This Row],[avg_temp_f]]-32) * (5/9)</f>
        <v>28.277777777777782</v>
      </c>
      <c r="K959">
        <v>0</v>
      </c>
      <c r="L959">
        <v>0</v>
      </c>
      <c r="M959">
        <v>65.900000000000006</v>
      </c>
      <c r="N959">
        <v>47.1</v>
      </c>
      <c r="O959">
        <v>52.9</v>
      </c>
      <c r="P959">
        <v>44.4</v>
      </c>
      <c r="Q959">
        <v>55.6</v>
      </c>
    </row>
    <row r="960" spans="1:17" x14ac:dyDescent="0.25">
      <c r="A960" s="2">
        <v>45154</v>
      </c>
      <c r="B960" s="2" t="str">
        <f t="shared" si="28"/>
        <v>Wednesday</v>
      </c>
      <c r="C960" s="2" t="b">
        <f t="shared" si="29"/>
        <v>0</v>
      </c>
      <c r="D960">
        <v>2</v>
      </c>
      <c r="E960" t="s">
        <v>6</v>
      </c>
      <c r="F960">
        <v>269</v>
      </c>
      <c r="G960" s="3">
        <v>4360.37</v>
      </c>
      <c r="H960" s="3">
        <f>Miami_Retail[[#This Row],[sales_usd]] / Miami_Retail[[#This Row],[customers]]</f>
        <v>16.209553903345725</v>
      </c>
      <c r="I960">
        <v>87.1</v>
      </c>
      <c r="J960">
        <f>(Miami_Retail[[#This Row],[avg_temp_f]]-32) * (5/9)</f>
        <v>30.611111111111111</v>
      </c>
      <c r="K960">
        <v>0.69</v>
      </c>
      <c r="L960">
        <v>1</v>
      </c>
      <c r="M960">
        <v>72.3</v>
      </c>
      <c r="N960">
        <v>47.4</v>
      </c>
      <c r="O960">
        <v>52.6</v>
      </c>
      <c r="P960">
        <v>46</v>
      </c>
      <c r="Q960">
        <v>54</v>
      </c>
    </row>
    <row r="961" spans="1:17" x14ac:dyDescent="0.25">
      <c r="A961" s="2">
        <v>45155</v>
      </c>
      <c r="B961" s="2" t="str">
        <f t="shared" si="28"/>
        <v>Thursday</v>
      </c>
      <c r="C961" s="2" t="b">
        <f t="shared" si="29"/>
        <v>0</v>
      </c>
      <c r="D961">
        <v>2</v>
      </c>
      <c r="E961" t="s">
        <v>6</v>
      </c>
      <c r="F961">
        <v>319</v>
      </c>
      <c r="G961" s="3">
        <v>5586.43</v>
      </c>
      <c r="H961" s="3">
        <f>Miami_Retail[[#This Row],[sales_usd]] / Miami_Retail[[#This Row],[customers]]</f>
        <v>17.512319749216303</v>
      </c>
      <c r="I961">
        <v>89</v>
      </c>
      <c r="J961">
        <f>(Miami_Retail[[#This Row],[avg_temp_f]]-32) * (5/9)</f>
        <v>31.666666666666668</v>
      </c>
      <c r="K961">
        <v>1.3</v>
      </c>
      <c r="L961">
        <v>1</v>
      </c>
      <c r="M961">
        <v>75.599999999999994</v>
      </c>
      <c r="N961">
        <v>46.5</v>
      </c>
      <c r="O961">
        <v>53.5</v>
      </c>
      <c r="P961">
        <v>46.4</v>
      </c>
      <c r="Q961">
        <v>53.6</v>
      </c>
    </row>
    <row r="962" spans="1:17" x14ac:dyDescent="0.25">
      <c r="A962" s="2">
        <v>45156</v>
      </c>
      <c r="B962" s="2" t="str">
        <f t="shared" ref="B962:B1025" si="30">TEXT(A962, "dddd")</f>
        <v>Friday</v>
      </c>
      <c r="C962" s="2" t="b">
        <f t="shared" ref="C962:C1025" si="31">IF(WEEKDAY(A962,2)&gt;5,TRUE,FALSE)</f>
        <v>0</v>
      </c>
      <c r="D962">
        <v>2</v>
      </c>
      <c r="E962" t="s">
        <v>6</v>
      </c>
      <c r="F962">
        <v>297</v>
      </c>
      <c r="G962" s="3">
        <v>5194.1499999999996</v>
      </c>
      <c r="H962" s="3">
        <f>Miami_Retail[[#This Row],[sales_usd]] / Miami_Retail[[#This Row],[customers]]</f>
        <v>17.488720538720539</v>
      </c>
      <c r="I962">
        <v>84.7</v>
      </c>
      <c r="J962">
        <f>(Miami_Retail[[#This Row],[avg_temp_f]]-32) * (5/9)</f>
        <v>29.277777777777782</v>
      </c>
      <c r="K962">
        <v>0.61</v>
      </c>
      <c r="L962">
        <v>1</v>
      </c>
      <c r="M962">
        <v>77.5</v>
      </c>
      <c r="N962">
        <v>46.2</v>
      </c>
      <c r="O962">
        <v>53.8</v>
      </c>
      <c r="P962">
        <v>45.6</v>
      </c>
      <c r="Q962">
        <v>54.4</v>
      </c>
    </row>
    <row r="963" spans="1:17" x14ac:dyDescent="0.25">
      <c r="A963" s="2">
        <v>45157</v>
      </c>
      <c r="B963" s="2" t="str">
        <f t="shared" si="30"/>
        <v>Saturday</v>
      </c>
      <c r="C963" s="2" t="b">
        <f t="shared" si="31"/>
        <v>1</v>
      </c>
      <c r="D963">
        <v>2</v>
      </c>
      <c r="E963" t="s">
        <v>6</v>
      </c>
      <c r="F963">
        <v>313</v>
      </c>
      <c r="G963" s="3">
        <v>5399.21</v>
      </c>
      <c r="H963" s="3">
        <f>Miami_Retail[[#This Row],[sales_usd]] / Miami_Retail[[#This Row],[customers]]</f>
        <v>17.249872204472844</v>
      </c>
      <c r="I963">
        <v>87.2</v>
      </c>
      <c r="J963">
        <f>(Miami_Retail[[#This Row],[avg_temp_f]]-32) * (5/9)</f>
        <v>30.666666666666668</v>
      </c>
      <c r="K963">
        <v>0.76</v>
      </c>
      <c r="L963">
        <v>1</v>
      </c>
      <c r="M963">
        <v>76</v>
      </c>
      <c r="N963">
        <v>46</v>
      </c>
      <c r="O963">
        <v>54</v>
      </c>
      <c r="P963">
        <v>50.7</v>
      </c>
      <c r="Q963">
        <v>49.3</v>
      </c>
    </row>
    <row r="964" spans="1:17" x14ac:dyDescent="0.25">
      <c r="A964" s="2">
        <v>45158</v>
      </c>
      <c r="B964" s="2" t="str">
        <f t="shared" si="30"/>
        <v>Sunday</v>
      </c>
      <c r="C964" s="2" t="b">
        <f t="shared" si="31"/>
        <v>1</v>
      </c>
      <c r="D964">
        <v>2</v>
      </c>
      <c r="E964" t="s">
        <v>6</v>
      </c>
      <c r="F964">
        <v>307</v>
      </c>
      <c r="G964" s="3">
        <v>4904.72</v>
      </c>
      <c r="H964" s="3">
        <f>Miami_Retail[[#This Row],[sales_usd]] / Miami_Retail[[#This Row],[customers]]</f>
        <v>15.976286644951141</v>
      </c>
      <c r="I964">
        <v>89</v>
      </c>
      <c r="J964">
        <f>(Miami_Retail[[#This Row],[avg_temp_f]]-32) * (5/9)</f>
        <v>31.666666666666668</v>
      </c>
      <c r="K964">
        <v>0.62</v>
      </c>
      <c r="L964">
        <v>1</v>
      </c>
      <c r="M964">
        <v>75.599999999999994</v>
      </c>
      <c r="N964">
        <v>46.6</v>
      </c>
      <c r="O964">
        <v>53.4</v>
      </c>
      <c r="P964">
        <v>52.4</v>
      </c>
      <c r="Q964">
        <v>47.6</v>
      </c>
    </row>
    <row r="965" spans="1:17" x14ac:dyDescent="0.25">
      <c r="A965" s="2">
        <v>45159</v>
      </c>
      <c r="B965" s="2" t="str">
        <f t="shared" si="30"/>
        <v>Monday</v>
      </c>
      <c r="C965" s="2" t="b">
        <f t="shared" si="31"/>
        <v>0</v>
      </c>
      <c r="D965">
        <v>2</v>
      </c>
      <c r="E965" t="s">
        <v>6</v>
      </c>
      <c r="F965">
        <v>310</v>
      </c>
      <c r="G965" s="3">
        <v>5746.1</v>
      </c>
      <c r="H965" s="3">
        <f>Miami_Retail[[#This Row],[sales_usd]] / Miami_Retail[[#This Row],[customers]]</f>
        <v>18.535806451612903</v>
      </c>
      <c r="I965">
        <v>87.1</v>
      </c>
      <c r="J965">
        <f>(Miami_Retail[[#This Row],[avg_temp_f]]-32) * (5/9)</f>
        <v>30.611111111111111</v>
      </c>
      <c r="K965">
        <v>0</v>
      </c>
      <c r="L965">
        <v>0</v>
      </c>
      <c r="M965">
        <v>67.3</v>
      </c>
      <c r="N965">
        <v>47</v>
      </c>
      <c r="O965">
        <v>53</v>
      </c>
      <c r="P965">
        <v>46</v>
      </c>
      <c r="Q965">
        <v>54</v>
      </c>
    </row>
    <row r="966" spans="1:17" x14ac:dyDescent="0.25">
      <c r="A966" s="2">
        <v>45160</v>
      </c>
      <c r="B966" s="2" t="str">
        <f t="shared" si="30"/>
        <v>Tuesday</v>
      </c>
      <c r="C966" s="2" t="b">
        <f t="shared" si="31"/>
        <v>0</v>
      </c>
      <c r="D966">
        <v>2</v>
      </c>
      <c r="E966" t="s">
        <v>6</v>
      </c>
      <c r="F966">
        <v>283</v>
      </c>
      <c r="G966" s="3">
        <v>4966.1099999999997</v>
      </c>
      <c r="H966" s="3">
        <f>Miami_Retail[[#This Row],[sales_usd]] / Miami_Retail[[#This Row],[customers]]</f>
        <v>17.548091872791517</v>
      </c>
      <c r="I966">
        <v>86.2</v>
      </c>
      <c r="J966">
        <f>(Miami_Retail[[#This Row],[avg_temp_f]]-32) * (5/9)</f>
        <v>30.111111111111114</v>
      </c>
      <c r="K966">
        <v>0</v>
      </c>
      <c r="L966">
        <v>0</v>
      </c>
      <c r="M966">
        <v>66.5</v>
      </c>
      <c r="N966">
        <v>46.2</v>
      </c>
      <c r="O966">
        <v>53.8</v>
      </c>
      <c r="P966">
        <v>45.5</v>
      </c>
      <c r="Q966">
        <v>54.5</v>
      </c>
    </row>
    <row r="967" spans="1:17" x14ac:dyDescent="0.25">
      <c r="A967" s="2">
        <v>45161</v>
      </c>
      <c r="B967" s="2" t="str">
        <f t="shared" si="30"/>
        <v>Wednesday</v>
      </c>
      <c r="C967" s="2" t="b">
        <f t="shared" si="31"/>
        <v>0</v>
      </c>
      <c r="D967">
        <v>2</v>
      </c>
      <c r="E967" t="s">
        <v>6</v>
      </c>
      <c r="F967">
        <v>279</v>
      </c>
      <c r="G967" s="3">
        <v>4777.3</v>
      </c>
      <c r="H967" s="3">
        <f>Miami_Retail[[#This Row],[sales_usd]] / Miami_Retail[[#This Row],[customers]]</f>
        <v>17.122939068100358</v>
      </c>
      <c r="I967">
        <v>84.8</v>
      </c>
      <c r="J967">
        <f>(Miami_Retail[[#This Row],[avg_temp_f]]-32) * (5/9)</f>
        <v>29.333333333333332</v>
      </c>
      <c r="K967">
        <v>0</v>
      </c>
      <c r="L967">
        <v>0</v>
      </c>
      <c r="M967">
        <v>80.2</v>
      </c>
      <c r="N967">
        <v>47.8</v>
      </c>
      <c r="O967">
        <v>52.2</v>
      </c>
      <c r="P967">
        <v>45.9</v>
      </c>
      <c r="Q967">
        <v>54.1</v>
      </c>
    </row>
    <row r="968" spans="1:17" x14ac:dyDescent="0.25">
      <c r="A968" s="2">
        <v>45162</v>
      </c>
      <c r="B968" s="2" t="str">
        <f t="shared" si="30"/>
        <v>Thursday</v>
      </c>
      <c r="C968" s="2" t="b">
        <f t="shared" si="31"/>
        <v>0</v>
      </c>
      <c r="D968">
        <v>2</v>
      </c>
      <c r="E968" t="s">
        <v>6</v>
      </c>
      <c r="F968">
        <v>298</v>
      </c>
      <c r="G968" s="3">
        <v>5012.1499999999996</v>
      </c>
      <c r="H968" s="3">
        <f>Miami_Retail[[#This Row],[sales_usd]] / Miami_Retail[[#This Row],[customers]]</f>
        <v>16.819295302013423</v>
      </c>
      <c r="I968">
        <v>89</v>
      </c>
      <c r="J968">
        <f>(Miami_Retail[[#This Row],[avg_temp_f]]-32) * (5/9)</f>
        <v>31.666666666666668</v>
      </c>
      <c r="K968">
        <v>0</v>
      </c>
      <c r="L968">
        <v>0</v>
      </c>
      <c r="M968">
        <v>70.5</v>
      </c>
      <c r="N968">
        <v>46.7</v>
      </c>
      <c r="O968">
        <v>53.3</v>
      </c>
      <c r="P968">
        <v>47.6</v>
      </c>
      <c r="Q968">
        <v>52.4</v>
      </c>
    </row>
    <row r="969" spans="1:17" x14ac:dyDescent="0.25">
      <c r="A969" s="2">
        <v>45163</v>
      </c>
      <c r="B969" s="2" t="str">
        <f t="shared" si="30"/>
        <v>Friday</v>
      </c>
      <c r="C969" s="2" t="b">
        <f t="shared" si="31"/>
        <v>0</v>
      </c>
      <c r="D969">
        <v>2</v>
      </c>
      <c r="E969" t="s">
        <v>6</v>
      </c>
      <c r="F969">
        <v>290</v>
      </c>
      <c r="G969" s="3">
        <v>4722.1899999999996</v>
      </c>
      <c r="H969" s="3">
        <f>Miami_Retail[[#This Row],[sales_usd]] / Miami_Retail[[#This Row],[customers]]</f>
        <v>16.283413793103445</v>
      </c>
      <c r="I969">
        <v>88</v>
      </c>
      <c r="J969">
        <f>(Miami_Retail[[#This Row],[avg_temp_f]]-32) * (5/9)</f>
        <v>31.111111111111114</v>
      </c>
      <c r="K969">
        <v>0</v>
      </c>
      <c r="L969">
        <v>0</v>
      </c>
      <c r="M969">
        <v>73.900000000000006</v>
      </c>
      <c r="N969">
        <v>46.2</v>
      </c>
      <c r="O969">
        <v>53.8</v>
      </c>
      <c r="P969">
        <v>45.6</v>
      </c>
      <c r="Q969">
        <v>54.4</v>
      </c>
    </row>
    <row r="970" spans="1:17" x14ac:dyDescent="0.25">
      <c r="A970" s="2">
        <v>45164</v>
      </c>
      <c r="B970" s="2" t="str">
        <f t="shared" si="30"/>
        <v>Saturday</v>
      </c>
      <c r="C970" s="2" t="b">
        <f t="shared" si="31"/>
        <v>1</v>
      </c>
      <c r="D970">
        <v>2</v>
      </c>
      <c r="E970" t="s">
        <v>6</v>
      </c>
      <c r="F970">
        <v>309</v>
      </c>
      <c r="G970" s="3">
        <v>5230.8900000000003</v>
      </c>
      <c r="H970" s="3">
        <f>Miami_Retail[[#This Row],[sales_usd]] / Miami_Retail[[#This Row],[customers]]</f>
        <v>16.928446601941747</v>
      </c>
      <c r="I970">
        <v>88.1</v>
      </c>
      <c r="J970">
        <f>(Miami_Retail[[#This Row],[avg_temp_f]]-32) * (5/9)</f>
        <v>31.166666666666664</v>
      </c>
      <c r="K970">
        <v>0</v>
      </c>
      <c r="L970">
        <v>0</v>
      </c>
      <c r="M970">
        <v>63.4</v>
      </c>
      <c r="N970">
        <v>47.1</v>
      </c>
      <c r="O970">
        <v>52.9</v>
      </c>
      <c r="P970">
        <v>51.5</v>
      </c>
      <c r="Q970">
        <v>48.5</v>
      </c>
    </row>
    <row r="971" spans="1:17" x14ac:dyDescent="0.25">
      <c r="A971" s="2">
        <v>45165</v>
      </c>
      <c r="B971" s="2" t="str">
        <f t="shared" si="30"/>
        <v>Sunday</v>
      </c>
      <c r="C971" s="2" t="b">
        <f t="shared" si="31"/>
        <v>1</v>
      </c>
      <c r="D971">
        <v>2</v>
      </c>
      <c r="E971" t="s">
        <v>6</v>
      </c>
      <c r="F971">
        <v>330</v>
      </c>
      <c r="G971" s="3">
        <v>5794</v>
      </c>
      <c r="H971" s="3">
        <f>Miami_Retail[[#This Row],[sales_usd]] / Miami_Retail[[#This Row],[customers]]</f>
        <v>17.557575757575759</v>
      </c>
      <c r="I971">
        <v>89.7</v>
      </c>
      <c r="J971">
        <f>(Miami_Retail[[#This Row],[avg_temp_f]]-32) * (5/9)</f>
        <v>32.055555555555557</v>
      </c>
      <c r="K971">
        <v>0.44</v>
      </c>
      <c r="L971">
        <v>1</v>
      </c>
      <c r="M971">
        <v>77.099999999999994</v>
      </c>
      <c r="N971">
        <v>45.9</v>
      </c>
      <c r="O971">
        <v>54.1</v>
      </c>
      <c r="P971">
        <v>50.4</v>
      </c>
      <c r="Q971">
        <v>49.6</v>
      </c>
    </row>
    <row r="972" spans="1:17" x14ac:dyDescent="0.25">
      <c r="A972" s="2">
        <v>45166</v>
      </c>
      <c r="B972" s="2" t="str">
        <f t="shared" si="30"/>
        <v>Monday</v>
      </c>
      <c r="C972" s="2" t="b">
        <f t="shared" si="31"/>
        <v>0</v>
      </c>
      <c r="D972">
        <v>2</v>
      </c>
      <c r="E972" t="s">
        <v>6</v>
      </c>
      <c r="F972">
        <v>285</v>
      </c>
      <c r="G972" s="3">
        <v>4897.78</v>
      </c>
      <c r="H972" s="3">
        <f>Miami_Retail[[#This Row],[sales_usd]] / Miami_Retail[[#This Row],[customers]]</f>
        <v>17.18519298245614</v>
      </c>
      <c r="I972">
        <v>90.1</v>
      </c>
      <c r="J972">
        <f>(Miami_Retail[[#This Row],[avg_temp_f]]-32) * (5/9)</f>
        <v>32.277777777777779</v>
      </c>
      <c r="K972">
        <v>0</v>
      </c>
      <c r="L972">
        <v>0</v>
      </c>
      <c r="M972">
        <v>77.2</v>
      </c>
      <c r="N972">
        <v>47.4</v>
      </c>
      <c r="O972">
        <v>52.6</v>
      </c>
      <c r="P972">
        <v>44.7</v>
      </c>
      <c r="Q972">
        <v>55.3</v>
      </c>
    </row>
    <row r="973" spans="1:17" x14ac:dyDescent="0.25">
      <c r="A973" s="2">
        <v>45167</v>
      </c>
      <c r="B973" s="2" t="str">
        <f t="shared" si="30"/>
        <v>Tuesday</v>
      </c>
      <c r="C973" s="2" t="b">
        <f t="shared" si="31"/>
        <v>0</v>
      </c>
      <c r="D973">
        <v>2</v>
      </c>
      <c r="E973" t="s">
        <v>6</v>
      </c>
      <c r="F973">
        <v>275</v>
      </c>
      <c r="G973" s="3">
        <v>4696.53</v>
      </c>
      <c r="H973" s="3">
        <f>Miami_Retail[[#This Row],[sales_usd]] / Miami_Retail[[#This Row],[customers]]</f>
        <v>17.078290909090907</v>
      </c>
      <c r="I973">
        <v>89.2</v>
      </c>
      <c r="J973">
        <f>(Miami_Retail[[#This Row],[avg_temp_f]]-32) * (5/9)</f>
        <v>31.777777777777782</v>
      </c>
      <c r="K973">
        <v>0.08</v>
      </c>
      <c r="L973">
        <v>1</v>
      </c>
      <c r="M973">
        <v>71.900000000000006</v>
      </c>
      <c r="N973">
        <v>45</v>
      </c>
      <c r="O973">
        <v>55</v>
      </c>
      <c r="P973">
        <v>46.2</v>
      </c>
      <c r="Q973">
        <v>53.8</v>
      </c>
    </row>
    <row r="974" spans="1:17" x14ac:dyDescent="0.25">
      <c r="A974" s="2">
        <v>45168</v>
      </c>
      <c r="B974" s="2" t="str">
        <f t="shared" si="30"/>
        <v>Wednesday</v>
      </c>
      <c r="C974" s="2" t="b">
        <f t="shared" si="31"/>
        <v>0</v>
      </c>
      <c r="D974">
        <v>2</v>
      </c>
      <c r="E974" t="s">
        <v>6</v>
      </c>
      <c r="F974">
        <v>277</v>
      </c>
      <c r="G974" s="3">
        <v>4675.8599999999997</v>
      </c>
      <c r="H974" s="3">
        <f>Miami_Retail[[#This Row],[sales_usd]] / Miami_Retail[[#This Row],[customers]]</f>
        <v>16.880361010830324</v>
      </c>
      <c r="I974">
        <v>92.8</v>
      </c>
      <c r="J974">
        <f>(Miami_Retail[[#This Row],[avg_temp_f]]-32) * (5/9)</f>
        <v>33.777777777777779</v>
      </c>
      <c r="K974">
        <v>0</v>
      </c>
      <c r="L974">
        <v>0</v>
      </c>
      <c r="M974">
        <v>72.3</v>
      </c>
      <c r="N974">
        <v>46.5</v>
      </c>
      <c r="O974">
        <v>53.5</v>
      </c>
      <c r="P974">
        <v>43.9</v>
      </c>
      <c r="Q974">
        <v>56.1</v>
      </c>
    </row>
    <row r="975" spans="1:17" x14ac:dyDescent="0.25">
      <c r="A975" s="2">
        <v>45169</v>
      </c>
      <c r="B975" s="2" t="str">
        <f t="shared" si="30"/>
        <v>Thursday</v>
      </c>
      <c r="C975" s="2" t="b">
        <f t="shared" si="31"/>
        <v>0</v>
      </c>
      <c r="D975">
        <v>2</v>
      </c>
      <c r="E975" t="s">
        <v>6</v>
      </c>
      <c r="F975">
        <v>311</v>
      </c>
      <c r="G975" s="3">
        <v>5397.46</v>
      </c>
      <c r="H975" s="3">
        <f>Miami_Retail[[#This Row],[sales_usd]] / Miami_Retail[[#This Row],[customers]]</f>
        <v>17.355176848874599</v>
      </c>
      <c r="I975">
        <v>85.6</v>
      </c>
      <c r="J975">
        <f>(Miami_Retail[[#This Row],[avg_temp_f]]-32) * (5/9)</f>
        <v>29.777777777777775</v>
      </c>
      <c r="K975">
        <v>0</v>
      </c>
      <c r="L975">
        <v>0</v>
      </c>
      <c r="M975">
        <v>75.400000000000006</v>
      </c>
      <c r="N975">
        <v>45.3</v>
      </c>
      <c r="O975">
        <v>54.7</v>
      </c>
      <c r="P975">
        <v>47.5</v>
      </c>
      <c r="Q975">
        <v>52.5</v>
      </c>
    </row>
    <row r="976" spans="1:17" x14ac:dyDescent="0.25">
      <c r="A976" s="2">
        <v>45170</v>
      </c>
      <c r="B976" s="2" t="str">
        <f t="shared" si="30"/>
        <v>Friday</v>
      </c>
      <c r="C976" s="2" t="b">
        <f t="shared" si="31"/>
        <v>0</v>
      </c>
      <c r="D976">
        <v>2</v>
      </c>
      <c r="E976" t="s">
        <v>6</v>
      </c>
      <c r="F976">
        <v>261</v>
      </c>
      <c r="G976" s="3">
        <v>4739.17</v>
      </c>
      <c r="H976" s="3">
        <f>Miami_Retail[[#This Row],[sales_usd]] / Miami_Retail[[#This Row],[customers]]</f>
        <v>18.157739463601533</v>
      </c>
      <c r="I976">
        <v>94.1</v>
      </c>
      <c r="J976">
        <f>(Miami_Retail[[#This Row],[avg_temp_f]]-32) * (5/9)</f>
        <v>34.5</v>
      </c>
      <c r="K976">
        <v>0</v>
      </c>
      <c r="L976">
        <v>0</v>
      </c>
      <c r="M976">
        <v>71.5</v>
      </c>
      <c r="N976">
        <v>46</v>
      </c>
      <c r="O976">
        <v>54</v>
      </c>
      <c r="P976">
        <v>45.1</v>
      </c>
      <c r="Q976">
        <v>54.9</v>
      </c>
    </row>
    <row r="977" spans="1:17" x14ac:dyDescent="0.25">
      <c r="A977" s="2">
        <v>45171</v>
      </c>
      <c r="B977" s="2" t="str">
        <f t="shared" si="30"/>
        <v>Saturday</v>
      </c>
      <c r="C977" s="2" t="b">
        <f t="shared" si="31"/>
        <v>1</v>
      </c>
      <c r="D977">
        <v>2</v>
      </c>
      <c r="E977" t="s">
        <v>6</v>
      </c>
      <c r="F977">
        <v>275</v>
      </c>
      <c r="G977" s="3">
        <v>4846.3599999999997</v>
      </c>
      <c r="H977" s="3">
        <f>Miami_Retail[[#This Row],[sales_usd]] / Miami_Retail[[#This Row],[customers]]</f>
        <v>17.62312727272727</v>
      </c>
      <c r="I977">
        <v>87.3</v>
      </c>
      <c r="J977">
        <f>(Miami_Retail[[#This Row],[avg_temp_f]]-32) * (5/9)</f>
        <v>30.722222222222221</v>
      </c>
      <c r="K977">
        <v>0</v>
      </c>
      <c r="L977">
        <v>0</v>
      </c>
      <c r="M977">
        <v>73.599999999999994</v>
      </c>
      <c r="N977">
        <v>46.9</v>
      </c>
      <c r="O977">
        <v>53.1</v>
      </c>
      <c r="P977">
        <v>50.7</v>
      </c>
      <c r="Q977">
        <v>49.3</v>
      </c>
    </row>
    <row r="978" spans="1:17" x14ac:dyDescent="0.25">
      <c r="A978" s="2">
        <v>45172</v>
      </c>
      <c r="B978" s="2" t="str">
        <f t="shared" si="30"/>
        <v>Sunday</v>
      </c>
      <c r="C978" s="2" t="b">
        <f t="shared" si="31"/>
        <v>1</v>
      </c>
      <c r="D978">
        <v>2</v>
      </c>
      <c r="E978" t="s">
        <v>6</v>
      </c>
      <c r="F978">
        <v>299</v>
      </c>
      <c r="G978" s="3">
        <v>4885.43</v>
      </c>
      <c r="H978" s="3">
        <f>Miami_Retail[[#This Row],[sales_usd]] / Miami_Retail[[#This Row],[customers]]</f>
        <v>16.33923076923077</v>
      </c>
      <c r="I978">
        <v>87.3</v>
      </c>
      <c r="J978">
        <f>(Miami_Retail[[#This Row],[avg_temp_f]]-32) * (5/9)</f>
        <v>30.722222222222221</v>
      </c>
      <c r="K978">
        <v>0</v>
      </c>
      <c r="L978">
        <v>0</v>
      </c>
      <c r="M978">
        <v>74.8</v>
      </c>
      <c r="N978">
        <v>47.1</v>
      </c>
      <c r="O978">
        <v>52.9</v>
      </c>
      <c r="P978">
        <v>50.9</v>
      </c>
      <c r="Q978">
        <v>49.1</v>
      </c>
    </row>
    <row r="979" spans="1:17" x14ac:dyDescent="0.25">
      <c r="A979" s="2">
        <v>45173</v>
      </c>
      <c r="B979" s="2" t="str">
        <f t="shared" si="30"/>
        <v>Monday</v>
      </c>
      <c r="C979" s="2" t="b">
        <f t="shared" si="31"/>
        <v>0</v>
      </c>
      <c r="D979">
        <v>2</v>
      </c>
      <c r="E979" t="s">
        <v>6</v>
      </c>
      <c r="F979">
        <v>279</v>
      </c>
      <c r="G979" s="3">
        <v>4982.42</v>
      </c>
      <c r="H979" s="3">
        <f>Miami_Retail[[#This Row],[sales_usd]] / Miami_Retail[[#This Row],[customers]]</f>
        <v>17.858136200716846</v>
      </c>
      <c r="I979">
        <v>86.8</v>
      </c>
      <c r="J979">
        <f>(Miami_Retail[[#This Row],[avg_temp_f]]-32) * (5/9)</f>
        <v>30.444444444444443</v>
      </c>
      <c r="K979">
        <v>0.68</v>
      </c>
      <c r="L979">
        <v>1</v>
      </c>
      <c r="M979">
        <v>81.3</v>
      </c>
      <c r="N979">
        <v>46</v>
      </c>
      <c r="O979">
        <v>54</v>
      </c>
      <c r="P979">
        <v>46</v>
      </c>
      <c r="Q979">
        <v>54</v>
      </c>
    </row>
    <row r="980" spans="1:17" x14ac:dyDescent="0.25">
      <c r="A980" s="2">
        <v>45174</v>
      </c>
      <c r="B980" s="2" t="str">
        <f t="shared" si="30"/>
        <v>Tuesday</v>
      </c>
      <c r="C980" s="2" t="b">
        <f t="shared" si="31"/>
        <v>0</v>
      </c>
      <c r="D980">
        <v>2</v>
      </c>
      <c r="E980" t="s">
        <v>6</v>
      </c>
      <c r="F980">
        <v>249</v>
      </c>
      <c r="G980" s="3">
        <v>4301.92</v>
      </c>
      <c r="H980" s="3">
        <f>Miami_Retail[[#This Row],[sales_usd]] / Miami_Retail[[#This Row],[customers]]</f>
        <v>17.276787148594376</v>
      </c>
      <c r="I980">
        <v>86.2</v>
      </c>
      <c r="J980">
        <f>(Miami_Retail[[#This Row],[avg_temp_f]]-32) * (5/9)</f>
        <v>30.111111111111114</v>
      </c>
      <c r="K980">
        <v>0</v>
      </c>
      <c r="L980">
        <v>0</v>
      </c>
      <c r="M980">
        <v>72.2</v>
      </c>
      <c r="N980">
        <v>45.5</v>
      </c>
      <c r="O980">
        <v>54.5</v>
      </c>
      <c r="P980">
        <v>45.3</v>
      </c>
      <c r="Q980">
        <v>54.7</v>
      </c>
    </row>
    <row r="981" spans="1:17" x14ac:dyDescent="0.25">
      <c r="A981" s="2">
        <v>45175</v>
      </c>
      <c r="B981" s="2" t="str">
        <f t="shared" si="30"/>
        <v>Wednesday</v>
      </c>
      <c r="C981" s="2" t="b">
        <f t="shared" si="31"/>
        <v>0</v>
      </c>
      <c r="D981">
        <v>2</v>
      </c>
      <c r="E981" t="s">
        <v>6</v>
      </c>
      <c r="F981">
        <v>300</v>
      </c>
      <c r="G981" s="3">
        <v>5201.93</v>
      </c>
      <c r="H981" s="3">
        <f>Miami_Retail[[#This Row],[sales_usd]] / Miami_Retail[[#This Row],[customers]]</f>
        <v>17.339766666666666</v>
      </c>
      <c r="I981">
        <v>95.7</v>
      </c>
      <c r="J981">
        <f>(Miami_Retail[[#This Row],[avg_temp_f]]-32) * (5/9)</f>
        <v>35.388888888888893</v>
      </c>
      <c r="K981">
        <v>0.45</v>
      </c>
      <c r="L981">
        <v>1</v>
      </c>
      <c r="M981">
        <v>78.400000000000006</v>
      </c>
      <c r="N981">
        <v>45.8</v>
      </c>
      <c r="O981">
        <v>54.2</v>
      </c>
      <c r="P981">
        <v>44.9</v>
      </c>
      <c r="Q981">
        <v>55.1</v>
      </c>
    </row>
    <row r="982" spans="1:17" x14ac:dyDescent="0.25">
      <c r="A982" s="2">
        <v>45176</v>
      </c>
      <c r="B982" s="2" t="str">
        <f t="shared" si="30"/>
        <v>Thursday</v>
      </c>
      <c r="C982" s="2" t="b">
        <f t="shared" si="31"/>
        <v>0</v>
      </c>
      <c r="D982">
        <v>2</v>
      </c>
      <c r="E982" t="s">
        <v>6</v>
      </c>
      <c r="F982">
        <v>295</v>
      </c>
      <c r="G982" s="3">
        <v>4978.7299999999996</v>
      </c>
      <c r="H982" s="3">
        <f>Miami_Retail[[#This Row],[sales_usd]] / Miami_Retail[[#This Row],[customers]]</f>
        <v>16.877050847457625</v>
      </c>
      <c r="I982">
        <v>87.6</v>
      </c>
      <c r="J982">
        <f>(Miami_Retail[[#This Row],[avg_temp_f]]-32) * (5/9)</f>
        <v>30.888888888888886</v>
      </c>
      <c r="K982">
        <v>0</v>
      </c>
      <c r="L982">
        <v>0</v>
      </c>
      <c r="M982">
        <v>74.900000000000006</v>
      </c>
      <c r="N982">
        <v>46.3</v>
      </c>
      <c r="O982">
        <v>53.7</v>
      </c>
      <c r="P982">
        <v>43.7</v>
      </c>
      <c r="Q982">
        <v>56.3</v>
      </c>
    </row>
    <row r="983" spans="1:17" x14ac:dyDescent="0.25">
      <c r="A983" s="2">
        <v>45177</v>
      </c>
      <c r="B983" s="2" t="str">
        <f t="shared" si="30"/>
        <v>Friday</v>
      </c>
      <c r="C983" s="2" t="b">
        <f t="shared" si="31"/>
        <v>0</v>
      </c>
      <c r="D983">
        <v>2</v>
      </c>
      <c r="E983" t="s">
        <v>6</v>
      </c>
      <c r="F983">
        <v>243</v>
      </c>
      <c r="G983" s="3">
        <v>4211.47</v>
      </c>
      <c r="H983" s="3">
        <f>Miami_Retail[[#This Row],[sales_usd]] / Miami_Retail[[#This Row],[customers]]</f>
        <v>17.331152263374488</v>
      </c>
      <c r="I983">
        <v>88.8</v>
      </c>
      <c r="J983">
        <f>(Miami_Retail[[#This Row],[avg_temp_f]]-32) * (5/9)</f>
        <v>31.555555555555557</v>
      </c>
      <c r="K983">
        <v>1.94</v>
      </c>
      <c r="L983">
        <v>1</v>
      </c>
      <c r="M983">
        <v>75.3</v>
      </c>
      <c r="N983">
        <v>46.7</v>
      </c>
      <c r="O983">
        <v>53.3</v>
      </c>
      <c r="P983">
        <v>44.7</v>
      </c>
      <c r="Q983">
        <v>55.3</v>
      </c>
    </row>
    <row r="984" spans="1:17" x14ac:dyDescent="0.25">
      <c r="A984" s="2">
        <v>45178</v>
      </c>
      <c r="B984" s="2" t="str">
        <f t="shared" si="30"/>
        <v>Saturday</v>
      </c>
      <c r="C984" s="2" t="b">
        <f t="shared" si="31"/>
        <v>1</v>
      </c>
      <c r="D984">
        <v>2</v>
      </c>
      <c r="E984" t="s">
        <v>6</v>
      </c>
      <c r="F984">
        <v>318</v>
      </c>
      <c r="G984" s="3">
        <v>5104.93</v>
      </c>
      <c r="H984" s="3">
        <f>Miami_Retail[[#This Row],[sales_usd]] / Miami_Retail[[#This Row],[customers]]</f>
        <v>16.053238993710693</v>
      </c>
      <c r="I984">
        <v>91.3</v>
      </c>
      <c r="J984">
        <f>(Miami_Retail[[#This Row],[avg_temp_f]]-32) * (5/9)</f>
        <v>32.944444444444443</v>
      </c>
      <c r="K984">
        <v>0.68</v>
      </c>
      <c r="L984">
        <v>1</v>
      </c>
      <c r="M984">
        <v>80.599999999999994</v>
      </c>
      <c r="N984">
        <v>47.2</v>
      </c>
      <c r="O984">
        <v>52.8</v>
      </c>
      <c r="P984">
        <v>51</v>
      </c>
      <c r="Q984">
        <v>49</v>
      </c>
    </row>
    <row r="985" spans="1:17" x14ac:dyDescent="0.25">
      <c r="A985" s="2">
        <v>45179</v>
      </c>
      <c r="B985" s="2" t="str">
        <f t="shared" si="30"/>
        <v>Sunday</v>
      </c>
      <c r="C985" s="2" t="b">
        <f t="shared" si="31"/>
        <v>1</v>
      </c>
      <c r="D985">
        <v>2</v>
      </c>
      <c r="E985" t="s">
        <v>6</v>
      </c>
      <c r="F985">
        <v>304</v>
      </c>
      <c r="G985" s="3">
        <v>5251.82</v>
      </c>
      <c r="H985" s="3">
        <f>Miami_Retail[[#This Row],[sales_usd]] / Miami_Retail[[#This Row],[customers]]</f>
        <v>17.275723684210526</v>
      </c>
      <c r="I985">
        <v>88.8</v>
      </c>
      <c r="J985">
        <f>(Miami_Retail[[#This Row],[avg_temp_f]]-32) * (5/9)</f>
        <v>31.555555555555557</v>
      </c>
      <c r="K985">
        <v>0</v>
      </c>
      <c r="L985">
        <v>0</v>
      </c>
      <c r="M985">
        <v>67.400000000000006</v>
      </c>
      <c r="N985">
        <v>47.2</v>
      </c>
      <c r="O985">
        <v>52.8</v>
      </c>
      <c r="P985">
        <v>52.6</v>
      </c>
      <c r="Q985">
        <v>47.4</v>
      </c>
    </row>
    <row r="986" spans="1:17" x14ac:dyDescent="0.25">
      <c r="A986" s="2">
        <v>45180</v>
      </c>
      <c r="B986" s="2" t="str">
        <f t="shared" si="30"/>
        <v>Monday</v>
      </c>
      <c r="C986" s="2" t="b">
        <f t="shared" si="31"/>
        <v>0</v>
      </c>
      <c r="D986">
        <v>2</v>
      </c>
      <c r="E986" t="s">
        <v>6</v>
      </c>
      <c r="F986">
        <v>281</v>
      </c>
      <c r="G986" s="3">
        <v>5067.37</v>
      </c>
      <c r="H986" s="3">
        <f>Miami_Retail[[#This Row],[sales_usd]] / Miami_Retail[[#This Row],[customers]]</f>
        <v>18.033345195729538</v>
      </c>
      <c r="I986">
        <v>89.6</v>
      </c>
      <c r="J986">
        <f>(Miami_Retail[[#This Row],[avg_temp_f]]-32) * (5/9)</f>
        <v>32</v>
      </c>
      <c r="K986">
        <v>0</v>
      </c>
      <c r="L986">
        <v>0</v>
      </c>
      <c r="M986">
        <v>81.2</v>
      </c>
      <c r="N986">
        <v>47.1</v>
      </c>
      <c r="O986">
        <v>52.9</v>
      </c>
      <c r="P986">
        <v>44.1</v>
      </c>
      <c r="Q986">
        <v>55.9</v>
      </c>
    </row>
    <row r="987" spans="1:17" x14ac:dyDescent="0.25">
      <c r="A987" s="2">
        <v>45181</v>
      </c>
      <c r="B987" s="2" t="str">
        <f t="shared" si="30"/>
        <v>Tuesday</v>
      </c>
      <c r="C987" s="2" t="b">
        <f t="shared" si="31"/>
        <v>0</v>
      </c>
      <c r="D987">
        <v>2</v>
      </c>
      <c r="E987" t="s">
        <v>6</v>
      </c>
      <c r="F987">
        <v>303</v>
      </c>
      <c r="G987" s="3">
        <v>5454.19</v>
      </c>
      <c r="H987" s="3">
        <f>Miami_Retail[[#This Row],[sales_usd]] / Miami_Retail[[#This Row],[customers]]</f>
        <v>18.000627062706268</v>
      </c>
      <c r="I987">
        <v>96.6</v>
      </c>
      <c r="J987">
        <f>(Miami_Retail[[#This Row],[avg_temp_f]]-32) * (5/9)</f>
        <v>35.888888888888886</v>
      </c>
      <c r="K987">
        <v>0</v>
      </c>
      <c r="L987">
        <v>0</v>
      </c>
      <c r="M987">
        <v>78.5</v>
      </c>
      <c r="N987">
        <v>45.9</v>
      </c>
      <c r="O987">
        <v>54.1</v>
      </c>
      <c r="P987">
        <v>44</v>
      </c>
      <c r="Q987">
        <v>56</v>
      </c>
    </row>
    <row r="988" spans="1:17" x14ac:dyDescent="0.25">
      <c r="A988" s="2">
        <v>45182</v>
      </c>
      <c r="B988" s="2" t="str">
        <f t="shared" si="30"/>
        <v>Wednesday</v>
      </c>
      <c r="C988" s="2" t="b">
        <f t="shared" si="31"/>
        <v>0</v>
      </c>
      <c r="D988">
        <v>2</v>
      </c>
      <c r="E988" t="s">
        <v>6</v>
      </c>
      <c r="F988">
        <v>249</v>
      </c>
      <c r="G988" s="3">
        <v>4199.8599999999997</v>
      </c>
      <c r="H988" s="3">
        <f>Miami_Retail[[#This Row],[sales_usd]] / Miami_Retail[[#This Row],[customers]]</f>
        <v>16.866907630522086</v>
      </c>
      <c r="I988">
        <v>88</v>
      </c>
      <c r="J988">
        <f>(Miami_Retail[[#This Row],[avg_temp_f]]-32) * (5/9)</f>
        <v>31.111111111111114</v>
      </c>
      <c r="K988">
        <v>1.95</v>
      </c>
      <c r="L988">
        <v>1</v>
      </c>
      <c r="M988">
        <v>84.5</v>
      </c>
      <c r="N988">
        <v>46.5</v>
      </c>
      <c r="O988">
        <v>53.5</v>
      </c>
      <c r="P988">
        <v>45.4</v>
      </c>
      <c r="Q988">
        <v>54.6</v>
      </c>
    </row>
    <row r="989" spans="1:17" x14ac:dyDescent="0.25">
      <c r="A989" s="2">
        <v>45183</v>
      </c>
      <c r="B989" s="2" t="str">
        <f t="shared" si="30"/>
        <v>Thursday</v>
      </c>
      <c r="C989" s="2" t="b">
        <f t="shared" si="31"/>
        <v>0</v>
      </c>
      <c r="D989">
        <v>2</v>
      </c>
      <c r="E989" t="s">
        <v>6</v>
      </c>
      <c r="F989">
        <v>285</v>
      </c>
      <c r="G989" s="3">
        <v>4523.3</v>
      </c>
      <c r="H989" s="3">
        <f>Miami_Retail[[#This Row],[sales_usd]] / Miami_Retail[[#This Row],[customers]]</f>
        <v>15.871228070175439</v>
      </c>
      <c r="I989">
        <v>87</v>
      </c>
      <c r="J989">
        <f>(Miami_Retail[[#This Row],[avg_temp_f]]-32) * (5/9)</f>
        <v>30.555555555555557</v>
      </c>
      <c r="K989">
        <v>0</v>
      </c>
      <c r="L989">
        <v>0</v>
      </c>
      <c r="M989">
        <v>71.7</v>
      </c>
      <c r="N989">
        <v>47.1</v>
      </c>
      <c r="O989">
        <v>52.9</v>
      </c>
      <c r="P989">
        <v>44.6</v>
      </c>
      <c r="Q989">
        <v>55.4</v>
      </c>
    </row>
    <row r="990" spans="1:17" x14ac:dyDescent="0.25">
      <c r="A990" s="2">
        <v>45184</v>
      </c>
      <c r="B990" s="2" t="str">
        <f t="shared" si="30"/>
        <v>Friday</v>
      </c>
      <c r="C990" s="2" t="b">
        <f t="shared" si="31"/>
        <v>0</v>
      </c>
      <c r="D990">
        <v>2</v>
      </c>
      <c r="E990" t="s">
        <v>6</v>
      </c>
      <c r="F990">
        <v>278</v>
      </c>
      <c r="G990" s="3">
        <v>4608.74</v>
      </c>
      <c r="H990" s="3">
        <f>Miami_Retail[[#This Row],[sales_usd]] / Miami_Retail[[#This Row],[customers]]</f>
        <v>16.578201438848922</v>
      </c>
      <c r="I990">
        <v>91.3</v>
      </c>
      <c r="J990">
        <f>(Miami_Retail[[#This Row],[avg_temp_f]]-32) * (5/9)</f>
        <v>32.944444444444443</v>
      </c>
      <c r="K990">
        <v>0.56999999999999995</v>
      </c>
      <c r="L990">
        <v>1</v>
      </c>
      <c r="M990">
        <v>75.2</v>
      </c>
      <c r="N990">
        <v>46.8</v>
      </c>
      <c r="O990">
        <v>53.2</v>
      </c>
      <c r="P990">
        <v>45.5</v>
      </c>
      <c r="Q990">
        <v>54.5</v>
      </c>
    </row>
    <row r="991" spans="1:17" x14ac:dyDescent="0.25">
      <c r="A991" s="2">
        <v>45185</v>
      </c>
      <c r="B991" s="2" t="str">
        <f t="shared" si="30"/>
        <v>Saturday</v>
      </c>
      <c r="C991" s="2" t="b">
        <f t="shared" si="31"/>
        <v>1</v>
      </c>
      <c r="D991">
        <v>2</v>
      </c>
      <c r="E991" t="s">
        <v>6</v>
      </c>
      <c r="F991">
        <v>332</v>
      </c>
      <c r="G991" s="3">
        <v>5288.64</v>
      </c>
      <c r="H991" s="3">
        <f>Miami_Retail[[#This Row],[sales_usd]] / Miami_Retail[[#This Row],[customers]]</f>
        <v>15.929638554216869</v>
      </c>
      <c r="I991">
        <v>86.5</v>
      </c>
      <c r="J991">
        <f>(Miami_Retail[[#This Row],[avg_temp_f]]-32) * (5/9)</f>
        <v>30.277777777777779</v>
      </c>
      <c r="K991">
        <v>0</v>
      </c>
      <c r="L991">
        <v>0</v>
      </c>
      <c r="M991">
        <v>68.7</v>
      </c>
      <c r="N991">
        <v>45.4</v>
      </c>
      <c r="O991">
        <v>54.6</v>
      </c>
      <c r="P991">
        <v>50.6</v>
      </c>
      <c r="Q991">
        <v>49.4</v>
      </c>
    </row>
    <row r="992" spans="1:17" x14ac:dyDescent="0.25">
      <c r="A992" s="2">
        <v>45186</v>
      </c>
      <c r="B992" s="2" t="str">
        <f t="shared" si="30"/>
        <v>Sunday</v>
      </c>
      <c r="C992" s="2" t="b">
        <f t="shared" si="31"/>
        <v>1</v>
      </c>
      <c r="D992">
        <v>2</v>
      </c>
      <c r="E992" t="s">
        <v>6</v>
      </c>
      <c r="F992">
        <v>303</v>
      </c>
      <c r="G992" s="3">
        <v>5095.42</v>
      </c>
      <c r="H992" s="3">
        <f>Miami_Retail[[#This Row],[sales_usd]] / Miami_Retail[[#This Row],[customers]]</f>
        <v>16.816567656765677</v>
      </c>
      <c r="I992">
        <v>84.5</v>
      </c>
      <c r="J992">
        <f>(Miami_Retail[[#This Row],[avg_temp_f]]-32) * (5/9)</f>
        <v>29.166666666666668</v>
      </c>
      <c r="K992">
        <v>0.36</v>
      </c>
      <c r="L992">
        <v>1</v>
      </c>
      <c r="M992">
        <v>77.400000000000006</v>
      </c>
      <c r="N992">
        <v>45.8</v>
      </c>
      <c r="O992">
        <v>54.2</v>
      </c>
      <c r="P992">
        <v>51.8</v>
      </c>
      <c r="Q992">
        <v>48.2</v>
      </c>
    </row>
    <row r="993" spans="1:17" x14ac:dyDescent="0.25">
      <c r="A993" s="2">
        <v>45187</v>
      </c>
      <c r="B993" s="2" t="str">
        <f t="shared" si="30"/>
        <v>Monday</v>
      </c>
      <c r="C993" s="2" t="b">
        <f t="shared" si="31"/>
        <v>0</v>
      </c>
      <c r="D993">
        <v>2</v>
      </c>
      <c r="E993" t="s">
        <v>6</v>
      </c>
      <c r="F993">
        <v>283</v>
      </c>
      <c r="G993" s="3">
        <v>4954.18</v>
      </c>
      <c r="H993" s="3">
        <f>Miami_Retail[[#This Row],[sales_usd]] / Miami_Retail[[#This Row],[customers]]</f>
        <v>17.505936395759718</v>
      </c>
      <c r="I993">
        <v>90.7</v>
      </c>
      <c r="J993">
        <f>(Miami_Retail[[#This Row],[avg_temp_f]]-32) * (5/9)</f>
        <v>32.611111111111114</v>
      </c>
      <c r="K993">
        <v>0.83</v>
      </c>
      <c r="L993">
        <v>1</v>
      </c>
      <c r="M993">
        <v>72.5</v>
      </c>
      <c r="N993">
        <v>45.3</v>
      </c>
      <c r="O993">
        <v>54.7</v>
      </c>
      <c r="P993">
        <v>45.3</v>
      </c>
      <c r="Q993">
        <v>54.7</v>
      </c>
    </row>
    <row r="994" spans="1:17" x14ac:dyDescent="0.25">
      <c r="A994" s="2">
        <v>45188</v>
      </c>
      <c r="B994" s="2" t="str">
        <f t="shared" si="30"/>
        <v>Tuesday</v>
      </c>
      <c r="C994" s="2" t="b">
        <f t="shared" si="31"/>
        <v>0</v>
      </c>
      <c r="D994">
        <v>2</v>
      </c>
      <c r="E994" t="s">
        <v>6</v>
      </c>
      <c r="F994">
        <v>300</v>
      </c>
      <c r="G994" s="3">
        <v>4908.17</v>
      </c>
      <c r="H994" s="3">
        <f>Miami_Retail[[#This Row],[sales_usd]] / Miami_Retail[[#This Row],[customers]]</f>
        <v>16.360566666666667</v>
      </c>
      <c r="I994">
        <v>86.7</v>
      </c>
      <c r="J994">
        <f>(Miami_Retail[[#This Row],[avg_temp_f]]-32) * (5/9)</f>
        <v>30.388888888888893</v>
      </c>
      <c r="K994">
        <v>0.27</v>
      </c>
      <c r="L994">
        <v>1</v>
      </c>
      <c r="M994">
        <v>74.099999999999994</v>
      </c>
      <c r="N994">
        <v>46.8</v>
      </c>
      <c r="O994">
        <v>53.2</v>
      </c>
      <c r="P994">
        <v>44.3</v>
      </c>
      <c r="Q994">
        <v>55.7</v>
      </c>
    </row>
    <row r="995" spans="1:17" x14ac:dyDescent="0.25">
      <c r="A995" s="2">
        <v>45189</v>
      </c>
      <c r="B995" s="2" t="str">
        <f t="shared" si="30"/>
        <v>Wednesday</v>
      </c>
      <c r="C995" s="2" t="b">
        <f t="shared" si="31"/>
        <v>0</v>
      </c>
      <c r="D995">
        <v>2</v>
      </c>
      <c r="E995" t="s">
        <v>6</v>
      </c>
      <c r="F995">
        <v>244</v>
      </c>
      <c r="G995" s="3">
        <v>4288.09</v>
      </c>
      <c r="H995" s="3">
        <f>Miami_Retail[[#This Row],[sales_usd]] / Miami_Retail[[#This Row],[customers]]</f>
        <v>17.574139344262296</v>
      </c>
      <c r="I995">
        <v>89.9</v>
      </c>
      <c r="J995">
        <f>(Miami_Retail[[#This Row],[avg_temp_f]]-32) * (5/9)</f>
        <v>32.166666666666671</v>
      </c>
      <c r="K995">
        <v>1.5</v>
      </c>
      <c r="L995">
        <v>1</v>
      </c>
      <c r="M995">
        <v>67.099999999999994</v>
      </c>
      <c r="N995">
        <v>44.9</v>
      </c>
      <c r="O995">
        <v>55.1</v>
      </c>
      <c r="P995">
        <v>44.5</v>
      </c>
      <c r="Q995">
        <v>55.5</v>
      </c>
    </row>
    <row r="996" spans="1:17" x14ac:dyDescent="0.25">
      <c r="A996" s="2">
        <v>45190</v>
      </c>
      <c r="B996" s="2" t="str">
        <f t="shared" si="30"/>
        <v>Thursday</v>
      </c>
      <c r="C996" s="2" t="b">
        <f t="shared" si="31"/>
        <v>0</v>
      </c>
      <c r="D996">
        <v>2</v>
      </c>
      <c r="E996" t="s">
        <v>6</v>
      </c>
      <c r="F996">
        <v>264</v>
      </c>
      <c r="G996" s="3">
        <v>4555.2299999999996</v>
      </c>
      <c r="H996" s="3">
        <f>Miami_Retail[[#This Row],[sales_usd]] / Miami_Retail[[#This Row],[customers]]</f>
        <v>17.25465909090909</v>
      </c>
      <c r="I996">
        <v>86.3</v>
      </c>
      <c r="J996">
        <f>(Miami_Retail[[#This Row],[avg_temp_f]]-32) * (5/9)</f>
        <v>30.166666666666668</v>
      </c>
      <c r="K996">
        <v>0.11</v>
      </c>
      <c r="L996">
        <v>1</v>
      </c>
      <c r="M996">
        <v>78.900000000000006</v>
      </c>
      <c r="N996">
        <v>46.1</v>
      </c>
      <c r="O996">
        <v>53.9</v>
      </c>
      <c r="P996">
        <v>44.9</v>
      </c>
      <c r="Q996">
        <v>55.1</v>
      </c>
    </row>
    <row r="997" spans="1:17" x14ac:dyDescent="0.25">
      <c r="A997" s="2">
        <v>45191</v>
      </c>
      <c r="B997" s="2" t="str">
        <f t="shared" si="30"/>
        <v>Friday</v>
      </c>
      <c r="C997" s="2" t="b">
        <f t="shared" si="31"/>
        <v>0</v>
      </c>
      <c r="D997">
        <v>2</v>
      </c>
      <c r="E997" t="s">
        <v>6</v>
      </c>
      <c r="F997">
        <v>285</v>
      </c>
      <c r="G997" s="3">
        <v>4956.2</v>
      </c>
      <c r="H997" s="3">
        <f>Miami_Retail[[#This Row],[sales_usd]] / Miami_Retail[[#This Row],[customers]]</f>
        <v>17.39017543859649</v>
      </c>
      <c r="I997">
        <v>91.6</v>
      </c>
      <c r="J997">
        <f>(Miami_Retail[[#This Row],[avg_temp_f]]-32) * (5/9)</f>
        <v>33.111111111111107</v>
      </c>
      <c r="K997">
        <v>1.31</v>
      </c>
      <c r="L997">
        <v>1</v>
      </c>
      <c r="M997">
        <v>81.2</v>
      </c>
      <c r="N997">
        <v>44.9</v>
      </c>
      <c r="O997">
        <v>55.1</v>
      </c>
      <c r="P997">
        <v>44.5</v>
      </c>
      <c r="Q997">
        <v>55.5</v>
      </c>
    </row>
    <row r="998" spans="1:17" x14ac:dyDescent="0.25">
      <c r="A998" s="2">
        <v>45192</v>
      </c>
      <c r="B998" s="2" t="str">
        <f t="shared" si="30"/>
        <v>Saturday</v>
      </c>
      <c r="C998" s="2" t="b">
        <f t="shared" si="31"/>
        <v>1</v>
      </c>
      <c r="D998">
        <v>2</v>
      </c>
      <c r="E998" t="s">
        <v>6</v>
      </c>
      <c r="F998">
        <v>272</v>
      </c>
      <c r="G998" s="3">
        <v>4728.29</v>
      </c>
      <c r="H998" s="3">
        <f>Miami_Retail[[#This Row],[sales_usd]] / Miami_Retail[[#This Row],[customers]]</f>
        <v>17.383419117647058</v>
      </c>
      <c r="I998">
        <v>84.8</v>
      </c>
      <c r="J998">
        <f>(Miami_Retail[[#This Row],[avg_temp_f]]-32) * (5/9)</f>
        <v>29.333333333333332</v>
      </c>
      <c r="K998">
        <v>0.5</v>
      </c>
      <c r="L998">
        <v>1</v>
      </c>
      <c r="M998">
        <v>71.400000000000006</v>
      </c>
      <c r="N998">
        <v>46.1</v>
      </c>
      <c r="O998">
        <v>53.9</v>
      </c>
      <c r="P998">
        <v>48.4</v>
      </c>
      <c r="Q998">
        <v>51.6</v>
      </c>
    </row>
    <row r="999" spans="1:17" x14ac:dyDescent="0.25">
      <c r="A999" s="2">
        <v>45193</v>
      </c>
      <c r="B999" s="2" t="str">
        <f t="shared" si="30"/>
        <v>Sunday</v>
      </c>
      <c r="C999" s="2" t="b">
        <f t="shared" si="31"/>
        <v>1</v>
      </c>
      <c r="D999">
        <v>2</v>
      </c>
      <c r="E999" t="s">
        <v>6</v>
      </c>
      <c r="F999">
        <v>282</v>
      </c>
      <c r="G999" s="3">
        <v>4615.51</v>
      </c>
      <c r="H999" s="3">
        <f>Miami_Retail[[#This Row],[sales_usd]] / Miami_Retail[[#This Row],[customers]]</f>
        <v>16.367056737588655</v>
      </c>
      <c r="I999">
        <v>87</v>
      </c>
      <c r="J999">
        <f>(Miami_Retail[[#This Row],[avg_temp_f]]-32) * (5/9)</f>
        <v>30.555555555555557</v>
      </c>
      <c r="K999">
        <v>0</v>
      </c>
      <c r="L999">
        <v>0</v>
      </c>
      <c r="M999">
        <v>62.2</v>
      </c>
      <c r="N999">
        <v>46.9</v>
      </c>
      <c r="O999">
        <v>53.1</v>
      </c>
      <c r="P999">
        <v>51.5</v>
      </c>
      <c r="Q999">
        <v>48.5</v>
      </c>
    </row>
    <row r="1000" spans="1:17" x14ac:dyDescent="0.25">
      <c r="A1000" s="2">
        <v>45194</v>
      </c>
      <c r="B1000" s="2" t="str">
        <f t="shared" si="30"/>
        <v>Monday</v>
      </c>
      <c r="C1000" s="2" t="b">
        <f t="shared" si="31"/>
        <v>0</v>
      </c>
      <c r="D1000">
        <v>2</v>
      </c>
      <c r="E1000" t="s">
        <v>6</v>
      </c>
      <c r="F1000">
        <v>290</v>
      </c>
      <c r="G1000" s="3">
        <v>4549.74</v>
      </c>
      <c r="H1000" s="3">
        <f>Miami_Retail[[#This Row],[sales_usd]] / Miami_Retail[[#This Row],[customers]]</f>
        <v>15.688758620689654</v>
      </c>
      <c r="I1000">
        <v>91</v>
      </c>
      <c r="J1000">
        <f>(Miami_Retail[[#This Row],[avg_temp_f]]-32) * (5/9)</f>
        <v>32.777777777777779</v>
      </c>
      <c r="K1000">
        <v>0.8</v>
      </c>
      <c r="L1000">
        <v>1</v>
      </c>
      <c r="M1000">
        <v>81.599999999999994</v>
      </c>
      <c r="N1000">
        <v>47.3</v>
      </c>
      <c r="O1000">
        <v>52.7</v>
      </c>
      <c r="P1000">
        <v>44.6</v>
      </c>
      <c r="Q1000">
        <v>55.4</v>
      </c>
    </row>
    <row r="1001" spans="1:17" x14ac:dyDescent="0.25">
      <c r="A1001" s="2">
        <v>45195</v>
      </c>
      <c r="B1001" s="2" t="str">
        <f t="shared" si="30"/>
        <v>Tuesday</v>
      </c>
      <c r="C1001" s="2" t="b">
        <f t="shared" si="31"/>
        <v>0</v>
      </c>
      <c r="D1001">
        <v>2</v>
      </c>
      <c r="E1001" t="s">
        <v>6</v>
      </c>
      <c r="F1001">
        <v>296</v>
      </c>
      <c r="G1001" s="3">
        <v>4651.42</v>
      </c>
      <c r="H1001" s="3">
        <f>Miami_Retail[[#This Row],[sales_usd]] / Miami_Retail[[#This Row],[customers]]</f>
        <v>15.714256756756757</v>
      </c>
      <c r="I1001">
        <v>94.3</v>
      </c>
      <c r="J1001">
        <f>(Miami_Retail[[#This Row],[avg_temp_f]]-32) * (5/9)</f>
        <v>34.611111111111114</v>
      </c>
      <c r="K1001">
        <v>0.34</v>
      </c>
      <c r="L1001">
        <v>1</v>
      </c>
      <c r="M1001">
        <v>65</v>
      </c>
      <c r="N1001">
        <v>44.8</v>
      </c>
      <c r="O1001">
        <v>55.2</v>
      </c>
      <c r="P1001">
        <v>45.4</v>
      </c>
      <c r="Q1001">
        <v>54.6</v>
      </c>
    </row>
    <row r="1002" spans="1:17" x14ac:dyDescent="0.25">
      <c r="A1002" s="2">
        <v>45196</v>
      </c>
      <c r="B1002" s="2" t="str">
        <f t="shared" si="30"/>
        <v>Wednesday</v>
      </c>
      <c r="C1002" s="2" t="b">
        <f t="shared" si="31"/>
        <v>0</v>
      </c>
      <c r="D1002">
        <v>2</v>
      </c>
      <c r="E1002" t="s">
        <v>6</v>
      </c>
      <c r="F1002">
        <v>261</v>
      </c>
      <c r="G1002" s="3">
        <v>4506.26</v>
      </c>
      <c r="H1002" s="3">
        <f>Miami_Retail[[#This Row],[sales_usd]] / Miami_Retail[[#This Row],[customers]]</f>
        <v>17.26536398467433</v>
      </c>
      <c r="I1002">
        <v>86</v>
      </c>
      <c r="J1002">
        <f>(Miami_Retail[[#This Row],[avg_temp_f]]-32) * (5/9)</f>
        <v>30</v>
      </c>
      <c r="K1002">
        <v>0.28999999999999998</v>
      </c>
      <c r="L1002">
        <v>1</v>
      </c>
      <c r="M1002">
        <v>70</v>
      </c>
      <c r="N1002">
        <v>47.1</v>
      </c>
      <c r="O1002">
        <v>52.9</v>
      </c>
      <c r="P1002">
        <v>44.4</v>
      </c>
      <c r="Q1002">
        <v>55.6</v>
      </c>
    </row>
    <row r="1003" spans="1:17" x14ac:dyDescent="0.25">
      <c r="A1003" s="2">
        <v>45197</v>
      </c>
      <c r="B1003" s="2" t="str">
        <f t="shared" si="30"/>
        <v>Thursday</v>
      </c>
      <c r="C1003" s="2" t="b">
        <f t="shared" si="31"/>
        <v>0</v>
      </c>
      <c r="D1003">
        <v>2</v>
      </c>
      <c r="E1003" t="s">
        <v>6</v>
      </c>
      <c r="F1003">
        <v>241</v>
      </c>
      <c r="G1003" s="3">
        <v>3921.12</v>
      </c>
      <c r="H1003" s="3">
        <f>Miami_Retail[[#This Row],[sales_usd]] / Miami_Retail[[#This Row],[customers]]</f>
        <v>16.270207468879669</v>
      </c>
      <c r="I1003">
        <v>86.6</v>
      </c>
      <c r="J1003">
        <f>(Miami_Retail[[#This Row],[avg_temp_f]]-32) * (5/9)</f>
        <v>30.333333333333332</v>
      </c>
      <c r="K1003">
        <v>0.23</v>
      </c>
      <c r="L1003">
        <v>1</v>
      </c>
      <c r="M1003">
        <v>73.599999999999994</v>
      </c>
      <c r="N1003">
        <v>45.2</v>
      </c>
      <c r="O1003">
        <v>54.8</v>
      </c>
      <c r="P1003">
        <v>45.7</v>
      </c>
      <c r="Q1003">
        <v>54.3</v>
      </c>
    </row>
    <row r="1004" spans="1:17" x14ac:dyDescent="0.25">
      <c r="A1004" s="2">
        <v>45198</v>
      </c>
      <c r="B1004" s="2" t="str">
        <f t="shared" si="30"/>
        <v>Friday</v>
      </c>
      <c r="C1004" s="2" t="b">
        <f t="shared" si="31"/>
        <v>0</v>
      </c>
      <c r="D1004">
        <v>2</v>
      </c>
      <c r="E1004" t="s">
        <v>6</v>
      </c>
      <c r="F1004">
        <v>259</v>
      </c>
      <c r="G1004" s="3">
        <v>4388.34</v>
      </c>
      <c r="H1004" s="3">
        <f>Miami_Retail[[#This Row],[sales_usd]] / Miami_Retail[[#This Row],[customers]]</f>
        <v>16.943397683397684</v>
      </c>
      <c r="I1004">
        <v>87.9</v>
      </c>
      <c r="J1004">
        <f>(Miami_Retail[[#This Row],[avg_temp_f]]-32) * (5/9)</f>
        <v>31.055555555555561</v>
      </c>
      <c r="K1004">
        <v>0</v>
      </c>
      <c r="L1004">
        <v>0</v>
      </c>
      <c r="M1004">
        <v>74.7</v>
      </c>
      <c r="N1004">
        <v>45.5</v>
      </c>
      <c r="O1004">
        <v>54.5</v>
      </c>
      <c r="P1004">
        <v>43.8</v>
      </c>
      <c r="Q1004">
        <v>56.2</v>
      </c>
    </row>
    <row r="1005" spans="1:17" x14ac:dyDescent="0.25">
      <c r="A1005" s="2">
        <v>45199</v>
      </c>
      <c r="B1005" s="2" t="str">
        <f t="shared" si="30"/>
        <v>Saturday</v>
      </c>
      <c r="C1005" s="2" t="b">
        <f t="shared" si="31"/>
        <v>1</v>
      </c>
      <c r="D1005">
        <v>2</v>
      </c>
      <c r="E1005" t="s">
        <v>6</v>
      </c>
      <c r="F1005">
        <v>310</v>
      </c>
      <c r="G1005" s="3">
        <v>5011.3599999999997</v>
      </c>
      <c r="H1005" s="3">
        <f>Miami_Retail[[#This Row],[sales_usd]] / Miami_Retail[[#This Row],[customers]]</f>
        <v>16.165677419354839</v>
      </c>
      <c r="I1005">
        <v>91.9</v>
      </c>
      <c r="J1005">
        <f>(Miami_Retail[[#This Row],[avg_temp_f]]-32) * (5/9)</f>
        <v>33.277777777777786</v>
      </c>
      <c r="K1005">
        <v>0.64</v>
      </c>
      <c r="L1005">
        <v>1</v>
      </c>
      <c r="M1005">
        <v>69.099999999999994</v>
      </c>
      <c r="N1005">
        <v>45.9</v>
      </c>
      <c r="O1005">
        <v>54.1</v>
      </c>
      <c r="P1005">
        <v>49.9</v>
      </c>
      <c r="Q1005">
        <v>50.1</v>
      </c>
    </row>
    <row r="1006" spans="1:17" x14ac:dyDescent="0.25">
      <c r="A1006" s="2">
        <v>45200</v>
      </c>
      <c r="B1006" s="2" t="str">
        <f t="shared" si="30"/>
        <v>Sunday</v>
      </c>
      <c r="C1006" s="2" t="b">
        <f t="shared" si="31"/>
        <v>1</v>
      </c>
      <c r="D1006">
        <v>2</v>
      </c>
      <c r="E1006" t="s">
        <v>6</v>
      </c>
      <c r="F1006">
        <v>309</v>
      </c>
      <c r="G1006" s="3">
        <v>5467.29</v>
      </c>
      <c r="H1006" s="3">
        <f>Miami_Retail[[#This Row],[sales_usd]] / Miami_Retail[[#This Row],[customers]]</f>
        <v>17.693495145631069</v>
      </c>
      <c r="I1006">
        <v>89.5</v>
      </c>
      <c r="J1006">
        <f>(Miami_Retail[[#This Row],[avg_temp_f]]-32) * (5/9)</f>
        <v>31.944444444444446</v>
      </c>
      <c r="K1006">
        <v>0</v>
      </c>
      <c r="L1006">
        <v>0</v>
      </c>
      <c r="M1006">
        <v>68.599999999999994</v>
      </c>
      <c r="N1006">
        <v>47</v>
      </c>
      <c r="O1006">
        <v>53</v>
      </c>
      <c r="P1006">
        <v>48.8</v>
      </c>
      <c r="Q1006">
        <v>51.2</v>
      </c>
    </row>
    <row r="1007" spans="1:17" x14ac:dyDescent="0.25">
      <c r="A1007" s="2">
        <v>45201</v>
      </c>
      <c r="B1007" s="2" t="str">
        <f t="shared" si="30"/>
        <v>Monday</v>
      </c>
      <c r="C1007" s="2" t="b">
        <f t="shared" si="31"/>
        <v>0</v>
      </c>
      <c r="D1007">
        <v>2</v>
      </c>
      <c r="E1007" t="s">
        <v>6</v>
      </c>
      <c r="F1007">
        <v>283</v>
      </c>
      <c r="G1007" s="3">
        <v>4789.55</v>
      </c>
      <c r="H1007" s="3">
        <f>Miami_Retail[[#This Row],[sales_usd]] / Miami_Retail[[#This Row],[customers]]</f>
        <v>16.924204946996468</v>
      </c>
      <c r="I1007">
        <v>88.6</v>
      </c>
      <c r="J1007">
        <f>(Miami_Retail[[#This Row],[avg_temp_f]]-32) * (5/9)</f>
        <v>31.444444444444443</v>
      </c>
      <c r="K1007">
        <v>0.23</v>
      </c>
      <c r="L1007">
        <v>1</v>
      </c>
      <c r="M1007">
        <v>80.5</v>
      </c>
      <c r="N1007">
        <v>45</v>
      </c>
      <c r="O1007">
        <v>55</v>
      </c>
      <c r="P1007">
        <v>44.7</v>
      </c>
      <c r="Q1007">
        <v>55.3</v>
      </c>
    </row>
    <row r="1008" spans="1:17" x14ac:dyDescent="0.25">
      <c r="A1008" s="2">
        <v>45202</v>
      </c>
      <c r="B1008" s="2" t="str">
        <f t="shared" si="30"/>
        <v>Tuesday</v>
      </c>
      <c r="C1008" s="2" t="b">
        <f t="shared" si="31"/>
        <v>0</v>
      </c>
      <c r="D1008">
        <v>2</v>
      </c>
      <c r="E1008" t="s">
        <v>6</v>
      </c>
      <c r="F1008">
        <v>305</v>
      </c>
      <c r="G1008" s="3">
        <v>5315.98</v>
      </c>
      <c r="H1008" s="3">
        <f>Miami_Retail[[#This Row],[sales_usd]] / Miami_Retail[[#This Row],[customers]]</f>
        <v>17.42944262295082</v>
      </c>
      <c r="I1008">
        <v>87.2</v>
      </c>
      <c r="J1008">
        <f>(Miami_Retail[[#This Row],[avg_temp_f]]-32) * (5/9)</f>
        <v>30.666666666666668</v>
      </c>
      <c r="K1008">
        <v>0</v>
      </c>
      <c r="L1008">
        <v>0</v>
      </c>
      <c r="M1008">
        <v>70.900000000000006</v>
      </c>
      <c r="N1008">
        <v>45.5</v>
      </c>
      <c r="O1008">
        <v>54.5</v>
      </c>
      <c r="P1008">
        <v>43.8</v>
      </c>
      <c r="Q1008">
        <v>56.2</v>
      </c>
    </row>
    <row r="1009" spans="1:17" x14ac:dyDescent="0.25">
      <c r="A1009" s="2">
        <v>45203</v>
      </c>
      <c r="B1009" s="2" t="str">
        <f t="shared" si="30"/>
        <v>Wednesday</v>
      </c>
      <c r="C1009" s="2" t="b">
        <f t="shared" si="31"/>
        <v>0</v>
      </c>
      <c r="D1009">
        <v>2</v>
      </c>
      <c r="E1009" t="s">
        <v>6</v>
      </c>
      <c r="F1009">
        <v>286</v>
      </c>
      <c r="G1009" s="3">
        <v>4852.1400000000003</v>
      </c>
      <c r="H1009" s="3">
        <f>Miami_Retail[[#This Row],[sales_usd]] / Miami_Retail[[#This Row],[customers]]</f>
        <v>16.965524475524475</v>
      </c>
      <c r="I1009">
        <v>89.7</v>
      </c>
      <c r="J1009">
        <f>(Miami_Retail[[#This Row],[avg_temp_f]]-32) * (5/9)</f>
        <v>32.055555555555557</v>
      </c>
      <c r="K1009">
        <v>0</v>
      </c>
      <c r="L1009">
        <v>0</v>
      </c>
      <c r="M1009">
        <v>79.2</v>
      </c>
      <c r="N1009">
        <v>45.2</v>
      </c>
      <c r="O1009">
        <v>54.8</v>
      </c>
      <c r="P1009">
        <v>43.6</v>
      </c>
      <c r="Q1009">
        <v>56.4</v>
      </c>
    </row>
    <row r="1010" spans="1:17" x14ac:dyDescent="0.25">
      <c r="A1010" s="2">
        <v>45204</v>
      </c>
      <c r="B1010" s="2" t="str">
        <f t="shared" si="30"/>
        <v>Thursday</v>
      </c>
      <c r="C1010" s="2" t="b">
        <f t="shared" si="31"/>
        <v>0</v>
      </c>
      <c r="D1010">
        <v>2</v>
      </c>
      <c r="E1010" t="s">
        <v>6</v>
      </c>
      <c r="F1010">
        <v>278</v>
      </c>
      <c r="G1010" s="3">
        <v>4698.6400000000003</v>
      </c>
      <c r="H1010" s="3">
        <f>Miami_Retail[[#This Row],[sales_usd]] / Miami_Retail[[#This Row],[customers]]</f>
        <v>16.901582733812951</v>
      </c>
      <c r="I1010">
        <v>85.4</v>
      </c>
      <c r="J1010">
        <f>(Miami_Retail[[#This Row],[avg_temp_f]]-32) * (5/9)</f>
        <v>29.666666666666671</v>
      </c>
      <c r="K1010">
        <v>0</v>
      </c>
      <c r="L1010">
        <v>0</v>
      </c>
      <c r="M1010">
        <v>75.2</v>
      </c>
      <c r="N1010">
        <v>45.1</v>
      </c>
      <c r="O1010">
        <v>54.9</v>
      </c>
      <c r="P1010">
        <v>44.7</v>
      </c>
      <c r="Q1010">
        <v>55.3</v>
      </c>
    </row>
    <row r="1011" spans="1:17" x14ac:dyDescent="0.25">
      <c r="A1011" s="2">
        <v>45205</v>
      </c>
      <c r="B1011" s="2" t="str">
        <f t="shared" si="30"/>
        <v>Friday</v>
      </c>
      <c r="C1011" s="2" t="b">
        <f t="shared" si="31"/>
        <v>0</v>
      </c>
      <c r="D1011">
        <v>2</v>
      </c>
      <c r="E1011" t="s">
        <v>6</v>
      </c>
      <c r="F1011">
        <v>284</v>
      </c>
      <c r="G1011" s="3">
        <v>4612.33</v>
      </c>
      <c r="H1011" s="3">
        <f>Miami_Retail[[#This Row],[sales_usd]] / Miami_Retail[[#This Row],[customers]]</f>
        <v>16.240598591549297</v>
      </c>
      <c r="I1011">
        <v>89.5</v>
      </c>
      <c r="J1011">
        <f>(Miami_Retail[[#This Row],[avg_temp_f]]-32) * (5/9)</f>
        <v>31.944444444444446</v>
      </c>
      <c r="K1011">
        <v>0</v>
      </c>
      <c r="L1011">
        <v>0</v>
      </c>
      <c r="M1011">
        <v>79.599999999999994</v>
      </c>
      <c r="N1011">
        <v>45.2</v>
      </c>
      <c r="O1011">
        <v>54.8</v>
      </c>
      <c r="P1011">
        <v>45</v>
      </c>
      <c r="Q1011">
        <v>55</v>
      </c>
    </row>
    <row r="1012" spans="1:17" x14ac:dyDescent="0.25">
      <c r="A1012" s="2">
        <v>45206</v>
      </c>
      <c r="B1012" s="2" t="str">
        <f t="shared" si="30"/>
        <v>Saturday</v>
      </c>
      <c r="C1012" s="2" t="b">
        <f t="shared" si="31"/>
        <v>1</v>
      </c>
      <c r="D1012">
        <v>2</v>
      </c>
      <c r="E1012" t="s">
        <v>6</v>
      </c>
      <c r="F1012">
        <v>284</v>
      </c>
      <c r="G1012" s="3">
        <v>4766.25</v>
      </c>
      <c r="H1012" s="3">
        <f>Miami_Retail[[#This Row],[sales_usd]] / Miami_Retail[[#This Row],[customers]]</f>
        <v>16.782570422535212</v>
      </c>
      <c r="I1012">
        <v>87</v>
      </c>
      <c r="J1012">
        <f>(Miami_Retail[[#This Row],[avg_temp_f]]-32) * (5/9)</f>
        <v>30.555555555555557</v>
      </c>
      <c r="K1012">
        <v>1.33</v>
      </c>
      <c r="L1012">
        <v>1</v>
      </c>
      <c r="M1012">
        <v>71.400000000000006</v>
      </c>
      <c r="N1012">
        <v>47.3</v>
      </c>
      <c r="O1012">
        <v>52.7</v>
      </c>
      <c r="P1012">
        <v>51</v>
      </c>
      <c r="Q1012">
        <v>49</v>
      </c>
    </row>
    <row r="1013" spans="1:17" x14ac:dyDescent="0.25">
      <c r="A1013" s="2">
        <v>45207</v>
      </c>
      <c r="B1013" s="2" t="str">
        <f t="shared" si="30"/>
        <v>Sunday</v>
      </c>
      <c r="C1013" s="2" t="b">
        <f t="shared" si="31"/>
        <v>1</v>
      </c>
      <c r="D1013">
        <v>2</v>
      </c>
      <c r="E1013" t="s">
        <v>6</v>
      </c>
      <c r="F1013">
        <v>303</v>
      </c>
      <c r="G1013" s="3">
        <v>5176.49</v>
      </c>
      <c r="H1013" s="3">
        <f>Miami_Retail[[#This Row],[sales_usd]] / Miami_Retail[[#This Row],[customers]]</f>
        <v>17.084125412541255</v>
      </c>
      <c r="I1013">
        <v>86.3</v>
      </c>
      <c r="J1013">
        <f>(Miami_Retail[[#This Row],[avg_temp_f]]-32) * (5/9)</f>
        <v>30.166666666666668</v>
      </c>
      <c r="K1013">
        <v>0.33</v>
      </c>
      <c r="L1013">
        <v>1</v>
      </c>
      <c r="M1013">
        <v>74.3</v>
      </c>
      <c r="N1013">
        <v>47</v>
      </c>
      <c r="O1013">
        <v>53</v>
      </c>
      <c r="P1013">
        <v>50.7</v>
      </c>
      <c r="Q1013">
        <v>49.3</v>
      </c>
    </row>
    <row r="1014" spans="1:17" x14ac:dyDescent="0.25">
      <c r="A1014" s="2">
        <v>45208</v>
      </c>
      <c r="B1014" s="2" t="str">
        <f t="shared" si="30"/>
        <v>Monday</v>
      </c>
      <c r="C1014" s="2" t="b">
        <f t="shared" si="31"/>
        <v>0</v>
      </c>
      <c r="D1014">
        <v>2</v>
      </c>
      <c r="E1014" t="s">
        <v>6</v>
      </c>
      <c r="F1014">
        <v>271</v>
      </c>
      <c r="G1014" s="3">
        <v>4654.5600000000004</v>
      </c>
      <c r="H1014" s="3">
        <f>Miami_Retail[[#This Row],[sales_usd]] / Miami_Retail[[#This Row],[customers]]</f>
        <v>17.17549815498155</v>
      </c>
      <c r="I1014">
        <v>91.5</v>
      </c>
      <c r="J1014">
        <f>(Miami_Retail[[#This Row],[avg_temp_f]]-32) * (5/9)</f>
        <v>33.055555555555557</v>
      </c>
      <c r="K1014">
        <v>0</v>
      </c>
      <c r="L1014">
        <v>0</v>
      </c>
      <c r="M1014">
        <v>70.7</v>
      </c>
      <c r="N1014">
        <v>44.8</v>
      </c>
      <c r="O1014">
        <v>55.2</v>
      </c>
      <c r="P1014">
        <v>42.6</v>
      </c>
      <c r="Q1014">
        <v>57.4</v>
      </c>
    </row>
    <row r="1015" spans="1:17" x14ac:dyDescent="0.25">
      <c r="A1015" s="2">
        <v>45209</v>
      </c>
      <c r="B1015" s="2" t="str">
        <f t="shared" si="30"/>
        <v>Tuesday</v>
      </c>
      <c r="C1015" s="2" t="b">
        <f t="shared" si="31"/>
        <v>0</v>
      </c>
      <c r="D1015">
        <v>2</v>
      </c>
      <c r="E1015" t="s">
        <v>6</v>
      </c>
      <c r="F1015">
        <v>286</v>
      </c>
      <c r="G1015" s="3">
        <v>4820.53</v>
      </c>
      <c r="H1015" s="3">
        <f>Miami_Retail[[#This Row],[sales_usd]] / Miami_Retail[[#This Row],[customers]]</f>
        <v>16.855</v>
      </c>
      <c r="I1015">
        <v>89.8</v>
      </c>
      <c r="J1015">
        <f>(Miami_Retail[[#This Row],[avg_temp_f]]-32) * (5/9)</f>
        <v>32.111111111111114</v>
      </c>
      <c r="K1015">
        <v>0</v>
      </c>
      <c r="L1015">
        <v>0</v>
      </c>
      <c r="M1015">
        <v>75.2</v>
      </c>
      <c r="N1015">
        <v>45.6</v>
      </c>
      <c r="O1015">
        <v>54.4</v>
      </c>
      <c r="P1015">
        <v>44.5</v>
      </c>
      <c r="Q1015">
        <v>55.5</v>
      </c>
    </row>
    <row r="1016" spans="1:17" x14ac:dyDescent="0.25">
      <c r="A1016" s="2">
        <v>45210</v>
      </c>
      <c r="B1016" s="2" t="str">
        <f t="shared" si="30"/>
        <v>Wednesday</v>
      </c>
      <c r="C1016" s="2" t="b">
        <f t="shared" si="31"/>
        <v>0</v>
      </c>
      <c r="D1016">
        <v>2</v>
      </c>
      <c r="E1016" t="s">
        <v>6</v>
      </c>
      <c r="F1016">
        <v>256</v>
      </c>
      <c r="G1016" s="3">
        <v>4113.71</v>
      </c>
      <c r="H1016" s="3">
        <f>Miami_Retail[[#This Row],[sales_usd]] / Miami_Retail[[#This Row],[customers]]</f>
        <v>16.0691796875</v>
      </c>
      <c r="I1016">
        <v>87.4</v>
      </c>
      <c r="J1016">
        <f>(Miami_Retail[[#This Row],[avg_temp_f]]-32) * (5/9)</f>
        <v>30.777777777777782</v>
      </c>
      <c r="K1016">
        <v>0</v>
      </c>
      <c r="L1016">
        <v>0</v>
      </c>
      <c r="M1016">
        <v>78.599999999999994</v>
      </c>
      <c r="N1016">
        <v>45.9</v>
      </c>
      <c r="O1016">
        <v>54.1</v>
      </c>
      <c r="P1016">
        <v>44.1</v>
      </c>
      <c r="Q1016">
        <v>55.9</v>
      </c>
    </row>
    <row r="1017" spans="1:17" x14ac:dyDescent="0.25">
      <c r="A1017" s="2">
        <v>45211</v>
      </c>
      <c r="B1017" s="2" t="str">
        <f t="shared" si="30"/>
        <v>Thursday</v>
      </c>
      <c r="C1017" s="2" t="b">
        <f t="shared" si="31"/>
        <v>0</v>
      </c>
      <c r="D1017">
        <v>2</v>
      </c>
      <c r="E1017" t="s">
        <v>6</v>
      </c>
      <c r="F1017">
        <v>277</v>
      </c>
      <c r="G1017" s="3">
        <v>4819.3599999999997</v>
      </c>
      <c r="H1017" s="3">
        <f>Miami_Retail[[#This Row],[sales_usd]] / Miami_Retail[[#This Row],[customers]]</f>
        <v>17.39841155234657</v>
      </c>
      <c r="I1017">
        <v>88.1</v>
      </c>
      <c r="J1017">
        <f>(Miami_Retail[[#This Row],[avg_temp_f]]-32) * (5/9)</f>
        <v>31.166666666666664</v>
      </c>
      <c r="K1017">
        <v>0</v>
      </c>
      <c r="L1017">
        <v>0</v>
      </c>
      <c r="M1017">
        <v>68.5</v>
      </c>
      <c r="N1017">
        <v>46.2</v>
      </c>
      <c r="O1017">
        <v>53.8</v>
      </c>
      <c r="P1017">
        <v>43.9</v>
      </c>
      <c r="Q1017">
        <v>56.1</v>
      </c>
    </row>
    <row r="1018" spans="1:17" x14ac:dyDescent="0.25">
      <c r="A1018" s="2">
        <v>45212</v>
      </c>
      <c r="B1018" s="2" t="str">
        <f t="shared" si="30"/>
        <v>Friday</v>
      </c>
      <c r="C1018" s="2" t="b">
        <f t="shared" si="31"/>
        <v>0</v>
      </c>
      <c r="D1018">
        <v>2</v>
      </c>
      <c r="E1018" t="s">
        <v>6</v>
      </c>
      <c r="F1018">
        <v>280</v>
      </c>
      <c r="G1018" s="3">
        <v>5173.04</v>
      </c>
      <c r="H1018" s="3">
        <f>Miami_Retail[[#This Row],[sales_usd]] / Miami_Retail[[#This Row],[customers]]</f>
        <v>18.475142857142856</v>
      </c>
      <c r="I1018">
        <v>90.8</v>
      </c>
      <c r="J1018">
        <f>(Miami_Retail[[#This Row],[avg_temp_f]]-32) * (5/9)</f>
        <v>32.666666666666664</v>
      </c>
      <c r="K1018">
        <v>0.78</v>
      </c>
      <c r="L1018">
        <v>1</v>
      </c>
      <c r="M1018">
        <v>72.599999999999994</v>
      </c>
      <c r="N1018">
        <v>47.4</v>
      </c>
      <c r="O1018">
        <v>52.6</v>
      </c>
      <c r="P1018">
        <v>43.6</v>
      </c>
      <c r="Q1018">
        <v>56.4</v>
      </c>
    </row>
    <row r="1019" spans="1:17" x14ac:dyDescent="0.25">
      <c r="A1019" s="2">
        <v>45213</v>
      </c>
      <c r="B1019" s="2" t="str">
        <f t="shared" si="30"/>
        <v>Saturday</v>
      </c>
      <c r="C1019" s="2" t="b">
        <f t="shared" si="31"/>
        <v>1</v>
      </c>
      <c r="D1019">
        <v>2</v>
      </c>
      <c r="E1019" t="s">
        <v>6</v>
      </c>
      <c r="F1019">
        <v>314</v>
      </c>
      <c r="G1019" s="3">
        <v>5415.24</v>
      </c>
      <c r="H1019" s="3">
        <f>Miami_Retail[[#This Row],[sales_usd]] / Miami_Retail[[#This Row],[customers]]</f>
        <v>17.245987261146496</v>
      </c>
      <c r="I1019">
        <v>90.5</v>
      </c>
      <c r="J1019">
        <f>(Miami_Retail[[#This Row],[avg_temp_f]]-32) * (5/9)</f>
        <v>32.5</v>
      </c>
      <c r="K1019">
        <v>0</v>
      </c>
      <c r="L1019">
        <v>0</v>
      </c>
      <c r="M1019">
        <v>71.2</v>
      </c>
      <c r="N1019">
        <v>41.9</v>
      </c>
      <c r="O1019">
        <v>58.1</v>
      </c>
      <c r="P1019">
        <v>48.9</v>
      </c>
      <c r="Q1019">
        <v>51.1</v>
      </c>
    </row>
    <row r="1020" spans="1:17" x14ac:dyDescent="0.25">
      <c r="A1020" s="2">
        <v>45214</v>
      </c>
      <c r="B1020" s="2" t="str">
        <f t="shared" si="30"/>
        <v>Sunday</v>
      </c>
      <c r="C1020" s="2" t="b">
        <f t="shared" si="31"/>
        <v>1</v>
      </c>
      <c r="D1020">
        <v>2</v>
      </c>
      <c r="E1020" t="s">
        <v>6</v>
      </c>
      <c r="F1020">
        <v>317</v>
      </c>
      <c r="G1020" s="3">
        <v>4645.62</v>
      </c>
      <c r="H1020" s="3">
        <f>Miami_Retail[[#This Row],[sales_usd]] / Miami_Retail[[#This Row],[customers]]</f>
        <v>14.654952681388012</v>
      </c>
      <c r="I1020">
        <v>91.6</v>
      </c>
      <c r="J1020">
        <f>(Miami_Retail[[#This Row],[avg_temp_f]]-32) * (5/9)</f>
        <v>33.111111111111107</v>
      </c>
      <c r="K1020">
        <v>0.99</v>
      </c>
      <c r="L1020">
        <v>1</v>
      </c>
      <c r="M1020">
        <v>71.3</v>
      </c>
      <c r="N1020">
        <v>47.4</v>
      </c>
      <c r="O1020">
        <v>52.6</v>
      </c>
      <c r="P1020">
        <v>52.5</v>
      </c>
      <c r="Q1020">
        <v>47.5</v>
      </c>
    </row>
    <row r="1021" spans="1:17" x14ac:dyDescent="0.25">
      <c r="A1021" s="2">
        <v>45215</v>
      </c>
      <c r="B1021" s="2" t="str">
        <f t="shared" si="30"/>
        <v>Monday</v>
      </c>
      <c r="C1021" s="2" t="b">
        <f t="shared" si="31"/>
        <v>0</v>
      </c>
      <c r="D1021">
        <v>2</v>
      </c>
      <c r="E1021" t="s">
        <v>6</v>
      </c>
      <c r="F1021">
        <v>258</v>
      </c>
      <c r="G1021" s="3">
        <v>4158.03</v>
      </c>
      <c r="H1021" s="3">
        <f>Miami_Retail[[#This Row],[sales_usd]] / Miami_Retail[[#This Row],[customers]]</f>
        <v>16.116395348837209</v>
      </c>
      <c r="I1021">
        <v>88.2</v>
      </c>
      <c r="J1021">
        <f>(Miami_Retail[[#This Row],[avg_temp_f]]-32) * (5/9)</f>
        <v>31.222222222222225</v>
      </c>
      <c r="K1021">
        <v>0</v>
      </c>
      <c r="L1021">
        <v>0</v>
      </c>
      <c r="M1021">
        <v>71.3</v>
      </c>
      <c r="N1021">
        <v>47</v>
      </c>
      <c r="O1021">
        <v>53</v>
      </c>
      <c r="P1021">
        <v>44.8</v>
      </c>
      <c r="Q1021">
        <v>55.2</v>
      </c>
    </row>
    <row r="1022" spans="1:17" x14ac:dyDescent="0.25">
      <c r="A1022" s="2">
        <v>45216</v>
      </c>
      <c r="B1022" s="2" t="str">
        <f t="shared" si="30"/>
        <v>Tuesday</v>
      </c>
      <c r="C1022" s="2" t="b">
        <f t="shared" si="31"/>
        <v>0</v>
      </c>
      <c r="D1022">
        <v>2</v>
      </c>
      <c r="E1022" t="s">
        <v>6</v>
      </c>
      <c r="F1022">
        <v>273</v>
      </c>
      <c r="G1022" s="3">
        <v>4649.46</v>
      </c>
      <c r="H1022" s="3">
        <f>Miami_Retail[[#This Row],[sales_usd]] / Miami_Retail[[#This Row],[customers]]</f>
        <v>17.030989010989011</v>
      </c>
      <c r="I1022">
        <v>89.1</v>
      </c>
      <c r="J1022">
        <f>(Miami_Retail[[#This Row],[avg_temp_f]]-32) * (5/9)</f>
        <v>31.722222222222221</v>
      </c>
      <c r="K1022">
        <v>0</v>
      </c>
      <c r="L1022">
        <v>0</v>
      </c>
      <c r="M1022">
        <v>71.3</v>
      </c>
      <c r="N1022">
        <v>46.7</v>
      </c>
      <c r="O1022">
        <v>53.3</v>
      </c>
      <c r="P1022">
        <v>43</v>
      </c>
      <c r="Q1022">
        <v>57</v>
      </c>
    </row>
    <row r="1023" spans="1:17" x14ac:dyDescent="0.25">
      <c r="A1023" s="2">
        <v>45217</v>
      </c>
      <c r="B1023" s="2" t="str">
        <f t="shared" si="30"/>
        <v>Wednesday</v>
      </c>
      <c r="C1023" s="2" t="b">
        <f t="shared" si="31"/>
        <v>0</v>
      </c>
      <c r="D1023">
        <v>2</v>
      </c>
      <c r="E1023" t="s">
        <v>6</v>
      </c>
      <c r="F1023">
        <v>290</v>
      </c>
      <c r="G1023" s="3">
        <v>4919.95</v>
      </c>
      <c r="H1023" s="3">
        <f>Miami_Retail[[#This Row],[sales_usd]] / Miami_Retail[[#This Row],[customers]]</f>
        <v>16.965344827586208</v>
      </c>
      <c r="I1023">
        <v>91.5</v>
      </c>
      <c r="J1023">
        <f>(Miami_Retail[[#This Row],[avg_temp_f]]-32) * (5/9)</f>
        <v>33.055555555555557</v>
      </c>
      <c r="K1023">
        <v>0.61</v>
      </c>
      <c r="L1023">
        <v>1</v>
      </c>
      <c r="M1023">
        <v>74.8</v>
      </c>
      <c r="N1023">
        <v>46.4</v>
      </c>
      <c r="O1023">
        <v>53.6</v>
      </c>
      <c r="P1023">
        <v>45.5</v>
      </c>
      <c r="Q1023">
        <v>54.5</v>
      </c>
    </row>
    <row r="1024" spans="1:17" x14ac:dyDescent="0.25">
      <c r="A1024" s="2">
        <v>45218</v>
      </c>
      <c r="B1024" s="2" t="str">
        <f t="shared" si="30"/>
        <v>Thursday</v>
      </c>
      <c r="C1024" s="2" t="b">
        <f t="shared" si="31"/>
        <v>0</v>
      </c>
      <c r="D1024">
        <v>2</v>
      </c>
      <c r="E1024" t="s">
        <v>6</v>
      </c>
      <c r="F1024">
        <v>274</v>
      </c>
      <c r="G1024" s="3">
        <v>4838.72</v>
      </c>
      <c r="H1024" s="3">
        <f>Miami_Retail[[#This Row],[sales_usd]] / Miami_Retail[[#This Row],[customers]]</f>
        <v>17.659562043795621</v>
      </c>
      <c r="I1024">
        <v>85.9</v>
      </c>
      <c r="J1024">
        <f>(Miami_Retail[[#This Row],[avg_temp_f]]-32) * (5/9)</f>
        <v>29.94444444444445</v>
      </c>
      <c r="K1024">
        <v>0</v>
      </c>
      <c r="L1024">
        <v>0</v>
      </c>
      <c r="M1024">
        <v>60.1</v>
      </c>
      <c r="N1024">
        <v>46.1</v>
      </c>
      <c r="O1024">
        <v>53.9</v>
      </c>
      <c r="P1024">
        <v>45.7</v>
      </c>
      <c r="Q1024">
        <v>54.3</v>
      </c>
    </row>
    <row r="1025" spans="1:17" x14ac:dyDescent="0.25">
      <c r="A1025" s="2">
        <v>45219</v>
      </c>
      <c r="B1025" s="2" t="str">
        <f t="shared" si="30"/>
        <v>Friday</v>
      </c>
      <c r="C1025" s="2" t="b">
        <f t="shared" si="31"/>
        <v>0</v>
      </c>
      <c r="D1025">
        <v>2</v>
      </c>
      <c r="E1025" t="s">
        <v>6</v>
      </c>
      <c r="F1025">
        <v>293</v>
      </c>
      <c r="G1025" s="3">
        <v>4679.67</v>
      </c>
      <c r="H1025" s="3">
        <f>Miami_Retail[[#This Row],[sales_usd]] / Miami_Retail[[#This Row],[customers]]</f>
        <v>15.971569965870307</v>
      </c>
      <c r="I1025">
        <v>89.3</v>
      </c>
      <c r="J1025">
        <f>(Miami_Retail[[#This Row],[avg_temp_f]]-32) * (5/9)</f>
        <v>31.833333333333332</v>
      </c>
      <c r="K1025">
        <v>0</v>
      </c>
      <c r="L1025">
        <v>0</v>
      </c>
      <c r="M1025">
        <v>74.8</v>
      </c>
      <c r="N1025">
        <v>47.3</v>
      </c>
      <c r="O1025">
        <v>52.7</v>
      </c>
      <c r="P1025">
        <v>43.7</v>
      </c>
      <c r="Q1025">
        <v>56.3</v>
      </c>
    </row>
    <row r="1026" spans="1:17" x14ac:dyDescent="0.25">
      <c r="A1026" s="2">
        <v>45220</v>
      </c>
      <c r="B1026" s="2" t="str">
        <f t="shared" ref="B1026:B1089" si="32">TEXT(A1026, "dddd")</f>
        <v>Saturday</v>
      </c>
      <c r="C1026" s="2" t="b">
        <f t="shared" ref="C1026:C1089" si="33">IF(WEEKDAY(A1026,2)&gt;5,TRUE,FALSE)</f>
        <v>1</v>
      </c>
      <c r="D1026">
        <v>2</v>
      </c>
      <c r="E1026" t="s">
        <v>6</v>
      </c>
      <c r="F1026">
        <v>257</v>
      </c>
      <c r="G1026" s="3">
        <v>4444.84</v>
      </c>
      <c r="H1026" s="3">
        <f>Miami_Retail[[#This Row],[sales_usd]] / Miami_Retail[[#This Row],[customers]]</f>
        <v>17.295097276264592</v>
      </c>
      <c r="I1026">
        <v>86</v>
      </c>
      <c r="J1026">
        <f>(Miami_Retail[[#This Row],[avg_temp_f]]-32) * (5/9)</f>
        <v>30</v>
      </c>
      <c r="K1026">
        <v>0</v>
      </c>
      <c r="L1026">
        <v>0</v>
      </c>
      <c r="M1026">
        <v>73.599999999999994</v>
      </c>
      <c r="N1026">
        <v>46</v>
      </c>
      <c r="O1026">
        <v>54</v>
      </c>
      <c r="P1026">
        <v>50.6</v>
      </c>
      <c r="Q1026">
        <v>49.4</v>
      </c>
    </row>
    <row r="1027" spans="1:17" x14ac:dyDescent="0.25">
      <c r="A1027" s="2">
        <v>45221</v>
      </c>
      <c r="B1027" s="2" t="str">
        <f t="shared" si="32"/>
        <v>Sunday</v>
      </c>
      <c r="C1027" s="2" t="b">
        <f t="shared" si="33"/>
        <v>1</v>
      </c>
      <c r="D1027">
        <v>2</v>
      </c>
      <c r="E1027" t="s">
        <v>6</v>
      </c>
      <c r="F1027">
        <v>298</v>
      </c>
      <c r="G1027" s="3">
        <v>5086.08</v>
      </c>
      <c r="H1027" s="3">
        <f>Miami_Retail[[#This Row],[sales_usd]] / Miami_Retail[[#This Row],[customers]]</f>
        <v>17.067382550335569</v>
      </c>
      <c r="I1027">
        <v>88.1</v>
      </c>
      <c r="J1027">
        <f>(Miami_Retail[[#This Row],[avg_temp_f]]-32) * (5/9)</f>
        <v>31.166666666666664</v>
      </c>
      <c r="K1027">
        <v>0</v>
      </c>
      <c r="L1027">
        <v>0</v>
      </c>
      <c r="M1027">
        <v>72.3</v>
      </c>
      <c r="N1027">
        <v>47.1</v>
      </c>
      <c r="O1027">
        <v>52.9</v>
      </c>
      <c r="P1027">
        <v>48.5</v>
      </c>
      <c r="Q1027">
        <v>51.5</v>
      </c>
    </row>
    <row r="1028" spans="1:17" x14ac:dyDescent="0.25">
      <c r="A1028" s="2">
        <v>45222</v>
      </c>
      <c r="B1028" s="2" t="str">
        <f t="shared" si="32"/>
        <v>Monday</v>
      </c>
      <c r="C1028" s="2" t="b">
        <f t="shared" si="33"/>
        <v>0</v>
      </c>
      <c r="D1028">
        <v>2</v>
      </c>
      <c r="E1028" t="s">
        <v>6</v>
      </c>
      <c r="F1028">
        <v>260</v>
      </c>
      <c r="G1028" s="3">
        <v>4920.71</v>
      </c>
      <c r="H1028" s="3">
        <f>Miami_Retail[[#This Row],[sales_usd]] / Miami_Retail[[#This Row],[customers]]</f>
        <v>18.925807692307693</v>
      </c>
      <c r="I1028">
        <v>88.7</v>
      </c>
      <c r="J1028">
        <f>(Miami_Retail[[#This Row],[avg_temp_f]]-32) * (5/9)</f>
        <v>31.500000000000004</v>
      </c>
      <c r="K1028">
        <v>0</v>
      </c>
      <c r="L1028">
        <v>0</v>
      </c>
      <c r="M1028">
        <v>61.6</v>
      </c>
      <c r="N1028">
        <v>44.1</v>
      </c>
      <c r="O1028">
        <v>55.9</v>
      </c>
      <c r="P1028">
        <v>44.5</v>
      </c>
      <c r="Q1028">
        <v>55.5</v>
      </c>
    </row>
    <row r="1029" spans="1:17" x14ac:dyDescent="0.25">
      <c r="A1029" s="2">
        <v>45223</v>
      </c>
      <c r="B1029" s="2" t="str">
        <f t="shared" si="32"/>
        <v>Tuesday</v>
      </c>
      <c r="C1029" s="2" t="b">
        <f t="shared" si="33"/>
        <v>0</v>
      </c>
      <c r="D1029">
        <v>2</v>
      </c>
      <c r="E1029" t="s">
        <v>6</v>
      </c>
      <c r="F1029">
        <v>252</v>
      </c>
      <c r="G1029" s="3">
        <v>4422.8</v>
      </c>
      <c r="H1029" s="3">
        <f>Miami_Retail[[#This Row],[sales_usd]] / Miami_Retail[[#This Row],[customers]]</f>
        <v>17.550793650793651</v>
      </c>
      <c r="I1029">
        <v>84.1</v>
      </c>
      <c r="J1029">
        <f>(Miami_Retail[[#This Row],[avg_temp_f]]-32) * (5/9)</f>
        <v>28.944444444444443</v>
      </c>
      <c r="K1029">
        <v>0</v>
      </c>
      <c r="L1029">
        <v>0</v>
      </c>
      <c r="M1029">
        <v>72.099999999999994</v>
      </c>
      <c r="N1029">
        <v>47.5</v>
      </c>
      <c r="O1029">
        <v>52.5</v>
      </c>
      <c r="P1029">
        <v>45.2</v>
      </c>
      <c r="Q1029">
        <v>54.8</v>
      </c>
    </row>
    <row r="1030" spans="1:17" x14ac:dyDescent="0.25">
      <c r="A1030" s="2">
        <v>45224</v>
      </c>
      <c r="B1030" s="2" t="str">
        <f t="shared" si="32"/>
        <v>Wednesday</v>
      </c>
      <c r="C1030" s="2" t="b">
        <f t="shared" si="33"/>
        <v>0</v>
      </c>
      <c r="D1030">
        <v>2</v>
      </c>
      <c r="E1030" t="s">
        <v>6</v>
      </c>
      <c r="F1030">
        <v>276</v>
      </c>
      <c r="G1030" s="3">
        <v>4701.6899999999996</v>
      </c>
      <c r="H1030" s="3">
        <f>Miami_Retail[[#This Row],[sales_usd]] / Miami_Retail[[#This Row],[customers]]</f>
        <v>17.035108695652173</v>
      </c>
      <c r="I1030">
        <v>84.2</v>
      </c>
      <c r="J1030">
        <f>(Miami_Retail[[#This Row],[avg_temp_f]]-32) * (5/9)</f>
        <v>29.000000000000004</v>
      </c>
      <c r="K1030">
        <v>0</v>
      </c>
      <c r="L1030">
        <v>0</v>
      </c>
      <c r="M1030">
        <v>68.3</v>
      </c>
      <c r="N1030">
        <v>45.2</v>
      </c>
      <c r="O1030">
        <v>54.8</v>
      </c>
      <c r="P1030">
        <v>43.9</v>
      </c>
      <c r="Q1030">
        <v>56.1</v>
      </c>
    </row>
    <row r="1031" spans="1:17" x14ac:dyDescent="0.25">
      <c r="A1031" s="2">
        <v>45225</v>
      </c>
      <c r="B1031" s="2" t="str">
        <f t="shared" si="32"/>
        <v>Thursday</v>
      </c>
      <c r="C1031" s="2" t="b">
        <f t="shared" si="33"/>
        <v>0</v>
      </c>
      <c r="D1031">
        <v>2</v>
      </c>
      <c r="E1031" t="s">
        <v>6</v>
      </c>
      <c r="F1031">
        <v>257</v>
      </c>
      <c r="G1031" s="3">
        <v>4132.47</v>
      </c>
      <c r="H1031" s="3">
        <f>Miami_Retail[[#This Row],[sales_usd]] / Miami_Retail[[#This Row],[customers]]</f>
        <v>16.07964980544747</v>
      </c>
      <c r="I1031">
        <v>81.8</v>
      </c>
      <c r="J1031">
        <f>(Miami_Retail[[#This Row],[avg_temp_f]]-32) * (5/9)</f>
        <v>27.666666666666668</v>
      </c>
      <c r="K1031">
        <v>0</v>
      </c>
      <c r="L1031">
        <v>0</v>
      </c>
      <c r="M1031">
        <v>75.8</v>
      </c>
      <c r="N1031">
        <v>47.2</v>
      </c>
      <c r="O1031">
        <v>52.8</v>
      </c>
      <c r="P1031">
        <v>45.3</v>
      </c>
      <c r="Q1031">
        <v>54.7</v>
      </c>
    </row>
    <row r="1032" spans="1:17" x14ac:dyDescent="0.25">
      <c r="A1032" s="2">
        <v>45226</v>
      </c>
      <c r="B1032" s="2" t="str">
        <f t="shared" si="32"/>
        <v>Friday</v>
      </c>
      <c r="C1032" s="2" t="b">
        <f t="shared" si="33"/>
        <v>0</v>
      </c>
      <c r="D1032">
        <v>2</v>
      </c>
      <c r="E1032" t="s">
        <v>6</v>
      </c>
      <c r="F1032">
        <v>273</v>
      </c>
      <c r="G1032" s="3">
        <v>4917.51</v>
      </c>
      <c r="H1032" s="3">
        <f>Miami_Retail[[#This Row],[sales_usd]] / Miami_Retail[[#This Row],[customers]]</f>
        <v>18.012857142857143</v>
      </c>
      <c r="I1032">
        <v>85.6</v>
      </c>
      <c r="J1032">
        <f>(Miami_Retail[[#This Row],[avg_temp_f]]-32) * (5/9)</f>
        <v>29.777777777777775</v>
      </c>
      <c r="K1032">
        <v>0</v>
      </c>
      <c r="L1032">
        <v>0</v>
      </c>
      <c r="M1032">
        <v>66.8</v>
      </c>
      <c r="N1032">
        <v>47.2</v>
      </c>
      <c r="O1032">
        <v>52.8</v>
      </c>
      <c r="P1032">
        <v>43.7</v>
      </c>
      <c r="Q1032">
        <v>56.3</v>
      </c>
    </row>
    <row r="1033" spans="1:17" x14ac:dyDescent="0.25">
      <c r="A1033" s="2">
        <v>45227</v>
      </c>
      <c r="B1033" s="2" t="str">
        <f t="shared" si="32"/>
        <v>Saturday</v>
      </c>
      <c r="C1033" s="2" t="b">
        <f t="shared" si="33"/>
        <v>1</v>
      </c>
      <c r="D1033">
        <v>2</v>
      </c>
      <c r="E1033" t="s">
        <v>6</v>
      </c>
      <c r="F1033">
        <v>293</v>
      </c>
      <c r="G1033" s="3">
        <v>5047.8100000000004</v>
      </c>
      <c r="H1033" s="3">
        <f>Miami_Retail[[#This Row],[sales_usd]] / Miami_Retail[[#This Row],[customers]]</f>
        <v>17.228020477815701</v>
      </c>
      <c r="I1033">
        <v>86.6</v>
      </c>
      <c r="J1033">
        <f>(Miami_Retail[[#This Row],[avg_temp_f]]-32) * (5/9)</f>
        <v>30.333333333333332</v>
      </c>
      <c r="K1033">
        <v>0</v>
      </c>
      <c r="L1033">
        <v>0</v>
      </c>
      <c r="M1033">
        <v>73.7</v>
      </c>
      <c r="N1033">
        <v>46.6</v>
      </c>
      <c r="O1033">
        <v>53.4</v>
      </c>
      <c r="P1033">
        <v>48.6</v>
      </c>
      <c r="Q1033">
        <v>51.4</v>
      </c>
    </row>
    <row r="1034" spans="1:17" x14ac:dyDescent="0.25">
      <c r="A1034" s="2">
        <v>45228</v>
      </c>
      <c r="B1034" s="2" t="str">
        <f t="shared" si="32"/>
        <v>Sunday</v>
      </c>
      <c r="C1034" s="2" t="b">
        <f t="shared" si="33"/>
        <v>1</v>
      </c>
      <c r="D1034">
        <v>2</v>
      </c>
      <c r="E1034" t="s">
        <v>6</v>
      </c>
      <c r="F1034">
        <v>237</v>
      </c>
      <c r="G1034" s="3">
        <v>3587.06</v>
      </c>
      <c r="H1034" s="3">
        <f>Miami_Retail[[#This Row],[sales_usd]] / Miami_Retail[[#This Row],[customers]]</f>
        <v>15.135274261603374</v>
      </c>
      <c r="I1034">
        <v>83.4</v>
      </c>
      <c r="J1034">
        <f>(Miami_Retail[[#This Row],[avg_temp_f]]-32) * (5/9)</f>
        <v>28.555555555555561</v>
      </c>
      <c r="K1034">
        <v>0.4</v>
      </c>
      <c r="L1034">
        <v>1</v>
      </c>
      <c r="M1034">
        <v>73.8</v>
      </c>
      <c r="N1034">
        <v>45.7</v>
      </c>
      <c r="O1034">
        <v>54.3</v>
      </c>
      <c r="P1034">
        <v>49.1</v>
      </c>
      <c r="Q1034">
        <v>50.9</v>
      </c>
    </row>
    <row r="1035" spans="1:17" x14ac:dyDescent="0.25">
      <c r="A1035" s="2">
        <v>45229</v>
      </c>
      <c r="B1035" s="2" t="str">
        <f t="shared" si="32"/>
        <v>Monday</v>
      </c>
      <c r="C1035" s="2" t="b">
        <f t="shared" si="33"/>
        <v>0</v>
      </c>
      <c r="D1035">
        <v>2</v>
      </c>
      <c r="E1035" t="s">
        <v>6</v>
      </c>
      <c r="F1035">
        <v>280</v>
      </c>
      <c r="G1035" s="3">
        <v>4899.96</v>
      </c>
      <c r="H1035" s="3">
        <f>Miami_Retail[[#This Row],[sales_usd]] / Miami_Retail[[#This Row],[customers]]</f>
        <v>17.499857142857142</v>
      </c>
      <c r="I1035">
        <v>85.5</v>
      </c>
      <c r="J1035">
        <f>(Miami_Retail[[#This Row],[avg_temp_f]]-32) * (5/9)</f>
        <v>29.722222222222225</v>
      </c>
      <c r="K1035">
        <v>0</v>
      </c>
      <c r="L1035">
        <v>0</v>
      </c>
      <c r="M1035">
        <v>66.7</v>
      </c>
      <c r="N1035">
        <v>45.6</v>
      </c>
      <c r="O1035">
        <v>54.4</v>
      </c>
      <c r="P1035">
        <v>44</v>
      </c>
      <c r="Q1035">
        <v>56</v>
      </c>
    </row>
    <row r="1036" spans="1:17" x14ac:dyDescent="0.25">
      <c r="A1036" s="2">
        <v>45230</v>
      </c>
      <c r="B1036" s="2" t="str">
        <f t="shared" si="32"/>
        <v>Tuesday</v>
      </c>
      <c r="C1036" s="2" t="b">
        <f t="shared" si="33"/>
        <v>0</v>
      </c>
      <c r="D1036">
        <v>2</v>
      </c>
      <c r="E1036" t="s">
        <v>6</v>
      </c>
      <c r="F1036">
        <v>284</v>
      </c>
      <c r="G1036" s="3">
        <v>4719.91</v>
      </c>
      <c r="H1036" s="3">
        <f>Miami_Retail[[#This Row],[sales_usd]] / Miami_Retail[[#This Row],[customers]]</f>
        <v>16.619401408450702</v>
      </c>
      <c r="I1036">
        <v>86.3</v>
      </c>
      <c r="J1036">
        <f>(Miami_Retail[[#This Row],[avg_temp_f]]-32) * (5/9)</f>
        <v>30.166666666666668</v>
      </c>
      <c r="K1036">
        <v>0</v>
      </c>
      <c r="L1036">
        <v>0</v>
      </c>
      <c r="M1036">
        <v>64.900000000000006</v>
      </c>
      <c r="N1036">
        <v>47.1</v>
      </c>
      <c r="O1036">
        <v>52.9</v>
      </c>
      <c r="P1036">
        <v>44</v>
      </c>
      <c r="Q1036">
        <v>56</v>
      </c>
    </row>
    <row r="1037" spans="1:17" x14ac:dyDescent="0.25">
      <c r="A1037" s="2">
        <v>45231</v>
      </c>
      <c r="B1037" s="2" t="str">
        <f t="shared" si="32"/>
        <v>Wednesday</v>
      </c>
      <c r="C1037" s="2" t="b">
        <f t="shared" si="33"/>
        <v>0</v>
      </c>
      <c r="D1037">
        <v>2</v>
      </c>
      <c r="E1037" t="s">
        <v>6</v>
      </c>
      <c r="F1037">
        <v>280</v>
      </c>
      <c r="G1037" s="3">
        <v>4757.58</v>
      </c>
      <c r="H1037" s="3">
        <f>Miami_Retail[[#This Row],[sales_usd]] / Miami_Retail[[#This Row],[customers]]</f>
        <v>16.991357142857144</v>
      </c>
      <c r="I1037">
        <v>89.3</v>
      </c>
      <c r="J1037">
        <f>(Miami_Retail[[#This Row],[avg_temp_f]]-32) * (5/9)</f>
        <v>31.833333333333332</v>
      </c>
      <c r="K1037">
        <v>0</v>
      </c>
      <c r="L1037">
        <v>0</v>
      </c>
      <c r="M1037">
        <v>75.5</v>
      </c>
      <c r="N1037">
        <v>45.8</v>
      </c>
      <c r="O1037">
        <v>54.2</v>
      </c>
      <c r="P1037">
        <v>44.6</v>
      </c>
      <c r="Q1037">
        <v>55.4</v>
      </c>
    </row>
    <row r="1038" spans="1:17" x14ac:dyDescent="0.25">
      <c r="A1038" s="2">
        <v>45232</v>
      </c>
      <c r="B1038" s="2" t="str">
        <f t="shared" si="32"/>
        <v>Thursday</v>
      </c>
      <c r="C1038" s="2" t="b">
        <f t="shared" si="33"/>
        <v>0</v>
      </c>
      <c r="D1038">
        <v>2</v>
      </c>
      <c r="E1038" t="s">
        <v>6</v>
      </c>
      <c r="F1038">
        <v>216</v>
      </c>
      <c r="G1038" s="3">
        <v>3320.65</v>
      </c>
      <c r="H1038" s="3">
        <f>Miami_Retail[[#This Row],[sales_usd]] / Miami_Retail[[#This Row],[customers]]</f>
        <v>15.37337962962963</v>
      </c>
      <c r="I1038">
        <v>81.8</v>
      </c>
      <c r="J1038">
        <f>(Miami_Retail[[#This Row],[avg_temp_f]]-32) * (5/9)</f>
        <v>27.666666666666668</v>
      </c>
      <c r="K1038">
        <v>2.65</v>
      </c>
      <c r="L1038">
        <v>1</v>
      </c>
      <c r="M1038">
        <v>60.3</v>
      </c>
      <c r="N1038">
        <v>44.7</v>
      </c>
      <c r="O1038">
        <v>55.3</v>
      </c>
      <c r="P1038">
        <v>44.1</v>
      </c>
      <c r="Q1038">
        <v>55.9</v>
      </c>
    </row>
    <row r="1039" spans="1:17" x14ac:dyDescent="0.25">
      <c r="A1039" s="2">
        <v>45233</v>
      </c>
      <c r="B1039" s="2" t="str">
        <f t="shared" si="32"/>
        <v>Friday</v>
      </c>
      <c r="C1039" s="2" t="b">
        <f t="shared" si="33"/>
        <v>0</v>
      </c>
      <c r="D1039">
        <v>2</v>
      </c>
      <c r="E1039" t="s">
        <v>6</v>
      </c>
      <c r="F1039">
        <v>262</v>
      </c>
      <c r="G1039" s="3">
        <v>4269.7299999999996</v>
      </c>
      <c r="H1039" s="3">
        <f>Miami_Retail[[#This Row],[sales_usd]] / Miami_Retail[[#This Row],[customers]]</f>
        <v>16.296679389312974</v>
      </c>
      <c r="I1039">
        <v>92.2</v>
      </c>
      <c r="J1039">
        <f>(Miami_Retail[[#This Row],[avg_temp_f]]-32) * (5/9)</f>
        <v>33.44444444444445</v>
      </c>
      <c r="K1039">
        <v>0.94</v>
      </c>
      <c r="L1039">
        <v>1</v>
      </c>
      <c r="M1039">
        <v>74.400000000000006</v>
      </c>
      <c r="N1039">
        <v>46.1</v>
      </c>
      <c r="O1039">
        <v>53.9</v>
      </c>
      <c r="P1039">
        <v>44.6</v>
      </c>
      <c r="Q1039">
        <v>55.4</v>
      </c>
    </row>
    <row r="1040" spans="1:17" x14ac:dyDescent="0.25">
      <c r="A1040" s="2">
        <v>45234</v>
      </c>
      <c r="B1040" s="2" t="str">
        <f t="shared" si="32"/>
        <v>Saturday</v>
      </c>
      <c r="C1040" s="2" t="b">
        <f t="shared" si="33"/>
        <v>1</v>
      </c>
      <c r="D1040">
        <v>2</v>
      </c>
      <c r="E1040" t="s">
        <v>6</v>
      </c>
      <c r="F1040">
        <v>286</v>
      </c>
      <c r="G1040" s="3">
        <v>4958.49</v>
      </c>
      <c r="H1040" s="3">
        <f>Miami_Retail[[#This Row],[sales_usd]] / Miami_Retail[[#This Row],[customers]]</f>
        <v>17.337377622377623</v>
      </c>
      <c r="I1040">
        <v>82.8</v>
      </c>
      <c r="J1040">
        <f>(Miami_Retail[[#This Row],[avg_temp_f]]-32) * (5/9)</f>
        <v>28.222222222222221</v>
      </c>
      <c r="K1040">
        <v>0.64</v>
      </c>
      <c r="L1040">
        <v>1</v>
      </c>
      <c r="M1040">
        <v>68.599999999999994</v>
      </c>
      <c r="N1040">
        <v>46.1</v>
      </c>
      <c r="O1040">
        <v>53.9</v>
      </c>
      <c r="P1040">
        <v>52.4</v>
      </c>
      <c r="Q1040">
        <v>47.6</v>
      </c>
    </row>
    <row r="1041" spans="1:17" x14ac:dyDescent="0.25">
      <c r="A1041" s="2">
        <v>45235</v>
      </c>
      <c r="B1041" s="2" t="str">
        <f t="shared" si="32"/>
        <v>Sunday</v>
      </c>
      <c r="C1041" s="2" t="b">
        <f t="shared" si="33"/>
        <v>1</v>
      </c>
      <c r="D1041">
        <v>2</v>
      </c>
      <c r="E1041" t="s">
        <v>6</v>
      </c>
      <c r="F1041">
        <v>277</v>
      </c>
      <c r="G1041" s="3">
        <v>4751.9399999999996</v>
      </c>
      <c r="H1041" s="3">
        <f>Miami_Retail[[#This Row],[sales_usd]] / Miami_Retail[[#This Row],[customers]]</f>
        <v>17.155018050541514</v>
      </c>
      <c r="I1041">
        <v>83</v>
      </c>
      <c r="J1041">
        <f>(Miami_Retail[[#This Row],[avg_temp_f]]-32) * (5/9)</f>
        <v>28.333333333333336</v>
      </c>
      <c r="K1041">
        <v>0</v>
      </c>
      <c r="L1041">
        <v>0</v>
      </c>
      <c r="M1041">
        <v>54.7</v>
      </c>
      <c r="N1041">
        <v>46.8</v>
      </c>
      <c r="O1041">
        <v>53.2</v>
      </c>
      <c r="P1041">
        <v>49</v>
      </c>
      <c r="Q1041">
        <v>51</v>
      </c>
    </row>
    <row r="1042" spans="1:17" x14ac:dyDescent="0.25">
      <c r="A1042" s="2">
        <v>45236</v>
      </c>
      <c r="B1042" s="2" t="str">
        <f t="shared" si="32"/>
        <v>Monday</v>
      </c>
      <c r="C1042" s="2" t="b">
        <f t="shared" si="33"/>
        <v>0</v>
      </c>
      <c r="D1042">
        <v>2</v>
      </c>
      <c r="E1042" t="s">
        <v>6</v>
      </c>
      <c r="F1042">
        <v>215</v>
      </c>
      <c r="G1042" s="3">
        <v>3514.61</v>
      </c>
      <c r="H1042" s="3">
        <f>Miami_Retail[[#This Row],[sales_usd]] / Miami_Retail[[#This Row],[customers]]</f>
        <v>16.347023255813955</v>
      </c>
      <c r="I1042">
        <v>80.2</v>
      </c>
      <c r="J1042">
        <f>(Miami_Retail[[#This Row],[avg_temp_f]]-32) * (5/9)</f>
        <v>26.777777777777782</v>
      </c>
      <c r="K1042">
        <v>0</v>
      </c>
      <c r="L1042">
        <v>0</v>
      </c>
      <c r="M1042">
        <v>67.099999999999994</v>
      </c>
      <c r="N1042">
        <v>45.6</v>
      </c>
      <c r="O1042">
        <v>54.4</v>
      </c>
      <c r="P1042">
        <v>44.3</v>
      </c>
      <c r="Q1042">
        <v>55.7</v>
      </c>
    </row>
    <row r="1043" spans="1:17" x14ac:dyDescent="0.25">
      <c r="A1043" s="2">
        <v>45237</v>
      </c>
      <c r="B1043" s="2" t="str">
        <f t="shared" si="32"/>
        <v>Tuesday</v>
      </c>
      <c r="C1043" s="2" t="b">
        <f t="shared" si="33"/>
        <v>0</v>
      </c>
      <c r="D1043">
        <v>2</v>
      </c>
      <c r="E1043" t="s">
        <v>6</v>
      </c>
      <c r="F1043">
        <v>249</v>
      </c>
      <c r="G1043" s="3">
        <v>3679.95</v>
      </c>
      <c r="H1043" s="3">
        <f>Miami_Retail[[#This Row],[sales_usd]] / Miami_Retail[[#This Row],[customers]]</f>
        <v>14.778915662650602</v>
      </c>
      <c r="I1043">
        <v>85.4</v>
      </c>
      <c r="J1043">
        <f>(Miami_Retail[[#This Row],[avg_temp_f]]-32) * (5/9)</f>
        <v>29.666666666666671</v>
      </c>
      <c r="K1043">
        <v>0</v>
      </c>
      <c r="L1043">
        <v>0</v>
      </c>
      <c r="M1043">
        <v>70.3</v>
      </c>
      <c r="N1043">
        <v>46.3</v>
      </c>
      <c r="O1043">
        <v>53.7</v>
      </c>
      <c r="P1043">
        <v>41.9</v>
      </c>
      <c r="Q1043">
        <v>58.1</v>
      </c>
    </row>
    <row r="1044" spans="1:17" x14ac:dyDescent="0.25">
      <c r="A1044" s="2">
        <v>45238</v>
      </c>
      <c r="B1044" s="2" t="str">
        <f t="shared" si="32"/>
        <v>Wednesday</v>
      </c>
      <c r="C1044" s="2" t="b">
        <f t="shared" si="33"/>
        <v>0</v>
      </c>
      <c r="D1044">
        <v>2</v>
      </c>
      <c r="E1044" t="s">
        <v>6</v>
      </c>
      <c r="F1044">
        <v>237</v>
      </c>
      <c r="G1044" s="3">
        <v>3915.05</v>
      </c>
      <c r="H1044" s="3">
        <f>Miami_Retail[[#This Row],[sales_usd]] / Miami_Retail[[#This Row],[customers]]</f>
        <v>16.519198312236288</v>
      </c>
      <c r="I1044">
        <v>78.900000000000006</v>
      </c>
      <c r="J1044">
        <f>(Miami_Retail[[#This Row],[avg_temp_f]]-32) * (5/9)</f>
        <v>26.055555555555561</v>
      </c>
      <c r="K1044">
        <v>0.46</v>
      </c>
      <c r="L1044">
        <v>1</v>
      </c>
      <c r="M1044">
        <v>66.3</v>
      </c>
      <c r="N1044">
        <v>46.1</v>
      </c>
      <c r="O1044">
        <v>53.9</v>
      </c>
      <c r="P1044">
        <v>45</v>
      </c>
      <c r="Q1044">
        <v>55</v>
      </c>
    </row>
    <row r="1045" spans="1:17" x14ac:dyDescent="0.25">
      <c r="A1045" s="2">
        <v>45239</v>
      </c>
      <c r="B1045" s="2" t="str">
        <f t="shared" si="32"/>
        <v>Thursday</v>
      </c>
      <c r="C1045" s="2" t="b">
        <f t="shared" si="33"/>
        <v>0</v>
      </c>
      <c r="D1045">
        <v>2</v>
      </c>
      <c r="E1045" t="s">
        <v>6</v>
      </c>
      <c r="F1045">
        <v>257</v>
      </c>
      <c r="G1045" s="3">
        <v>4511.1000000000004</v>
      </c>
      <c r="H1045" s="3">
        <f>Miami_Retail[[#This Row],[sales_usd]] / Miami_Retail[[#This Row],[customers]]</f>
        <v>17.552918287937743</v>
      </c>
      <c r="I1045">
        <v>89.1</v>
      </c>
      <c r="J1045">
        <f>(Miami_Retail[[#This Row],[avg_temp_f]]-32) * (5/9)</f>
        <v>31.722222222222221</v>
      </c>
      <c r="K1045">
        <v>0.28000000000000003</v>
      </c>
      <c r="L1045">
        <v>1</v>
      </c>
      <c r="M1045">
        <v>53</v>
      </c>
      <c r="N1045">
        <v>48</v>
      </c>
      <c r="O1045">
        <v>52</v>
      </c>
      <c r="P1045">
        <v>43.5</v>
      </c>
      <c r="Q1045">
        <v>56.5</v>
      </c>
    </row>
    <row r="1046" spans="1:17" x14ac:dyDescent="0.25">
      <c r="A1046" s="2">
        <v>45240</v>
      </c>
      <c r="B1046" s="2" t="str">
        <f t="shared" si="32"/>
        <v>Friday</v>
      </c>
      <c r="C1046" s="2" t="b">
        <f t="shared" si="33"/>
        <v>0</v>
      </c>
      <c r="D1046">
        <v>2</v>
      </c>
      <c r="E1046" t="s">
        <v>6</v>
      </c>
      <c r="F1046">
        <v>254</v>
      </c>
      <c r="G1046" s="3">
        <v>4302.66</v>
      </c>
      <c r="H1046" s="3">
        <f>Miami_Retail[[#This Row],[sales_usd]] / Miami_Retail[[#This Row],[customers]]</f>
        <v>16.939606299212599</v>
      </c>
      <c r="I1046">
        <v>77.400000000000006</v>
      </c>
      <c r="J1046">
        <f>(Miami_Retail[[#This Row],[avg_temp_f]]-32) * (5/9)</f>
        <v>25.222222222222225</v>
      </c>
      <c r="K1046">
        <v>0</v>
      </c>
      <c r="L1046">
        <v>0</v>
      </c>
      <c r="M1046">
        <v>70.5</v>
      </c>
      <c r="N1046">
        <v>47.5</v>
      </c>
      <c r="O1046">
        <v>52.5</v>
      </c>
      <c r="P1046">
        <v>42.3</v>
      </c>
      <c r="Q1046">
        <v>57.7</v>
      </c>
    </row>
    <row r="1047" spans="1:17" x14ac:dyDescent="0.25">
      <c r="A1047" s="2">
        <v>45241</v>
      </c>
      <c r="B1047" s="2" t="str">
        <f t="shared" si="32"/>
        <v>Saturday</v>
      </c>
      <c r="C1047" s="2" t="b">
        <f t="shared" si="33"/>
        <v>1</v>
      </c>
      <c r="D1047">
        <v>2</v>
      </c>
      <c r="E1047" t="s">
        <v>6</v>
      </c>
      <c r="F1047">
        <v>296</v>
      </c>
      <c r="G1047" s="3">
        <v>5058.84</v>
      </c>
      <c r="H1047" s="3">
        <f>Miami_Retail[[#This Row],[sales_usd]] / Miami_Retail[[#This Row],[customers]]</f>
        <v>17.090675675675676</v>
      </c>
      <c r="I1047">
        <v>86.7</v>
      </c>
      <c r="J1047">
        <f>(Miami_Retail[[#This Row],[avg_temp_f]]-32) * (5/9)</f>
        <v>30.388888888888893</v>
      </c>
      <c r="K1047">
        <v>0.41</v>
      </c>
      <c r="L1047">
        <v>1</v>
      </c>
      <c r="M1047">
        <v>59.4</v>
      </c>
      <c r="N1047">
        <v>46.7</v>
      </c>
      <c r="O1047">
        <v>53.3</v>
      </c>
      <c r="P1047">
        <v>50.6</v>
      </c>
      <c r="Q1047">
        <v>49.4</v>
      </c>
    </row>
    <row r="1048" spans="1:17" x14ac:dyDescent="0.25">
      <c r="A1048" s="2">
        <v>45242</v>
      </c>
      <c r="B1048" s="2" t="str">
        <f t="shared" si="32"/>
        <v>Sunday</v>
      </c>
      <c r="C1048" s="2" t="b">
        <f t="shared" si="33"/>
        <v>1</v>
      </c>
      <c r="D1048">
        <v>2</v>
      </c>
      <c r="E1048" t="s">
        <v>6</v>
      </c>
      <c r="F1048">
        <v>266</v>
      </c>
      <c r="G1048" s="3">
        <v>4449.6499999999996</v>
      </c>
      <c r="H1048" s="3">
        <f>Miami_Retail[[#This Row],[sales_usd]] / Miami_Retail[[#This Row],[customers]]</f>
        <v>16.728007518796993</v>
      </c>
      <c r="I1048">
        <v>83.5</v>
      </c>
      <c r="J1048">
        <f>(Miami_Retail[[#This Row],[avg_temp_f]]-32) * (5/9)</f>
        <v>28.611111111111111</v>
      </c>
      <c r="K1048">
        <v>0.61</v>
      </c>
      <c r="L1048">
        <v>1</v>
      </c>
      <c r="M1048">
        <v>54.8</v>
      </c>
      <c r="N1048">
        <v>45</v>
      </c>
      <c r="O1048">
        <v>55</v>
      </c>
      <c r="P1048">
        <v>48.6</v>
      </c>
      <c r="Q1048">
        <v>51.4</v>
      </c>
    </row>
    <row r="1049" spans="1:17" x14ac:dyDescent="0.25">
      <c r="A1049" s="2">
        <v>45243</v>
      </c>
      <c r="B1049" s="2" t="str">
        <f t="shared" si="32"/>
        <v>Monday</v>
      </c>
      <c r="C1049" s="2" t="b">
        <f t="shared" si="33"/>
        <v>0</v>
      </c>
      <c r="D1049">
        <v>2</v>
      </c>
      <c r="E1049" t="s">
        <v>6</v>
      </c>
      <c r="F1049">
        <v>223</v>
      </c>
      <c r="G1049" s="3">
        <v>3386.03</v>
      </c>
      <c r="H1049" s="3">
        <f>Miami_Retail[[#This Row],[sales_usd]] / Miami_Retail[[#This Row],[customers]]</f>
        <v>15.183991031390136</v>
      </c>
      <c r="I1049">
        <v>79.400000000000006</v>
      </c>
      <c r="J1049">
        <f>(Miami_Retail[[#This Row],[avg_temp_f]]-32) * (5/9)</f>
        <v>26.333333333333339</v>
      </c>
      <c r="K1049">
        <v>0</v>
      </c>
      <c r="L1049">
        <v>0</v>
      </c>
      <c r="M1049">
        <v>57</v>
      </c>
      <c r="N1049">
        <v>48</v>
      </c>
      <c r="O1049">
        <v>52</v>
      </c>
      <c r="P1049">
        <v>44.1</v>
      </c>
      <c r="Q1049">
        <v>55.9</v>
      </c>
    </row>
    <row r="1050" spans="1:17" x14ac:dyDescent="0.25">
      <c r="A1050" s="2">
        <v>45244</v>
      </c>
      <c r="B1050" s="2" t="str">
        <f t="shared" si="32"/>
        <v>Tuesday</v>
      </c>
      <c r="C1050" s="2" t="b">
        <f t="shared" si="33"/>
        <v>0</v>
      </c>
      <c r="D1050">
        <v>2</v>
      </c>
      <c r="E1050" t="s">
        <v>6</v>
      </c>
      <c r="F1050">
        <v>248</v>
      </c>
      <c r="G1050" s="3">
        <v>4252.45</v>
      </c>
      <c r="H1050" s="3">
        <f>Miami_Retail[[#This Row],[sales_usd]] / Miami_Retail[[#This Row],[customers]]</f>
        <v>17.146975806451611</v>
      </c>
      <c r="I1050">
        <v>86.2</v>
      </c>
      <c r="J1050">
        <f>(Miami_Retail[[#This Row],[avg_temp_f]]-32) * (5/9)</f>
        <v>30.111111111111114</v>
      </c>
      <c r="K1050">
        <v>0</v>
      </c>
      <c r="L1050">
        <v>0</v>
      </c>
      <c r="M1050">
        <v>63.9</v>
      </c>
      <c r="N1050">
        <v>47.8</v>
      </c>
      <c r="O1050">
        <v>52.2</v>
      </c>
      <c r="P1050">
        <v>43.5</v>
      </c>
      <c r="Q1050">
        <v>56.5</v>
      </c>
    </row>
    <row r="1051" spans="1:17" x14ac:dyDescent="0.25">
      <c r="A1051" s="2">
        <v>45245</v>
      </c>
      <c r="B1051" s="2" t="str">
        <f t="shared" si="32"/>
        <v>Wednesday</v>
      </c>
      <c r="C1051" s="2" t="b">
        <f t="shared" si="33"/>
        <v>0</v>
      </c>
      <c r="D1051">
        <v>2</v>
      </c>
      <c r="E1051" t="s">
        <v>6</v>
      </c>
      <c r="F1051">
        <v>209</v>
      </c>
      <c r="G1051" s="3">
        <v>3456.44</v>
      </c>
      <c r="H1051" s="3">
        <f>Miami_Retail[[#This Row],[sales_usd]] / Miami_Retail[[#This Row],[customers]]</f>
        <v>16.53799043062201</v>
      </c>
      <c r="I1051">
        <v>80.8</v>
      </c>
      <c r="J1051">
        <f>(Miami_Retail[[#This Row],[avg_temp_f]]-32) * (5/9)</f>
        <v>27.111111111111111</v>
      </c>
      <c r="K1051">
        <v>0</v>
      </c>
      <c r="L1051">
        <v>0</v>
      </c>
      <c r="M1051">
        <v>63.6</v>
      </c>
      <c r="N1051">
        <v>47.7</v>
      </c>
      <c r="O1051">
        <v>52.3</v>
      </c>
      <c r="P1051">
        <v>45.6</v>
      </c>
      <c r="Q1051">
        <v>54.4</v>
      </c>
    </row>
    <row r="1052" spans="1:17" x14ac:dyDescent="0.25">
      <c r="A1052" s="2">
        <v>45246</v>
      </c>
      <c r="B1052" s="2" t="str">
        <f t="shared" si="32"/>
        <v>Thursday</v>
      </c>
      <c r="C1052" s="2" t="b">
        <f t="shared" si="33"/>
        <v>0</v>
      </c>
      <c r="D1052">
        <v>2</v>
      </c>
      <c r="E1052" t="s">
        <v>6</v>
      </c>
      <c r="F1052">
        <v>245</v>
      </c>
      <c r="G1052" s="3">
        <v>4219.3599999999997</v>
      </c>
      <c r="H1052" s="3">
        <f>Miami_Retail[[#This Row],[sales_usd]] / Miami_Retail[[#This Row],[customers]]</f>
        <v>17.221877551020405</v>
      </c>
      <c r="I1052">
        <v>81.2</v>
      </c>
      <c r="J1052">
        <f>(Miami_Retail[[#This Row],[avg_temp_f]]-32) * (5/9)</f>
        <v>27.333333333333336</v>
      </c>
      <c r="K1052">
        <v>0</v>
      </c>
      <c r="L1052">
        <v>0</v>
      </c>
      <c r="M1052">
        <v>58.5</v>
      </c>
      <c r="N1052">
        <v>47.1</v>
      </c>
      <c r="O1052">
        <v>52.9</v>
      </c>
      <c r="P1052">
        <v>44.6</v>
      </c>
      <c r="Q1052">
        <v>55.4</v>
      </c>
    </row>
    <row r="1053" spans="1:17" x14ac:dyDescent="0.25">
      <c r="A1053" s="2">
        <v>45247</v>
      </c>
      <c r="B1053" s="2" t="str">
        <f t="shared" si="32"/>
        <v>Friday</v>
      </c>
      <c r="C1053" s="2" t="b">
        <f t="shared" si="33"/>
        <v>0</v>
      </c>
      <c r="D1053">
        <v>2</v>
      </c>
      <c r="E1053" t="s">
        <v>6</v>
      </c>
      <c r="F1053">
        <v>215</v>
      </c>
      <c r="G1053" s="3">
        <v>3819.74</v>
      </c>
      <c r="H1053" s="3">
        <f>Miami_Retail[[#This Row],[sales_usd]] / Miami_Retail[[#This Row],[customers]]</f>
        <v>17.766232558139535</v>
      </c>
      <c r="I1053">
        <v>79.2</v>
      </c>
      <c r="J1053">
        <f>(Miami_Retail[[#This Row],[avg_temp_f]]-32) * (5/9)</f>
        <v>26.222222222222225</v>
      </c>
      <c r="K1053">
        <v>1.1599999999999999</v>
      </c>
      <c r="L1053">
        <v>1</v>
      </c>
      <c r="M1053">
        <v>61.4</v>
      </c>
      <c r="N1053">
        <v>46.2</v>
      </c>
      <c r="O1053">
        <v>53.8</v>
      </c>
      <c r="P1053">
        <v>46</v>
      </c>
      <c r="Q1053">
        <v>54</v>
      </c>
    </row>
    <row r="1054" spans="1:17" x14ac:dyDescent="0.25">
      <c r="A1054" s="2">
        <v>45248</v>
      </c>
      <c r="B1054" s="2" t="str">
        <f t="shared" si="32"/>
        <v>Saturday</v>
      </c>
      <c r="C1054" s="2" t="b">
        <f t="shared" si="33"/>
        <v>1</v>
      </c>
      <c r="D1054">
        <v>2</v>
      </c>
      <c r="E1054" t="s">
        <v>6</v>
      </c>
      <c r="F1054">
        <v>282</v>
      </c>
      <c r="G1054" s="3">
        <v>4841.2</v>
      </c>
      <c r="H1054" s="3">
        <f>Miami_Retail[[#This Row],[sales_usd]] / Miami_Retail[[#This Row],[customers]]</f>
        <v>17.167375886524823</v>
      </c>
      <c r="I1054">
        <v>86.7</v>
      </c>
      <c r="J1054">
        <f>(Miami_Retail[[#This Row],[avg_temp_f]]-32) * (5/9)</f>
        <v>30.388888888888893</v>
      </c>
      <c r="K1054">
        <v>0</v>
      </c>
      <c r="L1054">
        <v>0</v>
      </c>
      <c r="M1054">
        <v>68.8</v>
      </c>
      <c r="N1054">
        <v>45</v>
      </c>
      <c r="O1054">
        <v>55</v>
      </c>
      <c r="P1054">
        <v>50.4</v>
      </c>
      <c r="Q1054">
        <v>49.6</v>
      </c>
    </row>
    <row r="1055" spans="1:17" x14ac:dyDescent="0.25">
      <c r="A1055" s="2">
        <v>45249</v>
      </c>
      <c r="B1055" s="2" t="str">
        <f t="shared" si="32"/>
        <v>Sunday</v>
      </c>
      <c r="C1055" s="2" t="b">
        <f t="shared" si="33"/>
        <v>1</v>
      </c>
      <c r="D1055">
        <v>2</v>
      </c>
      <c r="E1055" t="s">
        <v>6</v>
      </c>
      <c r="F1055">
        <v>269</v>
      </c>
      <c r="G1055" s="3">
        <v>4722.29</v>
      </c>
      <c r="H1055" s="3">
        <f>Miami_Retail[[#This Row],[sales_usd]] / Miami_Retail[[#This Row],[customers]]</f>
        <v>17.554981412639407</v>
      </c>
      <c r="I1055">
        <v>83.7</v>
      </c>
      <c r="J1055">
        <f>(Miami_Retail[[#This Row],[avg_temp_f]]-32) * (5/9)</f>
        <v>28.722222222222225</v>
      </c>
      <c r="K1055">
        <v>1.03</v>
      </c>
      <c r="L1055">
        <v>1</v>
      </c>
      <c r="M1055">
        <v>55</v>
      </c>
      <c r="N1055">
        <v>47</v>
      </c>
      <c r="O1055">
        <v>53</v>
      </c>
      <c r="P1055">
        <v>48</v>
      </c>
      <c r="Q1055">
        <v>52</v>
      </c>
    </row>
    <row r="1056" spans="1:17" x14ac:dyDescent="0.25">
      <c r="A1056" s="2">
        <v>45250</v>
      </c>
      <c r="B1056" s="2" t="str">
        <f t="shared" si="32"/>
        <v>Monday</v>
      </c>
      <c r="C1056" s="2" t="b">
        <f t="shared" si="33"/>
        <v>0</v>
      </c>
      <c r="D1056">
        <v>2</v>
      </c>
      <c r="E1056" t="s">
        <v>6</v>
      </c>
      <c r="F1056">
        <v>242</v>
      </c>
      <c r="G1056" s="3">
        <v>3967.89</v>
      </c>
      <c r="H1056" s="3">
        <f>Miami_Retail[[#This Row],[sales_usd]] / Miami_Retail[[#This Row],[customers]]</f>
        <v>16.396239669421487</v>
      </c>
      <c r="I1056">
        <v>78.8</v>
      </c>
      <c r="J1056">
        <f>(Miami_Retail[[#This Row],[avg_temp_f]]-32) * (5/9)</f>
        <v>26</v>
      </c>
      <c r="K1056">
        <v>0</v>
      </c>
      <c r="L1056">
        <v>0</v>
      </c>
      <c r="M1056">
        <v>59.8</v>
      </c>
      <c r="N1056">
        <v>48</v>
      </c>
      <c r="O1056">
        <v>52</v>
      </c>
      <c r="P1056">
        <v>44.9</v>
      </c>
      <c r="Q1056">
        <v>55.1</v>
      </c>
    </row>
    <row r="1057" spans="1:17" x14ac:dyDescent="0.25">
      <c r="A1057" s="2">
        <v>45251</v>
      </c>
      <c r="B1057" s="2" t="str">
        <f t="shared" si="32"/>
        <v>Tuesday</v>
      </c>
      <c r="C1057" s="2" t="b">
        <f t="shared" si="33"/>
        <v>0</v>
      </c>
      <c r="D1057">
        <v>2</v>
      </c>
      <c r="E1057" t="s">
        <v>6</v>
      </c>
      <c r="F1057">
        <v>244</v>
      </c>
      <c r="G1057" s="3">
        <v>3814.58</v>
      </c>
      <c r="H1057" s="3">
        <f>Miami_Retail[[#This Row],[sales_usd]] / Miami_Retail[[#This Row],[customers]]</f>
        <v>15.633524590163933</v>
      </c>
      <c r="I1057">
        <v>80.5</v>
      </c>
      <c r="J1057">
        <f>(Miami_Retail[[#This Row],[avg_temp_f]]-32) * (5/9)</f>
        <v>26.944444444444446</v>
      </c>
      <c r="K1057">
        <v>0</v>
      </c>
      <c r="L1057">
        <v>0</v>
      </c>
      <c r="M1057">
        <v>68.3</v>
      </c>
      <c r="N1057">
        <v>45.7</v>
      </c>
      <c r="O1057">
        <v>54.3</v>
      </c>
      <c r="P1057">
        <v>44.8</v>
      </c>
      <c r="Q1057">
        <v>55.2</v>
      </c>
    </row>
    <row r="1058" spans="1:17" x14ac:dyDescent="0.25">
      <c r="A1058" s="2">
        <v>45252</v>
      </c>
      <c r="B1058" s="2" t="str">
        <f t="shared" si="32"/>
        <v>Wednesday</v>
      </c>
      <c r="C1058" s="2" t="b">
        <f t="shared" si="33"/>
        <v>0</v>
      </c>
      <c r="D1058">
        <v>2</v>
      </c>
      <c r="E1058" t="s">
        <v>6</v>
      </c>
      <c r="F1058">
        <v>280</v>
      </c>
      <c r="G1058" s="3">
        <v>4851.1400000000003</v>
      </c>
      <c r="H1058" s="3">
        <f>Miami_Retail[[#This Row],[sales_usd]] / Miami_Retail[[#This Row],[customers]]</f>
        <v>17.325500000000002</v>
      </c>
      <c r="I1058">
        <v>83</v>
      </c>
      <c r="J1058">
        <f>(Miami_Retail[[#This Row],[avg_temp_f]]-32) * (5/9)</f>
        <v>28.333333333333336</v>
      </c>
      <c r="K1058">
        <v>0</v>
      </c>
      <c r="L1058">
        <v>0</v>
      </c>
      <c r="M1058">
        <v>58.6</v>
      </c>
      <c r="N1058">
        <v>45.2</v>
      </c>
      <c r="O1058">
        <v>54.8</v>
      </c>
      <c r="P1058">
        <v>43.3</v>
      </c>
      <c r="Q1058">
        <v>56.7</v>
      </c>
    </row>
    <row r="1059" spans="1:17" x14ac:dyDescent="0.25">
      <c r="A1059" s="2">
        <v>45253</v>
      </c>
      <c r="B1059" s="2" t="str">
        <f t="shared" si="32"/>
        <v>Thursday</v>
      </c>
      <c r="C1059" s="2" t="b">
        <f t="shared" si="33"/>
        <v>0</v>
      </c>
      <c r="D1059">
        <v>2</v>
      </c>
      <c r="E1059" t="s">
        <v>6</v>
      </c>
      <c r="F1059">
        <v>268</v>
      </c>
      <c r="G1059" s="3">
        <v>4614.91</v>
      </c>
      <c r="H1059" s="3">
        <f>Miami_Retail[[#This Row],[sales_usd]] / Miami_Retail[[#This Row],[customers]]</f>
        <v>17.219813432835821</v>
      </c>
      <c r="I1059">
        <v>80.3</v>
      </c>
      <c r="J1059">
        <f>(Miami_Retail[[#This Row],[avg_temp_f]]-32) * (5/9)</f>
        <v>26.833333333333332</v>
      </c>
      <c r="K1059">
        <v>0.1</v>
      </c>
      <c r="L1059">
        <v>1</v>
      </c>
      <c r="M1059">
        <v>69.2</v>
      </c>
      <c r="N1059">
        <v>46.7</v>
      </c>
      <c r="O1059">
        <v>53.3</v>
      </c>
      <c r="P1059">
        <v>43.5</v>
      </c>
      <c r="Q1059">
        <v>56.5</v>
      </c>
    </row>
    <row r="1060" spans="1:17" x14ac:dyDescent="0.25">
      <c r="A1060" s="2">
        <v>45254</v>
      </c>
      <c r="B1060" s="2" t="str">
        <f t="shared" si="32"/>
        <v>Friday</v>
      </c>
      <c r="C1060" s="2" t="b">
        <f t="shared" si="33"/>
        <v>0</v>
      </c>
      <c r="D1060">
        <v>2</v>
      </c>
      <c r="E1060" t="s">
        <v>6</v>
      </c>
      <c r="F1060">
        <v>272</v>
      </c>
      <c r="G1060" s="3">
        <v>4688.04</v>
      </c>
      <c r="H1060" s="3">
        <f>Miami_Retail[[#This Row],[sales_usd]] / Miami_Retail[[#This Row],[customers]]</f>
        <v>17.235441176470587</v>
      </c>
      <c r="I1060">
        <v>78.8</v>
      </c>
      <c r="J1060">
        <f>(Miami_Retail[[#This Row],[avg_temp_f]]-32) * (5/9)</f>
        <v>26</v>
      </c>
      <c r="K1060">
        <v>0</v>
      </c>
      <c r="L1060">
        <v>0</v>
      </c>
      <c r="M1060">
        <v>57.8</v>
      </c>
      <c r="N1060">
        <v>46.2</v>
      </c>
      <c r="O1060">
        <v>53.8</v>
      </c>
      <c r="P1060">
        <v>43.2</v>
      </c>
      <c r="Q1060">
        <v>56.8</v>
      </c>
    </row>
    <row r="1061" spans="1:17" x14ac:dyDescent="0.25">
      <c r="A1061" s="2">
        <v>45255</v>
      </c>
      <c r="B1061" s="2" t="str">
        <f t="shared" si="32"/>
        <v>Saturday</v>
      </c>
      <c r="C1061" s="2" t="b">
        <f t="shared" si="33"/>
        <v>1</v>
      </c>
      <c r="D1061">
        <v>2</v>
      </c>
      <c r="E1061" t="s">
        <v>6</v>
      </c>
      <c r="F1061">
        <v>278</v>
      </c>
      <c r="G1061" s="3">
        <v>4489.79</v>
      </c>
      <c r="H1061" s="3">
        <f>Miami_Retail[[#This Row],[sales_usd]] / Miami_Retail[[#This Row],[customers]]</f>
        <v>16.150323741007195</v>
      </c>
      <c r="I1061">
        <v>86.1</v>
      </c>
      <c r="J1061">
        <f>(Miami_Retail[[#This Row],[avg_temp_f]]-32) * (5/9)</f>
        <v>30.055555555555554</v>
      </c>
      <c r="K1061">
        <v>0</v>
      </c>
      <c r="L1061">
        <v>0</v>
      </c>
      <c r="M1061">
        <v>59.5</v>
      </c>
      <c r="N1061">
        <v>47.4</v>
      </c>
      <c r="O1061">
        <v>52.6</v>
      </c>
      <c r="P1061">
        <v>51.9</v>
      </c>
      <c r="Q1061">
        <v>48.1</v>
      </c>
    </row>
    <row r="1062" spans="1:17" x14ac:dyDescent="0.25">
      <c r="A1062" s="2">
        <v>45256</v>
      </c>
      <c r="B1062" s="2" t="str">
        <f t="shared" si="32"/>
        <v>Sunday</v>
      </c>
      <c r="C1062" s="2" t="b">
        <f t="shared" si="33"/>
        <v>1</v>
      </c>
      <c r="D1062">
        <v>2</v>
      </c>
      <c r="E1062" t="s">
        <v>6</v>
      </c>
      <c r="F1062">
        <v>287</v>
      </c>
      <c r="G1062" s="3">
        <v>4499.0600000000004</v>
      </c>
      <c r="H1062" s="3">
        <f>Miami_Retail[[#This Row],[sales_usd]] / Miami_Retail[[#This Row],[customers]]</f>
        <v>15.676167247386761</v>
      </c>
      <c r="I1062">
        <v>88.3</v>
      </c>
      <c r="J1062">
        <f>(Miami_Retail[[#This Row],[avg_temp_f]]-32) * (5/9)</f>
        <v>31.277777777777779</v>
      </c>
      <c r="K1062">
        <v>0</v>
      </c>
      <c r="L1062">
        <v>0</v>
      </c>
      <c r="M1062">
        <v>62.9</v>
      </c>
      <c r="N1062">
        <v>47.8</v>
      </c>
      <c r="O1062">
        <v>52.2</v>
      </c>
      <c r="P1062">
        <v>49.8</v>
      </c>
      <c r="Q1062">
        <v>50.2</v>
      </c>
    </row>
    <row r="1063" spans="1:17" x14ac:dyDescent="0.25">
      <c r="A1063" s="2">
        <v>45257</v>
      </c>
      <c r="B1063" s="2" t="str">
        <f t="shared" si="32"/>
        <v>Monday</v>
      </c>
      <c r="C1063" s="2" t="b">
        <f t="shared" si="33"/>
        <v>0</v>
      </c>
      <c r="D1063">
        <v>2</v>
      </c>
      <c r="E1063" t="s">
        <v>6</v>
      </c>
      <c r="F1063">
        <v>261</v>
      </c>
      <c r="G1063" s="3">
        <v>4276.24</v>
      </c>
      <c r="H1063" s="3">
        <f>Miami_Retail[[#This Row],[sales_usd]] / Miami_Retail[[#This Row],[customers]]</f>
        <v>16.384061302681992</v>
      </c>
      <c r="I1063">
        <v>85.7</v>
      </c>
      <c r="J1063">
        <f>(Miami_Retail[[#This Row],[avg_temp_f]]-32) * (5/9)</f>
        <v>29.833333333333336</v>
      </c>
      <c r="K1063">
        <v>0</v>
      </c>
      <c r="L1063">
        <v>0</v>
      </c>
      <c r="M1063">
        <v>48.7</v>
      </c>
      <c r="N1063">
        <v>47</v>
      </c>
      <c r="O1063">
        <v>53</v>
      </c>
      <c r="P1063">
        <v>43.1</v>
      </c>
      <c r="Q1063">
        <v>56.9</v>
      </c>
    </row>
    <row r="1064" spans="1:17" x14ac:dyDescent="0.25">
      <c r="A1064" s="2">
        <v>45258</v>
      </c>
      <c r="B1064" s="2" t="str">
        <f t="shared" si="32"/>
        <v>Tuesday</v>
      </c>
      <c r="C1064" s="2" t="b">
        <f t="shared" si="33"/>
        <v>0</v>
      </c>
      <c r="D1064">
        <v>2</v>
      </c>
      <c r="E1064" t="s">
        <v>6</v>
      </c>
      <c r="F1064">
        <v>265</v>
      </c>
      <c r="G1064" s="3">
        <v>4686.9399999999996</v>
      </c>
      <c r="H1064" s="3">
        <f>Miami_Retail[[#This Row],[sales_usd]] / Miami_Retail[[#This Row],[customers]]</f>
        <v>17.686566037735847</v>
      </c>
      <c r="I1064">
        <v>82.8</v>
      </c>
      <c r="J1064">
        <f>(Miami_Retail[[#This Row],[avg_temp_f]]-32) * (5/9)</f>
        <v>28.222222222222221</v>
      </c>
      <c r="K1064">
        <v>0</v>
      </c>
      <c r="L1064">
        <v>0</v>
      </c>
      <c r="M1064">
        <v>52.6</v>
      </c>
      <c r="N1064">
        <v>48</v>
      </c>
      <c r="O1064">
        <v>52</v>
      </c>
      <c r="P1064">
        <v>43.5</v>
      </c>
      <c r="Q1064">
        <v>56.5</v>
      </c>
    </row>
    <row r="1065" spans="1:17" x14ac:dyDescent="0.25">
      <c r="A1065" s="2">
        <v>45259</v>
      </c>
      <c r="B1065" s="2" t="str">
        <f t="shared" si="32"/>
        <v>Wednesday</v>
      </c>
      <c r="C1065" s="2" t="b">
        <f t="shared" si="33"/>
        <v>0</v>
      </c>
      <c r="D1065">
        <v>2</v>
      </c>
      <c r="E1065" t="s">
        <v>6</v>
      </c>
      <c r="F1065">
        <v>227</v>
      </c>
      <c r="G1065" s="3">
        <v>3988.11</v>
      </c>
      <c r="H1065" s="3">
        <f>Miami_Retail[[#This Row],[sales_usd]] / Miami_Retail[[#This Row],[customers]]</f>
        <v>17.568766519823789</v>
      </c>
      <c r="I1065">
        <v>81.099999999999994</v>
      </c>
      <c r="J1065">
        <f>(Miami_Retail[[#This Row],[avg_temp_f]]-32) * (5/9)</f>
        <v>27.277777777777775</v>
      </c>
      <c r="K1065">
        <v>0</v>
      </c>
      <c r="L1065">
        <v>0</v>
      </c>
      <c r="M1065">
        <v>59.2</v>
      </c>
      <c r="N1065">
        <v>47.5</v>
      </c>
      <c r="O1065">
        <v>52.5</v>
      </c>
      <c r="P1065">
        <v>43.8</v>
      </c>
      <c r="Q1065">
        <v>56.2</v>
      </c>
    </row>
    <row r="1066" spans="1:17" x14ac:dyDescent="0.25">
      <c r="A1066" s="2">
        <v>45260</v>
      </c>
      <c r="B1066" s="2" t="str">
        <f t="shared" si="32"/>
        <v>Thursday</v>
      </c>
      <c r="C1066" s="2" t="b">
        <f t="shared" si="33"/>
        <v>0</v>
      </c>
      <c r="D1066">
        <v>2</v>
      </c>
      <c r="E1066" t="s">
        <v>6</v>
      </c>
      <c r="F1066">
        <v>255</v>
      </c>
      <c r="G1066" s="3">
        <v>4289.05</v>
      </c>
      <c r="H1066" s="3">
        <f>Miami_Retail[[#This Row],[sales_usd]] / Miami_Retail[[#This Row],[customers]]</f>
        <v>16.819803921568628</v>
      </c>
      <c r="I1066">
        <v>78.099999999999994</v>
      </c>
      <c r="J1066">
        <f>(Miami_Retail[[#This Row],[avg_temp_f]]-32) * (5/9)</f>
        <v>25.611111111111111</v>
      </c>
      <c r="K1066">
        <v>0</v>
      </c>
      <c r="L1066">
        <v>0</v>
      </c>
      <c r="M1066">
        <v>57.1</v>
      </c>
      <c r="N1066">
        <v>47.7</v>
      </c>
      <c r="O1066">
        <v>52.3</v>
      </c>
      <c r="P1066">
        <v>42.9</v>
      </c>
      <c r="Q1066">
        <v>57.1</v>
      </c>
    </row>
    <row r="1067" spans="1:17" x14ac:dyDescent="0.25">
      <c r="A1067" s="2">
        <v>45261</v>
      </c>
      <c r="B1067" s="2" t="str">
        <f t="shared" si="32"/>
        <v>Friday</v>
      </c>
      <c r="C1067" s="2" t="b">
        <f t="shared" si="33"/>
        <v>0</v>
      </c>
      <c r="D1067">
        <v>2</v>
      </c>
      <c r="E1067" t="s">
        <v>6</v>
      </c>
      <c r="F1067">
        <v>248</v>
      </c>
      <c r="G1067" s="3">
        <v>3813.27</v>
      </c>
      <c r="H1067" s="3">
        <f>Miami_Retail[[#This Row],[sales_usd]] / Miami_Retail[[#This Row],[customers]]</f>
        <v>15.37608870967742</v>
      </c>
      <c r="I1067">
        <v>79</v>
      </c>
      <c r="J1067">
        <f>(Miami_Retail[[#This Row],[avg_temp_f]]-32) * (5/9)</f>
        <v>26.111111111111111</v>
      </c>
      <c r="K1067">
        <v>0</v>
      </c>
      <c r="L1067">
        <v>0</v>
      </c>
      <c r="M1067">
        <v>60.5</v>
      </c>
      <c r="N1067">
        <v>47.1</v>
      </c>
      <c r="O1067">
        <v>52.9</v>
      </c>
      <c r="P1067">
        <v>44.2</v>
      </c>
      <c r="Q1067">
        <v>55.8</v>
      </c>
    </row>
    <row r="1068" spans="1:17" x14ac:dyDescent="0.25">
      <c r="A1068" s="2">
        <v>45262</v>
      </c>
      <c r="B1068" s="2" t="str">
        <f t="shared" si="32"/>
        <v>Saturday</v>
      </c>
      <c r="C1068" s="2" t="b">
        <f t="shared" si="33"/>
        <v>1</v>
      </c>
      <c r="D1068">
        <v>2</v>
      </c>
      <c r="E1068" t="s">
        <v>6</v>
      </c>
      <c r="F1068">
        <v>239</v>
      </c>
      <c r="G1068" s="3">
        <v>4200.99</v>
      </c>
      <c r="H1068" s="3">
        <f>Miami_Retail[[#This Row],[sales_usd]] / Miami_Retail[[#This Row],[customers]]</f>
        <v>17.5773640167364</v>
      </c>
      <c r="I1068">
        <v>78.8</v>
      </c>
      <c r="J1068">
        <f>(Miami_Retail[[#This Row],[avg_temp_f]]-32) * (5/9)</f>
        <v>26</v>
      </c>
      <c r="K1068">
        <v>0</v>
      </c>
      <c r="L1068">
        <v>0</v>
      </c>
      <c r="M1068">
        <v>55.3</v>
      </c>
      <c r="N1068">
        <v>48.4</v>
      </c>
      <c r="O1068">
        <v>51.6</v>
      </c>
      <c r="P1068">
        <v>48.4</v>
      </c>
      <c r="Q1068">
        <v>51.6</v>
      </c>
    </row>
    <row r="1069" spans="1:17" x14ac:dyDescent="0.25">
      <c r="A1069" s="2">
        <v>45263</v>
      </c>
      <c r="B1069" s="2" t="str">
        <f t="shared" si="32"/>
        <v>Sunday</v>
      </c>
      <c r="C1069" s="2" t="b">
        <f t="shared" si="33"/>
        <v>1</v>
      </c>
      <c r="D1069">
        <v>2</v>
      </c>
      <c r="E1069" t="s">
        <v>6</v>
      </c>
      <c r="F1069">
        <v>264</v>
      </c>
      <c r="G1069" s="3">
        <v>4828.3599999999997</v>
      </c>
      <c r="H1069" s="3">
        <f>Miami_Retail[[#This Row],[sales_usd]] / Miami_Retail[[#This Row],[customers]]</f>
        <v>18.289242424242424</v>
      </c>
      <c r="I1069">
        <v>79.099999999999994</v>
      </c>
      <c r="J1069">
        <f>(Miami_Retail[[#This Row],[avg_temp_f]]-32) * (5/9)</f>
        <v>26.166666666666664</v>
      </c>
      <c r="K1069">
        <v>0</v>
      </c>
      <c r="L1069">
        <v>0</v>
      </c>
      <c r="M1069">
        <v>57.2</v>
      </c>
      <c r="N1069">
        <v>46.5</v>
      </c>
      <c r="O1069">
        <v>53.5</v>
      </c>
      <c r="P1069">
        <v>50.8</v>
      </c>
      <c r="Q1069">
        <v>49.2</v>
      </c>
    </row>
    <row r="1070" spans="1:17" x14ac:dyDescent="0.25">
      <c r="A1070" s="2">
        <v>45264</v>
      </c>
      <c r="B1070" s="2" t="str">
        <f t="shared" si="32"/>
        <v>Monday</v>
      </c>
      <c r="C1070" s="2" t="b">
        <f t="shared" si="33"/>
        <v>0</v>
      </c>
      <c r="D1070">
        <v>2</v>
      </c>
      <c r="E1070" t="s">
        <v>6</v>
      </c>
      <c r="F1070">
        <v>220</v>
      </c>
      <c r="G1070" s="3">
        <v>3699.36</v>
      </c>
      <c r="H1070" s="3">
        <f>Miami_Retail[[#This Row],[sales_usd]] / Miami_Retail[[#This Row],[customers]]</f>
        <v>16.815272727272728</v>
      </c>
      <c r="I1070">
        <v>76.099999999999994</v>
      </c>
      <c r="J1070">
        <f>(Miami_Retail[[#This Row],[avg_temp_f]]-32) * (5/9)</f>
        <v>24.499999999999996</v>
      </c>
      <c r="K1070">
        <v>0</v>
      </c>
      <c r="L1070">
        <v>0</v>
      </c>
      <c r="M1070">
        <v>56.2</v>
      </c>
      <c r="N1070">
        <v>46.5</v>
      </c>
      <c r="O1070">
        <v>53.5</v>
      </c>
      <c r="P1070">
        <v>46.4</v>
      </c>
      <c r="Q1070">
        <v>53.6</v>
      </c>
    </row>
    <row r="1071" spans="1:17" x14ac:dyDescent="0.25">
      <c r="A1071" s="2">
        <v>45265</v>
      </c>
      <c r="B1071" s="2" t="str">
        <f t="shared" si="32"/>
        <v>Tuesday</v>
      </c>
      <c r="C1071" s="2" t="b">
        <f t="shared" si="33"/>
        <v>0</v>
      </c>
      <c r="D1071">
        <v>2</v>
      </c>
      <c r="E1071" t="s">
        <v>6</v>
      </c>
      <c r="F1071">
        <v>233</v>
      </c>
      <c r="G1071" s="3">
        <v>3844.15</v>
      </c>
      <c r="H1071" s="3">
        <f>Miami_Retail[[#This Row],[sales_usd]] / Miami_Retail[[#This Row],[customers]]</f>
        <v>16.498497854077254</v>
      </c>
      <c r="I1071">
        <v>80.599999999999994</v>
      </c>
      <c r="J1071">
        <f>(Miami_Retail[[#This Row],[avg_temp_f]]-32) * (5/9)</f>
        <v>26.999999999999996</v>
      </c>
      <c r="K1071">
        <v>0</v>
      </c>
      <c r="L1071">
        <v>0</v>
      </c>
      <c r="M1071">
        <v>59.9</v>
      </c>
      <c r="N1071">
        <v>47.6</v>
      </c>
      <c r="O1071">
        <v>52.4</v>
      </c>
      <c r="P1071">
        <v>41.8</v>
      </c>
      <c r="Q1071">
        <v>58.2</v>
      </c>
    </row>
    <row r="1072" spans="1:17" x14ac:dyDescent="0.25">
      <c r="A1072" s="2">
        <v>45266</v>
      </c>
      <c r="B1072" s="2" t="str">
        <f t="shared" si="32"/>
        <v>Wednesday</v>
      </c>
      <c r="C1072" s="2" t="b">
        <f t="shared" si="33"/>
        <v>0</v>
      </c>
      <c r="D1072">
        <v>2</v>
      </c>
      <c r="E1072" t="s">
        <v>6</v>
      </c>
      <c r="F1072">
        <v>237</v>
      </c>
      <c r="G1072" s="3">
        <v>4114.1899999999996</v>
      </c>
      <c r="H1072" s="3">
        <f>Miami_Retail[[#This Row],[sales_usd]] / Miami_Retail[[#This Row],[customers]]</f>
        <v>17.359451476793247</v>
      </c>
      <c r="I1072">
        <v>86</v>
      </c>
      <c r="J1072">
        <f>(Miami_Retail[[#This Row],[avg_temp_f]]-32) * (5/9)</f>
        <v>30</v>
      </c>
      <c r="K1072">
        <v>0</v>
      </c>
      <c r="L1072">
        <v>0</v>
      </c>
      <c r="M1072">
        <v>48.1</v>
      </c>
      <c r="N1072">
        <v>48.1</v>
      </c>
      <c r="O1072">
        <v>51.9</v>
      </c>
      <c r="P1072">
        <v>46.4</v>
      </c>
      <c r="Q1072">
        <v>53.6</v>
      </c>
    </row>
    <row r="1073" spans="1:17" x14ac:dyDescent="0.25">
      <c r="A1073" s="2">
        <v>45267</v>
      </c>
      <c r="B1073" s="2" t="str">
        <f t="shared" si="32"/>
        <v>Thursday</v>
      </c>
      <c r="C1073" s="2" t="b">
        <f t="shared" si="33"/>
        <v>0</v>
      </c>
      <c r="D1073">
        <v>2</v>
      </c>
      <c r="E1073" t="s">
        <v>6</v>
      </c>
      <c r="F1073">
        <v>235</v>
      </c>
      <c r="G1073" s="3">
        <v>3950.1</v>
      </c>
      <c r="H1073" s="3">
        <f>Miami_Retail[[#This Row],[sales_usd]] / Miami_Retail[[#This Row],[customers]]</f>
        <v>16.808936170212764</v>
      </c>
      <c r="I1073">
        <v>78.5</v>
      </c>
      <c r="J1073">
        <f>(Miami_Retail[[#This Row],[avg_temp_f]]-32) * (5/9)</f>
        <v>25.833333333333336</v>
      </c>
      <c r="K1073">
        <v>0</v>
      </c>
      <c r="L1073">
        <v>0</v>
      </c>
      <c r="M1073">
        <v>60.7</v>
      </c>
      <c r="N1073">
        <v>46</v>
      </c>
      <c r="O1073">
        <v>54</v>
      </c>
      <c r="P1073">
        <v>42.5</v>
      </c>
      <c r="Q1073">
        <v>57.5</v>
      </c>
    </row>
    <row r="1074" spans="1:17" x14ac:dyDescent="0.25">
      <c r="A1074" s="2">
        <v>45268</v>
      </c>
      <c r="B1074" s="2" t="str">
        <f t="shared" si="32"/>
        <v>Friday</v>
      </c>
      <c r="C1074" s="2" t="b">
        <f t="shared" si="33"/>
        <v>0</v>
      </c>
      <c r="D1074">
        <v>2</v>
      </c>
      <c r="E1074" t="s">
        <v>6</v>
      </c>
      <c r="F1074">
        <v>259</v>
      </c>
      <c r="G1074" s="3">
        <v>4417.04</v>
      </c>
      <c r="H1074" s="3">
        <f>Miami_Retail[[#This Row],[sales_usd]] / Miami_Retail[[#This Row],[customers]]</f>
        <v>17.054208494208495</v>
      </c>
      <c r="I1074">
        <v>79.2</v>
      </c>
      <c r="J1074">
        <f>(Miami_Retail[[#This Row],[avg_temp_f]]-32) * (5/9)</f>
        <v>26.222222222222225</v>
      </c>
      <c r="K1074">
        <v>0</v>
      </c>
      <c r="L1074">
        <v>0</v>
      </c>
      <c r="M1074">
        <v>56.3</v>
      </c>
      <c r="N1074">
        <v>48.1</v>
      </c>
      <c r="O1074">
        <v>51.9</v>
      </c>
      <c r="P1074">
        <v>44.9</v>
      </c>
      <c r="Q1074">
        <v>55.1</v>
      </c>
    </row>
    <row r="1075" spans="1:17" x14ac:dyDescent="0.25">
      <c r="A1075" s="2">
        <v>45269</v>
      </c>
      <c r="B1075" s="2" t="str">
        <f t="shared" si="32"/>
        <v>Saturday</v>
      </c>
      <c r="C1075" s="2" t="b">
        <f t="shared" si="33"/>
        <v>1</v>
      </c>
      <c r="D1075">
        <v>2</v>
      </c>
      <c r="E1075" t="s">
        <v>6</v>
      </c>
      <c r="F1075">
        <v>253</v>
      </c>
      <c r="G1075" s="3">
        <v>4290.05</v>
      </c>
      <c r="H1075" s="3">
        <f>Miami_Retail[[#This Row],[sales_usd]] / Miami_Retail[[#This Row],[customers]]</f>
        <v>16.956719367588935</v>
      </c>
      <c r="I1075">
        <v>78.400000000000006</v>
      </c>
      <c r="J1075">
        <f>(Miami_Retail[[#This Row],[avg_temp_f]]-32) * (5/9)</f>
        <v>25.777777777777782</v>
      </c>
      <c r="K1075">
        <v>0</v>
      </c>
      <c r="L1075">
        <v>0</v>
      </c>
      <c r="M1075">
        <v>50.6</v>
      </c>
      <c r="N1075">
        <v>47.7</v>
      </c>
      <c r="O1075">
        <v>52.3</v>
      </c>
      <c r="P1075">
        <v>48.6</v>
      </c>
      <c r="Q1075">
        <v>51.4</v>
      </c>
    </row>
    <row r="1076" spans="1:17" x14ac:dyDescent="0.25">
      <c r="A1076" s="2">
        <v>45270</v>
      </c>
      <c r="B1076" s="2" t="str">
        <f t="shared" si="32"/>
        <v>Sunday</v>
      </c>
      <c r="C1076" s="2" t="b">
        <f t="shared" si="33"/>
        <v>1</v>
      </c>
      <c r="D1076">
        <v>2</v>
      </c>
      <c r="E1076" t="s">
        <v>6</v>
      </c>
      <c r="F1076">
        <v>308</v>
      </c>
      <c r="G1076" s="3">
        <v>4824.08</v>
      </c>
      <c r="H1076" s="3">
        <f>Miami_Retail[[#This Row],[sales_usd]] / Miami_Retail[[#This Row],[customers]]</f>
        <v>15.662597402597402</v>
      </c>
      <c r="I1076">
        <v>83.7</v>
      </c>
      <c r="J1076">
        <f>(Miami_Retail[[#This Row],[avg_temp_f]]-32) * (5/9)</f>
        <v>28.722222222222225</v>
      </c>
      <c r="K1076">
        <v>0</v>
      </c>
      <c r="L1076">
        <v>0</v>
      </c>
      <c r="M1076">
        <v>59.3</v>
      </c>
      <c r="N1076">
        <v>48.2</v>
      </c>
      <c r="O1076">
        <v>51.8</v>
      </c>
      <c r="P1076">
        <v>50.7</v>
      </c>
      <c r="Q1076">
        <v>49.3</v>
      </c>
    </row>
    <row r="1077" spans="1:17" x14ac:dyDescent="0.25">
      <c r="A1077" s="2">
        <v>45271</v>
      </c>
      <c r="B1077" s="2" t="str">
        <f t="shared" si="32"/>
        <v>Monday</v>
      </c>
      <c r="C1077" s="2" t="b">
        <f t="shared" si="33"/>
        <v>0</v>
      </c>
      <c r="D1077">
        <v>2</v>
      </c>
      <c r="E1077" t="s">
        <v>6</v>
      </c>
      <c r="F1077">
        <v>227</v>
      </c>
      <c r="G1077" s="3">
        <v>3415.1</v>
      </c>
      <c r="H1077" s="3">
        <f>Miami_Retail[[#This Row],[sales_usd]] / Miami_Retail[[#This Row],[customers]]</f>
        <v>15.044493392070484</v>
      </c>
      <c r="I1077">
        <v>72.8</v>
      </c>
      <c r="J1077">
        <f>(Miami_Retail[[#This Row],[avg_temp_f]]-32) * (5/9)</f>
        <v>22.666666666666668</v>
      </c>
      <c r="K1077">
        <v>0</v>
      </c>
      <c r="L1077">
        <v>0</v>
      </c>
      <c r="M1077">
        <v>52.5</v>
      </c>
      <c r="N1077">
        <v>47.1</v>
      </c>
      <c r="O1077">
        <v>52.9</v>
      </c>
      <c r="P1077">
        <v>45.1</v>
      </c>
      <c r="Q1077">
        <v>54.9</v>
      </c>
    </row>
    <row r="1078" spans="1:17" x14ac:dyDescent="0.25">
      <c r="A1078" s="2">
        <v>45272</v>
      </c>
      <c r="B1078" s="2" t="str">
        <f t="shared" si="32"/>
        <v>Tuesday</v>
      </c>
      <c r="C1078" s="2" t="b">
        <f t="shared" si="33"/>
        <v>0</v>
      </c>
      <c r="D1078">
        <v>2</v>
      </c>
      <c r="E1078" t="s">
        <v>6</v>
      </c>
      <c r="F1078">
        <v>271</v>
      </c>
      <c r="G1078" s="3">
        <v>4609.1000000000004</v>
      </c>
      <c r="H1078" s="3">
        <f>Miami_Retail[[#This Row],[sales_usd]] / Miami_Retail[[#This Row],[customers]]</f>
        <v>17.007749077490775</v>
      </c>
      <c r="I1078">
        <v>83.6</v>
      </c>
      <c r="J1078">
        <f>(Miami_Retail[[#This Row],[avg_temp_f]]-32) * (5/9)</f>
        <v>28.666666666666664</v>
      </c>
      <c r="K1078">
        <v>0</v>
      </c>
      <c r="L1078">
        <v>0</v>
      </c>
      <c r="M1078">
        <v>49.9</v>
      </c>
      <c r="N1078">
        <v>49.5</v>
      </c>
      <c r="O1078">
        <v>50.5</v>
      </c>
      <c r="P1078">
        <v>42.7</v>
      </c>
      <c r="Q1078">
        <v>57.3</v>
      </c>
    </row>
    <row r="1079" spans="1:17" x14ac:dyDescent="0.25">
      <c r="A1079" s="2">
        <v>45273</v>
      </c>
      <c r="B1079" s="2" t="str">
        <f t="shared" si="32"/>
        <v>Wednesday</v>
      </c>
      <c r="C1079" s="2" t="b">
        <f t="shared" si="33"/>
        <v>0</v>
      </c>
      <c r="D1079">
        <v>2</v>
      </c>
      <c r="E1079" t="s">
        <v>6</v>
      </c>
      <c r="F1079">
        <v>209</v>
      </c>
      <c r="G1079" s="3">
        <v>3413.24</v>
      </c>
      <c r="H1079" s="3">
        <f>Miami_Retail[[#This Row],[sales_usd]] / Miami_Retail[[#This Row],[customers]]</f>
        <v>16.331291866028707</v>
      </c>
      <c r="I1079">
        <v>78.400000000000006</v>
      </c>
      <c r="J1079">
        <f>(Miami_Retail[[#This Row],[avg_temp_f]]-32) * (5/9)</f>
        <v>25.777777777777782</v>
      </c>
      <c r="K1079">
        <v>0</v>
      </c>
      <c r="L1079">
        <v>0</v>
      </c>
      <c r="M1079">
        <v>57</v>
      </c>
      <c r="N1079">
        <v>47.9</v>
      </c>
      <c r="O1079">
        <v>52.1</v>
      </c>
      <c r="P1079">
        <v>43.7</v>
      </c>
      <c r="Q1079">
        <v>56.3</v>
      </c>
    </row>
    <row r="1080" spans="1:17" x14ac:dyDescent="0.25">
      <c r="A1080" s="2">
        <v>45274</v>
      </c>
      <c r="B1080" s="2" t="str">
        <f t="shared" si="32"/>
        <v>Thursday</v>
      </c>
      <c r="C1080" s="2" t="b">
        <f t="shared" si="33"/>
        <v>0</v>
      </c>
      <c r="D1080">
        <v>2</v>
      </c>
      <c r="E1080" t="s">
        <v>6</v>
      </c>
      <c r="F1080">
        <v>223</v>
      </c>
      <c r="G1080" s="3">
        <v>3501.21</v>
      </c>
      <c r="H1080" s="3">
        <f>Miami_Retail[[#This Row],[sales_usd]] / Miami_Retail[[#This Row],[customers]]</f>
        <v>15.700493273542602</v>
      </c>
      <c r="I1080">
        <v>78.2</v>
      </c>
      <c r="J1080">
        <f>(Miami_Retail[[#This Row],[avg_temp_f]]-32) * (5/9)</f>
        <v>25.666666666666668</v>
      </c>
      <c r="K1080">
        <v>0</v>
      </c>
      <c r="L1080">
        <v>0</v>
      </c>
      <c r="M1080">
        <v>49.2</v>
      </c>
      <c r="N1080">
        <v>48.5</v>
      </c>
      <c r="O1080">
        <v>51.5</v>
      </c>
      <c r="P1080">
        <v>44.5</v>
      </c>
      <c r="Q1080">
        <v>55.5</v>
      </c>
    </row>
    <row r="1081" spans="1:17" x14ac:dyDescent="0.25">
      <c r="A1081" s="2">
        <v>45275</v>
      </c>
      <c r="B1081" s="2" t="str">
        <f t="shared" si="32"/>
        <v>Friday</v>
      </c>
      <c r="C1081" s="2" t="b">
        <f t="shared" si="33"/>
        <v>0</v>
      </c>
      <c r="D1081">
        <v>2</v>
      </c>
      <c r="E1081" t="s">
        <v>6</v>
      </c>
      <c r="F1081">
        <v>231</v>
      </c>
      <c r="G1081" s="3">
        <v>3919.86</v>
      </c>
      <c r="H1081" s="3">
        <f>Miami_Retail[[#This Row],[sales_usd]] / Miami_Retail[[#This Row],[customers]]</f>
        <v>16.969090909090909</v>
      </c>
      <c r="I1081">
        <v>73.3</v>
      </c>
      <c r="J1081">
        <f>(Miami_Retail[[#This Row],[avg_temp_f]]-32) * (5/9)</f>
        <v>22.944444444444443</v>
      </c>
      <c r="K1081">
        <v>0</v>
      </c>
      <c r="L1081">
        <v>0</v>
      </c>
      <c r="M1081">
        <v>45</v>
      </c>
      <c r="N1081">
        <v>47.2</v>
      </c>
      <c r="O1081">
        <v>52.8</v>
      </c>
      <c r="P1081">
        <v>44.4</v>
      </c>
      <c r="Q1081">
        <v>55.6</v>
      </c>
    </row>
    <row r="1082" spans="1:17" x14ac:dyDescent="0.25">
      <c r="A1082" s="2">
        <v>45276</v>
      </c>
      <c r="B1082" s="2" t="str">
        <f t="shared" si="32"/>
        <v>Saturday</v>
      </c>
      <c r="C1082" s="2" t="b">
        <f t="shared" si="33"/>
        <v>1</v>
      </c>
      <c r="D1082">
        <v>2</v>
      </c>
      <c r="E1082" t="s">
        <v>6</v>
      </c>
      <c r="F1082">
        <v>243</v>
      </c>
      <c r="G1082" s="3">
        <v>4164.9399999999996</v>
      </c>
      <c r="H1082" s="3">
        <f>Miami_Retail[[#This Row],[sales_usd]] / Miami_Retail[[#This Row],[customers]]</f>
        <v>17.139670781893003</v>
      </c>
      <c r="I1082">
        <v>78.3</v>
      </c>
      <c r="J1082">
        <f>(Miami_Retail[[#This Row],[avg_temp_f]]-32) * (5/9)</f>
        <v>25.722222222222221</v>
      </c>
      <c r="K1082">
        <v>0</v>
      </c>
      <c r="L1082">
        <v>0</v>
      </c>
      <c r="M1082">
        <v>54.7</v>
      </c>
      <c r="N1082">
        <v>50.4</v>
      </c>
      <c r="O1082">
        <v>49.6</v>
      </c>
      <c r="P1082">
        <v>51.4</v>
      </c>
      <c r="Q1082">
        <v>48.6</v>
      </c>
    </row>
    <row r="1083" spans="1:17" x14ac:dyDescent="0.25">
      <c r="A1083" s="2">
        <v>45277</v>
      </c>
      <c r="B1083" s="2" t="str">
        <f t="shared" si="32"/>
        <v>Sunday</v>
      </c>
      <c r="C1083" s="2" t="b">
        <f t="shared" si="33"/>
        <v>1</v>
      </c>
      <c r="D1083">
        <v>2</v>
      </c>
      <c r="E1083" t="s">
        <v>6</v>
      </c>
      <c r="F1083">
        <v>249</v>
      </c>
      <c r="G1083" s="3">
        <v>4564.0600000000004</v>
      </c>
      <c r="H1083" s="3">
        <f>Miami_Retail[[#This Row],[sales_usd]] / Miami_Retail[[#This Row],[customers]]</f>
        <v>18.329558232931728</v>
      </c>
      <c r="I1083">
        <v>74.900000000000006</v>
      </c>
      <c r="J1083">
        <f>(Miami_Retail[[#This Row],[avg_temp_f]]-32) * (5/9)</f>
        <v>23.833333333333339</v>
      </c>
      <c r="K1083">
        <v>0.45</v>
      </c>
      <c r="L1083">
        <v>1</v>
      </c>
      <c r="M1083">
        <v>53.7</v>
      </c>
      <c r="N1083">
        <v>47.2</v>
      </c>
      <c r="O1083">
        <v>52.8</v>
      </c>
      <c r="P1083">
        <v>51.1</v>
      </c>
      <c r="Q1083">
        <v>48.9</v>
      </c>
    </row>
    <row r="1084" spans="1:17" x14ac:dyDescent="0.25">
      <c r="A1084" s="2">
        <v>45278</v>
      </c>
      <c r="B1084" s="2" t="str">
        <f t="shared" si="32"/>
        <v>Monday</v>
      </c>
      <c r="C1084" s="2" t="b">
        <f t="shared" si="33"/>
        <v>0</v>
      </c>
      <c r="D1084">
        <v>2</v>
      </c>
      <c r="E1084" t="s">
        <v>6</v>
      </c>
      <c r="F1084">
        <v>211</v>
      </c>
      <c r="G1084" s="3">
        <v>3734.07</v>
      </c>
      <c r="H1084" s="3">
        <f>Miami_Retail[[#This Row],[sales_usd]] / Miami_Retail[[#This Row],[customers]]</f>
        <v>17.697014218009478</v>
      </c>
      <c r="I1084">
        <v>69.900000000000006</v>
      </c>
      <c r="J1084">
        <f>(Miami_Retail[[#This Row],[avg_temp_f]]-32) * (5/9)</f>
        <v>21.055555555555561</v>
      </c>
      <c r="K1084">
        <v>0</v>
      </c>
      <c r="L1084">
        <v>0</v>
      </c>
      <c r="M1084">
        <v>44</v>
      </c>
      <c r="N1084">
        <v>47.4</v>
      </c>
      <c r="O1084">
        <v>52.6</v>
      </c>
      <c r="P1084">
        <v>45.5</v>
      </c>
      <c r="Q1084">
        <v>54.5</v>
      </c>
    </row>
    <row r="1085" spans="1:17" x14ac:dyDescent="0.25">
      <c r="A1085" s="2">
        <v>45279</v>
      </c>
      <c r="B1085" s="2" t="str">
        <f t="shared" si="32"/>
        <v>Tuesday</v>
      </c>
      <c r="C1085" s="2" t="b">
        <f t="shared" si="33"/>
        <v>0</v>
      </c>
      <c r="D1085">
        <v>2</v>
      </c>
      <c r="E1085" t="s">
        <v>6</v>
      </c>
      <c r="F1085">
        <v>224</v>
      </c>
      <c r="G1085" s="3">
        <v>3611.01</v>
      </c>
      <c r="H1085" s="3">
        <f>Miami_Retail[[#This Row],[sales_usd]] / Miami_Retail[[#This Row],[customers]]</f>
        <v>16.12058035714286</v>
      </c>
      <c r="I1085">
        <v>76</v>
      </c>
      <c r="J1085">
        <f>(Miami_Retail[[#This Row],[avg_temp_f]]-32) * (5/9)</f>
        <v>24.444444444444446</v>
      </c>
      <c r="K1085">
        <v>0</v>
      </c>
      <c r="L1085">
        <v>0</v>
      </c>
      <c r="M1085">
        <v>54.3</v>
      </c>
      <c r="N1085">
        <v>48.2</v>
      </c>
      <c r="O1085">
        <v>51.8</v>
      </c>
      <c r="P1085">
        <v>43.5</v>
      </c>
      <c r="Q1085">
        <v>56.5</v>
      </c>
    </row>
    <row r="1086" spans="1:17" x14ac:dyDescent="0.25">
      <c r="A1086" s="2">
        <v>45280</v>
      </c>
      <c r="B1086" s="2" t="str">
        <f t="shared" si="32"/>
        <v>Wednesday</v>
      </c>
      <c r="C1086" s="2" t="b">
        <f t="shared" si="33"/>
        <v>0</v>
      </c>
      <c r="D1086">
        <v>2</v>
      </c>
      <c r="E1086" t="s">
        <v>6</v>
      </c>
      <c r="F1086">
        <v>225</v>
      </c>
      <c r="G1086" s="3">
        <v>3478.55</v>
      </c>
      <c r="H1086" s="3">
        <f>Miami_Retail[[#This Row],[sales_usd]] / Miami_Retail[[#This Row],[customers]]</f>
        <v>15.460222222222223</v>
      </c>
      <c r="I1086">
        <v>76.900000000000006</v>
      </c>
      <c r="J1086">
        <f>(Miami_Retail[[#This Row],[avg_temp_f]]-32) * (5/9)</f>
        <v>24.94444444444445</v>
      </c>
      <c r="K1086">
        <v>0</v>
      </c>
      <c r="L1086">
        <v>0</v>
      </c>
      <c r="M1086">
        <v>52</v>
      </c>
      <c r="N1086">
        <v>48.7</v>
      </c>
      <c r="O1086">
        <v>51.3</v>
      </c>
      <c r="P1086">
        <v>43.2</v>
      </c>
      <c r="Q1086">
        <v>56.8</v>
      </c>
    </row>
    <row r="1087" spans="1:17" x14ac:dyDescent="0.25">
      <c r="A1087" s="2">
        <v>45281</v>
      </c>
      <c r="B1087" s="2" t="str">
        <f t="shared" si="32"/>
        <v>Thursday</v>
      </c>
      <c r="C1087" s="2" t="b">
        <f t="shared" si="33"/>
        <v>0</v>
      </c>
      <c r="D1087">
        <v>2</v>
      </c>
      <c r="E1087" t="s">
        <v>6</v>
      </c>
      <c r="F1087">
        <v>212</v>
      </c>
      <c r="G1087" s="3">
        <v>3530.09</v>
      </c>
      <c r="H1087" s="3">
        <f>Miami_Retail[[#This Row],[sales_usd]] / Miami_Retail[[#This Row],[customers]]</f>
        <v>16.651367924528302</v>
      </c>
      <c r="I1087">
        <v>79.2</v>
      </c>
      <c r="J1087">
        <f>(Miami_Retail[[#This Row],[avg_temp_f]]-32) * (5/9)</f>
        <v>26.222222222222225</v>
      </c>
      <c r="K1087">
        <v>2.35</v>
      </c>
      <c r="L1087">
        <v>1</v>
      </c>
      <c r="M1087">
        <v>47.7</v>
      </c>
      <c r="N1087">
        <v>48.9</v>
      </c>
      <c r="O1087">
        <v>51.1</v>
      </c>
      <c r="P1087">
        <v>43</v>
      </c>
      <c r="Q1087">
        <v>57</v>
      </c>
    </row>
    <row r="1088" spans="1:17" x14ac:dyDescent="0.25">
      <c r="A1088" s="2">
        <v>45282</v>
      </c>
      <c r="B1088" s="2" t="str">
        <f t="shared" si="32"/>
        <v>Friday</v>
      </c>
      <c r="C1088" s="2" t="b">
        <f t="shared" si="33"/>
        <v>0</v>
      </c>
      <c r="D1088">
        <v>2</v>
      </c>
      <c r="E1088" t="s">
        <v>6</v>
      </c>
      <c r="F1088">
        <v>212</v>
      </c>
      <c r="G1088" s="3">
        <v>3319.13</v>
      </c>
      <c r="H1088" s="3">
        <f>Miami_Retail[[#This Row],[sales_usd]] / Miami_Retail[[#This Row],[customers]]</f>
        <v>15.65627358490566</v>
      </c>
      <c r="I1088">
        <v>75.400000000000006</v>
      </c>
      <c r="J1088">
        <f>(Miami_Retail[[#This Row],[avg_temp_f]]-32) * (5/9)</f>
        <v>24.111111111111114</v>
      </c>
      <c r="K1088">
        <v>0</v>
      </c>
      <c r="L1088">
        <v>0</v>
      </c>
      <c r="M1088">
        <v>35</v>
      </c>
      <c r="N1088">
        <v>48.2</v>
      </c>
      <c r="O1088">
        <v>51.8</v>
      </c>
      <c r="P1088">
        <v>45.2</v>
      </c>
      <c r="Q1088">
        <v>54.8</v>
      </c>
    </row>
    <row r="1089" spans="1:17" x14ac:dyDescent="0.25">
      <c r="A1089" s="2">
        <v>45283</v>
      </c>
      <c r="B1089" s="2" t="str">
        <f t="shared" si="32"/>
        <v>Saturday</v>
      </c>
      <c r="C1089" s="2" t="b">
        <f t="shared" si="33"/>
        <v>1</v>
      </c>
      <c r="D1089">
        <v>2</v>
      </c>
      <c r="E1089" t="s">
        <v>6</v>
      </c>
      <c r="F1089">
        <v>283</v>
      </c>
      <c r="G1089" s="3">
        <v>5012.7700000000004</v>
      </c>
      <c r="H1089" s="3">
        <f>Miami_Retail[[#This Row],[sales_usd]] / Miami_Retail[[#This Row],[customers]]</f>
        <v>17.71296819787986</v>
      </c>
      <c r="I1089">
        <v>77.3</v>
      </c>
      <c r="J1089">
        <f>(Miami_Retail[[#This Row],[avg_temp_f]]-32) * (5/9)</f>
        <v>25.166666666666668</v>
      </c>
      <c r="K1089">
        <v>0</v>
      </c>
      <c r="L1089">
        <v>0</v>
      </c>
      <c r="M1089">
        <v>51</v>
      </c>
      <c r="N1089">
        <v>50.3</v>
      </c>
      <c r="O1089">
        <v>49.7</v>
      </c>
      <c r="P1089">
        <v>50.7</v>
      </c>
      <c r="Q1089">
        <v>49.3</v>
      </c>
    </row>
    <row r="1090" spans="1:17" x14ac:dyDescent="0.25">
      <c r="A1090" s="2">
        <v>45284</v>
      </c>
      <c r="B1090" s="2" t="str">
        <f t="shared" ref="B1090:B1153" si="34">TEXT(A1090, "dddd")</f>
        <v>Sunday</v>
      </c>
      <c r="C1090" s="2" t="b">
        <f t="shared" ref="C1090:C1153" si="35">IF(WEEKDAY(A1090,2)&gt;5,TRUE,FALSE)</f>
        <v>1</v>
      </c>
      <c r="D1090">
        <v>2</v>
      </c>
      <c r="E1090" t="s">
        <v>6</v>
      </c>
      <c r="F1090">
        <v>244</v>
      </c>
      <c r="G1090" s="3">
        <v>4170.33</v>
      </c>
      <c r="H1090" s="3">
        <f>Miami_Retail[[#This Row],[sales_usd]] / Miami_Retail[[#This Row],[customers]]</f>
        <v>17.091516393442621</v>
      </c>
      <c r="I1090">
        <v>70.8</v>
      </c>
      <c r="J1090">
        <f>(Miami_Retail[[#This Row],[avg_temp_f]]-32) * (5/9)</f>
        <v>21.555555555555554</v>
      </c>
      <c r="K1090">
        <v>0</v>
      </c>
      <c r="L1090">
        <v>0</v>
      </c>
      <c r="M1090">
        <v>49</v>
      </c>
      <c r="N1090">
        <v>49.6</v>
      </c>
      <c r="O1090">
        <v>50.4</v>
      </c>
      <c r="P1090">
        <v>49.6</v>
      </c>
      <c r="Q1090">
        <v>50.4</v>
      </c>
    </row>
    <row r="1091" spans="1:17" x14ac:dyDescent="0.25">
      <c r="A1091" s="2">
        <v>45285</v>
      </c>
      <c r="B1091" s="2" t="str">
        <f t="shared" si="34"/>
        <v>Monday</v>
      </c>
      <c r="C1091" s="2" t="b">
        <f t="shared" si="35"/>
        <v>0</v>
      </c>
      <c r="D1091">
        <v>2</v>
      </c>
      <c r="E1091" t="s">
        <v>6</v>
      </c>
      <c r="F1091">
        <v>182</v>
      </c>
      <c r="G1091" s="3">
        <v>2918.89</v>
      </c>
      <c r="H1091" s="3">
        <f>Miami_Retail[[#This Row],[sales_usd]] / Miami_Retail[[#This Row],[customers]]</f>
        <v>16.037857142857142</v>
      </c>
      <c r="I1091">
        <v>80.8</v>
      </c>
      <c r="J1091">
        <f>(Miami_Retail[[#This Row],[avg_temp_f]]-32) * (5/9)</f>
        <v>27.111111111111111</v>
      </c>
      <c r="K1091">
        <v>0</v>
      </c>
      <c r="L1091">
        <v>0</v>
      </c>
      <c r="M1091">
        <v>50.1</v>
      </c>
      <c r="N1091">
        <v>47.7</v>
      </c>
      <c r="O1091">
        <v>52.3</v>
      </c>
      <c r="P1091">
        <v>44.9</v>
      </c>
      <c r="Q1091">
        <v>55.1</v>
      </c>
    </row>
    <row r="1092" spans="1:17" x14ac:dyDescent="0.25">
      <c r="A1092" s="2">
        <v>45286</v>
      </c>
      <c r="B1092" s="2" t="str">
        <f t="shared" si="34"/>
        <v>Tuesday</v>
      </c>
      <c r="C1092" s="2" t="b">
        <f t="shared" si="35"/>
        <v>0</v>
      </c>
      <c r="D1092">
        <v>2</v>
      </c>
      <c r="E1092" t="s">
        <v>6</v>
      </c>
      <c r="F1092">
        <v>207</v>
      </c>
      <c r="G1092" s="3">
        <v>3260.04</v>
      </c>
      <c r="H1092" s="3">
        <f>Miami_Retail[[#This Row],[sales_usd]] / Miami_Retail[[#This Row],[customers]]</f>
        <v>15.748985507246376</v>
      </c>
      <c r="I1092">
        <v>69.8</v>
      </c>
      <c r="J1092">
        <f>(Miami_Retail[[#This Row],[avg_temp_f]]-32) * (5/9)</f>
        <v>21</v>
      </c>
      <c r="K1092">
        <v>0</v>
      </c>
      <c r="L1092">
        <v>0</v>
      </c>
      <c r="M1092">
        <v>48.9</v>
      </c>
      <c r="N1092">
        <v>47.2</v>
      </c>
      <c r="O1092">
        <v>52.8</v>
      </c>
      <c r="P1092">
        <v>43.5</v>
      </c>
      <c r="Q1092">
        <v>56.5</v>
      </c>
    </row>
    <row r="1093" spans="1:17" x14ac:dyDescent="0.25">
      <c r="A1093" s="2">
        <v>45287</v>
      </c>
      <c r="B1093" s="2" t="str">
        <f t="shared" si="34"/>
        <v>Wednesday</v>
      </c>
      <c r="C1093" s="2" t="b">
        <f t="shared" si="35"/>
        <v>0</v>
      </c>
      <c r="D1093">
        <v>2</v>
      </c>
      <c r="E1093" t="s">
        <v>6</v>
      </c>
      <c r="F1093">
        <v>231</v>
      </c>
      <c r="G1093" s="3">
        <v>4187.6400000000003</v>
      </c>
      <c r="H1093" s="3">
        <f>Miami_Retail[[#This Row],[sales_usd]] / Miami_Retail[[#This Row],[customers]]</f>
        <v>18.12831168831169</v>
      </c>
      <c r="I1093">
        <v>80.099999999999994</v>
      </c>
      <c r="J1093">
        <f>(Miami_Retail[[#This Row],[avg_temp_f]]-32) * (5/9)</f>
        <v>26.722222222222221</v>
      </c>
      <c r="K1093">
        <v>0</v>
      </c>
      <c r="L1093">
        <v>0</v>
      </c>
      <c r="M1093">
        <v>53.3</v>
      </c>
      <c r="N1093">
        <v>49.1</v>
      </c>
      <c r="O1093">
        <v>50.9</v>
      </c>
      <c r="P1093">
        <v>45</v>
      </c>
      <c r="Q1093">
        <v>55</v>
      </c>
    </row>
    <row r="1094" spans="1:17" x14ac:dyDescent="0.25">
      <c r="A1094" s="2">
        <v>45288</v>
      </c>
      <c r="B1094" s="2" t="str">
        <f t="shared" si="34"/>
        <v>Thursday</v>
      </c>
      <c r="C1094" s="2" t="b">
        <f t="shared" si="35"/>
        <v>0</v>
      </c>
      <c r="D1094">
        <v>2</v>
      </c>
      <c r="E1094" t="s">
        <v>6</v>
      </c>
      <c r="F1094">
        <v>180</v>
      </c>
      <c r="G1094" s="3">
        <v>3044.02</v>
      </c>
      <c r="H1094" s="3">
        <f>Miami_Retail[[#This Row],[sales_usd]] / Miami_Retail[[#This Row],[customers]]</f>
        <v>16.911222222222221</v>
      </c>
      <c r="I1094">
        <v>75.099999999999994</v>
      </c>
      <c r="J1094">
        <f>(Miami_Retail[[#This Row],[avg_temp_f]]-32) * (5/9)</f>
        <v>23.944444444444443</v>
      </c>
      <c r="K1094">
        <v>0</v>
      </c>
      <c r="L1094">
        <v>0</v>
      </c>
      <c r="M1094">
        <v>53.3</v>
      </c>
      <c r="N1094">
        <v>48.8</v>
      </c>
      <c r="O1094">
        <v>51.2</v>
      </c>
      <c r="P1094">
        <v>44.5</v>
      </c>
      <c r="Q1094">
        <v>55.5</v>
      </c>
    </row>
    <row r="1095" spans="1:17" x14ac:dyDescent="0.25">
      <c r="A1095" s="2">
        <v>45289</v>
      </c>
      <c r="B1095" s="2" t="str">
        <f t="shared" si="34"/>
        <v>Friday</v>
      </c>
      <c r="C1095" s="2" t="b">
        <f t="shared" si="35"/>
        <v>0</v>
      </c>
      <c r="D1095">
        <v>2</v>
      </c>
      <c r="E1095" t="s">
        <v>6</v>
      </c>
      <c r="F1095">
        <v>235</v>
      </c>
      <c r="G1095" s="3">
        <v>3853.49</v>
      </c>
      <c r="H1095" s="3">
        <f>Miami_Retail[[#This Row],[sales_usd]] / Miami_Retail[[#This Row],[customers]]</f>
        <v>16.397829787234041</v>
      </c>
      <c r="I1095">
        <v>72.900000000000006</v>
      </c>
      <c r="J1095">
        <f>(Miami_Retail[[#This Row],[avg_temp_f]]-32) * (5/9)</f>
        <v>22.722222222222225</v>
      </c>
      <c r="K1095">
        <v>0</v>
      </c>
      <c r="L1095">
        <v>0</v>
      </c>
      <c r="M1095">
        <v>47.4</v>
      </c>
      <c r="N1095">
        <v>48.1</v>
      </c>
      <c r="O1095">
        <v>51.9</v>
      </c>
      <c r="P1095">
        <v>43.5</v>
      </c>
      <c r="Q1095">
        <v>56.5</v>
      </c>
    </row>
    <row r="1096" spans="1:17" x14ac:dyDescent="0.25">
      <c r="A1096" s="2">
        <v>45290</v>
      </c>
      <c r="B1096" s="2" t="str">
        <f t="shared" si="34"/>
        <v>Saturday</v>
      </c>
      <c r="C1096" s="2" t="b">
        <f t="shared" si="35"/>
        <v>1</v>
      </c>
      <c r="D1096">
        <v>2</v>
      </c>
      <c r="E1096" t="s">
        <v>6</v>
      </c>
      <c r="F1096">
        <v>238</v>
      </c>
      <c r="G1096" s="3">
        <v>4128.96</v>
      </c>
      <c r="H1096" s="3">
        <f>Miami_Retail[[#This Row],[sales_usd]] / Miami_Retail[[#This Row],[customers]]</f>
        <v>17.348571428571429</v>
      </c>
      <c r="I1096">
        <v>75.099999999999994</v>
      </c>
      <c r="J1096">
        <f>(Miami_Retail[[#This Row],[avg_temp_f]]-32) * (5/9)</f>
        <v>23.944444444444443</v>
      </c>
      <c r="K1096">
        <v>0</v>
      </c>
      <c r="L1096">
        <v>0</v>
      </c>
      <c r="M1096">
        <v>40.5</v>
      </c>
      <c r="N1096">
        <v>50.2</v>
      </c>
      <c r="O1096">
        <v>49.8</v>
      </c>
      <c r="P1096">
        <v>49.9</v>
      </c>
      <c r="Q1096">
        <v>50.1</v>
      </c>
    </row>
    <row r="1097" spans="1:17" x14ac:dyDescent="0.25">
      <c r="A1097" s="2">
        <v>45291</v>
      </c>
      <c r="B1097" s="2" t="str">
        <f t="shared" si="34"/>
        <v>Sunday</v>
      </c>
      <c r="C1097" s="2" t="b">
        <f t="shared" si="35"/>
        <v>1</v>
      </c>
      <c r="D1097">
        <v>2</v>
      </c>
      <c r="E1097" t="s">
        <v>6</v>
      </c>
      <c r="F1097">
        <v>252</v>
      </c>
      <c r="G1097" s="3">
        <v>4171.46</v>
      </c>
      <c r="H1097" s="3">
        <f>Miami_Retail[[#This Row],[sales_usd]] / Miami_Retail[[#This Row],[customers]]</f>
        <v>16.5534126984127</v>
      </c>
      <c r="I1097">
        <v>77.2</v>
      </c>
      <c r="J1097">
        <f>(Miami_Retail[[#This Row],[avg_temp_f]]-32) * (5/9)</f>
        <v>25.111111111111114</v>
      </c>
      <c r="K1097">
        <v>0</v>
      </c>
      <c r="L1097">
        <v>0</v>
      </c>
      <c r="M1097">
        <v>37.799999999999997</v>
      </c>
      <c r="N1097">
        <v>49</v>
      </c>
      <c r="O1097">
        <v>51</v>
      </c>
      <c r="P1097">
        <v>49.5</v>
      </c>
      <c r="Q1097">
        <v>50.5</v>
      </c>
    </row>
    <row r="1098" spans="1:17" x14ac:dyDescent="0.25">
      <c r="A1098" s="2">
        <v>45292</v>
      </c>
      <c r="B1098" s="2" t="str">
        <f t="shared" si="34"/>
        <v>Monday</v>
      </c>
      <c r="C1098" s="2" t="b">
        <f t="shared" si="35"/>
        <v>0</v>
      </c>
      <c r="D1098">
        <v>2</v>
      </c>
      <c r="E1098" t="s">
        <v>6</v>
      </c>
      <c r="F1098">
        <v>221</v>
      </c>
      <c r="G1098" s="3">
        <v>3921.87</v>
      </c>
      <c r="H1098" s="3">
        <f>Miami_Retail[[#This Row],[sales_usd]] / Miami_Retail[[#This Row],[customers]]</f>
        <v>17.746018099547509</v>
      </c>
      <c r="I1098">
        <v>74.400000000000006</v>
      </c>
      <c r="J1098">
        <f>(Miami_Retail[[#This Row],[avg_temp_f]]-32) * (5/9)</f>
        <v>23.555555555555561</v>
      </c>
      <c r="K1098">
        <v>0.67</v>
      </c>
      <c r="L1098">
        <v>1</v>
      </c>
      <c r="M1098">
        <v>49.5</v>
      </c>
      <c r="N1098">
        <v>46.7</v>
      </c>
      <c r="O1098">
        <v>53.3</v>
      </c>
      <c r="P1098">
        <v>45.3</v>
      </c>
      <c r="Q1098">
        <v>54.7</v>
      </c>
    </row>
    <row r="1099" spans="1:17" x14ac:dyDescent="0.25">
      <c r="A1099" s="2">
        <v>45293</v>
      </c>
      <c r="B1099" s="2" t="str">
        <f t="shared" si="34"/>
        <v>Tuesday</v>
      </c>
      <c r="C1099" s="2" t="b">
        <f t="shared" si="35"/>
        <v>0</v>
      </c>
      <c r="D1099">
        <v>2</v>
      </c>
      <c r="E1099" t="s">
        <v>6</v>
      </c>
      <c r="F1099">
        <v>208</v>
      </c>
      <c r="G1099" s="3">
        <v>3358.18</v>
      </c>
      <c r="H1099" s="3">
        <f>Miami_Retail[[#This Row],[sales_usd]] / Miami_Retail[[#This Row],[customers]]</f>
        <v>16.145096153846154</v>
      </c>
      <c r="I1099">
        <v>73.900000000000006</v>
      </c>
      <c r="J1099">
        <f>(Miami_Retail[[#This Row],[avg_temp_f]]-32) * (5/9)</f>
        <v>23.277777777777782</v>
      </c>
      <c r="K1099">
        <v>0</v>
      </c>
      <c r="L1099">
        <v>0</v>
      </c>
      <c r="M1099">
        <v>45.8</v>
      </c>
      <c r="N1099">
        <v>47.2</v>
      </c>
      <c r="O1099">
        <v>52.8</v>
      </c>
      <c r="P1099">
        <v>45.2</v>
      </c>
      <c r="Q1099">
        <v>54.8</v>
      </c>
    </row>
    <row r="1100" spans="1:17" x14ac:dyDescent="0.25">
      <c r="A1100" s="2">
        <v>45294</v>
      </c>
      <c r="B1100" s="2" t="str">
        <f t="shared" si="34"/>
        <v>Wednesday</v>
      </c>
      <c r="C1100" s="2" t="b">
        <f t="shared" si="35"/>
        <v>0</v>
      </c>
      <c r="D1100">
        <v>2</v>
      </c>
      <c r="E1100" t="s">
        <v>6</v>
      </c>
      <c r="F1100">
        <v>195</v>
      </c>
      <c r="G1100" s="3">
        <v>3567.62</v>
      </c>
      <c r="H1100" s="3">
        <f>Miami_Retail[[#This Row],[sales_usd]] / Miami_Retail[[#This Row],[customers]]</f>
        <v>18.295487179487179</v>
      </c>
      <c r="I1100">
        <v>72.5</v>
      </c>
      <c r="J1100">
        <f>(Miami_Retail[[#This Row],[avg_temp_f]]-32) * (5/9)</f>
        <v>22.5</v>
      </c>
      <c r="K1100">
        <v>0.04</v>
      </c>
      <c r="L1100">
        <v>1</v>
      </c>
      <c r="M1100">
        <v>38.299999999999997</v>
      </c>
      <c r="N1100">
        <v>48.8</v>
      </c>
      <c r="O1100">
        <v>51.2</v>
      </c>
      <c r="P1100">
        <v>44.3</v>
      </c>
      <c r="Q1100">
        <v>55.7</v>
      </c>
    </row>
    <row r="1101" spans="1:17" x14ac:dyDescent="0.25">
      <c r="A1101" s="2">
        <v>45295</v>
      </c>
      <c r="B1101" s="2" t="str">
        <f t="shared" si="34"/>
        <v>Thursday</v>
      </c>
      <c r="C1101" s="2" t="b">
        <f t="shared" si="35"/>
        <v>0</v>
      </c>
      <c r="D1101">
        <v>2</v>
      </c>
      <c r="E1101" t="s">
        <v>6</v>
      </c>
      <c r="F1101">
        <v>212</v>
      </c>
      <c r="G1101" s="3">
        <v>3497.65</v>
      </c>
      <c r="H1101" s="3">
        <f>Miami_Retail[[#This Row],[sales_usd]] / Miami_Retail[[#This Row],[customers]]</f>
        <v>16.498349056603775</v>
      </c>
      <c r="I1101">
        <v>73.8</v>
      </c>
      <c r="J1101">
        <f>(Miami_Retail[[#This Row],[avg_temp_f]]-32) * (5/9)</f>
        <v>23.222222222222221</v>
      </c>
      <c r="K1101">
        <v>1.57</v>
      </c>
      <c r="L1101">
        <v>1</v>
      </c>
      <c r="M1101">
        <v>43.7</v>
      </c>
      <c r="N1101">
        <v>50.4</v>
      </c>
      <c r="O1101">
        <v>49.6</v>
      </c>
      <c r="P1101">
        <v>45.4</v>
      </c>
      <c r="Q1101">
        <v>54.6</v>
      </c>
    </row>
    <row r="1102" spans="1:17" x14ac:dyDescent="0.25">
      <c r="A1102" s="2">
        <v>45296</v>
      </c>
      <c r="B1102" s="2" t="str">
        <f t="shared" si="34"/>
        <v>Friday</v>
      </c>
      <c r="C1102" s="2" t="b">
        <f t="shared" si="35"/>
        <v>0</v>
      </c>
      <c r="D1102">
        <v>2</v>
      </c>
      <c r="E1102" t="s">
        <v>6</v>
      </c>
      <c r="F1102">
        <v>178</v>
      </c>
      <c r="G1102" s="3">
        <v>2835.14</v>
      </c>
      <c r="H1102" s="3">
        <f>Miami_Retail[[#This Row],[sales_usd]] / Miami_Retail[[#This Row],[customers]]</f>
        <v>15.927752808988764</v>
      </c>
      <c r="I1102">
        <v>69</v>
      </c>
      <c r="J1102">
        <f>(Miami_Retail[[#This Row],[avg_temp_f]]-32) * (5/9)</f>
        <v>20.555555555555557</v>
      </c>
      <c r="K1102">
        <v>0</v>
      </c>
      <c r="L1102">
        <v>0</v>
      </c>
      <c r="M1102">
        <v>46.6</v>
      </c>
      <c r="N1102">
        <v>49.6</v>
      </c>
      <c r="O1102">
        <v>50.4</v>
      </c>
      <c r="P1102">
        <v>44.2</v>
      </c>
      <c r="Q1102">
        <v>55.8</v>
      </c>
    </row>
    <row r="1103" spans="1:17" x14ac:dyDescent="0.25">
      <c r="A1103" s="2">
        <v>45297</v>
      </c>
      <c r="B1103" s="2" t="str">
        <f t="shared" si="34"/>
        <v>Saturday</v>
      </c>
      <c r="C1103" s="2" t="b">
        <f t="shared" si="35"/>
        <v>1</v>
      </c>
      <c r="D1103">
        <v>2</v>
      </c>
      <c r="E1103" t="s">
        <v>6</v>
      </c>
      <c r="F1103">
        <v>257</v>
      </c>
      <c r="G1103" s="3">
        <v>4129.08</v>
      </c>
      <c r="H1103" s="3">
        <f>Miami_Retail[[#This Row],[sales_usd]] / Miami_Retail[[#This Row],[customers]]</f>
        <v>16.066459143968871</v>
      </c>
      <c r="I1103">
        <v>77.599999999999994</v>
      </c>
      <c r="J1103">
        <f>(Miami_Retail[[#This Row],[avg_temp_f]]-32) * (5/9)</f>
        <v>25.333333333333332</v>
      </c>
      <c r="K1103">
        <v>0</v>
      </c>
      <c r="L1103">
        <v>0</v>
      </c>
      <c r="M1103">
        <v>45.5</v>
      </c>
      <c r="N1103">
        <v>50.2</v>
      </c>
      <c r="O1103">
        <v>49.8</v>
      </c>
      <c r="P1103">
        <v>52.1</v>
      </c>
      <c r="Q1103">
        <v>47.9</v>
      </c>
    </row>
    <row r="1104" spans="1:17" x14ac:dyDescent="0.25">
      <c r="A1104" s="2">
        <v>45298</v>
      </c>
      <c r="B1104" s="2" t="str">
        <f t="shared" si="34"/>
        <v>Sunday</v>
      </c>
      <c r="C1104" s="2" t="b">
        <f t="shared" si="35"/>
        <v>1</v>
      </c>
      <c r="D1104">
        <v>2</v>
      </c>
      <c r="E1104" t="s">
        <v>6</v>
      </c>
      <c r="F1104">
        <v>253</v>
      </c>
      <c r="G1104" s="3">
        <v>3981.89</v>
      </c>
      <c r="H1104" s="3">
        <f>Miami_Retail[[#This Row],[sales_usd]] / Miami_Retail[[#This Row],[customers]]</f>
        <v>15.738695652173913</v>
      </c>
      <c r="I1104">
        <v>76.099999999999994</v>
      </c>
      <c r="J1104">
        <f>(Miami_Retail[[#This Row],[avg_temp_f]]-32) * (5/9)</f>
        <v>24.499999999999996</v>
      </c>
      <c r="K1104">
        <v>0</v>
      </c>
      <c r="L1104">
        <v>0</v>
      </c>
      <c r="M1104">
        <v>46.8</v>
      </c>
      <c r="N1104">
        <v>49.8</v>
      </c>
      <c r="O1104">
        <v>50.2</v>
      </c>
      <c r="P1104">
        <v>50.3</v>
      </c>
      <c r="Q1104">
        <v>49.7</v>
      </c>
    </row>
    <row r="1105" spans="1:17" x14ac:dyDescent="0.25">
      <c r="A1105" s="2">
        <v>45299</v>
      </c>
      <c r="B1105" s="2" t="str">
        <f t="shared" si="34"/>
        <v>Monday</v>
      </c>
      <c r="C1105" s="2" t="b">
        <f t="shared" si="35"/>
        <v>0</v>
      </c>
      <c r="D1105">
        <v>2</v>
      </c>
      <c r="E1105" t="s">
        <v>6</v>
      </c>
      <c r="F1105">
        <v>221</v>
      </c>
      <c r="G1105" s="3">
        <v>3803.28</v>
      </c>
      <c r="H1105" s="3">
        <f>Miami_Retail[[#This Row],[sales_usd]] / Miami_Retail[[#This Row],[customers]]</f>
        <v>17.209411764705884</v>
      </c>
      <c r="I1105">
        <v>71.8</v>
      </c>
      <c r="J1105">
        <f>(Miami_Retail[[#This Row],[avg_temp_f]]-32) * (5/9)</f>
        <v>22.111111111111111</v>
      </c>
      <c r="K1105">
        <v>0</v>
      </c>
      <c r="L1105">
        <v>0</v>
      </c>
      <c r="M1105">
        <v>41.8</v>
      </c>
      <c r="N1105">
        <v>49.6</v>
      </c>
      <c r="O1105">
        <v>50.4</v>
      </c>
      <c r="P1105">
        <v>45.4</v>
      </c>
      <c r="Q1105">
        <v>54.6</v>
      </c>
    </row>
    <row r="1106" spans="1:17" x14ac:dyDescent="0.25">
      <c r="A1106" s="2">
        <v>45300</v>
      </c>
      <c r="B1106" s="2" t="str">
        <f t="shared" si="34"/>
        <v>Tuesday</v>
      </c>
      <c r="C1106" s="2" t="b">
        <f t="shared" si="35"/>
        <v>0</v>
      </c>
      <c r="D1106">
        <v>2</v>
      </c>
      <c r="E1106" t="s">
        <v>6</v>
      </c>
      <c r="F1106">
        <v>254</v>
      </c>
      <c r="G1106" s="3">
        <v>4224.5600000000004</v>
      </c>
      <c r="H1106" s="3">
        <f>Miami_Retail[[#This Row],[sales_usd]] / Miami_Retail[[#This Row],[customers]]</f>
        <v>16.632125984251971</v>
      </c>
      <c r="I1106">
        <v>76.400000000000006</v>
      </c>
      <c r="J1106">
        <f>(Miami_Retail[[#This Row],[avg_temp_f]]-32) * (5/9)</f>
        <v>24.666666666666671</v>
      </c>
      <c r="K1106">
        <v>0</v>
      </c>
      <c r="L1106">
        <v>0</v>
      </c>
      <c r="M1106">
        <v>51.6</v>
      </c>
      <c r="N1106">
        <v>48.8</v>
      </c>
      <c r="O1106">
        <v>51.2</v>
      </c>
      <c r="P1106">
        <v>44.4</v>
      </c>
      <c r="Q1106">
        <v>55.6</v>
      </c>
    </row>
    <row r="1107" spans="1:17" x14ac:dyDescent="0.25">
      <c r="A1107" s="2">
        <v>45301</v>
      </c>
      <c r="B1107" s="2" t="str">
        <f t="shared" si="34"/>
        <v>Wednesday</v>
      </c>
      <c r="C1107" s="2" t="b">
        <f t="shared" si="35"/>
        <v>0</v>
      </c>
      <c r="D1107">
        <v>2</v>
      </c>
      <c r="E1107" t="s">
        <v>6</v>
      </c>
      <c r="F1107">
        <v>219</v>
      </c>
      <c r="G1107" s="3">
        <v>4056.27</v>
      </c>
      <c r="H1107" s="3">
        <f>Miami_Retail[[#This Row],[sales_usd]] / Miami_Retail[[#This Row],[customers]]</f>
        <v>18.521780821917808</v>
      </c>
      <c r="I1107">
        <v>76.099999999999994</v>
      </c>
      <c r="J1107">
        <f>(Miami_Retail[[#This Row],[avg_temp_f]]-32) * (5/9)</f>
        <v>24.499999999999996</v>
      </c>
      <c r="K1107">
        <v>0</v>
      </c>
      <c r="L1107">
        <v>0</v>
      </c>
      <c r="M1107">
        <v>35.1</v>
      </c>
      <c r="N1107">
        <v>48.3</v>
      </c>
      <c r="O1107">
        <v>51.7</v>
      </c>
      <c r="P1107">
        <v>44.8</v>
      </c>
      <c r="Q1107">
        <v>55.2</v>
      </c>
    </row>
    <row r="1108" spans="1:17" x14ac:dyDescent="0.25">
      <c r="A1108" s="2">
        <v>45302</v>
      </c>
      <c r="B1108" s="2" t="str">
        <f t="shared" si="34"/>
        <v>Thursday</v>
      </c>
      <c r="C1108" s="2" t="b">
        <f t="shared" si="35"/>
        <v>0</v>
      </c>
      <c r="D1108">
        <v>2</v>
      </c>
      <c r="E1108" t="s">
        <v>6</v>
      </c>
      <c r="F1108">
        <v>204</v>
      </c>
      <c r="G1108" s="3">
        <v>3432.14</v>
      </c>
      <c r="H1108" s="3">
        <f>Miami_Retail[[#This Row],[sales_usd]] / Miami_Retail[[#This Row],[customers]]</f>
        <v>16.82421568627451</v>
      </c>
      <c r="I1108">
        <v>74.900000000000006</v>
      </c>
      <c r="J1108">
        <f>(Miami_Retail[[#This Row],[avg_temp_f]]-32) * (5/9)</f>
        <v>23.833333333333339</v>
      </c>
      <c r="K1108">
        <v>0.08</v>
      </c>
      <c r="L1108">
        <v>1</v>
      </c>
      <c r="M1108">
        <v>39.200000000000003</v>
      </c>
      <c r="N1108">
        <v>50.5</v>
      </c>
      <c r="O1108">
        <v>49.5</v>
      </c>
      <c r="P1108">
        <v>43</v>
      </c>
      <c r="Q1108">
        <v>57</v>
      </c>
    </row>
    <row r="1109" spans="1:17" x14ac:dyDescent="0.25">
      <c r="A1109" s="2">
        <v>45303</v>
      </c>
      <c r="B1109" s="2" t="str">
        <f t="shared" si="34"/>
        <v>Friday</v>
      </c>
      <c r="C1109" s="2" t="b">
        <f t="shared" si="35"/>
        <v>0</v>
      </c>
      <c r="D1109">
        <v>2</v>
      </c>
      <c r="E1109" t="s">
        <v>6</v>
      </c>
      <c r="F1109">
        <v>260</v>
      </c>
      <c r="G1109" s="3">
        <v>4631.87</v>
      </c>
      <c r="H1109" s="3">
        <f>Miami_Retail[[#This Row],[sales_usd]] / Miami_Retail[[#This Row],[customers]]</f>
        <v>17.814884615384614</v>
      </c>
      <c r="I1109">
        <v>79.2</v>
      </c>
      <c r="J1109">
        <f>(Miami_Retail[[#This Row],[avg_temp_f]]-32) * (5/9)</f>
        <v>26.222222222222225</v>
      </c>
      <c r="K1109">
        <v>0</v>
      </c>
      <c r="L1109">
        <v>0</v>
      </c>
      <c r="M1109">
        <v>44.7</v>
      </c>
      <c r="N1109">
        <v>50.4</v>
      </c>
      <c r="O1109">
        <v>49.6</v>
      </c>
      <c r="P1109">
        <v>45.3</v>
      </c>
      <c r="Q1109">
        <v>54.7</v>
      </c>
    </row>
    <row r="1110" spans="1:17" x14ac:dyDescent="0.25">
      <c r="A1110" s="2">
        <v>45304</v>
      </c>
      <c r="B1110" s="2" t="str">
        <f t="shared" si="34"/>
        <v>Saturday</v>
      </c>
      <c r="C1110" s="2" t="b">
        <f t="shared" si="35"/>
        <v>1</v>
      </c>
      <c r="D1110">
        <v>2</v>
      </c>
      <c r="E1110" t="s">
        <v>6</v>
      </c>
      <c r="F1110">
        <v>234</v>
      </c>
      <c r="G1110" s="3">
        <v>3791.61</v>
      </c>
      <c r="H1110" s="3">
        <f>Miami_Retail[[#This Row],[sales_usd]] / Miami_Retail[[#This Row],[customers]]</f>
        <v>16.203461538461539</v>
      </c>
      <c r="I1110">
        <v>69</v>
      </c>
      <c r="J1110">
        <f>(Miami_Retail[[#This Row],[avg_temp_f]]-32) * (5/9)</f>
        <v>20.555555555555557</v>
      </c>
      <c r="K1110">
        <v>0</v>
      </c>
      <c r="L1110">
        <v>0</v>
      </c>
      <c r="M1110">
        <v>46.4</v>
      </c>
      <c r="N1110">
        <v>47.6</v>
      </c>
      <c r="O1110">
        <v>52.4</v>
      </c>
      <c r="P1110">
        <v>51</v>
      </c>
      <c r="Q1110">
        <v>49</v>
      </c>
    </row>
    <row r="1111" spans="1:17" x14ac:dyDescent="0.25">
      <c r="A1111" s="2">
        <v>45305</v>
      </c>
      <c r="B1111" s="2" t="str">
        <f t="shared" si="34"/>
        <v>Sunday</v>
      </c>
      <c r="C1111" s="2" t="b">
        <f t="shared" si="35"/>
        <v>1</v>
      </c>
      <c r="D1111">
        <v>2</v>
      </c>
      <c r="E1111" t="s">
        <v>6</v>
      </c>
      <c r="F1111">
        <v>245</v>
      </c>
      <c r="G1111" s="3">
        <v>4507.37</v>
      </c>
      <c r="H1111" s="3">
        <f>Miami_Retail[[#This Row],[sales_usd]] / Miami_Retail[[#This Row],[customers]]</f>
        <v>18.39742857142857</v>
      </c>
      <c r="I1111">
        <v>67.3</v>
      </c>
      <c r="J1111">
        <f>(Miami_Retail[[#This Row],[avg_temp_f]]-32) * (5/9)</f>
        <v>19.611111111111111</v>
      </c>
      <c r="K1111">
        <v>0</v>
      </c>
      <c r="L1111">
        <v>0</v>
      </c>
      <c r="M1111">
        <v>42</v>
      </c>
      <c r="N1111">
        <v>50.5</v>
      </c>
      <c r="O1111">
        <v>49.5</v>
      </c>
      <c r="P1111">
        <v>51.4</v>
      </c>
      <c r="Q1111">
        <v>48.6</v>
      </c>
    </row>
    <row r="1112" spans="1:17" x14ac:dyDescent="0.25">
      <c r="A1112" s="2">
        <v>45306</v>
      </c>
      <c r="B1112" s="2" t="str">
        <f t="shared" si="34"/>
        <v>Monday</v>
      </c>
      <c r="C1112" s="2" t="b">
        <f t="shared" si="35"/>
        <v>0</v>
      </c>
      <c r="D1112">
        <v>2</v>
      </c>
      <c r="E1112" t="s">
        <v>6</v>
      </c>
      <c r="F1112">
        <v>185</v>
      </c>
      <c r="G1112" s="3">
        <v>3128.09</v>
      </c>
      <c r="H1112" s="3">
        <f>Miami_Retail[[#This Row],[sales_usd]] / Miami_Retail[[#This Row],[customers]]</f>
        <v>16.908594594594597</v>
      </c>
      <c r="I1112">
        <v>70.7</v>
      </c>
      <c r="J1112">
        <f>(Miami_Retail[[#This Row],[avg_temp_f]]-32) * (5/9)</f>
        <v>21.500000000000004</v>
      </c>
      <c r="K1112">
        <v>0</v>
      </c>
      <c r="L1112">
        <v>0</v>
      </c>
      <c r="M1112">
        <v>45.2</v>
      </c>
      <c r="N1112">
        <v>50.9</v>
      </c>
      <c r="O1112">
        <v>49.1</v>
      </c>
      <c r="P1112">
        <v>45.6</v>
      </c>
      <c r="Q1112">
        <v>54.4</v>
      </c>
    </row>
    <row r="1113" spans="1:17" x14ac:dyDescent="0.25">
      <c r="A1113" s="2">
        <v>45307</v>
      </c>
      <c r="B1113" s="2" t="str">
        <f t="shared" si="34"/>
        <v>Tuesday</v>
      </c>
      <c r="C1113" s="2" t="b">
        <f t="shared" si="35"/>
        <v>0</v>
      </c>
      <c r="D1113">
        <v>2</v>
      </c>
      <c r="E1113" t="s">
        <v>6</v>
      </c>
      <c r="F1113">
        <v>242</v>
      </c>
      <c r="G1113" s="3">
        <v>3889.21</v>
      </c>
      <c r="H1113" s="3">
        <f>Miami_Retail[[#This Row],[sales_usd]] / Miami_Retail[[#This Row],[customers]]</f>
        <v>16.071115702479339</v>
      </c>
      <c r="I1113">
        <v>77</v>
      </c>
      <c r="J1113">
        <f>(Miami_Retail[[#This Row],[avg_temp_f]]-32) * (5/9)</f>
        <v>25</v>
      </c>
      <c r="K1113">
        <v>0</v>
      </c>
      <c r="L1113">
        <v>0</v>
      </c>
      <c r="M1113">
        <v>43.4</v>
      </c>
      <c r="N1113">
        <v>48.2</v>
      </c>
      <c r="O1113">
        <v>51.8</v>
      </c>
      <c r="P1113">
        <v>45.4</v>
      </c>
      <c r="Q1113">
        <v>54.6</v>
      </c>
    </row>
    <row r="1114" spans="1:17" x14ac:dyDescent="0.25">
      <c r="A1114" s="2">
        <v>45308</v>
      </c>
      <c r="B1114" s="2" t="str">
        <f t="shared" si="34"/>
        <v>Wednesday</v>
      </c>
      <c r="C1114" s="2" t="b">
        <f t="shared" si="35"/>
        <v>0</v>
      </c>
      <c r="D1114">
        <v>2</v>
      </c>
      <c r="E1114" t="s">
        <v>6</v>
      </c>
      <c r="F1114">
        <v>191</v>
      </c>
      <c r="G1114" s="3">
        <v>3264.61</v>
      </c>
      <c r="H1114" s="3">
        <f>Miami_Retail[[#This Row],[sales_usd]] / Miami_Retail[[#This Row],[customers]]</f>
        <v>17.092198952879581</v>
      </c>
      <c r="I1114">
        <v>73.8</v>
      </c>
      <c r="J1114">
        <f>(Miami_Retail[[#This Row],[avg_temp_f]]-32) * (5/9)</f>
        <v>23.222222222222221</v>
      </c>
      <c r="K1114">
        <v>0</v>
      </c>
      <c r="L1114">
        <v>0</v>
      </c>
      <c r="M1114">
        <v>38.799999999999997</v>
      </c>
      <c r="N1114">
        <v>51.2</v>
      </c>
      <c r="O1114">
        <v>48.8</v>
      </c>
      <c r="P1114">
        <v>45.7</v>
      </c>
      <c r="Q1114">
        <v>54.3</v>
      </c>
    </row>
    <row r="1115" spans="1:17" x14ac:dyDescent="0.25">
      <c r="A1115" s="2">
        <v>45309</v>
      </c>
      <c r="B1115" s="2" t="str">
        <f t="shared" si="34"/>
        <v>Thursday</v>
      </c>
      <c r="C1115" s="2" t="b">
        <f t="shared" si="35"/>
        <v>0</v>
      </c>
      <c r="D1115">
        <v>2</v>
      </c>
      <c r="E1115" t="s">
        <v>6</v>
      </c>
      <c r="F1115">
        <v>198</v>
      </c>
      <c r="G1115" s="3">
        <v>3219.14</v>
      </c>
      <c r="H1115" s="3">
        <f>Miami_Retail[[#This Row],[sales_usd]] / Miami_Retail[[#This Row],[customers]]</f>
        <v>16.258282828282827</v>
      </c>
      <c r="I1115">
        <v>70.8</v>
      </c>
      <c r="J1115">
        <f>(Miami_Retail[[#This Row],[avg_temp_f]]-32) * (5/9)</f>
        <v>21.555555555555554</v>
      </c>
      <c r="K1115">
        <v>0</v>
      </c>
      <c r="L1115">
        <v>0</v>
      </c>
      <c r="M1115">
        <v>42.9</v>
      </c>
      <c r="N1115">
        <v>50.2</v>
      </c>
      <c r="O1115">
        <v>49.8</v>
      </c>
      <c r="P1115">
        <v>45.2</v>
      </c>
      <c r="Q1115">
        <v>54.8</v>
      </c>
    </row>
    <row r="1116" spans="1:17" x14ac:dyDescent="0.25">
      <c r="A1116" s="2">
        <v>45310</v>
      </c>
      <c r="B1116" s="2" t="str">
        <f t="shared" si="34"/>
        <v>Friday</v>
      </c>
      <c r="C1116" s="2" t="b">
        <f t="shared" si="35"/>
        <v>0</v>
      </c>
      <c r="D1116">
        <v>2</v>
      </c>
      <c r="E1116" t="s">
        <v>6</v>
      </c>
      <c r="F1116">
        <v>204</v>
      </c>
      <c r="G1116" s="3">
        <v>3627.84</v>
      </c>
      <c r="H1116" s="3">
        <f>Miami_Retail[[#This Row],[sales_usd]] / Miami_Retail[[#This Row],[customers]]</f>
        <v>17.783529411764707</v>
      </c>
      <c r="I1116">
        <v>69</v>
      </c>
      <c r="J1116">
        <f>(Miami_Retail[[#This Row],[avg_temp_f]]-32) * (5/9)</f>
        <v>20.555555555555557</v>
      </c>
      <c r="K1116">
        <v>0</v>
      </c>
      <c r="L1116">
        <v>0</v>
      </c>
      <c r="M1116">
        <v>44.9</v>
      </c>
      <c r="N1116">
        <v>48.6</v>
      </c>
      <c r="O1116">
        <v>51.4</v>
      </c>
      <c r="P1116">
        <v>45.6</v>
      </c>
      <c r="Q1116">
        <v>54.4</v>
      </c>
    </row>
    <row r="1117" spans="1:17" x14ac:dyDescent="0.25">
      <c r="A1117" s="2">
        <v>45311</v>
      </c>
      <c r="B1117" s="2" t="str">
        <f t="shared" si="34"/>
        <v>Saturday</v>
      </c>
      <c r="C1117" s="2" t="b">
        <f t="shared" si="35"/>
        <v>1</v>
      </c>
      <c r="D1117">
        <v>2</v>
      </c>
      <c r="E1117" t="s">
        <v>6</v>
      </c>
      <c r="F1117">
        <v>297</v>
      </c>
      <c r="G1117" s="3">
        <v>4879.7</v>
      </c>
      <c r="H1117" s="3">
        <f>Miami_Retail[[#This Row],[sales_usd]] / Miami_Retail[[#This Row],[customers]]</f>
        <v>16.42996632996633</v>
      </c>
      <c r="I1117">
        <v>84.3</v>
      </c>
      <c r="J1117">
        <f>(Miami_Retail[[#This Row],[avg_temp_f]]-32) * (5/9)</f>
        <v>29.055555555555554</v>
      </c>
      <c r="K1117">
        <v>0</v>
      </c>
      <c r="L1117">
        <v>0</v>
      </c>
      <c r="M1117">
        <v>59.3</v>
      </c>
      <c r="N1117">
        <v>49</v>
      </c>
      <c r="O1117">
        <v>51</v>
      </c>
      <c r="P1117">
        <v>50.2</v>
      </c>
      <c r="Q1117">
        <v>49.8</v>
      </c>
    </row>
    <row r="1118" spans="1:17" x14ac:dyDescent="0.25">
      <c r="A1118" s="2">
        <v>45312</v>
      </c>
      <c r="B1118" s="2" t="str">
        <f t="shared" si="34"/>
        <v>Sunday</v>
      </c>
      <c r="C1118" s="2" t="b">
        <f t="shared" si="35"/>
        <v>1</v>
      </c>
      <c r="D1118">
        <v>2</v>
      </c>
      <c r="E1118" t="s">
        <v>6</v>
      </c>
      <c r="F1118">
        <v>250</v>
      </c>
      <c r="G1118" s="3">
        <v>4538.3</v>
      </c>
      <c r="H1118" s="3">
        <f>Miami_Retail[[#This Row],[sales_usd]] / Miami_Retail[[#This Row],[customers]]</f>
        <v>18.153200000000002</v>
      </c>
      <c r="I1118">
        <v>73.400000000000006</v>
      </c>
      <c r="J1118">
        <f>(Miami_Retail[[#This Row],[avg_temp_f]]-32) * (5/9)</f>
        <v>23.000000000000004</v>
      </c>
      <c r="K1118">
        <v>0</v>
      </c>
      <c r="L1118">
        <v>0</v>
      </c>
      <c r="M1118">
        <v>43.6</v>
      </c>
      <c r="N1118">
        <v>49.2</v>
      </c>
      <c r="O1118">
        <v>50.8</v>
      </c>
      <c r="P1118">
        <v>51</v>
      </c>
      <c r="Q1118">
        <v>49</v>
      </c>
    </row>
    <row r="1119" spans="1:17" x14ac:dyDescent="0.25">
      <c r="A1119" s="2">
        <v>45313</v>
      </c>
      <c r="B1119" s="2" t="str">
        <f t="shared" si="34"/>
        <v>Monday</v>
      </c>
      <c r="C1119" s="2" t="b">
        <f t="shared" si="35"/>
        <v>0</v>
      </c>
      <c r="D1119">
        <v>2</v>
      </c>
      <c r="E1119" t="s">
        <v>6</v>
      </c>
      <c r="F1119">
        <v>194</v>
      </c>
      <c r="G1119" s="3">
        <v>3382.13</v>
      </c>
      <c r="H1119" s="3">
        <f>Miami_Retail[[#This Row],[sales_usd]] / Miami_Retail[[#This Row],[customers]]</f>
        <v>17.433659793814435</v>
      </c>
      <c r="I1119">
        <v>69.7</v>
      </c>
      <c r="J1119">
        <f>(Miami_Retail[[#This Row],[avg_temp_f]]-32) * (5/9)</f>
        <v>20.944444444444446</v>
      </c>
      <c r="K1119">
        <v>0.37</v>
      </c>
      <c r="L1119">
        <v>1</v>
      </c>
      <c r="M1119">
        <v>35</v>
      </c>
      <c r="N1119">
        <v>50.2</v>
      </c>
      <c r="O1119">
        <v>49.8</v>
      </c>
      <c r="P1119">
        <v>45.6</v>
      </c>
      <c r="Q1119">
        <v>54.4</v>
      </c>
    </row>
    <row r="1120" spans="1:17" x14ac:dyDescent="0.25">
      <c r="A1120" s="2">
        <v>45314</v>
      </c>
      <c r="B1120" s="2" t="str">
        <f t="shared" si="34"/>
        <v>Tuesday</v>
      </c>
      <c r="C1120" s="2" t="b">
        <f t="shared" si="35"/>
        <v>0</v>
      </c>
      <c r="D1120">
        <v>2</v>
      </c>
      <c r="E1120" t="s">
        <v>6</v>
      </c>
      <c r="F1120">
        <v>184</v>
      </c>
      <c r="G1120" s="3">
        <v>3023.76</v>
      </c>
      <c r="H1120" s="3">
        <f>Miami_Retail[[#This Row],[sales_usd]] / Miami_Retail[[#This Row],[customers]]</f>
        <v>16.433478260869567</v>
      </c>
      <c r="I1120">
        <v>71.5</v>
      </c>
      <c r="J1120">
        <f>(Miami_Retail[[#This Row],[avg_temp_f]]-32) * (5/9)</f>
        <v>21.944444444444446</v>
      </c>
      <c r="K1120">
        <v>0</v>
      </c>
      <c r="L1120">
        <v>0</v>
      </c>
      <c r="M1120">
        <v>35</v>
      </c>
      <c r="N1120">
        <v>49.8</v>
      </c>
      <c r="O1120">
        <v>50.2</v>
      </c>
      <c r="P1120">
        <v>44.4</v>
      </c>
      <c r="Q1120">
        <v>55.6</v>
      </c>
    </row>
    <row r="1121" spans="1:17" x14ac:dyDescent="0.25">
      <c r="A1121" s="2">
        <v>45315</v>
      </c>
      <c r="B1121" s="2" t="str">
        <f t="shared" si="34"/>
        <v>Wednesday</v>
      </c>
      <c r="C1121" s="2" t="b">
        <f t="shared" si="35"/>
        <v>0</v>
      </c>
      <c r="D1121">
        <v>2</v>
      </c>
      <c r="E1121" t="s">
        <v>6</v>
      </c>
      <c r="F1121">
        <v>212</v>
      </c>
      <c r="G1121" s="3">
        <v>3517.66</v>
      </c>
      <c r="H1121" s="3">
        <f>Miami_Retail[[#This Row],[sales_usd]] / Miami_Retail[[#This Row],[customers]]</f>
        <v>16.592735849056602</v>
      </c>
      <c r="I1121">
        <v>72.7</v>
      </c>
      <c r="J1121">
        <f>(Miami_Retail[[#This Row],[avg_temp_f]]-32) * (5/9)</f>
        <v>22.611111111111114</v>
      </c>
      <c r="K1121">
        <v>0</v>
      </c>
      <c r="L1121">
        <v>0</v>
      </c>
      <c r="M1121">
        <v>45.4</v>
      </c>
      <c r="N1121">
        <v>49.5</v>
      </c>
      <c r="O1121">
        <v>50.5</v>
      </c>
      <c r="P1121">
        <v>45.2</v>
      </c>
      <c r="Q1121">
        <v>54.8</v>
      </c>
    </row>
    <row r="1122" spans="1:17" x14ac:dyDescent="0.25">
      <c r="A1122" s="2">
        <v>45316</v>
      </c>
      <c r="B1122" s="2" t="str">
        <f t="shared" si="34"/>
        <v>Thursday</v>
      </c>
      <c r="C1122" s="2" t="b">
        <f t="shared" si="35"/>
        <v>0</v>
      </c>
      <c r="D1122">
        <v>2</v>
      </c>
      <c r="E1122" t="s">
        <v>6</v>
      </c>
      <c r="F1122">
        <v>225</v>
      </c>
      <c r="G1122" s="3">
        <v>3974.59</v>
      </c>
      <c r="H1122" s="3">
        <f>Miami_Retail[[#This Row],[sales_usd]] / Miami_Retail[[#This Row],[customers]]</f>
        <v>17.664844444444444</v>
      </c>
      <c r="I1122">
        <v>75</v>
      </c>
      <c r="J1122">
        <f>(Miami_Retail[[#This Row],[avg_temp_f]]-32) * (5/9)</f>
        <v>23.888888888888889</v>
      </c>
      <c r="K1122">
        <v>0.45</v>
      </c>
      <c r="L1122">
        <v>1</v>
      </c>
      <c r="M1122">
        <v>40.299999999999997</v>
      </c>
      <c r="N1122">
        <v>50.9</v>
      </c>
      <c r="O1122">
        <v>49.1</v>
      </c>
      <c r="P1122">
        <v>45.2</v>
      </c>
      <c r="Q1122">
        <v>54.8</v>
      </c>
    </row>
    <row r="1123" spans="1:17" x14ac:dyDescent="0.25">
      <c r="A1123" s="2">
        <v>45317</v>
      </c>
      <c r="B1123" s="2" t="str">
        <f t="shared" si="34"/>
        <v>Friday</v>
      </c>
      <c r="C1123" s="2" t="b">
        <f t="shared" si="35"/>
        <v>0</v>
      </c>
      <c r="D1123">
        <v>2</v>
      </c>
      <c r="E1123" t="s">
        <v>6</v>
      </c>
      <c r="F1123">
        <v>214</v>
      </c>
      <c r="G1123" s="3">
        <v>3603.58</v>
      </c>
      <c r="H1123" s="3">
        <f>Miami_Retail[[#This Row],[sales_usd]] / Miami_Retail[[#This Row],[customers]]</f>
        <v>16.839158878504673</v>
      </c>
      <c r="I1123">
        <v>70</v>
      </c>
      <c r="J1123">
        <f>(Miami_Retail[[#This Row],[avg_temp_f]]-32) * (5/9)</f>
        <v>21.111111111111111</v>
      </c>
      <c r="K1123">
        <v>0</v>
      </c>
      <c r="L1123">
        <v>0</v>
      </c>
      <c r="M1123">
        <v>35</v>
      </c>
      <c r="N1123">
        <v>50.4</v>
      </c>
      <c r="O1123">
        <v>49.6</v>
      </c>
      <c r="P1123">
        <v>44.6</v>
      </c>
      <c r="Q1123">
        <v>55.4</v>
      </c>
    </row>
    <row r="1124" spans="1:17" x14ac:dyDescent="0.25">
      <c r="A1124" s="2">
        <v>45318</v>
      </c>
      <c r="B1124" s="2" t="str">
        <f t="shared" si="34"/>
        <v>Saturday</v>
      </c>
      <c r="C1124" s="2" t="b">
        <f t="shared" si="35"/>
        <v>1</v>
      </c>
      <c r="D1124">
        <v>2</v>
      </c>
      <c r="E1124" t="s">
        <v>6</v>
      </c>
      <c r="F1124">
        <v>234</v>
      </c>
      <c r="G1124" s="3">
        <v>4256.21</v>
      </c>
      <c r="H1124" s="3">
        <f>Miami_Retail[[#This Row],[sales_usd]] / Miami_Retail[[#This Row],[customers]]</f>
        <v>18.188931623931623</v>
      </c>
      <c r="I1124">
        <v>69.7</v>
      </c>
      <c r="J1124">
        <f>(Miami_Retail[[#This Row],[avg_temp_f]]-32) * (5/9)</f>
        <v>20.944444444444446</v>
      </c>
      <c r="K1124">
        <v>0</v>
      </c>
      <c r="L1124">
        <v>0</v>
      </c>
      <c r="M1124">
        <v>37.1</v>
      </c>
      <c r="N1124">
        <v>51.7</v>
      </c>
      <c r="O1124">
        <v>48.3</v>
      </c>
      <c r="P1124">
        <v>51.7</v>
      </c>
      <c r="Q1124">
        <v>48.3</v>
      </c>
    </row>
    <row r="1125" spans="1:17" x14ac:dyDescent="0.25">
      <c r="A1125" s="2">
        <v>45319</v>
      </c>
      <c r="B1125" s="2" t="str">
        <f t="shared" si="34"/>
        <v>Sunday</v>
      </c>
      <c r="C1125" s="2" t="b">
        <f t="shared" si="35"/>
        <v>1</v>
      </c>
      <c r="D1125">
        <v>2</v>
      </c>
      <c r="E1125" t="s">
        <v>6</v>
      </c>
      <c r="F1125">
        <v>238</v>
      </c>
      <c r="G1125" s="3">
        <v>4282.01</v>
      </c>
      <c r="H1125" s="3">
        <f>Miami_Retail[[#This Row],[sales_usd]] / Miami_Retail[[#This Row],[customers]]</f>
        <v>17.991638655462186</v>
      </c>
      <c r="I1125">
        <v>70.3</v>
      </c>
      <c r="J1125">
        <f>(Miami_Retail[[#This Row],[avg_temp_f]]-32) * (5/9)</f>
        <v>21.277777777777779</v>
      </c>
      <c r="K1125">
        <v>0</v>
      </c>
      <c r="L1125">
        <v>0</v>
      </c>
      <c r="M1125">
        <v>39.200000000000003</v>
      </c>
      <c r="N1125">
        <v>50.9</v>
      </c>
      <c r="O1125">
        <v>49.1</v>
      </c>
      <c r="P1125">
        <v>51.1</v>
      </c>
      <c r="Q1125">
        <v>48.9</v>
      </c>
    </row>
    <row r="1126" spans="1:17" x14ac:dyDescent="0.25">
      <c r="A1126" s="2">
        <v>45320</v>
      </c>
      <c r="B1126" s="2" t="str">
        <f t="shared" si="34"/>
        <v>Monday</v>
      </c>
      <c r="C1126" s="2" t="b">
        <f t="shared" si="35"/>
        <v>0</v>
      </c>
      <c r="D1126">
        <v>2</v>
      </c>
      <c r="E1126" t="s">
        <v>6</v>
      </c>
      <c r="F1126">
        <v>208</v>
      </c>
      <c r="G1126" s="3">
        <v>3211.22</v>
      </c>
      <c r="H1126" s="3">
        <f>Miami_Retail[[#This Row],[sales_usd]] / Miami_Retail[[#This Row],[customers]]</f>
        <v>15.438557692307691</v>
      </c>
      <c r="I1126">
        <v>67.900000000000006</v>
      </c>
      <c r="J1126">
        <f>(Miami_Retail[[#This Row],[avg_temp_f]]-32) * (5/9)</f>
        <v>19.94444444444445</v>
      </c>
      <c r="K1126">
        <v>0</v>
      </c>
      <c r="L1126">
        <v>0</v>
      </c>
      <c r="M1126">
        <v>47.5</v>
      </c>
      <c r="N1126">
        <v>51.1</v>
      </c>
      <c r="O1126">
        <v>48.9</v>
      </c>
      <c r="P1126">
        <v>45.2</v>
      </c>
      <c r="Q1126">
        <v>54.8</v>
      </c>
    </row>
    <row r="1127" spans="1:17" x14ac:dyDescent="0.25">
      <c r="A1127" s="2">
        <v>45321</v>
      </c>
      <c r="B1127" s="2" t="str">
        <f t="shared" si="34"/>
        <v>Tuesday</v>
      </c>
      <c r="C1127" s="2" t="b">
        <f t="shared" si="35"/>
        <v>0</v>
      </c>
      <c r="D1127">
        <v>2</v>
      </c>
      <c r="E1127" t="s">
        <v>6</v>
      </c>
      <c r="F1127">
        <v>182</v>
      </c>
      <c r="G1127" s="3">
        <v>3122.1</v>
      </c>
      <c r="H1127" s="3">
        <f>Miami_Retail[[#This Row],[sales_usd]] / Miami_Retail[[#This Row],[customers]]</f>
        <v>17.154395604395603</v>
      </c>
      <c r="I1127">
        <v>69.400000000000006</v>
      </c>
      <c r="J1127">
        <f>(Miami_Retail[[#This Row],[avg_temp_f]]-32) * (5/9)</f>
        <v>20.777777777777782</v>
      </c>
      <c r="K1127">
        <v>1.26</v>
      </c>
      <c r="L1127">
        <v>1</v>
      </c>
      <c r="M1127">
        <v>35</v>
      </c>
      <c r="N1127">
        <v>50.8</v>
      </c>
      <c r="O1127">
        <v>49.2</v>
      </c>
      <c r="P1127">
        <v>45.9</v>
      </c>
      <c r="Q1127">
        <v>54.1</v>
      </c>
    </row>
    <row r="1128" spans="1:17" x14ac:dyDescent="0.25">
      <c r="A1128" s="2">
        <v>45322</v>
      </c>
      <c r="B1128" s="2" t="str">
        <f t="shared" si="34"/>
        <v>Wednesday</v>
      </c>
      <c r="C1128" s="2" t="b">
        <f t="shared" si="35"/>
        <v>0</v>
      </c>
      <c r="D1128">
        <v>2</v>
      </c>
      <c r="E1128" t="s">
        <v>6</v>
      </c>
      <c r="F1128">
        <v>195</v>
      </c>
      <c r="G1128" s="3">
        <v>3026.52</v>
      </c>
      <c r="H1128" s="3">
        <f>Miami_Retail[[#This Row],[sales_usd]] / Miami_Retail[[#This Row],[customers]]</f>
        <v>15.520615384615384</v>
      </c>
      <c r="I1128">
        <v>71.900000000000006</v>
      </c>
      <c r="J1128">
        <f>(Miami_Retail[[#This Row],[avg_temp_f]]-32) * (5/9)</f>
        <v>22.166666666666671</v>
      </c>
      <c r="K1128">
        <v>0.86</v>
      </c>
      <c r="L1128">
        <v>1</v>
      </c>
      <c r="M1128">
        <v>43</v>
      </c>
      <c r="N1128">
        <v>51</v>
      </c>
      <c r="O1128">
        <v>49</v>
      </c>
      <c r="P1128">
        <v>46.5</v>
      </c>
      <c r="Q1128">
        <v>53.5</v>
      </c>
    </row>
    <row r="1129" spans="1:17" x14ac:dyDescent="0.25">
      <c r="A1129" s="2">
        <v>45323</v>
      </c>
      <c r="B1129" s="2" t="str">
        <f t="shared" si="34"/>
        <v>Thursday</v>
      </c>
      <c r="C1129" s="2" t="b">
        <f t="shared" si="35"/>
        <v>0</v>
      </c>
      <c r="D1129">
        <v>2</v>
      </c>
      <c r="E1129" t="s">
        <v>6</v>
      </c>
      <c r="F1129">
        <v>206</v>
      </c>
      <c r="G1129" s="3">
        <v>3723.37</v>
      </c>
      <c r="H1129" s="3">
        <f>Miami_Retail[[#This Row],[sales_usd]] / Miami_Retail[[#This Row],[customers]]</f>
        <v>18.074611650485437</v>
      </c>
      <c r="I1129">
        <v>67</v>
      </c>
      <c r="J1129">
        <f>(Miami_Retail[[#This Row],[avg_temp_f]]-32) * (5/9)</f>
        <v>19.444444444444446</v>
      </c>
      <c r="K1129">
        <v>0</v>
      </c>
      <c r="L1129">
        <v>0</v>
      </c>
      <c r="M1129">
        <v>49.1</v>
      </c>
      <c r="N1129">
        <v>50.5</v>
      </c>
      <c r="O1129">
        <v>49.5</v>
      </c>
      <c r="P1129">
        <v>45.4</v>
      </c>
      <c r="Q1129">
        <v>54.6</v>
      </c>
    </row>
    <row r="1130" spans="1:17" x14ac:dyDescent="0.25">
      <c r="A1130" s="2">
        <v>45324</v>
      </c>
      <c r="B1130" s="2" t="str">
        <f t="shared" si="34"/>
        <v>Friday</v>
      </c>
      <c r="C1130" s="2" t="b">
        <f t="shared" si="35"/>
        <v>0</v>
      </c>
      <c r="D1130">
        <v>2</v>
      </c>
      <c r="E1130" t="s">
        <v>6</v>
      </c>
      <c r="F1130">
        <v>194</v>
      </c>
      <c r="G1130" s="3">
        <v>3241.66</v>
      </c>
      <c r="H1130" s="3">
        <f>Miami_Retail[[#This Row],[sales_usd]] / Miami_Retail[[#This Row],[customers]]</f>
        <v>16.709587628865979</v>
      </c>
      <c r="I1130">
        <v>69</v>
      </c>
      <c r="J1130">
        <f>(Miami_Retail[[#This Row],[avg_temp_f]]-32) * (5/9)</f>
        <v>20.555555555555557</v>
      </c>
      <c r="K1130">
        <v>0</v>
      </c>
      <c r="L1130">
        <v>0</v>
      </c>
      <c r="M1130">
        <v>44.2</v>
      </c>
      <c r="N1130">
        <v>51.2</v>
      </c>
      <c r="O1130">
        <v>48.8</v>
      </c>
      <c r="P1130">
        <v>43.2</v>
      </c>
      <c r="Q1130">
        <v>56.8</v>
      </c>
    </row>
    <row r="1131" spans="1:17" x14ac:dyDescent="0.25">
      <c r="A1131" s="2">
        <v>45325</v>
      </c>
      <c r="B1131" s="2" t="str">
        <f t="shared" si="34"/>
        <v>Saturday</v>
      </c>
      <c r="C1131" s="2" t="b">
        <f t="shared" si="35"/>
        <v>1</v>
      </c>
      <c r="D1131">
        <v>2</v>
      </c>
      <c r="E1131" t="s">
        <v>6</v>
      </c>
      <c r="F1131">
        <v>241</v>
      </c>
      <c r="G1131" s="3">
        <v>4130.21</v>
      </c>
      <c r="H1131" s="3">
        <f>Miami_Retail[[#This Row],[sales_usd]] / Miami_Retail[[#This Row],[customers]]</f>
        <v>17.13780082987552</v>
      </c>
      <c r="I1131">
        <v>67.900000000000006</v>
      </c>
      <c r="J1131">
        <f>(Miami_Retail[[#This Row],[avg_temp_f]]-32) * (5/9)</f>
        <v>19.94444444444445</v>
      </c>
      <c r="K1131">
        <v>0</v>
      </c>
      <c r="L1131">
        <v>0</v>
      </c>
      <c r="M1131">
        <v>37.299999999999997</v>
      </c>
      <c r="N1131">
        <v>50.4</v>
      </c>
      <c r="O1131">
        <v>49.6</v>
      </c>
      <c r="P1131">
        <v>50.7</v>
      </c>
      <c r="Q1131">
        <v>49.3</v>
      </c>
    </row>
    <row r="1132" spans="1:17" x14ac:dyDescent="0.25">
      <c r="A1132" s="2">
        <v>45326</v>
      </c>
      <c r="B1132" s="2" t="str">
        <f t="shared" si="34"/>
        <v>Sunday</v>
      </c>
      <c r="C1132" s="2" t="b">
        <f t="shared" si="35"/>
        <v>1</v>
      </c>
      <c r="D1132">
        <v>2</v>
      </c>
      <c r="E1132" t="s">
        <v>6</v>
      </c>
      <c r="F1132">
        <v>202</v>
      </c>
      <c r="G1132" s="3">
        <v>3683.33</v>
      </c>
      <c r="H1132" s="3">
        <f>Miami_Retail[[#This Row],[sales_usd]] / Miami_Retail[[#This Row],[customers]]</f>
        <v>18.234306930693069</v>
      </c>
      <c r="I1132">
        <v>66.2</v>
      </c>
      <c r="J1132">
        <f>(Miami_Retail[[#This Row],[avg_temp_f]]-32) * (5/9)</f>
        <v>19.000000000000004</v>
      </c>
      <c r="K1132">
        <v>1.5</v>
      </c>
      <c r="L1132">
        <v>1</v>
      </c>
      <c r="M1132">
        <v>35</v>
      </c>
      <c r="N1132">
        <v>50.7</v>
      </c>
      <c r="O1132">
        <v>49.3</v>
      </c>
      <c r="P1132">
        <v>51.6</v>
      </c>
      <c r="Q1132">
        <v>48.4</v>
      </c>
    </row>
    <row r="1133" spans="1:17" x14ac:dyDescent="0.25">
      <c r="A1133" s="2">
        <v>45327</v>
      </c>
      <c r="B1133" s="2" t="str">
        <f t="shared" si="34"/>
        <v>Monday</v>
      </c>
      <c r="C1133" s="2" t="b">
        <f t="shared" si="35"/>
        <v>0</v>
      </c>
      <c r="D1133">
        <v>2</v>
      </c>
      <c r="E1133" t="s">
        <v>6</v>
      </c>
      <c r="F1133">
        <v>184</v>
      </c>
      <c r="G1133" s="3">
        <v>3211.8</v>
      </c>
      <c r="H1133" s="3">
        <f>Miami_Retail[[#This Row],[sales_usd]] / Miami_Retail[[#This Row],[customers]]</f>
        <v>17.455434782608698</v>
      </c>
      <c r="I1133">
        <v>67.599999999999994</v>
      </c>
      <c r="J1133">
        <f>(Miami_Retail[[#This Row],[avg_temp_f]]-32) * (5/9)</f>
        <v>19.777777777777775</v>
      </c>
      <c r="K1133">
        <v>0</v>
      </c>
      <c r="L1133">
        <v>0</v>
      </c>
      <c r="M1133">
        <v>39.9</v>
      </c>
      <c r="N1133">
        <v>51.2</v>
      </c>
      <c r="O1133">
        <v>48.8</v>
      </c>
      <c r="P1133">
        <v>45.5</v>
      </c>
      <c r="Q1133">
        <v>54.5</v>
      </c>
    </row>
    <row r="1134" spans="1:17" x14ac:dyDescent="0.25">
      <c r="A1134" s="2">
        <v>45328</v>
      </c>
      <c r="B1134" s="2" t="str">
        <f t="shared" si="34"/>
        <v>Tuesday</v>
      </c>
      <c r="C1134" s="2" t="b">
        <f t="shared" si="35"/>
        <v>0</v>
      </c>
      <c r="D1134">
        <v>2</v>
      </c>
      <c r="E1134" t="s">
        <v>6</v>
      </c>
      <c r="F1134">
        <v>210</v>
      </c>
      <c r="G1134" s="3">
        <v>3714.25</v>
      </c>
      <c r="H1134" s="3">
        <f>Miami_Retail[[#This Row],[sales_usd]] / Miami_Retail[[#This Row],[customers]]</f>
        <v>17.686904761904763</v>
      </c>
      <c r="I1134">
        <v>71.099999999999994</v>
      </c>
      <c r="J1134">
        <f>(Miami_Retail[[#This Row],[avg_temp_f]]-32) * (5/9)</f>
        <v>21.722222222222221</v>
      </c>
      <c r="K1134">
        <v>0</v>
      </c>
      <c r="L1134">
        <v>0</v>
      </c>
      <c r="M1134">
        <v>45.6</v>
      </c>
      <c r="N1134">
        <v>49.4</v>
      </c>
      <c r="O1134">
        <v>50.6</v>
      </c>
      <c r="P1134">
        <v>44.8</v>
      </c>
      <c r="Q1134">
        <v>55.2</v>
      </c>
    </row>
    <row r="1135" spans="1:17" x14ac:dyDescent="0.25">
      <c r="A1135" s="2">
        <v>45329</v>
      </c>
      <c r="B1135" s="2" t="str">
        <f t="shared" si="34"/>
        <v>Wednesday</v>
      </c>
      <c r="C1135" s="2" t="b">
        <f t="shared" si="35"/>
        <v>0</v>
      </c>
      <c r="D1135">
        <v>2</v>
      </c>
      <c r="E1135" t="s">
        <v>6</v>
      </c>
      <c r="F1135">
        <v>221</v>
      </c>
      <c r="G1135" s="3">
        <v>3918.21</v>
      </c>
      <c r="H1135" s="3">
        <f>Miami_Retail[[#This Row],[sales_usd]] / Miami_Retail[[#This Row],[customers]]</f>
        <v>17.72945701357466</v>
      </c>
      <c r="I1135">
        <v>70.900000000000006</v>
      </c>
      <c r="J1135">
        <f>(Miami_Retail[[#This Row],[avg_temp_f]]-32) * (5/9)</f>
        <v>21.611111111111114</v>
      </c>
      <c r="K1135">
        <v>0</v>
      </c>
      <c r="L1135">
        <v>0</v>
      </c>
      <c r="M1135">
        <v>39.6</v>
      </c>
      <c r="N1135">
        <v>49.7</v>
      </c>
      <c r="O1135">
        <v>50.3</v>
      </c>
      <c r="P1135">
        <v>46</v>
      </c>
      <c r="Q1135">
        <v>54</v>
      </c>
    </row>
    <row r="1136" spans="1:17" x14ac:dyDescent="0.25">
      <c r="A1136" s="2">
        <v>45330</v>
      </c>
      <c r="B1136" s="2" t="str">
        <f t="shared" si="34"/>
        <v>Thursday</v>
      </c>
      <c r="C1136" s="2" t="b">
        <f t="shared" si="35"/>
        <v>0</v>
      </c>
      <c r="D1136">
        <v>2</v>
      </c>
      <c r="E1136" t="s">
        <v>6</v>
      </c>
      <c r="F1136">
        <v>228</v>
      </c>
      <c r="G1136" s="3">
        <v>3807.93</v>
      </c>
      <c r="H1136" s="3">
        <f>Miami_Retail[[#This Row],[sales_usd]] / Miami_Retail[[#This Row],[customers]]</f>
        <v>16.701447368421054</v>
      </c>
      <c r="I1136">
        <v>68.099999999999994</v>
      </c>
      <c r="J1136">
        <f>(Miami_Retail[[#This Row],[avg_temp_f]]-32) * (5/9)</f>
        <v>20.055555555555554</v>
      </c>
      <c r="K1136">
        <v>0</v>
      </c>
      <c r="L1136">
        <v>0</v>
      </c>
      <c r="M1136">
        <v>39.799999999999997</v>
      </c>
      <c r="N1136">
        <v>48.7</v>
      </c>
      <c r="O1136">
        <v>51.3</v>
      </c>
      <c r="P1136">
        <v>46</v>
      </c>
      <c r="Q1136">
        <v>54</v>
      </c>
    </row>
    <row r="1137" spans="1:17" x14ac:dyDescent="0.25">
      <c r="A1137" s="2">
        <v>45331</v>
      </c>
      <c r="B1137" s="2" t="str">
        <f t="shared" si="34"/>
        <v>Friday</v>
      </c>
      <c r="C1137" s="2" t="b">
        <f t="shared" si="35"/>
        <v>0</v>
      </c>
      <c r="D1137">
        <v>2</v>
      </c>
      <c r="E1137" t="s">
        <v>6</v>
      </c>
      <c r="F1137">
        <v>204</v>
      </c>
      <c r="G1137" s="3">
        <v>3502.06</v>
      </c>
      <c r="H1137" s="3">
        <f>Miami_Retail[[#This Row],[sales_usd]] / Miami_Retail[[#This Row],[customers]]</f>
        <v>17.166960784313726</v>
      </c>
      <c r="I1137">
        <v>74.900000000000006</v>
      </c>
      <c r="J1137">
        <f>(Miami_Retail[[#This Row],[avg_temp_f]]-32) * (5/9)</f>
        <v>23.833333333333339</v>
      </c>
      <c r="K1137">
        <v>1.19</v>
      </c>
      <c r="L1137">
        <v>1</v>
      </c>
      <c r="M1137">
        <v>35</v>
      </c>
      <c r="N1137">
        <v>50.9</v>
      </c>
      <c r="O1137">
        <v>49.1</v>
      </c>
      <c r="P1137">
        <v>46.9</v>
      </c>
      <c r="Q1137">
        <v>53.1</v>
      </c>
    </row>
    <row r="1138" spans="1:17" x14ac:dyDescent="0.25">
      <c r="A1138" s="2">
        <v>45332</v>
      </c>
      <c r="B1138" s="2" t="str">
        <f t="shared" si="34"/>
        <v>Saturday</v>
      </c>
      <c r="C1138" s="2" t="b">
        <f t="shared" si="35"/>
        <v>1</v>
      </c>
      <c r="D1138">
        <v>2</v>
      </c>
      <c r="E1138" t="s">
        <v>6</v>
      </c>
      <c r="F1138">
        <v>227</v>
      </c>
      <c r="G1138" s="3">
        <v>3678.08</v>
      </c>
      <c r="H1138" s="3">
        <f>Miami_Retail[[#This Row],[sales_usd]] / Miami_Retail[[#This Row],[customers]]</f>
        <v>16.202995594713656</v>
      </c>
      <c r="I1138">
        <v>65.2</v>
      </c>
      <c r="J1138">
        <f>(Miami_Retail[[#This Row],[avg_temp_f]]-32) * (5/9)</f>
        <v>18.444444444444446</v>
      </c>
      <c r="K1138">
        <v>0</v>
      </c>
      <c r="L1138">
        <v>0</v>
      </c>
      <c r="M1138">
        <v>35</v>
      </c>
      <c r="N1138">
        <v>49.1</v>
      </c>
      <c r="O1138">
        <v>50.9</v>
      </c>
      <c r="P1138">
        <v>52.5</v>
      </c>
      <c r="Q1138">
        <v>47.5</v>
      </c>
    </row>
    <row r="1139" spans="1:17" x14ac:dyDescent="0.25">
      <c r="A1139" s="2">
        <v>45333</v>
      </c>
      <c r="B1139" s="2" t="str">
        <f t="shared" si="34"/>
        <v>Sunday</v>
      </c>
      <c r="C1139" s="2" t="b">
        <f t="shared" si="35"/>
        <v>1</v>
      </c>
      <c r="D1139">
        <v>2</v>
      </c>
      <c r="E1139" t="s">
        <v>6</v>
      </c>
      <c r="F1139">
        <v>226</v>
      </c>
      <c r="G1139" s="3">
        <v>3540.74</v>
      </c>
      <c r="H1139" s="3">
        <f>Miami_Retail[[#This Row],[sales_usd]] / Miami_Retail[[#This Row],[customers]]</f>
        <v>15.666991150442477</v>
      </c>
      <c r="I1139">
        <v>70.400000000000006</v>
      </c>
      <c r="J1139">
        <f>(Miami_Retail[[#This Row],[avg_temp_f]]-32) * (5/9)</f>
        <v>21.333333333333336</v>
      </c>
      <c r="K1139">
        <v>0</v>
      </c>
      <c r="L1139">
        <v>0</v>
      </c>
      <c r="M1139">
        <v>42.1</v>
      </c>
      <c r="N1139">
        <v>51.2</v>
      </c>
      <c r="O1139">
        <v>48.8</v>
      </c>
      <c r="P1139">
        <v>51.2</v>
      </c>
      <c r="Q1139">
        <v>48.8</v>
      </c>
    </row>
    <row r="1140" spans="1:17" x14ac:dyDescent="0.25">
      <c r="A1140" s="2">
        <v>45334</v>
      </c>
      <c r="B1140" s="2" t="str">
        <f t="shared" si="34"/>
        <v>Monday</v>
      </c>
      <c r="C1140" s="2" t="b">
        <f t="shared" si="35"/>
        <v>0</v>
      </c>
      <c r="D1140">
        <v>2</v>
      </c>
      <c r="E1140" t="s">
        <v>6</v>
      </c>
      <c r="F1140">
        <v>206</v>
      </c>
      <c r="G1140" s="3">
        <v>3492.41</v>
      </c>
      <c r="H1140" s="3">
        <f>Miami_Retail[[#This Row],[sales_usd]] / Miami_Retail[[#This Row],[customers]]</f>
        <v>16.953446601941746</v>
      </c>
      <c r="I1140">
        <v>68</v>
      </c>
      <c r="J1140">
        <f>(Miami_Retail[[#This Row],[avg_temp_f]]-32) * (5/9)</f>
        <v>20</v>
      </c>
      <c r="K1140">
        <v>0</v>
      </c>
      <c r="L1140">
        <v>0</v>
      </c>
      <c r="M1140">
        <v>47.9</v>
      </c>
      <c r="N1140">
        <v>51.3</v>
      </c>
      <c r="O1140">
        <v>48.7</v>
      </c>
      <c r="P1140">
        <v>46.9</v>
      </c>
      <c r="Q1140">
        <v>53.1</v>
      </c>
    </row>
    <row r="1141" spans="1:17" x14ac:dyDescent="0.25">
      <c r="A1141" s="2">
        <v>45335</v>
      </c>
      <c r="B1141" s="2" t="str">
        <f t="shared" si="34"/>
        <v>Tuesday</v>
      </c>
      <c r="C1141" s="2" t="b">
        <f t="shared" si="35"/>
        <v>0</v>
      </c>
      <c r="D1141">
        <v>2</v>
      </c>
      <c r="E1141" t="s">
        <v>6</v>
      </c>
      <c r="F1141">
        <v>222</v>
      </c>
      <c r="G1141" s="3">
        <v>3969.99</v>
      </c>
      <c r="H1141" s="3">
        <f>Miami_Retail[[#This Row],[sales_usd]] / Miami_Retail[[#This Row],[customers]]</f>
        <v>17.882837837837837</v>
      </c>
      <c r="I1141">
        <v>63.6</v>
      </c>
      <c r="J1141">
        <f>(Miami_Retail[[#This Row],[avg_temp_f]]-32) * (5/9)</f>
        <v>17.555555555555557</v>
      </c>
      <c r="K1141">
        <v>0</v>
      </c>
      <c r="L1141">
        <v>0</v>
      </c>
      <c r="M1141">
        <v>47.8</v>
      </c>
      <c r="N1141">
        <v>51.9</v>
      </c>
      <c r="O1141">
        <v>48.1</v>
      </c>
      <c r="P1141">
        <v>46.1</v>
      </c>
      <c r="Q1141">
        <v>53.9</v>
      </c>
    </row>
    <row r="1142" spans="1:17" x14ac:dyDescent="0.25">
      <c r="A1142" s="2">
        <v>45336</v>
      </c>
      <c r="B1142" s="2" t="str">
        <f t="shared" si="34"/>
        <v>Wednesday</v>
      </c>
      <c r="C1142" s="2" t="b">
        <f t="shared" si="35"/>
        <v>0</v>
      </c>
      <c r="D1142">
        <v>2</v>
      </c>
      <c r="E1142" t="s">
        <v>6</v>
      </c>
      <c r="F1142">
        <v>197</v>
      </c>
      <c r="G1142" s="3">
        <v>3147.01</v>
      </c>
      <c r="H1142" s="3">
        <f>Miami_Retail[[#This Row],[sales_usd]] / Miami_Retail[[#This Row],[customers]]</f>
        <v>15.974670050761423</v>
      </c>
      <c r="I1142">
        <v>67.8</v>
      </c>
      <c r="J1142">
        <f>(Miami_Retail[[#This Row],[avg_temp_f]]-32) * (5/9)</f>
        <v>19.888888888888889</v>
      </c>
      <c r="K1142">
        <v>0</v>
      </c>
      <c r="L1142">
        <v>0</v>
      </c>
      <c r="M1142">
        <v>35</v>
      </c>
      <c r="N1142">
        <v>52.2</v>
      </c>
      <c r="O1142">
        <v>47.8</v>
      </c>
      <c r="P1142">
        <v>47.5</v>
      </c>
      <c r="Q1142">
        <v>52.5</v>
      </c>
    </row>
    <row r="1143" spans="1:17" x14ac:dyDescent="0.25">
      <c r="A1143" s="2">
        <v>45337</v>
      </c>
      <c r="B1143" s="2" t="str">
        <f t="shared" si="34"/>
        <v>Thursday</v>
      </c>
      <c r="C1143" s="2" t="b">
        <f t="shared" si="35"/>
        <v>0</v>
      </c>
      <c r="D1143">
        <v>2</v>
      </c>
      <c r="E1143" t="s">
        <v>6</v>
      </c>
      <c r="F1143">
        <v>206</v>
      </c>
      <c r="G1143" s="3">
        <v>3612.83</v>
      </c>
      <c r="H1143" s="3">
        <f>Miami_Retail[[#This Row],[sales_usd]] / Miami_Retail[[#This Row],[customers]]</f>
        <v>17.538009708737864</v>
      </c>
      <c r="I1143">
        <v>68.3</v>
      </c>
      <c r="J1143">
        <f>(Miami_Retail[[#This Row],[avg_temp_f]]-32) * (5/9)</f>
        <v>20.166666666666664</v>
      </c>
      <c r="K1143">
        <v>0</v>
      </c>
      <c r="L1143">
        <v>0</v>
      </c>
      <c r="M1143">
        <v>41.8</v>
      </c>
      <c r="N1143">
        <v>50.5</v>
      </c>
      <c r="O1143">
        <v>49.5</v>
      </c>
      <c r="P1143">
        <v>47.9</v>
      </c>
      <c r="Q1143">
        <v>52.1</v>
      </c>
    </row>
    <row r="1144" spans="1:17" x14ac:dyDescent="0.25">
      <c r="A1144" s="2">
        <v>45338</v>
      </c>
      <c r="B1144" s="2" t="str">
        <f t="shared" si="34"/>
        <v>Friday</v>
      </c>
      <c r="C1144" s="2" t="b">
        <f t="shared" si="35"/>
        <v>0</v>
      </c>
      <c r="D1144">
        <v>2</v>
      </c>
      <c r="E1144" t="s">
        <v>6</v>
      </c>
      <c r="F1144">
        <v>215</v>
      </c>
      <c r="G1144" s="3">
        <v>3559.9</v>
      </c>
      <c r="H1144" s="3">
        <f>Miami_Retail[[#This Row],[sales_usd]] / Miami_Retail[[#This Row],[customers]]</f>
        <v>16.557674418604652</v>
      </c>
      <c r="I1144">
        <v>66.8</v>
      </c>
      <c r="J1144">
        <f>(Miami_Retail[[#This Row],[avg_temp_f]]-32) * (5/9)</f>
        <v>19.333333333333332</v>
      </c>
      <c r="K1144">
        <v>0</v>
      </c>
      <c r="L1144">
        <v>0</v>
      </c>
      <c r="M1144">
        <v>35.799999999999997</v>
      </c>
      <c r="N1144">
        <v>50.4</v>
      </c>
      <c r="O1144">
        <v>49.6</v>
      </c>
      <c r="P1144">
        <v>46.6</v>
      </c>
      <c r="Q1144">
        <v>53.4</v>
      </c>
    </row>
    <row r="1145" spans="1:17" x14ac:dyDescent="0.25">
      <c r="A1145" s="2">
        <v>45339</v>
      </c>
      <c r="B1145" s="2" t="str">
        <f t="shared" si="34"/>
        <v>Saturday</v>
      </c>
      <c r="C1145" s="2" t="b">
        <f t="shared" si="35"/>
        <v>1</v>
      </c>
      <c r="D1145">
        <v>2</v>
      </c>
      <c r="E1145" t="s">
        <v>6</v>
      </c>
      <c r="F1145">
        <v>203</v>
      </c>
      <c r="G1145" s="3">
        <v>3169.33</v>
      </c>
      <c r="H1145" s="3">
        <f>Miami_Retail[[#This Row],[sales_usd]] / Miami_Retail[[#This Row],[customers]]</f>
        <v>15.612463054187192</v>
      </c>
      <c r="I1145">
        <v>71.7</v>
      </c>
      <c r="J1145">
        <f>(Miami_Retail[[#This Row],[avg_temp_f]]-32) * (5/9)</f>
        <v>22.055555555555557</v>
      </c>
      <c r="K1145">
        <v>0</v>
      </c>
      <c r="L1145">
        <v>0</v>
      </c>
      <c r="M1145">
        <v>35</v>
      </c>
      <c r="N1145">
        <v>51.7</v>
      </c>
      <c r="O1145">
        <v>48.3</v>
      </c>
      <c r="P1145">
        <v>52.5</v>
      </c>
      <c r="Q1145">
        <v>47.5</v>
      </c>
    </row>
    <row r="1146" spans="1:17" x14ac:dyDescent="0.25">
      <c r="A1146" s="2">
        <v>45340</v>
      </c>
      <c r="B1146" s="2" t="str">
        <f t="shared" si="34"/>
        <v>Sunday</v>
      </c>
      <c r="C1146" s="2" t="b">
        <f t="shared" si="35"/>
        <v>1</v>
      </c>
      <c r="D1146">
        <v>2</v>
      </c>
      <c r="E1146" t="s">
        <v>6</v>
      </c>
      <c r="F1146">
        <v>202</v>
      </c>
      <c r="G1146" s="3">
        <v>3149.61</v>
      </c>
      <c r="H1146" s="3">
        <f>Miami_Retail[[#This Row],[sales_usd]] / Miami_Retail[[#This Row],[customers]]</f>
        <v>15.592128712871288</v>
      </c>
      <c r="I1146">
        <v>64</v>
      </c>
      <c r="J1146">
        <f>(Miami_Retail[[#This Row],[avg_temp_f]]-32) * (5/9)</f>
        <v>17.777777777777779</v>
      </c>
      <c r="K1146">
        <v>0.79</v>
      </c>
      <c r="L1146">
        <v>1</v>
      </c>
      <c r="M1146">
        <v>38.799999999999997</v>
      </c>
      <c r="N1146">
        <v>51.7</v>
      </c>
      <c r="O1146">
        <v>48.3</v>
      </c>
      <c r="P1146">
        <v>53.1</v>
      </c>
      <c r="Q1146">
        <v>46.9</v>
      </c>
    </row>
    <row r="1147" spans="1:17" x14ac:dyDescent="0.25">
      <c r="A1147" s="2">
        <v>45341</v>
      </c>
      <c r="B1147" s="2" t="str">
        <f t="shared" si="34"/>
        <v>Monday</v>
      </c>
      <c r="C1147" s="2" t="b">
        <f t="shared" si="35"/>
        <v>0</v>
      </c>
      <c r="D1147">
        <v>2</v>
      </c>
      <c r="E1147" t="s">
        <v>6</v>
      </c>
      <c r="F1147">
        <v>228</v>
      </c>
      <c r="G1147" s="3">
        <v>3672.51</v>
      </c>
      <c r="H1147" s="3">
        <f>Miami_Retail[[#This Row],[sales_usd]] / Miami_Retail[[#This Row],[customers]]</f>
        <v>16.107500000000002</v>
      </c>
      <c r="I1147">
        <v>66</v>
      </c>
      <c r="J1147">
        <f>(Miami_Retail[[#This Row],[avg_temp_f]]-32) * (5/9)</f>
        <v>18.888888888888889</v>
      </c>
      <c r="K1147">
        <v>0</v>
      </c>
      <c r="L1147">
        <v>0</v>
      </c>
      <c r="M1147">
        <v>44.6</v>
      </c>
      <c r="N1147">
        <v>51.6</v>
      </c>
      <c r="O1147">
        <v>48.4</v>
      </c>
      <c r="P1147">
        <v>47.3</v>
      </c>
      <c r="Q1147">
        <v>52.7</v>
      </c>
    </row>
    <row r="1148" spans="1:17" x14ac:dyDescent="0.25">
      <c r="A1148" s="2">
        <v>45342</v>
      </c>
      <c r="B1148" s="2" t="str">
        <f t="shared" si="34"/>
        <v>Tuesday</v>
      </c>
      <c r="C1148" s="2" t="b">
        <f t="shared" si="35"/>
        <v>0</v>
      </c>
      <c r="D1148">
        <v>2</v>
      </c>
      <c r="E1148" t="s">
        <v>6</v>
      </c>
      <c r="F1148">
        <v>186</v>
      </c>
      <c r="G1148" s="3">
        <v>3584.93</v>
      </c>
      <c r="H1148" s="3">
        <f>Miami_Retail[[#This Row],[sales_usd]] / Miami_Retail[[#This Row],[customers]]</f>
        <v>19.273817204301075</v>
      </c>
      <c r="I1148">
        <v>69.8</v>
      </c>
      <c r="J1148">
        <f>(Miami_Retail[[#This Row],[avg_temp_f]]-32) * (5/9)</f>
        <v>21</v>
      </c>
      <c r="K1148">
        <v>0</v>
      </c>
      <c r="L1148">
        <v>0</v>
      </c>
      <c r="M1148">
        <v>37.700000000000003</v>
      </c>
      <c r="N1148">
        <v>51.1</v>
      </c>
      <c r="O1148">
        <v>48.9</v>
      </c>
      <c r="P1148">
        <v>46.4</v>
      </c>
      <c r="Q1148">
        <v>53.6</v>
      </c>
    </row>
    <row r="1149" spans="1:17" x14ac:dyDescent="0.25">
      <c r="A1149" s="2">
        <v>45343</v>
      </c>
      <c r="B1149" s="2" t="str">
        <f t="shared" si="34"/>
        <v>Wednesday</v>
      </c>
      <c r="C1149" s="2" t="b">
        <f t="shared" si="35"/>
        <v>0</v>
      </c>
      <c r="D1149">
        <v>2</v>
      </c>
      <c r="E1149" t="s">
        <v>6</v>
      </c>
      <c r="F1149">
        <v>185</v>
      </c>
      <c r="G1149" s="3">
        <v>3131.23</v>
      </c>
      <c r="H1149" s="3">
        <f>Miami_Retail[[#This Row],[sales_usd]] / Miami_Retail[[#This Row],[customers]]</f>
        <v>16.925567567567569</v>
      </c>
      <c r="I1149">
        <v>70.900000000000006</v>
      </c>
      <c r="J1149">
        <f>(Miami_Retail[[#This Row],[avg_temp_f]]-32) * (5/9)</f>
        <v>21.611111111111114</v>
      </c>
      <c r="K1149">
        <v>0</v>
      </c>
      <c r="L1149">
        <v>0</v>
      </c>
      <c r="M1149">
        <v>36.700000000000003</v>
      </c>
      <c r="N1149">
        <v>52.4</v>
      </c>
      <c r="O1149">
        <v>47.6</v>
      </c>
      <c r="P1149">
        <v>47.2</v>
      </c>
      <c r="Q1149">
        <v>52.8</v>
      </c>
    </row>
    <row r="1150" spans="1:17" x14ac:dyDescent="0.25">
      <c r="A1150" s="2">
        <v>45344</v>
      </c>
      <c r="B1150" s="2" t="str">
        <f t="shared" si="34"/>
        <v>Thursday</v>
      </c>
      <c r="C1150" s="2" t="b">
        <f t="shared" si="35"/>
        <v>0</v>
      </c>
      <c r="D1150">
        <v>2</v>
      </c>
      <c r="E1150" t="s">
        <v>6</v>
      </c>
      <c r="F1150">
        <v>189</v>
      </c>
      <c r="G1150" s="3">
        <v>3278.23</v>
      </c>
      <c r="H1150" s="3">
        <f>Miami_Retail[[#This Row],[sales_usd]] / Miami_Retail[[#This Row],[customers]]</f>
        <v>17.345132275132276</v>
      </c>
      <c r="I1150">
        <v>72</v>
      </c>
      <c r="J1150">
        <f>(Miami_Retail[[#This Row],[avg_temp_f]]-32) * (5/9)</f>
        <v>22.222222222222221</v>
      </c>
      <c r="K1150">
        <v>0</v>
      </c>
      <c r="L1150">
        <v>0</v>
      </c>
      <c r="M1150">
        <v>36.9</v>
      </c>
      <c r="N1150">
        <v>50.5</v>
      </c>
      <c r="O1150">
        <v>49.5</v>
      </c>
      <c r="P1150">
        <v>47.7</v>
      </c>
      <c r="Q1150">
        <v>52.3</v>
      </c>
    </row>
    <row r="1151" spans="1:17" x14ac:dyDescent="0.25">
      <c r="A1151" s="2">
        <v>45345</v>
      </c>
      <c r="B1151" s="2" t="str">
        <f t="shared" si="34"/>
        <v>Friday</v>
      </c>
      <c r="C1151" s="2" t="b">
        <f t="shared" si="35"/>
        <v>0</v>
      </c>
      <c r="D1151">
        <v>2</v>
      </c>
      <c r="E1151" t="s">
        <v>6</v>
      </c>
      <c r="F1151">
        <v>175</v>
      </c>
      <c r="G1151" s="3">
        <v>2986.46</v>
      </c>
      <c r="H1151" s="3">
        <f>Miami_Retail[[#This Row],[sales_usd]] / Miami_Retail[[#This Row],[customers]]</f>
        <v>17.065485714285714</v>
      </c>
      <c r="I1151">
        <v>65.099999999999994</v>
      </c>
      <c r="J1151">
        <f>(Miami_Retail[[#This Row],[avg_temp_f]]-32) * (5/9)</f>
        <v>18.388888888888886</v>
      </c>
      <c r="K1151">
        <v>1.41</v>
      </c>
      <c r="L1151">
        <v>1</v>
      </c>
      <c r="M1151">
        <v>41.8</v>
      </c>
      <c r="N1151">
        <v>52.4</v>
      </c>
      <c r="O1151">
        <v>47.6</v>
      </c>
      <c r="P1151">
        <v>48.2</v>
      </c>
      <c r="Q1151">
        <v>51.8</v>
      </c>
    </row>
    <row r="1152" spans="1:17" x14ac:dyDescent="0.25">
      <c r="A1152" s="2">
        <v>45346</v>
      </c>
      <c r="B1152" s="2" t="str">
        <f t="shared" si="34"/>
        <v>Saturday</v>
      </c>
      <c r="C1152" s="2" t="b">
        <f t="shared" si="35"/>
        <v>1</v>
      </c>
      <c r="D1152">
        <v>2</v>
      </c>
      <c r="E1152" t="s">
        <v>6</v>
      </c>
      <c r="F1152">
        <v>213</v>
      </c>
      <c r="G1152" s="3">
        <v>3583.9</v>
      </c>
      <c r="H1152" s="3">
        <f>Miami_Retail[[#This Row],[sales_usd]] / Miami_Retail[[#This Row],[customers]]</f>
        <v>16.825821596244133</v>
      </c>
      <c r="I1152">
        <v>63.6</v>
      </c>
      <c r="J1152">
        <f>(Miami_Retail[[#This Row],[avg_temp_f]]-32) * (5/9)</f>
        <v>17.555555555555557</v>
      </c>
      <c r="K1152">
        <v>0</v>
      </c>
      <c r="L1152">
        <v>0</v>
      </c>
      <c r="M1152">
        <v>38</v>
      </c>
      <c r="N1152">
        <v>51.8</v>
      </c>
      <c r="O1152">
        <v>48.2</v>
      </c>
      <c r="P1152">
        <v>51.2</v>
      </c>
      <c r="Q1152">
        <v>48.8</v>
      </c>
    </row>
    <row r="1153" spans="1:17" x14ac:dyDescent="0.25">
      <c r="A1153" s="2">
        <v>45347</v>
      </c>
      <c r="B1153" s="2" t="str">
        <f t="shared" si="34"/>
        <v>Sunday</v>
      </c>
      <c r="C1153" s="2" t="b">
        <f t="shared" si="35"/>
        <v>1</v>
      </c>
      <c r="D1153">
        <v>2</v>
      </c>
      <c r="E1153" t="s">
        <v>6</v>
      </c>
      <c r="F1153">
        <v>238</v>
      </c>
      <c r="G1153" s="3">
        <v>4112.9799999999996</v>
      </c>
      <c r="H1153" s="3">
        <f>Miami_Retail[[#This Row],[sales_usd]] / Miami_Retail[[#This Row],[customers]]</f>
        <v>17.28142857142857</v>
      </c>
      <c r="I1153">
        <v>67</v>
      </c>
      <c r="J1153">
        <f>(Miami_Retail[[#This Row],[avg_temp_f]]-32) * (5/9)</f>
        <v>19.444444444444446</v>
      </c>
      <c r="K1153">
        <v>0</v>
      </c>
      <c r="L1153">
        <v>0</v>
      </c>
      <c r="M1153">
        <v>36.299999999999997</v>
      </c>
      <c r="N1153">
        <v>50.8</v>
      </c>
      <c r="O1153">
        <v>49.2</v>
      </c>
      <c r="P1153">
        <v>52.8</v>
      </c>
      <c r="Q1153">
        <v>47.2</v>
      </c>
    </row>
    <row r="1154" spans="1:17" x14ac:dyDescent="0.25">
      <c r="A1154" s="2">
        <v>45348</v>
      </c>
      <c r="B1154" s="2" t="str">
        <f t="shared" ref="B1154:B1217" si="36">TEXT(A1154, "dddd")</f>
        <v>Monday</v>
      </c>
      <c r="C1154" s="2" t="b">
        <f t="shared" ref="C1154:C1217" si="37">IF(WEEKDAY(A1154,2)&gt;5,TRUE,FALSE)</f>
        <v>0</v>
      </c>
      <c r="D1154">
        <v>2</v>
      </c>
      <c r="E1154" t="s">
        <v>6</v>
      </c>
      <c r="F1154">
        <v>217</v>
      </c>
      <c r="G1154" s="3">
        <v>3814.85</v>
      </c>
      <c r="H1154" s="3">
        <f>Miami_Retail[[#This Row],[sales_usd]] / Miami_Retail[[#This Row],[customers]]</f>
        <v>17.579953917050691</v>
      </c>
      <c r="I1154">
        <v>67</v>
      </c>
      <c r="J1154">
        <f>(Miami_Retail[[#This Row],[avg_temp_f]]-32) * (5/9)</f>
        <v>19.444444444444446</v>
      </c>
      <c r="K1154">
        <v>0</v>
      </c>
      <c r="L1154">
        <v>0</v>
      </c>
      <c r="M1154">
        <v>38.700000000000003</v>
      </c>
      <c r="N1154">
        <v>51.3</v>
      </c>
      <c r="O1154">
        <v>48.7</v>
      </c>
      <c r="P1154">
        <v>47.7</v>
      </c>
      <c r="Q1154">
        <v>52.3</v>
      </c>
    </row>
    <row r="1155" spans="1:17" x14ac:dyDescent="0.25">
      <c r="A1155" s="2">
        <v>45349</v>
      </c>
      <c r="B1155" s="2" t="str">
        <f t="shared" si="36"/>
        <v>Tuesday</v>
      </c>
      <c r="C1155" s="2" t="b">
        <f t="shared" si="37"/>
        <v>0</v>
      </c>
      <c r="D1155">
        <v>2</v>
      </c>
      <c r="E1155" t="s">
        <v>6</v>
      </c>
      <c r="F1155">
        <v>196</v>
      </c>
      <c r="G1155" s="3">
        <v>3659.95</v>
      </c>
      <c r="H1155" s="3">
        <f>Miami_Retail[[#This Row],[sales_usd]] / Miami_Retail[[#This Row],[customers]]</f>
        <v>18.673214285714284</v>
      </c>
      <c r="I1155">
        <v>62.5</v>
      </c>
      <c r="J1155">
        <f>(Miami_Retail[[#This Row],[avg_temp_f]]-32) * (5/9)</f>
        <v>16.944444444444446</v>
      </c>
      <c r="K1155">
        <v>0</v>
      </c>
      <c r="L1155">
        <v>0</v>
      </c>
      <c r="M1155">
        <v>39.700000000000003</v>
      </c>
      <c r="N1155">
        <v>50.6</v>
      </c>
      <c r="O1155">
        <v>49.4</v>
      </c>
      <c r="P1155">
        <v>47.7</v>
      </c>
      <c r="Q1155">
        <v>52.3</v>
      </c>
    </row>
    <row r="1156" spans="1:17" x14ac:dyDescent="0.25">
      <c r="A1156" s="2">
        <v>45350</v>
      </c>
      <c r="B1156" s="2" t="str">
        <f t="shared" si="36"/>
        <v>Wednesday</v>
      </c>
      <c r="C1156" s="2" t="b">
        <f t="shared" si="37"/>
        <v>0</v>
      </c>
      <c r="D1156">
        <v>2</v>
      </c>
      <c r="E1156" t="s">
        <v>6</v>
      </c>
      <c r="F1156">
        <v>204</v>
      </c>
      <c r="G1156" s="3">
        <v>3690.8</v>
      </c>
      <c r="H1156" s="3">
        <f>Miami_Retail[[#This Row],[sales_usd]] / Miami_Retail[[#This Row],[customers]]</f>
        <v>18.092156862745099</v>
      </c>
      <c r="I1156">
        <v>64.8</v>
      </c>
      <c r="J1156">
        <f>(Miami_Retail[[#This Row],[avg_temp_f]]-32) * (5/9)</f>
        <v>18.222222222222221</v>
      </c>
      <c r="K1156">
        <v>0</v>
      </c>
      <c r="L1156">
        <v>0</v>
      </c>
      <c r="M1156">
        <v>35</v>
      </c>
      <c r="N1156">
        <v>52</v>
      </c>
      <c r="O1156">
        <v>48</v>
      </c>
      <c r="P1156">
        <v>48.2</v>
      </c>
      <c r="Q1156">
        <v>51.8</v>
      </c>
    </row>
    <row r="1157" spans="1:17" x14ac:dyDescent="0.25">
      <c r="A1157" s="2">
        <v>45351</v>
      </c>
      <c r="B1157" s="2" t="str">
        <f t="shared" si="36"/>
        <v>Thursday</v>
      </c>
      <c r="C1157" s="2" t="b">
        <f t="shared" si="37"/>
        <v>0</v>
      </c>
      <c r="D1157">
        <v>2</v>
      </c>
      <c r="E1157" t="s">
        <v>6</v>
      </c>
      <c r="F1157">
        <v>167</v>
      </c>
      <c r="G1157" s="3">
        <v>2847.84</v>
      </c>
      <c r="H1157" s="3">
        <f>Miami_Retail[[#This Row],[sales_usd]] / Miami_Retail[[#This Row],[customers]]</f>
        <v>17.052934131736528</v>
      </c>
      <c r="I1157">
        <v>69.5</v>
      </c>
      <c r="J1157">
        <f>(Miami_Retail[[#This Row],[avg_temp_f]]-32) * (5/9)</f>
        <v>20.833333333333336</v>
      </c>
      <c r="K1157">
        <v>2.56</v>
      </c>
      <c r="L1157">
        <v>1</v>
      </c>
      <c r="M1157">
        <v>35.200000000000003</v>
      </c>
      <c r="N1157">
        <v>52</v>
      </c>
      <c r="O1157">
        <v>48</v>
      </c>
      <c r="P1157">
        <v>47.8</v>
      </c>
      <c r="Q1157">
        <v>52.2</v>
      </c>
    </row>
    <row r="1158" spans="1:17" x14ac:dyDescent="0.25">
      <c r="A1158" s="2">
        <v>45352</v>
      </c>
      <c r="B1158" s="2" t="str">
        <f t="shared" si="36"/>
        <v>Friday</v>
      </c>
      <c r="C1158" s="2" t="b">
        <f t="shared" si="37"/>
        <v>0</v>
      </c>
      <c r="D1158">
        <v>2</v>
      </c>
      <c r="E1158" t="s">
        <v>6</v>
      </c>
      <c r="F1158">
        <v>198</v>
      </c>
      <c r="G1158" s="3">
        <v>3513.15</v>
      </c>
      <c r="H1158" s="3">
        <f>Miami_Retail[[#This Row],[sales_usd]] / Miami_Retail[[#This Row],[customers]]</f>
        <v>17.743181818181817</v>
      </c>
      <c r="I1158">
        <v>64.8</v>
      </c>
      <c r="J1158">
        <f>(Miami_Retail[[#This Row],[avg_temp_f]]-32) * (5/9)</f>
        <v>18.222222222222221</v>
      </c>
      <c r="K1158">
        <v>0.15</v>
      </c>
      <c r="L1158">
        <v>1</v>
      </c>
      <c r="M1158">
        <v>37.1</v>
      </c>
      <c r="N1158">
        <v>50.9</v>
      </c>
      <c r="O1158">
        <v>49.1</v>
      </c>
      <c r="P1158">
        <v>48</v>
      </c>
      <c r="Q1158">
        <v>52</v>
      </c>
    </row>
    <row r="1159" spans="1:17" x14ac:dyDescent="0.25">
      <c r="A1159" s="2">
        <v>45353</v>
      </c>
      <c r="B1159" s="2" t="str">
        <f t="shared" si="36"/>
        <v>Saturday</v>
      </c>
      <c r="C1159" s="2" t="b">
        <f t="shared" si="37"/>
        <v>1</v>
      </c>
      <c r="D1159">
        <v>2</v>
      </c>
      <c r="E1159" t="s">
        <v>6</v>
      </c>
      <c r="F1159">
        <v>212</v>
      </c>
      <c r="G1159" s="3">
        <v>3539.09</v>
      </c>
      <c r="H1159" s="3">
        <f>Miami_Retail[[#This Row],[sales_usd]] / Miami_Retail[[#This Row],[customers]]</f>
        <v>16.693820754716981</v>
      </c>
      <c r="I1159">
        <v>63.1</v>
      </c>
      <c r="J1159">
        <f>(Miami_Retail[[#This Row],[avg_temp_f]]-32) * (5/9)</f>
        <v>17.277777777777779</v>
      </c>
      <c r="K1159">
        <v>0</v>
      </c>
      <c r="L1159">
        <v>0</v>
      </c>
      <c r="M1159">
        <v>35</v>
      </c>
      <c r="N1159">
        <v>51.1</v>
      </c>
      <c r="O1159">
        <v>48.9</v>
      </c>
      <c r="P1159">
        <v>51.8</v>
      </c>
      <c r="Q1159">
        <v>48.2</v>
      </c>
    </row>
    <row r="1160" spans="1:17" x14ac:dyDescent="0.25">
      <c r="A1160" s="2">
        <v>45354</v>
      </c>
      <c r="B1160" s="2" t="str">
        <f t="shared" si="36"/>
        <v>Sunday</v>
      </c>
      <c r="C1160" s="2" t="b">
        <f t="shared" si="37"/>
        <v>1</v>
      </c>
      <c r="D1160">
        <v>2</v>
      </c>
      <c r="E1160" t="s">
        <v>6</v>
      </c>
      <c r="F1160">
        <v>219</v>
      </c>
      <c r="G1160" s="3">
        <v>3796.29</v>
      </c>
      <c r="H1160" s="3">
        <f>Miami_Retail[[#This Row],[sales_usd]] / Miami_Retail[[#This Row],[customers]]</f>
        <v>17.334657534246574</v>
      </c>
      <c r="I1160">
        <v>63.9</v>
      </c>
      <c r="J1160">
        <f>(Miami_Retail[[#This Row],[avg_temp_f]]-32) * (5/9)</f>
        <v>17.722222222222221</v>
      </c>
      <c r="K1160">
        <v>0</v>
      </c>
      <c r="L1160">
        <v>0</v>
      </c>
      <c r="M1160">
        <v>36.200000000000003</v>
      </c>
      <c r="N1160">
        <v>51.5</v>
      </c>
      <c r="O1160">
        <v>48.5</v>
      </c>
      <c r="P1160">
        <v>51.7</v>
      </c>
      <c r="Q1160">
        <v>48.3</v>
      </c>
    </row>
    <row r="1161" spans="1:17" x14ac:dyDescent="0.25">
      <c r="A1161" s="2">
        <v>45355</v>
      </c>
      <c r="B1161" s="2" t="str">
        <f t="shared" si="36"/>
        <v>Monday</v>
      </c>
      <c r="C1161" s="2" t="b">
        <f t="shared" si="37"/>
        <v>0</v>
      </c>
      <c r="D1161">
        <v>2</v>
      </c>
      <c r="E1161" t="s">
        <v>6</v>
      </c>
      <c r="F1161">
        <v>222</v>
      </c>
      <c r="G1161" s="3">
        <v>3622.86</v>
      </c>
      <c r="H1161" s="3">
        <f>Miami_Retail[[#This Row],[sales_usd]] / Miami_Retail[[#This Row],[customers]]</f>
        <v>16.319189189189188</v>
      </c>
      <c r="I1161">
        <v>61.4</v>
      </c>
      <c r="J1161">
        <f>(Miami_Retail[[#This Row],[avg_temp_f]]-32) * (5/9)</f>
        <v>16.333333333333332</v>
      </c>
      <c r="K1161">
        <v>1.1000000000000001</v>
      </c>
      <c r="L1161">
        <v>1</v>
      </c>
      <c r="M1161">
        <v>35</v>
      </c>
      <c r="N1161">
        <v>50.5</v>
      </c>
      <c r="O1161">
        <v>49.5</v>
      </c>
      <c r="P1161">
        <v>48</v>
      </c>
      <c r="Q1161">
        <v>52</v>
      </c>
    </row>
    <row r="1162" spans="1:17" x14ac:dyDescent="0.25">
      <c r="A1162" s="2">
        <v>45356</v>
      </c>
      <c r="B1162" s="2" t="str">
        <f t="shared" si="36"/>
        <v>Tuesday</v>
      </c>
      <c r="C1162" s="2" t="b">
        <f t="shared" si="37"/>
        <v>0</v>
      </c>
      <c r="D1162">
        <v>2</v>
      </c>
      <c r="E1162" t="s">
        <v>6</v>
      </c>
      <c r="F1162">
        <v>208</v>
      </c>
      <c r="G1162" s="3">
        <v>3736.12</v>
      </c>
      <c r="H1162" s="3">
        <f>Miami_Retail[[#This Row],[sales_usd]] / Miami_Retail[[#This Row],[customers]]</f>
        <v>17.962115384615384</v>
      </c>
      <c r="I1162">
        <v>61.4</v>
      </c>
      <c r="J1162">
        <f>(Miami_Retail[[#This Row],[avg_temp_f]]-32) * (5/9)</f>
        <v>16.333333333333332</v>
      </c>
      <c r="K1162">
        <v>0</v>
      </c>
      <c r="L1162">
        <v>0</v>
      </c>
      <c r="M1162">
        <v>43</v>
      </c>
      <c r="N1162">
        <v>51.2</v>
      </c>
      <c r="O1162">
        <v>48.8</v>
      </c>
      <c r="P1162">
        <v>46.1</v>
      </c>
      <c r="Q1162">
        <v>53.9</v>
      </c>
    </row>
    <row r="1163" spans="1:17" x14ac:dyDescent="0.25">
      <c r="A1163" s="2">
        <v>45357</v>
      </c>
      <c r="B1163" s="2" t="str">
        <f t="shared" si="36"/>
        <v>Wednesday</v>
      </c>
      <c r="C1163" s="2" t="b">
        <f t="shared" si="37"/>
        <v>0</v>
      </c>
      <c r="D1163">
        <v>2</v>
      </c>
      <c r="E1163" t="s">
        <v>6</v>
      </c>
      <c r="F1163">
        <v>188</v>
      </c>
      <c r="G1163" s="3">
        <v>3050.9</v>
      </c>
      <c r="H1163" s="3">
        <f>Miami_Retail[[#This Row],[sales_usd]] / Miami_Retail[[#This Row],[customers]]</f>
        <v>16.228191489361702</v>
      </c>
      <c r="I1163">
        <v>62.7</v>
      </c>
      <c r="J1163">
        <f>(Miami_Retail[[#This Row],[avg_temp_f]]-32) * (5/9)</f>
        <v>17.055555555555557</v>
      </c>
      <c r="K1163">
        <v>0</v>
      </c>
      <c r="L1163">
        <v>0</v>
      </c>
      <c r="M1163">
        <v>36.700000000000003</v>
      </c>
      <c r="N1163">
        <v>51</v>
      </c>
      <c r="O1163">
        <v>49</v>
      </c>
      <c r="P1163">
        <v>46.2</v>
      </c>
      <c r="Q1163">
        <v>53.8</v>
      </c>
    </row>
    <row r="1164" spans="1:17" x14ac:dyDescent="0.25">
      <c r="A1164" s="2">
        <v>45358</v>
      </c>
      <c r="B1164" s="2" t="str">
        <f t="shared" si="36"/>
        <v>Thursday</v>
      </c>
      <c r="C1164" s="2" t="b">
        <f t="shared" si="37"/>
        <v>0</v>
      </c>
      <c r="D1164">
        <v>2</v>
      </c>
      <c r="E1164" t="s">
        <v>6</v>
      </c>
      <c r="F1164">
        <v>168</v>
      </c>
      <c r="G1164" s="3">
        <v>2531.09</v>
      </c>
      <c r="H1164" s="3">
        <f>Miami_Retail[[#This Row],[sales_usd]] / Miami_Retail[[#This Row],[customers]]</f>
        <v>15.066011904761906</v>
      </c>
      <c r="I1164">
        <v>64.3</v>
      </c>
      <c r="J1164">
        <f>(Miami_Retail[[#This Row],[avg_temp_f]]-32) * (5/9)</f>
        <v>17.944444444444443</v>
      </c>
      <c r="K1164">
        <v>1.42</v>
      </c>
      <c r="L1164">
        <v>1</v>
      </c>
      <c r="M1164">
        <v>35</v>
      </c>
      <c r="N1164">
        <v>50.5</v>
      </c>
      <c r="O1164">
        <v>49.5</v>
      </c>
      <c r="P1164">
        <v>46.6</v>
      </c>
      <c r="Q1164">
        <v>53.4</v>
      </c>
    </row>
    <row r="1165" spans="1:17" x14ac:dyDescent="0.25">
      <c r="A1165" s="2">
        <v>45359</v>
      </c>
      <c r="B1165" s="2" t="str">
        <f t="shared" si="36"/>
        <v>Friday</v>
      </c>
      <c r="C1165" s="2" t="b">
        <f t="shared" si="37"/>
        <v>0</v>
      </c>
      <c r="D1165">
        <v>2</v>
      </c>
      <c r="E1165" t="s">
        <v>6</v>
      </c>
      <c r="F1165">
        <v>206</v>
      </c>
      <c r="G1165" s="3">
        <v>3252.2</v>
      </c>
      <c r="H1165" s="3">
        <f>Miami_Retail[[#This Row],[sales_usd]] / Miami_Retail[[#This Row],[customers]]</f>
        <v>15.787378640776698</v>
      </c>
      <c r="I1165">
        <v>64.099999999999994</v>
      </c>
      <c r="J1165">
        <f>(Miami_Retail[[#This Row],[avg_temp_f]]-32) * (5/9)</f>
        <v>17.833333333333332</v>
      </c>
      <c r="K1165">
        <v>0</v>
      </c>
      <c r="L1165">
        <v>0</v>
      </c>
      <c r="M1165">
        <v>35</v>
      </c>
      <c r="N1165">
        <v>50.9</v>
      </c>
      <c r="O1165">
        <v>49.1</v>
      </c>
      <c r="P1165">
        <v>47.1</v>
      </c>
      <c r="Q1165">
        <v>52.9</v>
      </c>
    </row>
    <row r="1166" spans="1:17" x14ac:dyDescent="0.25">
      <c r="A1166" s="2">
        <v>45360</v>
      </c>
      <c r="B1166" s="2" t="str">
        <f t="shared" si="36"/>
        <v>Saturday</v>
      </c>
      <c r="C1166" s="2" t="b">
        <f t="shared" si="37"/>
        <v>1</v>
      </c>
      <c r="D1166">
        <v>2</v>
      </c>
      <c r="E1166" t="s">
        <v>6</v>
      </c>
      <c r="F1166">
        <v>217</v>
      </c>
      <c r="G1166" s="3">
        <v>3859.53</v>
      </c>
      <c r="H1166" s="3">
        <f>Miami_Retail[[#This Row],[sales_usd]] / Miami_Retail[[#This Row],[customers]]</f>
        <v>17.785852534562213</v>
      </c>
      <c r="I1166">
        <v>63.3</v>
      </c>
      <c r="J1166">
        <f>(Miami_Retail[[#This Row],[avg_temp_f]]-32) * (5/9)</f>
        <v>17.388888888888889</v>
      </c>
      <c r="K1166">
        <v>0</v>
      </c>
      <c r="L1166">
        <v>0</v>
      </c>
      <c r="M1166">
        <v>39.1</v>
      </c>
      <c r="N1166">
        <v>52.3</v>
      </c>
      <c r="O1166">
        <v>47.7</v>
      </c>
      <c r="P1166">
        <v>51.5</v>
      </c>
      <c r="Q1166">
        <v>48.5</v>
      </c>
    </row>
    <row r="1167" spans="1:17" x14ac:dyDescent="0.25">
      <c r="A1167" s="2">
        <v>45361</v>
      </c>
      <c r="B1167" s="2" t="str">
        <f t="shared" si="36"/>
        <v>Sunday</v>
      </c>
      <c r="C1167" s="2" t="b">
        <f t="shared" si="37"/>
        <v>1</v>
      </c>
      <c r="D1167">
        <v>2</v>
      </c>
      <c r="E1167" t="s">
        <v>6</v>
      </c>
      <c r="F1167">
        <v>243</v>
      </c>
      <c r="G1167" s="3">
        <v>3970.1</v>
      </c>
      <c r="H1167" s="3">
        <f>Miami_Retail[[#This Row],[sales_usd]] / Miami_Retail[[#This Row],[customers]]</f>
        <v>16.337860082304527</v>
      </c>
      <c r="I1167">
        <v>64.3</v>
      </c>
      <c r="J1167">
        <f>(Miami_Retail[[#This Row],[avg_temp_f]]-32) * (5/9)</f>
        <v>17.944444444444443</v>
      </c>
      <c r="K1167">
        <v>0</v>
      </c>
      <c r="L1167">
        <v>0</v>
      </c>
      <c r="M1167">
        <v>36.200000000000003</v>
      </c>
      <c r="N1167">
        <v>52.1</v>
      </c>
      <c r="O1167">
        <v>47.9</v>
      </c>
      <c r="P1167">
        <v>53.2</v>
      </c>
      <c r="Q1167">
        <v>46.8</v>
      </c>
    </row>
    <row r="1168" spans="1:17" x14ac:dyDescent="0.25">
      <c r="A1168" s="2">
        <v>45362</v>
      </c>
      <c r="B1168" s="2" t="str">
        <f t="shared" si="36"/>
        <v>Monday</v>
      </c>
      <c r="C1168" s="2" t="b">
        <f t="shared" si="37"/>
        <v>0</v>
      </c>
      <c r="D1168">
        <v>2</v>
      </c>
      <c r="E1168" t="s">
        <v>6</v>
      </c>
      <c r="F1168">
        <v>208</v>
      </c>
      <c r="G1168" s="3">
        <v>3859.25</v>
      </c>
      <c r="H1168" s="3">
        <f>Miami_Retail[[#This Row],[sales_usd]] / Miami_Retail[[#This Row],[customers]]</f>
        <v>18.55408653846154</v>
      </c>
      <c r="I1168">
        <v>68.099999999999994</v>
      </c>
      <c r="J1168">
        <f>(Miami_Retail[[#This Row],[avg_temp_f]]-32) * (5/9)</f>
        <v>20.055555555555554</v>
      </c>
      <c r="K1168">
        <v>0.31</v>
      </c>
      <c r="L1168">
        <v>1</v>
      </c>
      <c r="M1168">
        <v>38.299999999999997</v>
      </c>
      <c r="N1168">
        <v>52.1</v>
      </c>
      <c r="O1168">
        <v>47.9</v>
      </c>
      <c r="P1168">
        <v>46.9</v>
      </c>
      <c r="Q1168">
        <v>53.1</v>
      </c>
    </row>
    <row r="1169" spans="1:17" x14ac:dyDescent="0.25">
      <c r="A1169" s="2">
        <v>45363</v>
      </c>
      <c r="B1169" s="2" t="str">
        <f t="shared" si="36"/>
        <v>Tuesday</v>
      </c>
      <c r="C1169" s="2" t="b">
        <f t="shared" si="37"/>
        <v>0</v>
      </c>
      <c r="D1169">
        <v>2</v>
      </c>
      <c r="E1169" t="s">
        <v>6</v>
      </c>
      <c r="F1169">
        <v>183</v>
      </c>
      <c r="G1169" s="3">
        <v>3209.19</v>
      </c>
      <c r="H1169" s="3">
        <f>Miami_Retail[[#This Row],[sales_usd]] / Miami_Retail[[#This Row],[customers]]</f>
        <v>17.536557377049181</v>
      </c>
      <c r="I1169">
        <v>62.9</v>
      </c>
      <c r="J1169">
        <f>(Miami_Retail[[#This Row],[avg_temp_f]]-32) * (5/9)</f>
        <v>17.166666666666668</v>
      </c>
      <c r="K1169">
        <v>0</v>
      </c>
      <c r="L1169">
        <v>0</v>
      </c>
      <c r="M1169">
        <v>35</v>
      </c>
      <c r="N1169">
        <v>51.9</v>
      </c>
      <c r="O1169">
        <v>48.1</v>
      </c>
      <c r="P1169">
        <v>47</v>
      </c>
      <c r="Q1169">
        <v>53</v>
      </c>
    </row>
    <row r="1170" spans="1:17" x14ac:dyDescent="0.25">
      <c r="A1170" s="2">
        <v>45364</v>
      </c>
      <c r="B1170" s="2" t="str">
        <f t="shared" si="36"/>
        <v>Wednesday</v>
      </c>
      <c r="C1170" s="2" t="b">
        <f t="shared" si="37"/>
        <v>0</v>
      </c>
      <c r="D1170">
        <v>2</v>
      </c>
      <c r="E1170" t="s">
        <v>6</v>
      </c>
      <c r="F1170">
        <v>211</v>
      </c>
      <c r="G1170" s="3">
        <v>3644.43</v>
      </c>
      <c r="H1170" s="3">
        <f>Miami_Retail[[#This Row],[sales_usd]] / Miami_Retail[[#This Row],[customers]]</f>
        <v>17.27218009478673</v>
      </c>
      <c r="I1170">
        <v>62.1</v>
      </c>
      <c r="J1170">
        <f>(Miami_Retail[[#This Row],[avg_temp_f]]-32) * (5/9)</f>
        <v>16.722222222222225</v>
      </c>
      <c r="K1170">
        <v>0</v>
      </c>
      <c r="L1170">
        <v>0</v>
      </c>
      <c r="M1170">
        <v>35</v>
      </c>
      <c r="N1170">
        <v>50.7</v>
      </c>
      <c r="O1170">
        <v>49.3</v>
      </c>
      <c r="P1170">
        <v>47.8</v>
      </c>
      <c r="Q1170">
        <v>52.2</v>
      </c>
    </row>
    <row r="1171" spans="1:17" x14ac:dyDescent="0.25">
      <c r="A1171" s="2">
        <v>45365</v>
      </c>
      <c r="B1171" s="2" t="str">
        <f t="shared" si="36"/>
        <v>Thursday</v>
      </c>
      <c r="C1171" s="2" t="b">
        <f t="shared" si="37"/>
        <v>0</v>
      </c>
      <c r="D1171">
        <v>2</v>
      </c>
      <c r="E1171" t="s">
        <v>6</v>
      </c>
      <c r="F1171">
        <v>233</v>
      </c>
      <c r="G1171" s="3">
        <v>4155.66</v>
      </c>
      <c r="H1171" s="3">
        <f>Miami_Retail[[#This Row],[sales_usd]] / Miami_Retail[[#This Row],[customers]]</f>
        <v>17.835450643776824</v>
      </c>
      <c r="I1171">
        <v>72.2</v>
      </c>
      <c r="J1171">
        <f>(Miami_Retail[[#This Row],[avg_temp_f]]-32) * (5/9)</f>
        <v>22.333333333333336</v>
      </c>
      <c r="K1171">
        <v>0</v>
      </c>
      <c r="L1171">
        <v>0</v>
      </c>
      <c r="M1171">
        <v>35</v>
      </c>
      <c r="N1171">
        <v>51.2</v>
      </c>
      <c r="O1171">
        <v>48.8</v>
      </c>
      <c r="P1171">
        <v>45</v>
      </c>
      <c r="Q1171">
        <v>55</v>
      </c>
    </row>
    <row r="1172" spans="1:17" x14ac:dyDescent="0.25">
      <c r="A1172" s="2">
        <v>45366</v>
      </c>
      <c r="B1172" s="2" t="str">
        <f t="shared" si="36"/>
        <v>Friday</v>
      </c>
      <c r="C1172" s="2" t="b">
        <f t="shared" si="37"/>
        <v>0</v>
      </c>
      <c r="D1172">
        <v>2</v>
      </c>
      <c r="E1172" t="s">
        <v>6</v>
      </c>
      <c r="F1172">
        <v>244</v>
      </c>
      <c r="G1172" s="3">
        <v>4002.6</v>
      </c>
      <c r="H1172" s="3">
        <f>Miami_Retail[[#This Row],[sales_usd]] / Miami_Retail[[#This Row],[customers]]</f>
        <v>16.404098360655738</v>
      </c>
      <c r="I1172">
        <v>73.099999999999994</v>
      </c>
      <c r="J1172">
        <f>(Miami_Retail[[#This Row],[avg_temp_f]]-32) * (5/9)</f>
        <v>22.833333333333332</v>
      </c>
      <c r="K1172">
        <v>0</v>
      </c>
      <c r="L1172">
        <v>0</v>
      </c>
      <c r="M1172">
        <v>35</v>
      </c>
      <c r="N1172">
        <v>53.1</v>
      </c>
      <c r="O1172">
        <v>46.9</v>
      </c>
      <c r="P1172">
        <v>48.2</v>
      </c>
      <c r="Q1172">
        <v>51.8</v>
      </c>
    </row>
    <row r="1173" spans="1:17" x14ac:dyDescent="0.25">
      <c r="A1173" s="2">
        <v>45367</v>
      </c>
      <c r="B1173" s="2" t="str">
        <f t="shared" si="36"/>
        <v>Saturday</v>
      </c>
      <c r="C1173" s="2" t="b">
        <f t="shared" si="37"/>
        <v>1</v>
      </c>
      <c r="D1173">
        <v>2</v>
      </c>
      <c r="E1173" t="s">
        <v>6</v>
      </c>
      <c r="F1173">
        <v>221</v>
      </c>
      <c r="G1173" s="3">
        <v>3606.17</v>
      </c>
      <c r="H1173" s="3">
        <f>Miami_Retail[[#This Row],[sales_usd]] / Miami_Retail[[#This Row],[customers]]</f>
        <v>16.317511312217196</v>
      </c>
      <c r="I1173">
        <v>67.2</v>
      </c>
      <c r="J1173">
        <f>(Miami_Retail[[#This Row],[avg_temp_f]]-32) * (5/9)</f>
        <v>19.555555555555557</v>
      </c>
      <c r="K1173">
        <v>0</v>
      </c>
      <c r="L1173">
        <v>0</v>
      </c>
      <c r="M1173">
        <v>35</v>
      </c>
      <c r="N1173">
        <v>52.2</v>
      </c>
      <c r="O1173">
        <v>47.8</v>
      </c>
      <c r="P1173">
        <v>54.9</v>
      </c>
      <c r="Q1173">
        <v>45.1</v>
      </c>
    </row>
    <row r="1174" spans="1:17" x14ac:dyDescent="0.25">
      <c r="A1174" s="2">
        <v>45368</v>
      </c>
      <c r="B1174" s="2" t="str">
        <f t="shared" si="36"/>
        <v>Sunday</v>
      </c>
      <c r="C1174" s="2" t="b">
        <f t="shared" si="37"/>
        <v>1</v>
      </c>
      <c r="D1174">
        <v>2</v>
      </c>
      <c r="E1174" t="s">
        <v>6</v>
      </c>
      <c r="F1174">
        <v>246</v>
      </c>
      <c r="G1174" s="3">
        <v>4556.05</v>
      </c>
      <c r="H1174" s="3">
        <f>Miami_Retail[[#This Row],[sales_usd]] / Miami_Retail[[#This Row],[customers]]</f>
        <v>18.520528455284552</v>
      </c>
      <c r="I1174">
        <v>68.3</v>
      </c>
      <c r="J1174">
        <f>(Miami_Retail[[#This Row],[avg_temp_f]]-32) * (5/9)</f>
        <v>20.166666666666664</v>
      </c>
      <c r="K1174">
        <v>0</v>
      </c>
      <c r="L1174">
        <v>0</v>
      </c>
      <c r="M1174">
        <v>37.4</v>
      </c>
      <c r="N1174">
        <v>50.8</v>
      </c>
      <c r="O1174">
        <v>49.2</v>
      </c>
      <c r="P1174">
        <v>55.6</v>
      </c>
      <c r="Q1174">
        <v>44.4</v>
      </c>
    </row>
    <row r="1175" spans="1:17" x14ac:dyDescent="0.25">
      <c r="A1175" s="2">
        <v>45369</v>
      </c>
      <c r="B1175" s="2" t="str">
        <f t="shared" si="36"/>
        <v>Monday</v>
      </c>
      <c r="C1175" s="2" t="b">
        <f t="shared" si="37"/>
        <v>0</v>
      </c>
      <c r="D1175">
        <v>2</v>
      </c>
      <c r="E1175" t="s">
        <v>6</v>
      </c>
      <c r="F1175">
        <v>188</v>
      </c>
      <c r="G1175" s="3">
        <v>3007.94</v>
      </c>
      <c r="H1175" s="3">
        <f>Miami_Retail[[#This Row],[sales_usd]] / Miami_Retail[[#This Row],[customers]]</f>
        <v>15.999680851063831</v>
      </c>
      <c r="I1175">
        <v>64.099999999999994</v>
      </c>
      <c r="J1175">
        <f>(Miami_Retail[[#This Row],[avg_temp_f]]-32) * (5/9)</f>
        <v>17.833333333333332</v>
      </c>
      <c r="K1175">
        <v>0</v>
      </c>
      <c r="L1175">
        <v>0</v>
      </c>
      <c r="M1175">
        <v>38.9</v>
      </c>
      <c r="N1175">
        <v>50.2</v>
      </c>
      <c r="O1175">
        <v>49.8</v>
      </c>
      <c r="P1175">
        <v>45.3</v>
      </c>
      <c r="Q1175">
        <v>54.7</v>
      </c>
    </row>
    <row r="1176" spans="1:17" x14ac:dyDescent="0.25">
      <c r="A1176" s="2">
        <v>45370</v>
      </c>
      <c r="B1176" s="2" t="str">
        <f t="shared" si="36"/>
        <v>Tuesday</v>
      </c>
      <c r="C1176" s="2" t="b">
        <f t="shared" si="37"/>
        <v>0</v>
      </c>
      <c r="D1176">
        <v>2</v>
      </c>
      <c r="E1176" t="s">
        <v>6</v>
      </c>
      <c r="F1176">
        <v>202</v>
      </c>
      <c r="G1176" s="3">
        <v>3467.67</v>
      </c>
      <c r="H1176" s="3">
        <f>Miami_Retail[[#This Row],[sales_usd]] / Miami_Retail[[#This Row],[customers]]</f>
        <v>17.166683168316833</v>
      </c>
      <c r="I1176">
        <v>64.599999999999994</v>
      </c>
      <c r="J1176">
        <f>(Miami_Retail[[#This Row],[avg_temp_f]]-32) * (5/9)</f>
        <v>18.111111111111107</v>
      </c>
      <c r="K1176">
        <v>0.4</v>
      </c>
      <c r="L1176">
        <v>1</v>
      </c>
      <c r="M1176">
        <v>35</v>
      </c>
      <c r="N1176">
        <v>53.4</v>
      </c>
      <c r="O1176">
        <v>46.6</v>
      </c>
      <c r="P1176">
        <v>47.3</v>
      </c>
      <c r="Q1176">
        <v>52.7</v>
      </c>
    </row>
    <row r="1177" spans="1:17" x14ac:dyDescent="0.25">
      <c r="A1177" s="2">
        <v>45371</v>
      </c>
      <c r="B1177" s="2" t="str">
        <f t="shared" si="36"/>
        <v>Wednesday</v>
      </c>
      <c r="C1177" s="2" t="b">
        <f t="shared" si="37"/>
        <v>0</v>
      </c>
      <c r="D1177">
        <v>2</v>
      </c>
      <c r="E1177" t="s">
        <v>6</v>
      </c>
      <c r="F1177">
        <v>204</v>
      </c>
      <c r="G1177" s="3">
        <v>3750.25</v>
      </c>
      <c r="H1177" s="3">
        <f>Miami_Retail[[#This Row],[sales_usd]] / Miami_Retail[[#This Row],[customers]]</f>
        <v>18.383578431372548</v>
      </c>
      <c r="I1177">
        <v>64.099999999999994</v>
      </c>
      <c r="J1177">
        <f>(Miami_Retail[[#This Row],[avg_temp_f]]-32) * (5/9)</f>
        <v>17.833333333333332</v>
      </c>
      <c r="K1177">
        <v>0.49</v>
      </c>
      <c r="L1177">
        <v>1</v>
      </c>
      <c r="M1177">
        <v>36.9</v>
      </c>
      <c r="N1177">
        <v>52.6</v>
      </c>
      <c r="O1177">
        <v>47.4</v>
      </c>
      <c r="P1177">
        <v>47.2</v>
      </c>
      <c r="Q1177">
        <v>52.8</v>
      </c>
    </row>
    <row r="1178" spans="1:17" x14ac:dyDescent="0.25">
      <c r="A1178" s="2">
        <v>45372</v>
      </c>
      <c r="B1178" s="2" t="str">
        <f t="shared" si="36"/>
        <v>Thursday</v>
      </c>
      <c r="C1178" s="2" t="b">
        <f t="shared" si="37"/>
        <v>0</v>
      </c>
      <c r="D1178">
        <v>2</v>
      </c>
      <c r="E1178" t="s">
        <v>6</v>
      </c>
      <c r="F1178">
        <v>195</v>
      </c>
      <c r="G1178" s="3">
        <v>3410.96</v>
      </c>
      <c r="H1178" s="3">
        <f>Miami_Retail[[#This Row],[sales_usd]] / Miami_Retail[[#This Row],[customers]]</f>
        <v>17.492102564102563</v>
      </c>
      <c r="I1178">
        <v>66.8</v>
      </c>
      <c r="J1178">
        <f>(Miami_Retail[[#This Row],[avg_temp_f]]-32) * (5/9)</f>
        <v>19.333333333333332</v>
      </c>
      <c r="K1178">
        <v>0</v>
      </c>
      <c r="L1178">
        <v>0</v>
      </c>
      <c r="M1178">
        <v>42.2</v>
      </c>
      <c r="N1178">
        <v>52.9</v>
      </c>
      <c r="O1178">
        <v>47.1</v>
      </c>
      <c r="P1178">
        <v>46.6</v>
      </c>
      <c r="Q1178">
        <v>53.4</v>
      </c>
    </row>
    <row r="1179" spans="1:17" x14ac:dyDescent="0.25">
      <c r="A1179" s="2">
        <v>45373</v>
      </c>
      <c r="B1179" s="2" t="str">
        <f t="shared" si="36"/>
        <v>Friday</v>
      </c>
      <c r="C1179" s="2" t="b">
        <f t="shared" si="37"/>
        <v>0</v>
      </c>
      <c r="D1179">
        <v>2</v>
      </c>
      <c r="E1179" t="s">
        <v>6</v>
      </c>
      <c r="F1179">
        <v>210</v>
      </c>
      <c r="G1179" s="3">
        <v>3260.12</v>
      </c>
      <c r="H1179" s="3">
        <f>Miami_Retail[[#This Row],[sales_usd]] / Miami_Retail[[#This Row],[customers]]</f>
        <v>15.524380952380952</v>
      </c>
      <c r="I1179">
        <v>69.400000000000006</v>
      </c>
      <c r="J1179">
        <f>(Miami_Retail[[#This Row],[avg_temp_f]]-32) * (5/9)</f>
        <v>20.777777777777782</v>
      </c>
      <c r="K1179">
        <v>0.18</v>
      </c>
      <c r="L1179">
        <v>1</v>
      </c>
      <c r="M1179">
        <v>38.200000000000003</v>
      </c>
      <c r="N1179">
        <v>51.3</v>
      </c>
      <c r="O1179">
        <v>48.7</v>
      </c>
      <c r="P1179">
        <v>49.9</v>
      </c>
      <c r="Q1179">
        <v>50.1</v>
      </c>
    </row>
    <row r="1180" spans="1:17" x14ac:dyDescent="0.25">
      <c r="A1180" s="2">
        <v>45374</v>
      </c>
      <c r="B1180" s="2" t="str">
        <f t="shared" si="36"/>
        <v>Saturday</v>
      </c>
      <c r="C1180" s="2" t="b">
        <f t="shared" si="37"/>
        <v>1</v>
      </c>
      <c r="D1180">
        <v>2</v>
      </c>
      <c r="E1180" t="s">
        <v>6</v>
      </c>
      <c r="F1180">
        <v>246</v>
      </c>
      <c r="G1180" s="3">
        <v>3934.77</v>
      </c>
      <c r="H1180" s="3">
        <f>Miami_Retail[[#This Row],[sales_usd]] / Miami_Retail[[#This Row],[customers]]</f>
        <v>15.994999999999999</v>
      </c>
      <c r="I1180">
        <v>67.099999999999994</v>
      </c>
      <c r="J1180">
        <f>(Miami_Retail[[#This Row],[avg_temp_f]]-32) * (5/9)</f>
        <v>19.499999999999996</v>
      </c>
      <c r="K1180">
        <v>0</v>
      </c>
      <c r="L1180">
        <v>0</v>
      </c>
      <c r="M1180">
        <v>39</v>
      </c>
      <c r="N1180">
        <v>49.9</v>
      </c>
      <c r="O1180">
        <v>50.1</v>
      </c>
      <c r="P1180">
        <v>55.1</v>
      </c>
      <c r="Q1180">
        <v>44.9</v>
      </c>
    </row>
    <row r="1181" spans="1:17" x14ac:dyDescent="0.25">
      <c r="A1181" s="2">
        <v>45375</v>
      </c>
      <c r="B1181" s="2" t="str">
        <f t="shared" si="36"/>
        <v>Sunday</v>
      </c>
      <c r="C1181" s="2" t="b">
        <f t="shared" si="37"/>
        <v>1</v>
      </c>
      <c r="D1181">
        <v>2</v>
      </c>
      <c r="E1181" t="s">
        <v>6</v>
      </c>
      <c r="F1181">
        <v>212</v>
      </c>
      <c r="G1181" s="3">
        <v>3489.24</v>
      </c>
      <c r="H1181" s="3">
        <f>Miami_Retail[[#This Row],[sales_usd]] / Miami_Retail[[#This Row],[customers]]</f>
        <v>16.458679245283019</v>
      </c>
      <c r="I1181">
        <v>63.8</v>
      </c>
      <c r="J1181">
        <f>(Miami_Retail[[#This Row],[avg_temp_f]]-32) * (5/9)</f>
        <v>17.666666666666664</v>
      </c>
      <c r="K1181">
        <v>0</v>
      </c>
      <c r="L1181">
        <v>0</v>
      </c>
      <c r="M1181">
        <v>35</v>
      </c>
      <c r="N1181">
        <v>51</v>
      </c>
      <c r="O1181">
        <v>49</v>
      </c>
      <c r="P1181">
        <v>52.7</v>
      </c>
      <c r="Q1181">
        <v>47.3</v>
      </c>
    </row>
    <row r="1182" spans="1:17" x14ac:dyDescent="0.25">
      <c r="A1182" s="2">
        <v>45376</v>
      </c>
      <c r="B1182" s="2" t="str">
        <f t="shared" si="36"/>
        <v>Monday</v>
      </c>
      <c r="C1182" s="2" t="b">
        <f t="shared" si="37"/>
        <v>0</v>
      </c>
      <c r="D1182">
        <v>2</v>
      </c>
      <c r="E1182" t="s">
        <v>6</v>
      </c>
      <c r="F1182">
        <v>240</v>
      </c>
      <c r="G1182" s="3">
        <v>4054.5</v>
      </c>
      <c r="H1182" s="3">
        <f>Miami_Retail[[#This Row],[sales_usd]] / Miami_Retail[[#This Row],[customers]]</f>
        <v>16.893750000000001</v>
      </c>
      <c r="I1182">
        <v>69.3</v>
      </c>
      <c r="J1182">
        <f>(Miami_Retail[[#This Row],[avg_temp_f]]-32) * (5/9)</f>
        <v>20.722222222222221</v>
      </c>
      <c r="K1182">
        <v>0</v>
      </c>
      <c r="L1182">
        <v>0</v>
      </c>
      <c r="M1182">
        <v>37.299999999999997</v>
      </c>
      <c r="N1182">
        <v>52</v>
      </c>
      <c r="O1182">
        <v>48</v>
      </c>
      <c r="P1182">
        <v>44.6</v>
      </c>
      <c r="Q1182">
        <v>55.4</v>
      </c>
    </row>
    <row r="1183" spans="1:17" x14ac:dyDescent="0.25">
      <c r="A1183" s="2">
        <v>45377</v>
      </c>
      <c r="B1183" s="2" t="str">
        <f t="shared" si="36"/>
        <v>Tuesday</v>
      </c>
      <c r="C1183" s="2" t="b">
        <f t="shared" si="37"/>
        <v>0</v>
      </c>
      <c r="D1183">
        <v>2</v>
      </c>
      <c r="E1183" t="s">
        <v>6</v>
      </c>
      <c r="F1183">
        <v>195</v>
      </c>
      <c r="G1183" s="3">
        <v>3233.03</v>
      </c>
      <c r="H1183" s="3">
        <f>Miami_Retail[[#This Row],[sales_usd]] / Miami_Retail[[#This Row],[customers]]</f>
        <v>16.579641025641028</v>
      </c>
      <c r="I1183">
        <v>69.599999999999994</v>
      </c>
      <c r="J1183">
        <f>(Miami_Retail[[#This Row],[avg_temp_f]]-32) * (5/9)</f>
        <v>20.888888888888886</v>
      </c>
      <c r="K1183">
        <v>0.45</v>
      </c>
      <c r="L1183">
        <v>1</v>
      </c>
      <c r="M1183">
        <v>35.1</v>
      </c>
      <c r="N1183">
        <v>52.2</v>
      </c>
      <c r="O1183">
        <v>47.8</v>
      </c>
      <c r="P1183">
        <v>46.4</v>
      </c>
      <c r="Q1183">
        <v>53.6</v>
      </c>
    </row>
    <row r="1184" spans="1:17" x14ac:dyDescent="0.25">
      <c r="A1184" s="2">
        <v>45378</v>
      </c>
      <c r="B1184" s="2" t="str">
        <f t="shared" si="36"/>
        <v>Wednesday</v>
      </c>
      <c r="C1184" s="2" t="b">
        <f t="shared" si="37"/>
        <v>0</v>
      </c>
      <c r="D1184">
        <v>2</v>
      </c>
      <c r="E1184" t="s">
        <v>6</v>
      </c>
      <c r="F1184">
        <v>206</v>
      </c>
      <c r="G1184" s="3">
        <v>3606.75</v>
      </c>
      <c r="H1184" s="3">
        <f>Miami_Retail[[#This Row],[sales_usd]] / Miami_Retail[[#This Row],[customers]]</f>
        <v>17.508495145631066</v>
      </c>
      <c r="I1184">
        <v>70.400000000000006</v>
      </c>
      <c r="J1184">
        <f>(Miami_Retail[[#This Row],[avg_temp_f]]-32) * (5/9)</f>
        <v>21.333333333333336</v>
      </c>
      <c r="K1184">
        <v>0</v>
      </c>
      <c r="L1184">
        <v>0</v>
      </c>
      <c r="M1184">
        <v>35.6</v>
      </c>
      <c r="N1184">
        <v>52.7</v>
      </c>
      <c r="O1184">
        <v>47.3</v>
      </c>
      <c r="P1184">
        <v>46.7</v>
      </c>
      <c r="Q1184">
        <v>53.3</v>
      </c>
    </row>
    <row r="1185" spans="1:17" x14ac:dyDescent="0.25">
      <c r="A1185" s="2">
        <v>45379</v>
      </c>
      <c r="B1185" s="2" t="str">
        <f t="shared" si="36"/>
        <v>Thursday</v>
      </c>
      <c r="C1185" s="2" t="b">
        <f t="shared" si="37"/>
        <v>0</v>
      </c>
      <c r="D1185">
        <v>2</v>
      </c>
      <c r="E1185" t="s">
        <v>6</v>
      </c>
      <c r="F1185">
        <v>185</v>
      </c>
      <c r="G1185" s="3">
        <v>3056.45</v>
      </c>
      <c r="H1185" s="3">
        <f>Miami_Retail[[#This Row],[sales_usd]] / Miami_Retail[[#This Row],[customers]]</f>
        <v>16.521351351351349</v>
      </c>
      <c r="I1185">
        <v>72.3</v>
      </c>
      <c r="J1185">
        <f>(Miami_Retail[[#This Row],[avg_temp_f]]-32) * (5/9)</f>
        <v>22.388888888888889</v>
      </c>
      <c r="K1185">
        <v>0</v>
      </c>
      <c r="L1185">
        <v>0</v>
      </c>
      <c r="M1185">
        <v>35</v>
      </c>
      <c r="N1185">
        <v>52.2</v>
      </c>
      <c r="O1185">
        <v>47.8</v>
      </c>
      <c r="P1185">
        <v>49.7</v>
      </c>
      <c r="Q1185">
        <v>50.3</v>
      </c>
    </row>
    <row r="1186" spans="1:17" x14ac:dyDescent="0.25">
      <c r="A1186" s="2">
        <v>45380</v>
      </c>
      <c r="B1186" s="2" t="str">
        <f t="shared" si="36"/>
        <v>Friday</v>
      </c>
      <c r="C1186" s="2" t="b">
        <f t="shared" si="37"/>
        <v>0</v>
      </c>
      <c r="D1186">
        <v>2</v>
      </c>
      <c r="E1186" t="s">
        <v>6</v>
      </c>
      <c r="F1186">
        <v>188</v>
      </c>
      <c r="G1186" s="3">
        <v>3170.04</v>
      </c>
      <c r="H1186" s="3">
        <f>Miami_Retail[[#This Row],[sales_usd]] / Miami_Retail[[#This Row],[customers]]</f>
        <v>16.861914893617023</v>
      </c>
      <c r="I1186">
        <v>71.2</v>
      </c>
      <c r="J1186">
        <f>(Miami_Retail[[#This Row],[avg_temp_f]]-32) * (5/9)</f>
        <v>21.777777777777779</v>
      </c>
      <c r="K1186">
        <v>1.59</v>
      </c>
      <c r="L1186">
        <v>1</v>
      </c>
      <c r="M1186">
        <v>38.200000000000003</v>
      </c>
      <c r="N1186">
        <v>52.2</v>
      </c>
      <c r="O1186">
        <v>47.8</v>
      </c>
      <c r="P1186">
        <v>46.9</v>
      </c>
      <c r="Q1186">
        <v>53.1</v>
      </c>
    </row>
    <row r="1187" spans="1:17" x14ac:dyDescent="0.25">
      <c r="A1187" s="2">
        <v>45381</v>
      </c>
      <c r="B1187" s="2" t="str">
        <f t="shared" si="36"/>
        <v>Saturday</v>
      </c>
      <c r="C1187" s="2" t="b">
        <f t="shared" si="37"/>
        <v>1</v>
      </c>
      <c r="D1187">
        <v>2</v>
      </c>
      <c r="E1187" t="s">
        <v>6</v>
      </c>
      <c r="F1187">
        <v>215</v>
      </c>
      <c r="G1187" s="3">
        <v>3730.53</v>
      </c>
      <c r="H1187" s="3">
        <f>Miami_Retail[[#This Row],[sales_usd]] / Miami_Retail[[#This Row],[customers]]</f>
        <v>17.351302325581397</v>
      </c>
      <c r="I1187">
        <v>58.8</v>
      </c>
      <c r="J1187">
        <f>(Miami_Retail[[#This Row],[avg_temp_f]]-32) * (5/9)</f>
        <v>14.888888888888888</v>
      </c>
      <c r="K1187">
        <v>0</v>
      </c>
      <c r="L1187">
        <v>0</v>
      </c>
      <c r="M1187">
        <v>38.299999999999997</v>
      </c>
      <c r="N1187">
        <v>51.8</v>
      </c>
      <c r="O1187">
        <v>48.2</v>
      </c>
      <c r="P1187">
        <v>54</v>
      </c>
      <c r="Q1187">
        <v>46</v>
      </c>
    </row>
    <row r="1188" spans="1:17" x14ac:dyDescent="0.25">
      <c r="A1188" s="2">
        <v>45382</v>
      </c>
      <c r="B1188" s="2" t="str">
        <f t="shared" si="36"/>
        <v>Sunday</v>
      </c>
      <c r="C1188" s="2" t="b">
        <f t="shared" si="37"/>
        <v>1</v>
      </c>
      <c r="D1188">
        <v>2</v>
      </c>
      <c r="E1188" t="s">
        <v>6</v>
      </c>
      <c r="F1188">
        <v>221</v>
      </c>
      <c r="G1188" s="3">
        <v>3781.7</v>
      </c>
      <c r="H1188" s="3">
        <f>Miami_Retail[[#This Row],[sales_usd]] / Miami_Retail[[#This Row],[customers]]</f>
        <v>17.111764705882351</v>
      </c>
      <c r="I1188">
        <v>65.599999999999994</v>
      </c>
      <c r="J1188">
        <f>(Miami_Retail[[#This Row],[avg_temp_f]]-32) * (5/9)</f>
        <v>18.666666666666664</v>
      </c>
      <c r="K1188">
        <v>0</v>
      </c>
      <c r="L1188">
        <v>0</v>
      </c>
      <c r="M1188">
        <v>35.1</v>
      </c>
      <c r="N1188">
        <v>52.6</v>
      </c>
      <c r="O1188">
        <v>47.4</v>
      </c>
      <c r="P1188">
        <v>54.9</v>
      </c>
      <c r="Q1188">
        <v>45.1</v>
      </c>
    </row>
    <row r="1189" spans="1:17" x14ac:dyDescent="0.25">
      <c r="A1189" s="2">
        <v>45383</v>
      </c>
      <c r="B1189" s="2" t="str">
        <f t="shared" si="36"/>
        <v>Monday</v>
      </c>
      <c r="C1189" s="2" t="b">
        <f t="shared" si="37"/>
        <v>0</v>
      </c>
      <c r="D1189">
        <v>2</v>
      </c>
      <c r="E1189" t="s">
        <v>6</v>
      </c>
      <c r="F1189">
        <v>201</v>
      </c>
      <c r="G1189" s="3">
        <v>3181.92</v>
      </c>
      <c r="H1189" s="3">
        <f>Miami_Retail[[#This Row],[sales_usd]] / Miami_Retail[[#This Row],[customers]]</f>
        <v>15.83044776119403</v>
      </c>
      <c r="I1189">
        <v>58.9</v>
      </c>
      <c r="J1189">
        <f>(Miami_Retail[[#This Row],[avg_temp_f]]-32) * (5/9)</f>
        <v>14.944444444444445</v>
      </c>
      <c r="K1189">
        <v>0</v>
      </c>
      <c r="L1189">
        <v>0</v>
      </c>
      <c r="M1189">
        <v>35</v>
      </c>
      <c r="N1189">
        <v>52</v>
      </c>
      <c r="O1189">
        <v>48</v>
      </c>
      <c r="P1189">
        <v>47.7</v>
      </c>
      <c r="Q1189">
        <v>52.3</v>
      </c>
    </row>
    <row r="1190" spans="1:17" x14ac:dyDescent="0.25">
      <c r="A1190" s="2">
        <v>45384</v>
      </c>
      <c r="B1190" s="2" t="str">
        <f t="shared" si="36"/>
        <v>Tuesday</v>
      </c>
      <c r="C1190" s="2" t="b">
        <f t="shared" si="37"/>
        <v>0</v>
      </c>
      <c r="D1190">
        <v>2</v>
      </c>
      <c r="E1190" t="s">
        <v>6</v>
      </c>
      <c r="F1190">
        <v>226</v>
      </c>
      <c r="G1190" s="3">
        <v>3918.39</v>
      </c>
      <c r="H1190" s="3">
        <f>Miami_Retail[[#This Row],[sales_usd]] / Miami_Retail[[#This Row],[customers]]</f>
        <v>17.338008849557522</v>
      </c>
      <c r="I1190">
        <v>65.5</v>
      </c>
      <c r="J1190">
        <f>(Miami_Retail[[#This Row],[avg_temp_f]]-32) * (5/9)</f>
        <v>18.611111111111111</v>
      </c>
      <c r="K1190">
        <v>0</v>
      </c>
      <c r="L1190">
        <v>0</v>
      </c>
      <c r="M1190">
        <v>42.6</v>
      </c>
      <c r="N1190">
        <v>50.6</v>
      </c>
      <c r="O1190">
        <v>49.4</v>
      </c>
      <c r="P1190">
        <v>46.5</v>
      </c>
      <c r="Q1190">
        <v>53.5</v>
      </c>
    </row>
    <row r="1191" spans="1:17" x14ac:dyDescent="0.25">
      <c r="A1191" s="2">
        <v>45385</v>
      </c>
      <c r="B1191" s="2" t="str">
        <f t="shared" si="36"/>
        <v>Wednesday</v>
      </c>
      <c r="C1191" s="2" t="b">
        <f t="shared" si="37"/>
        <v>0</v>
      </c>
      <c r="D1191">
        <v>2</v>
      </c>
      <c r="E1191" t="s">
        <v>6</v>
      </c>
      <c r="F1191">
        <v>203</v>
      </c>
      <c r="G1191" s="3">
        <v>3527.7</v>
      </c>
      <c r="H1191" s="3">
        <f>Miami_Retail[[#This Row],[sales_usd]] / Miami_Retail[[#This Row],[customers]]</f>
        <v>17.377832512315269</v>
      </c>
      <c r="I1191">
        <v>62.8</v>
      </c>
      <c r="J1191">
        <f>(Miami_Retail[[#This Row],[avg_temp_f]]-32) * (5/9)</f>
        <v>17.111111111111111</v>
      </c>
      <c r="K1191">
        <v>0.44</v>
      </c>
      <c r="L1191">
        <v>1</v>
      </c>
      <c r="M1191">
        <v>40.5</v>
      </c>
      <c r="N1191">
        <v>51.5</v>
      </c>
      <c r="O1191">
        <v>48.5</v>
      </c>
      <c r="P1191">
        <v>47.1</v>
      </c>
      <c r="Q1191">
        <v>52.9</v>
      </c>
    </row>
    <row r="1192" spans="1:17" x14ac:dyDescent="0.25">
      <c r="A1192" s="2">
        <v>45386</v>
      </c>
      <c r="B1192" s="2" t="str">
        <f t="shared" si="36"/>
        <v>Thursday</v>
      </c>
      <c r="C1192" s="2" t="b">
        <f t="shared" si="37"/>
        <v>0</v>
      </c>
      <c r="D1192">
        <v>2</v>
      </c>
      <c r="E1192" t="s">
        <v>6</v>
      </c>
      <c r="F1192">
        <v>215</v>
      </c>
      <c r="G1192" s="3">
        <v>3710.49</v>
      </c>
      <c r="H1192" s="3">
        <f>Miami_Retail[[#This Row],[sales_usd]] / Miami_Retail[[#This Row],[customers]]</f>
        <v>17.258093023255814</v>
      </c>
      <c r="I1192">
        <v>63.9</v>
      </c>
      <c r="J1192">
        <f>(Miami_Retail[[#This Row],[avg_temp_f]]-32) * (5/9)</f>
        <v>17.722222222222221</v>
      </c>
      <c r="K1192">
        <v>0.5</v>
      </c>
      <c r="L1192">
        <v>1</v>
      </c>
      <c r="M1192">
        <v>42.5</v>
      </c>
      <c r="N1192">
        <v>51.5</v>
      </c>
      <c r="O1192">
        <v>48.5</v>
      </c>
      <c r="P1192">
        <v>50</v>
      </c>
      <c r="Q1192">
        <v>50</v>
      </c>
    </row>
    <row r="1193" spans="1:17" x14ac:dyDescent="0.25">
      <c r="A1193" s="2">
        <v>45387</v>
      </c>
      <c r="B1193" s="2" t="str">
        <f t="shared" si="36"/>
        <v>Friday</v>
      </c>
      <c r="C1193" s="2" t="b">
        <f t="shared" si="37"/>
        <v>0</v>
      </c>
      <c r="D1193">
        <v>2</v>
      </c>
      <c r="E1193" t="s">
        <v>6</v>
      </c>
      <c r="F1193">
        <v>193</v>
      </c>
      <c r="G1193" s="3">
        <v>3195.9</v>
      </c>
      <c r="H1193" s="3">
        <f>Miami_Retail[[#This Row],[sales_usd]] / Miami_Retail[[#This Row],[customers]]</f>
        <v>16.559067357512955</v>
      </c>
      <c r="I1193">
        <v>66.8</v>
      </c>
      <c r="J1193">
        <f>(Miami_Retail[[#This Row],[avg_temp_f]]-32) * (5/9)</f>
        <v>19.333333333333332</v>
      </c>
      <c r="K1193">
        <v>0</v>
      </c>
      <c r="L1193">
        <v>0</v>
      </c>
      <c r="M1193">
        <v>44.1</v>
      </c>
      <c r="N1193">
        <v>53.5</v>
      </c>
      <c r="O1193">
        <v>46.5</v>
      </c>
      <c r="P1193">
        <v>48.8</v>
      </c>
      <c r="Q1193">
        <v>51.2</v>
      </c>
    </row>
    <row r="1194" spans="1:17" x14ac:dyDescent="0.25">
      <c r="A1194" s="2">
        <v>45388</v>
      </c>
      <c r="B1194" s="2" t="str">
        <f t="shared" si="36"/>
        <v>Saturday</v>
      </c>
      <c r="C1194" s="2" t="b">
        <f t="shared" si="37"/>
        <v>1</v>
      </c>
      <c r="D1194">
        <v>2</v>
      </c>
      <c r="E1194" t="s">
        <v>6</v>
      </c>
      <c r="F1194">
        <v>244</v>
      </c>
      <c r="G1194" s="3">
        <v>4224.8599999999997</v>
      </c>
      <c r="H1194" s="3">
        <f>Miami_Retail[[#This Row],[sales_usd]] / Miami_Retail[[#This Row],[customers]]</f>
        <v>17.314999999999998</v>
      </c>
      <c r="I1194">
        <v>69.7</v>
      </c>
      <c r="J1194">
        <f>(Miami_Retail[[#This Row],[avg_temp_f]]-32) * (5/9)</f>
        <v>20.944444444444446</v>
      </c>
      <c r="K1194">
        <v>0</v>
      </c>
      <c r="L1194">
        <v>0</v>
      </c>
      <c r="M1194">
        <v>35</v>
      </c>
      <c r="N1194">
        <v>50.9</v>
      </c>
      <c r="O1194">
        <v>49.1</v>
      </c>
      <c r="P1194">
        <v>54.7</v>
      </c>
      <c r="Q1194">
        <v>45.3</v>
      </c>
    </row>
    <row r="1195" spans="1:17" x14ac:dyDescent="0.25">
      <c r="A1195" s="2">
        <v>45389</v>
      </c>
      <c r="B1195" s="2" t="str">
        <f t="shared" si="36"/>
        <v>Sunday</v>
      </c>
      <c r="C1195" s="2" t="b">
        <f t="shared" si="37"/>
        <v>1</v>
      </c>
      <c r="D1195">
        <v>2</v>
      </c>
      <c r="E1195" t="s">
        <v>6</v>
      </c>
      <c r="F1195">
        <v>248</v>
      </c>
      <c r="G1195" s="3">
        <v>4553.21</v>
      </c>
      <c r="H1195" s="3">
        <f>Miami_Retail[[#This Row],[sales_usd]] / Miami_Retail[[#This Row],[customers]]</f>
        <v>18.359717741935484</v>
      </c>
      <c r="I1195">
        <v>62.7</v>
      </c>
      <c r="J1195">
        <f>(Miami_Retail[[#This Row],[avg_temp_f]]-32) * (5/9)</f>
        <v>17.055555555555557</v>
      </c>
      <c r="K1195">
        <v>0</v>
      </c>
      <c r="L1195">
        <v>0</v>
      </c>
      <c r="M1195">
        <v>39.799999999999997</v>
      </c>
      <c r="N1195">
        <v>52</v>
      </c>
      <c r="O1195">
        <v>48</v>
      </c>
      <c r="P1195">
        <v>52.3</v>
      </c>
      <c r="Q1195">
        <v>47.7</v>
      </c>
    </row>
    <row r="1196" spans="1:17" x14ac:dyDescent="0.25">
      <c r="A1196" s="2">
        <v>45390</v>
      </c>
      <c r="B1196" s="2" t="str">
        <f t="shared" si="36"/>
        <v>Monday</v>
      </c>
      <c r="C1196" s="2" t="b">
        <f t="shared" si="37"/>
        <v>0</v>
      </c>
      <c r="D1196">
        <v>2</v>
      </c>
      <c r="E1196" t="s">
        <v>6</v>
      </c>
      <c r="F1196">
        <v>206</v>
      </c>
      <c r="G1196" s="3">
        <v>3328.9</v>
      </c>
      <c r="H1196" s="3">
        <f>Miami_Retail[[#This Row],[sales_usd]] / Miami_Retail[[#This Row],[customers]]</f>
        <v>16.159708737864079</v>
      </c>
      <c r="I1196">
        <v>67.3</v>
      </c>
      <c r="J1196">
        <f>(Miami_Retail[[#This Row],[avg_temp_f]]-32) * (5/9)</f>
        <v>19.611111111111111</v>
      </c>
      <c r="K1196">
        <v>1.7</v>
      </c>
      <c r="L1196">
        <v>1</v>
      </c>
      <c r="M1196">
        <v>45.9</v>
      </c>
      <c r="N1196">
        <v>51.8</v>
      </c>
      <c r="O1196">
        <v>48.2</v>
      </c>
      <c r="P1196">
        <v>48.2</v>
      </c>
      <c r="Q1196">
        <v>51.8</v>
      </c>
    </row>
    <row r="1197" spans="1:17" x14ac:dyDescent="0.25">
      <c r="A1197" s="2">
        <v>45391</v>
      </c>
      <c r="B1197" s="2" t="str">
        <f t="shared" si="36"/>
        <v>Tuesday</v>
      </c>
      <c r="C1197" s="2" t="b">
        <f t="shared" si="37"/>
        <v>0</v>
      </c>
      <c r="D1197">
        <v>2</v>
      </c>
      <c r="E1197" t="s">
        <v>6</v>
      </c>
      <c r="F1197">
        <v>188</v>
      </c>
      <c r="G1197" s="3">
        <v>2876.12</v>
      </c>
      <c r="H1197" s="3">
        <f>Miami_Retail[[#This Row],[sales_usd]] / Miami_Retail[[#This Row],[customers]]</f>
        <v>15.298510638297872</v>
      </c>
      <c r="I1197">
        <v>68.3</v>
      </c>
      <c r="J1197">
        <f>(Miami_Retail[[#This Row],[avg_temp_f]]-32) * (5/9)</f>
        <v>20.166666666666664</v>
      </c>
      <c r="K1197">
        <v>0</v>
      </c>
      <c r="L1197">
        <v>0</v>
      </c>
      <c r="M1197">
        <v>35</v>
      </c>
      <c r="N1197">
        <v>51.2</v>
      </c>
      <c r="O1197">
        <v>48.8</v>
      </c>
      <c r="P1197">
        <v>47.5</v>
      </c>
      <c r="Q1197">
        <v>52.5</v>
      </c>
    </row>
    <row r="1198" spans="1:17" x14ac:dyDescent="0.25">
      <c r="A1198" s="2">
        <v>45392</v>
      </c>
      <c r="B1198" s="2" t="str">
        <f t="shared" si="36"/>
        <v>Wednesday</v>
      </c>
      <c r="C1198" s="2" t="b">
        <f t="shared" si="37"/>
        <v>0</v>
      </c>
      <c r="D1198">
        <v>2</v>
      </c>
      <c r="E1198" t="s">
        <v>6</v>
      </c>
      <c r="F1198">
        <v>223</v>
      </c>
      <c r="G1198" s="3">
        <v>3731.38</v>
      </c>
      <c r="H1198" s="3">
        <f>Miami_Retail[[#This Row],[sales_usd]] / Miami_Retail[[#This Row],[customers]]</f>
        <v>16.732645739910314</v>
      </c>
      <c r="I1198">
        <v>64.7</v>
      </c>
      <c r="J1198">
        <f>(Miami_Retail[[#This Row],[avg_temp_f]]-32) * (5/9)</f>
        <v>18.166666666666668</v>
      </c>
      <c r="K1198">
        <v>0</v>
      </c>
      <c r="L1198">
        <v>0</v>
      </c>
      <c r="M1198">
        <v>36.200000000000003</v>
      </c>
      <c r="N1198">
        <v>49.7</v>
      </c>
      <c r="O1198">
        <v>50.3</v>
      </c>
      <c r="P1198">
        <v>47.3</v>
      </c>
      <c r="Q1198">
        <v>52.7</v>
      </c>
    </row>
    <row r="1199" spans="1:17" x14ac:dyDescent="0.25">
      <c r="A1199" s="2">
        <v>45393</v>
      </c>
      <c r="B1199" s="2" t="str">
        <f t="shared" si="36"/>
        <v>Thursday</v>
      </c>
      <c r="C1199" s="2" t="b">
        <f t="shared" si="37"/>
        <v>0</v>
      </c>
      <c r="D1199">
        <v>2</v>
      </c>
      <c r="E1199" t="s">
        <v>6</v>
      </c>
      <c r="F1199">
        <v>181</v>
      </c>
      <c r="G1199" s="3">
        <v>2948.37</v>
      </c>
      <c r="H1199" s="3">
        <f>Miami_Retail[[#This Row],[sales_usd]] / Miami_Retail[[#This Row],[customers]]</f>
        <v>16.289337016574585</v>
      </c>
      <c r="I1199">
        <v>73.099999999999994</v>
      </c>
      <c r="J1199">
        <f>(Miami_Retail[[#This Row],[avg_temp_f]]-32) * (5/9)</f>
        <v>22.833333333333332</v>
      </c>
      <c r="K1199">
        <v>0</v>
      </c>
      <c r="L1199">
        <v>0</v>
      </c>
      <c r="M1199">
        <v>35.1</v>
      </c>
      <c r="N1199">
        <v>52.8</v>
      </c>
      <c r="O1199">
        <v>47.2</v>
      </c>
      <c r="P1199">
        <v>48.8</v>
      </c>
      <c r="Q1199">
        <v>51.2</v>
      </c>
    </row>
    <row r="1200" spans="1:17" x14ac:dyDescent="0.25">
      <c r="A1200" s="2">
        <v>45394</v>
      </c>
      <c r="B1200" s="2" t="str">
        <f t="shared" si="36"/>
        <v>Friday</v>
      </c>
      <c r="C1200" s="2" t="b">
        <f t="shared" si="37"/>
        <v>0</v>
      </c>
      <c r="D1200">
        <v>2</v>
      </c>
      <c r="E1200" t="s">
        <v>6</v>
      </c>
      <c r="F1200">
        <v>227</v>
      </c>
      <c r="G1200" s="3">
        <v>4187.79</v>
      </c>
      <c r="H1200" s="3">
        <f>Miami_Retail[[#This Row],[sales_usd]] / Miami_Retail[[#This Row],[customers]]</f>
        <v>18.448414096916299</v>
      </c>
      <c r="I1200">
        <v>67.8</v>
      </c>
      <c r="J1200">
        <f>(Miami_Retail[[#This Row],[avg_temp_f]]-32) * (5/9)</f>
        <v>19.888888888888889</v>
      </c>
      <c r="K1200">
        <v>0</v>
      </c>
      <c r="L1200">
        <v>0</v>
      </c>
      <c r="M1200">
        <v>40.700000000000003</v>
      </c>
      <c r="N1200">
        <v>51.1</v>
      </c>
      <c r="O1200">
        <v>48.9</v>
      </c>
      <c r="P1200">
        <v>47.8</v>
      </c>
      <c r="Q1200">
        <v>52.2</v>
      </c>
    </row>
    <row r="1201" spans="1:17" x14ac:dyDescent="0.25">
      <c r="A1201" s="2">
        <v>45395</v>
      </c>
      <c r="B1201" s="2" t="str">
        <f t="shared" si="36"/>
        <v>Saturday</v>
      </c>
      <c r="C1201" s="2" t="b">
        <f t="shared" si="37"/>
        <v>1</v>
      </c>
      <c r="D1201">
        <v>2</v>
      </c>
      <c r="E1201" t="s">
        <v>6</v>
      </c>
      <c r="F1201">
        <v>262</v>
      </c>
      <c r="G1201" s="3">
        <v>4286.47</v>
      </c>
      <c r="H1201" s="3">
        <f>Miami_Retail[[#This Row],[sales_usd]] / Miami_Retail[[#This Row],[customers]]</f>
        <v>16.36057251908397</v>
      </c>
      <c r="I1201">
        <v>67.900000000000006</v>
      </c>
      <c r="J1201">
        <f>(Miami_Retail[[#This Row],[avg_temp_f]]-32) * (5/9)</f>
        <v>19.94444444444445</v>
      </c>
      <c r="K1201">
        <v>0</v>
      </c>
      <c r="L1201">
        <v>0</v>
      </c>
      <c r="M1201">
        <v>35</v>
      </c>
      <c r="N1201">
        <v>50</v>
      </c>
      <c r="O1201">
        <v>50</v>
      </c>
      <c r="P1201">
        <v>54.1</v>
      </c>
      <c r="Q1201">
        <v>45.9</v>
      </c>
    </row>
    <row r="1202" spans="1:17" x14ac:dyDescent="0.25">
      <c r="A1202" s="2">
        <v>45396</v>
      </c>
      <c r="B1202" s="2" t="str">
        <f t="shared" si="36"/>
        <v>Sunday</v>
      </c>
      <c r="C1202" s="2" t="b">
        <f t="shared" si="37"/>
        <v>1</v>
      </c>
      <c r="D1202">
        <v>2</v>
      </c>
      <c r="E1202" t="s">
        <v>6</v>
      </c>
      <c r="F1202">
        <v>250</v>
      </c>
      <c r="G1202" s="3">
        <v>4084.19</v>
      </c>
      <c r="H1202" s="3">
        <f>Miami_Retail[[#This Row],[sales_usd]] / Miami_Retail[[#This Row],[customers]]</f>
        <v>16.336760000000002</v>
      </c>
      <c r="I1202">
        <v>67.7</v>
      </c>
      <c r="J1202">
        <f>(Miami_Retail[[#This Row],[avg_temp_f]]-32) * (5/9)</f>
        <v>19.833333333333336</v>
      </c>
      <c r="K1202">
        <v>0</v>
      </c>
      <c r="L1202">
        <v>0</v>
      </c>
      <c r="M1202">
        <v>36.299999999999997</v>
      </c>
      <c r="N1202">
        <v>49</v>
      </c>
      <c r="O1202">
        <v>51</v>
      </c>
      <c r="P1202">
        <v>54.4</v>
      </c>
      <c r="Q1202">
        <v>45.6</v>
      </c>
    </row>
    <row r="1203" spans="1:17" x14ac:dyDescent="0.25">
      <c r="A1203" s="2">
        <v>45397</v>
      </c>
      <c r="B1203" s="2" t="str">
        <f t="shared" si="36"/>
        <v>Monday</v>
      </c>
      <c r="C1203" s="2" t="b">
        <f t="shared" si="37"/>
        <v>0</v>
      </c>
      <c r="D1203">
        <v>2</v>
      </c>
      <c r="E1203" t="s">
        <v>6</v>
      </c>
      <c r="F1203">
        <v>196</v>
      </c>
      <c r="G1203" s="3">
        <v>3282.49</v>
      </c>
      <c r="H1203" s="3">
        <f>Miami_Retail[[#This Row],[sales_usd]] / Miami_Retail[[#This Row],[customers]]</f>
        <v>16.747397959183672</v>
      </c>
      <c r="I1203">
        <v>67.7</v>
      </c>
      <c r="J1203">
        <f>(Miami_Retail[[#This Row],[avg_temp_f]]-32) * (5/9)</f>
        <v>19.833333333333336</v>
      </c>
      <c r="K1203">
        <v>0</v>
      </c>
      <c r="L1203">
        <v>0</v>
      </c>
      <c r="M1203">
        <v>37.5</v>
      </c>
      <c r="N1203">
        <v>51</v>
      </c>
      <c r="O1203">
        <v>49</v>
      </c>
      <c r="P1203">
        <v>47.7</v>
      </c>
      <c r="Q1203">
        <v>52.3</v>
      </c>
    </row>
    <row r="1204" spans="1:17" x14ac:dyDescent="0.25">
      <c r="A1204" s="2">
        <v>45398</v>
      </c>
      <c r="B1204" s="2" t="str">
        <f t="shared" si="36"/>
        <v>Tuesday</v>
      </c>
      <c r="C1204" s="2" t="b">
        <f t="shared" si="37"/>
        <v>0</v>
      </c>
      <c r="D1204">
        <v>2</v>
      </c>
      <c r="E1204" t="s">
        <v>6</v>
      </c>
      <c r="F1204">
        <v>203</v>
      </c>
      <c r="G1204" s="3">
        <v>3389.97</v>
      </c>
      <c r="H1204" s="3">
        <f>Miami_Retail[[#This Row],[sales_usd]] / Miami_Retail[[#This Row],[customers]]</f>
        <v>16.699359605911329</v>
      </c>
      <c r="I1204">
        <v>71.3</v>
      </c>
      <c r="J1204">
        <f>(Miami_Retail[[#This Row],[avg_temp_f]]-32) * (5/9)</f>
        <v>21.833333333333332</v>
      </c>
      <c r="K1204">
        <v>1.78</v>
      </c>
      <c r="L1204">
        <v>1</v>
      </c>
      <c r="M1204">
        <v>35</v>
      </c>
      <c r="N1204">
        <v>51.5</v>
      </c>
      <c r="O1204">
        <v>48.5</v>
      </c>
      <c r="P1204">
        <v>47.8</v>
      </c>
      <c r="Q1204">
        <v>52.2</v>
      </c>
    </row>
    <row r="1205" spans="1:17" x14ac:dyDescent="0.25">
      <c r="A1205" s="2">
        <v>45399</v>
      </c>
      <c r="B1205" s="2" t="str">
        <f t="shared" si="36"/>
        <v>Wednesday</v>
      </c>
      <c r="C1205" s="2" t="b">
        <f t="shared" si="37"/>
        <v>0</v>
      </c>
      <c r="D1205">
        <v>2</v>
      </c>
      <c r="E1205" t="s">
        <v>6</v>
      </c>
      <c r="F1205">
        <v>200</v>
      </c>
      <c r="G1205" s="3">
        <v>3593.99</v>
      </c>
      <c r="H1205" s="3">
        <f>Miami_Retail[[#This Row],[sales_usd]] / Miami_Retail[[#This Row],[customers]]</f>
        <v>17.969949999999997</v>
      </c>
      <c r="I1205">
        <v>68.900000000000006</v>
      </c>
      <c r="J1205">
        <f>(Miami_Retail[[#This Row],[avg_temp_f]]-32) * (5/9)</f>
        <v>20.500000000000004</v>
      </c>
      <c r="K1205">
        <v>0</v>
      </c>
      <c r="L1205">
        <v>0</v>
      </c>
      <c r="M1205">
        <v>35</v>
      </c>
      <c r="N1205">
        <v>51.6</v>
      </c>
      <c r="O1205">
        <v>48.4</v>
      </c>
      <c r="P1205">
        <v>46.7</v>
      </c>
      <c r="Q1205">
        <v>53.3</v>
      </c>
    </row>
    <row r="1206" spans="1:17" x14ac:dyDescent="0.25">
      <c r="A1206" s="2">
        <v>45400</v>
      </c>
      <c r="B1206" s="2" t="str">
        <f t="shared" si="36"/>
        <v>Thursday</v>
      </c>
      <c r="C1206" s="2" t="b">
        <f t="shared" si="37"/>
        <v>0</v>
      </c>
      <c r="D1206">
        <v>2</v>
      </c>
      <c r="E1206" t="s">
        <v>6</v>
      </c>
      <c r="F1206">
        <v>185</v>
      </c>
      <c r="G1206" s="3">
        <v>3108.96</v>
      </c>
      <c r="H1206" s="3">
        <f>Miami_Retail[[#This Row],[sales_usd]] / Miami_Retail[[#This Row],[customers]]</f>
        <v>16.805189189189189</v>
      </c>
      <c r="I1206">
        <v>67.599999999999994</v>
      </c>
      <c r="J1206">
        <f>(Miami_Retail[[#This Row],[avg_temp_f]]-32) * (5/9)</f>
        <v>19.777777777777775</v>
      </c>
      <c r="K1206">
        <v>0</v>
      </c>
      <c r="L1206">
        <v>0</v>
      </c>
      <c r="M1206">
        <v>39.9</v>
      </c>
      <c r="N1206">
        <v>51.6</v>
      </c>
      <c r="O1206">
        <v>48.4</v>
      </c>
      <c r="P1206">
        <v>48.5</v>
      </c>
      <c r="Q1206">
        <v>51.5</v>
      </c>
    </row>
    <row r="1207" spans="1:17" x14ac:dyDescent="0.25">
      <c r="A1207" s="2">
        <v>45401</v>
      </c>
      <c r="B1207" s="2" t="str">
        <f t="shared" si="36"/>
        <v>Friday</v>
      </c>
      <c r="C1207" s="2" t="b">
        <f t="shared" si="37"/>
        <v>0</v>
      </c>
      <c r="D1207">
        <v>2</v>
      </c>
      <c r="E1207" t="s">
        <v>6</v>
      </c>
      <c r="F1207">
        <v>211</v>
      </c>
      <c r="G1207" s="3">
        <v>3573.7</v>
      </c>
      <c r="H1207" s="3">
        <f>Miami_Retail[[#This Row],[sales_usd]] / Miami_Retail[[#This Row],[customers]]</f>
        <v>16.93696682464455</v>
      </c>
      <c r="I1207">
        <v>75.8</v>
      </c>
      <c r="J1207">
        <f>(Miami_Retail[[#This Row],[avg_temp_f]]-32) * (5/9)</f>
        <v>24.333333333333332</v>
      </c>
      <c r="K1207">
        <v>1.07</v>
      </c>
      <c r="L1207">
        <v>1</v>
      </c>
      <c r="M1207">
        <v>47.8</v>
      </c>
      <c r="N1207">
        <v>51.2</v>
      </c>
      <c r="O1207">
        <v>48.8</v>
      </c>
      <c r="P1207">
        <v>49.2</v>
      </c>
      <c r="Q1207">
        <v>50.8</v>
      </c>
    </row>
    <row r="1208" spans="1:17" x14ac:dyDescent="0.25">
      <c r="A1208" s="2">
        <v>45402</v>
      </c>
      <c r="B1208" s="2" t="str">
        <f t="shared" si="36"/>
        <v>Saturday</v>
      </c>
      <c r="C1208" s="2" t="b">
        <f t="shared" si="37"/>
        <v>1</v>
      </c>
      <c r="D1208">
        <v>2</v>
      </c>
      <c r="E1208" t="s">
        <v>6</v>
      </c>
      <c r="F1208">
        <v>218</v>
      </c>
      <c r="G1208" s="3">
        <v>3828.72</v>
      </c>
      <c r="H1208" s="3">
        <f>Miami_Retail[[#This Row],[sales_usd]] / Miami_Retail[[#This Row],[customers]]</f>
        <v>17.562935779816513</v>
      </c>
      <c r="I1208">
        <v>69.3</v>
      </c>
      <c r="J1208">
        <f>(Miami_Retail[[#This Row],[avg_temp_f]]-32) * (5/9)</f>
        <v>20.722222222222221</v>
      </c>
      <c r="K1208">
        <v>0.42</v>
      </c>
      <c r="L1208">
        <v>1</v>
      </c>
      <c r="M1208">
        <v>39.299999999999997</v>
      </c>
      <c r="N1208">
        <v>52.7</v>
      </c>
      <c r="O1208">
        <v>47.3</v>
      </c>
      <c r="P1208">
        <v>54.1</v>
      </c>
      <c r="Q1208">
        <v>45.9</v>
      </c>
    </row>
    <row r="1209" spans="1:17" x14ac:dyDescent="0.25">
      <c r="A1209" s="2">
        <v>45403</v>
      </c>
      <c r="B1209" s="2" t="str">
        <f t="shared" si="36"/>
        <v>Sunday</v>
      </c>
      <c r="C1209" s="2" t="b">
        <f t="shared" si="37"/>
        <v>1</v>
      </c>
      <c r="D1209">
        <v>2</v>
      </c>
      <c r="E1209" t="s">
        <v>6</v>
      </c>
      <c r="F1209">
        <v>210</v>
      </c>
      <c r="G1209" s="3">
        <v>3534.8</v>
      </c>
      <c r="H1209" s="3">
        <f>Miami_Retail[[#This Row],[sales_usd]] / Miami_Retail[[#This Row],[customers]]</f>
        <v>16.832380952380952</v>
      </c>
      <c r="I1209">
        <v>67.8</v>
      </c>
      <c r="J1209">
        <f>(Miami_Retail[[#This Row],[avg_temp_f]]-32) * (5/9)</f>
        <v>19.888888888888889</v>
      </c>
      <c r="K1209">
        <v>0</v>
      </c>
      <c r="L1209">
        <v>0</v>
      </c>
      <c r="M1209">
        <v>39.1</v>
      </c>
      <c r="N1209">
        <v>50.9</v>
      </c>
      <c r="O1209">
        <v>49.1</v>
      </c>
      <c r="P1209">
        <v>52.4</v>
      </c>
      <c r="Q1209">
        <v>47.6</v>
      </c>
    </row>
    <row r="1210" spans="1:17" x14ac:dyDescent="0.25">
      <c r="A1210" s="2">
        <v>45404</v>
      </c>
      <c r="B1210" s="2" t="str">
        <f t="shared" si="36"/>
        <v>Monday</v>
      </c>
      <c r="C1210" s="2" t="b">
        <f t="shared" si="37"/>
        <v>0</v>
      </c>
      <c r="D1210">
        <v>2</v>
      </c>
      <c r="E1210" t="s">
        <v>6</v>
      </c>
      <c r="F1210">
        <v>213</v>
      </c>
      <c r="G1210" s="3">
        <v>3575.26</v>
      </c>
      <c r="H1210" s="3">
        <f>Miami_Retail[[#This Row],[sales_usd]] / Miami_Retail[[#This Row],[customers]]</f>
        <v>16.785258215962443</v>
      </c>
      <c r="I1210">
        <v>70.099999999999994</v>
      </c>
      <c r="J1210">
        <f>(Miami_Retail[[#This Row],[avg_temp_f]]-32) * (5/9)</f>
        <v>21.166666666666664</v>
      </c>
      <c r="K1210">
        <v>0</v>
      </c>
      <c r="L1210">
        <v>0</v>
      </c>
      <c r="M1210">
        <v>35</v>
      </c>
      <c r="N1210">
        <v>51.2</v>
      </c>
      <c r="O1210">
        <v>48.8</v>
      </c>
      <c r="P1210">
        <v>47.6</v>
      </c>
      <c r="Q1210">
        <v>52.4</v>
      </c>
    </row>
    <row r="1211" spans="1:17" x14ac:dyDescent="0.25">
      <c r="A1211" s="2">
        <v>45405</v>
      </c>
      <c r="B1211" s="2" t="str">
        <f t="shared" si="36"/>
        <v>Tuesday</v>
      </c>
      <c r="C1211" s="2" t="b">
        <f t="shared" si="37"/>
        <v>0</v>
      </c>
      <c r="D1211">
        <v>2</v>
      </c>
      <c r="E1211" t="s">
        <v>6</v>
      </c>
      <c r="F1211">
        <v>204</v>
      </c>
      <c r="G1211" s="3">
        <v>3494.81</v>
      </c>
      <c r="H1211" s="3">
        <f>Miami_Retail[[#This Row],[sales_usd]] / Miami_Retail[[#This Row],[customers]]</f>
        <v>17.131421568627452</v>
      </c>
      <c r="I1211">
        <v>69.2</v>
      </c>
      <c r="J1211">
        <f>(Miami_Retail[[#This Row],[avg_temp_f]]-32) * (5/9)</f>
        <v>20.666666666666668</v>
      </c>
      <c r="K1211">
        <v>0</v>
      </c>
      <c r="L1211">
        <v>0</v>
      </c>
      <c r="M1211">
        <v>39.1</v>
      </c>
      <c r="N1211">
        <v>51.3</v>
      </c>
      <c r="O1211">
        <v>48.7</v>
      </c>
      <c r="P1211">
        <v>47.4</v>
      </c>
      <c r="Q1211">
        <v>52.6</v>
      </c>
    </row>
    <row r="1212" spans="1:17" x14ac:dyDescent="0.25">
      <c r="A1212" s="2">
        <v>45406</v>
      </c>
      <c r="B1212" s="2" t="str">
        <f t="shared" si="36"/>
        <v>Wednesday</v>
      </c>
      <c r="C1212" s="2" t="b">
        <f t="shared" si="37"/>
        <v>0</v>
      </c>
      <c r="D1212">
        <v>2</v>
      </c>
      <c r="E1212" t="s">
        <v>6</v>
      </c>
      <c r="F1212">
        <v>158</v>
      </c>
      <c r="G1212" s="3">
        <v>2789.48</v>
      </c>
      <c r="H1212" s="3">
        <f>Miami_Retail[[#This Row],[sales_usd]] / Miami_Retail[[#This Row],[customers]]</f>
        <v>17.65493670886076</v>
      </c>
      <c r="I1212">
        <v>68.8</v>
      </c>
      <c r="J1212">
        <f>(Miami_Retail[[#This Row],[avg_temp_f]]-32) * (5/9)</f>
        <v>20.444444444444443</v>
      </c>
      <c r="K1212">
        <v>0</v>
      </c>
      <c r="L1212">
        <v>0</v>
      </c>
      <c r="M1212">
        <v>35.5</v>
      </c>
      <c r="N1212">
        <v>51.7</v>
      </c>
      <c r="O1212">
        <v>48.3</v>
      </c>
      <c r="P1212">
        <v>47.2</v>
      </c>
      <c r="Q1212">
        <v>52.8</v>
      </c>
    </row>
    <row r="1213" spans="1:17" x14ac:dyDescent="0.25">
      <c r="A1213" s="2">
        <v>45407</v>
      </c>
      <c r="B1213" s="2" t="str">
        <f t="shared" si="36"/>
        <v>Thursday</v>
      </c>
      <c r="C1213" s="2" t="b">
        <f t="shared" si="37"/>
        <v>0</v>
      </c>
      <c r="D1213">
        <v>2</v>
      </c>
      <c r="E1213" t="s">
        <v>6</v>
      </c>
      <c r="F1213">
        <v>174</v>
      </c>
      <c r="G1213" s="3">
        <v>3210.1</v>
      </c>
      <c r="H1213" s="3">
        <f>Miami_Retail[[#This Row],[sales_usd]] / Miami_Retail[[#This Row],[customers]]</f>
        <v>18.448850574712644</v>
      </c>
      <c r="I1213">
        <v>67</v>
      </c>
      <c r="J1213">
        <f>(Miami_Retail[[#This Row],[avg_temp_f]]-32) * (5/9)</f>
        <v>19.444444444444446</v>
      </c>
      <c r="K1213">
        <v>2.58</v>
      </c>
      <c r="L1213">
        <v>1</v>
      </c>
      <c r="M1213">
        <v>38.1</v>
      </c>
      <c r="N1213">
        <v>53.9</v>
      </c>
      <c r="O1213">
        <v>46.1</v>
      </c>
      <c r="P1213">
        <v>46.8</v>
      </c>
      <c r="Q1213">
        <v>53.2</v>
      </c>
    </row>
    <row r="1214" spans="1:17" x14ac:dyDescent="0.25">
      <c r="A1214" s="2">
        <v>45408</v>
      </c>
      <c r="B1214" s="2" t="str">
        <f t="shared" si="36"/>
        <v>Friday</v>
      </c>
      <c r="C1214" s="2" t="b">
        <f t="shared" si="37"/>
        <v>0</v>
      </c>
      <c r="D1214">
        <v>2</v>
      </c>
      <c r="E1214" t="s">
        <v>6</v>
      </c>
      <c r="F1214">
        <v>218</v>
      </c>
      <c r="G1214" s="3">
        <v>3480.4</v>
      </c>
      <c r="H1214" s="3">
        <f>Miami_Retail[[#This Row],[sales_usd]] / Miami_Retail[[#This Row],[customers]]</f>
        <v>15.9651376146789</v>
      </c>
      <c r="I1214">
        <v>59.9</v>
      </c>
      <c r="J1214">
        <f>(Miami_Retail[[#This Row],[avg_temp_f]]-32) * (5/9)</f>
        <v>15.5</v>
      </c>
      <c r="K1214">
        <v>0</v>
      </c>
      <c r="L1214">
        <v>0</v>
      </c>
      <c r="M1214">
        <v>36.299999999999997</v>
      </c>
      <c r="N1214">
        <v>52.8</v>
      </c>
      <c r="O1214">
        <v>47.2</v>
      </c>
      <c r="P1214">
        <v>47.3</v>
      </c>
      <c r="Q1214">
        <v>52.7</v>
      </c>
    </row>
    <row r="1215" spans="1:17" x14ac:dyDescent="0.25">
      <c r="A1215" s="2">
        <v>45409</v>
      </c>
      <c r="B1215" s="2" t="str">
        <f t="shared" si="36"/>
        <v>Saturday</v>
      </c>
      <c r="C1215" s="2" t="b">
        <f t="shared" si="37"/>
        <v>1</v>
      </c>
      <c r="D1215">
        <v>2</v>
      </c>
      <c r="E1215" t="s">
        <v>6</v>
      </c>
      <c r="F1215">
        <v>205</v>
      </c>
      <c r="G1215" s="3">
        <v>3344.5</v>
      </c>
      <c r="H1215" s="3">
        <f>Miami_Retail[[#This Row],[sales_usd]] / Miami_Retail[[#This Row],[customers]]</f>
        <v>16.314634146341465</v>
      </c>
      <c r="I1215">
        <v>70.400000000000006</v>
      </c>
      <c r="J1215">
        <f>(Miami_Retail[[#This Row],[avg_temp_f]]-32) * (5/9)</f>
        <v>21.333333333333336</v>
      </c>
      <c r="K1215">
        <v>0</v>
      </c>
      <c r="L1215">
        <v>0</v>
      </c>
      <c r="M1215">
        <v>47.3</v>
      </c>
      <c r="N1215">
        <v>50.9</v>
      </c>
      <c r="O1215">
        <v>49.1</v>
      </c>
      <c r="P1215">
        <v>54.7</v>
      </c>
      <c r="Q1215">
        <v>45.3</v>
      </c>
    </row>
    <row r="1216" spans="1:17" x14ac:dyDescent="0.25">
      <c r="A1216" s="2">
        <v>45410</v>
      </c>
      <c r="B1216" s="2" t="str">
        <f t="shared" si="36"/>
        <v>Sunday</v>
      </c>
      <c r="C1216" s="2" t="b">
        <f t="shared" si="37"/>
        <v>1</v>
      </c>
      <c r="D1216">
        <v>2</v>
      </c>
      <c r="E1216" t="s">
        <v>6</v>
      </c>
      <c r="F1216">
        <v>242</v>
      </c>
      <c r="G1216" s="3">
        <v>4073.39</v>
      </c>
      <c r="H1216" s="3">
        <f>Miami_Retail[[#This Row],[sales_usd]] / Miami_Retail[[#This Row],[customers]]</f>
        <v>16.832190082644626</v>
      </c>
      <c r="I1216">
        <v>67.099999999999994</v>
      </c>
      <c r="J1216">
        <f>(Miami_Retail[[#This Row],[avg_temp_f]]-32) * (5/9)</f>
        <v>19.499999999999996</v>
      </c>
      <c r="K1216">
        <v>0</v>
      </c>
      <c r="L1216">
        <v>0</v>
      </c>
      <c r="M1216">
        <v>53.8</v>
      </c>
      <c r="N1216">
        <v>52.4</v>
      </c>
      <c r="O1216">
        <v>47.6</v>
      </c>
      <c r="P1216">
        <v>53.2</v>
      </c>
      <c r="Q1216">
        <v>46.8</v>
      </c>
    </row>
    <row r="1217" spans="1:17" x14ac:dyDescent="0.25">
      <c r="A1217" s="2">
        <v>45411</v>
      </c>
      <c r="B1217" s="2" t="str">
        <f t="shared" si="36"/>
        <v>Monday</v>
      </c>
      <c r="C1217" s="2" t="b">
        <f t="shared" si="37"/>
        <v>0</v>
      </c>
      <c r="D1217">
        <v>2</v>
      </c>
      <c r="E1217" t="s">
        <v>6</v>
      </c>
      <c r="F1217">
        <v>226</v>
      </c>
      <c r="G1217" s="3">
        <v>3822.28</v>
      </c>
      <c r="H1217" s="3">
        <f>Miami_Retail[[#This Row],[sales_usd]] / Miami_Retail[[#This Row],[customers]]</f>
        <v>16.912743362831858</v>
      </c>
      <c r="I1217">
        <v>64.8</v>
      </c>
      <c r="J1217">
        <f>(Miami_Retail[[#This Row],[avg_temp_f]]-32) * (5/9)</f>
        <v>18.222222222222221</v>
      </c>
      <c r="K1217">
        <v>0</v>
      </c>
      <c r="L1217">
        <v>0</v>
      </c>
      <c r="M1217">
        <v>42.9</v>
      </c>
      <c r="N1217">
        <v>51.9</v>
      </c>
      <c r="O1217">
        <v>48.1</v>
      </c>
      <c r="P1217">
        <v>47.9</v>
      </c>
      <c r="Q1217">
        <v>52.1</v>
      </c>
    </row>
    <row r="1218" spans="1:17" x14ac:dyDescent="0.25">
      <c r="A1218" s="2">
        <v>45412</v>
      </c>
      <c r="B1218" s="2" t="str">
        <f t="shared" ref="B1218:B1281" si="38">TEXT(A1218, "dddd")</f>
        <v>Tuesday</v>
      </c>
      <c r="C1218" s="2" t="b">
        <f t="shared" ref="C1218:C1281" si="39">IF(WEEKDAY(A1218,2)&gt;5,TRUE,FALSE)</f>
        <v>0</v>
      </c>
      <c r="D1218">
        <v>2</v>
      </c>
      <c r="E1218" t="s">
        <v>6</v>
      </c>
      <c r="F1218">
        <v>233</v>
      </c>
      <c r="G1218" s="3">
        <v>4035.85</v>
      </c>
      <c r="H1218" s="3">
        <f>Miami_Retail[[#This Row],[sales_usd]] / Miami_Retail[[#This Row],[customers]]</f>
        <v>17.321244635193132</v>
      </c>
      <c r="I1218">
        <v>70.099999999999994</v>
      </c>
      <c r="J1218">
        <f>(Miami_Retail[[#This Row],[avg_temp_f]]-32) * (5/9)</f>
        <v>21.166666666666664</v>
      </c>
      <c r="K1218">
        <v>0</v>
      </c>
      <c r="L1218">
        <v>0</v>
      </c>
      <c r="M1218">
        <v>41.7</v>
      </c>
      <c r="N1218">
        <v>50.7</v>
      </c>
      <c r="O1218">
        <v>49.3</v>
      </c>
      <c r="P1218">
        <v>47.7</v>
      </c>
      <c r="Q1218">
        <v>52.3</v>
      </c>
    </row>
    <row r="1219" spans="1:17" x14ac:dyDescent="0.25">
      <c r="A1219" s="2">
        <v>45413</v>
      </c>
      <c r="B1219" s="2" t="str">
        <f t="shared" si="38"/>
        <v>Wednesday</v>
      </c>
      <c r="C1219" s="2" t="b">
        <f t="shared" si="39"/>
        <v>0</v>
      </c>
      <c r="D1219">
        <v>2</v>
      </c>
      <c r="E1219" t="s">
        <v>6</v>
      </c>
      <c r="F1219">
        <v>207</v>
      </c>
      <c r="G1219" s="3">
        <v>3599.67</v>
      </c>
      <c r="H1219" s="3">
        <f>Miami_Retail[[#This Row],[sales_usd]] / Miami_Retail[[#This Row],[customers]]</f>
        <v>17.389710144927538</v>
      </c>
      <c r="I1219">
        <v>66.2</v>
      </c>
      <c r="J1219">
        <f>(Miami_Retail[[#This Row],[avg_temp_f]]-32) * (5/9)</f>
        <v>19.000000000000004</v>
      </c>
      <c r="K1219">
        <v>0</v>
      </c>
      <c r="L1219">
        <v>0</v>
      </c>
      <c r="M1219">
        <v>43.1</v>
      </c>
      <c r="N1219">
        <v>51.2</v>
      </c>
      <c r="O1219">
        <v>48.8</v>
      </c>
      <c r="P1219">
        <v>48.2</v>
      </c>
      <c r="Q1219">
        <v>51.8</v>
      </c>
    </row>
    <row r="1220" spans="1:17" x14ac:dyDescent="0.25">
      <c r="A1220" s="2">
        <v>45414</v>
      </c>
      <c r="B1220" s="2" t="str">
        <f t="shared" si="38"/>
        <v>Thursday</v>
      </c>
      <c r="C1220" s="2" t="b">
        <f t="shared" si="39"/>
        <v>0</v>
      </c>
      <c r="D1220">
        <v>2</v>
      </c>
      <c r="E1220" t="s">
        <v>6</v>
      </c>
      <c r="F1220">
        <v>218</v>
      </c>
      <c r="G1220" s="3">
        <v>3980.08</v>
      </c>
      <c r="H1220" s="3">
        <f>Miami_Retail[[#This Row],[sales_usd]] / Miami_Retail[[#This Row],[customers]]</f>
        <v>18.257247706422017</v>
      </c>
      <c r="I1220">
        <v>72.900000000000006</v>
      </c>
      <c r="J1220">
        <f>(Miami_Retail[[#This Row],[avg_temp_f]]-32) * (5/9)</f>
        <v>22.722222222222225</v>
      </c>
      <c r="K1220">
        <v>0.5</v>
      </c>
      <c r="L1220">
        <v>1</v>
      </c>
      <c r="M1220">
        <v>38.9</v>
      </c>
      <c r="N1220">
        <v>52</v>
      </c>
      <c r="O1220">
        <v>48</v>
      </c>
      <c r="P1220">
        <v>48.9</v>
      </c>
      <c r="Q1220">
        <v>51.1</v>
      </c>
    </row>
    <row r="1221" spans="1:17" x14ac:dyDescent="0.25">
      <c r="A1221" s="2">
        <v>45415</v>
      </c>
      <c r="B1221" s="2" t="str">
        <f t="shared" si="38"/>
        <v>Friday</v>
      </c>
      <c r="C1221" s="2" t="b">
        <f t="shared" si="39"/>
        <v>0</v>
      </c>
      <c r="D1221">
        <v>2</v>
      </c>
      <c r="E1221" t="s">
        <v>6</v>
      </c>
      <c r="F1221">
        <v>181</v>
      </c>
      <c r="G1221" s="3">
        <v>3118.53</v>
      </c>
      <c r="H1221" s="3">
        <f>Miami_Retail[[#This Row],[sales_usd]] / Miami_Retail[[#This Row],[customers]]</f>
        <v>17.229447513812154</v>
      </c>
      <c r="I1221">
        <v>71</v>
      </c>
      <c r="J1221">
        <f>(Miami_Retail[[#This Row],[avg_temp_f]]-32) * (5/9)</f>
        <v>21.666666666666668</v>
      </c>
      <c r="K1221">
        <v>0</v>
      </c>
      <c r="L1221">
        <v>0</v>
      </c>
      <c r="M1221">
        <v>39.299999999999997</v>
      </c>
      <c r="N1221">
        <v>52.4</v>
      </c>
      <c r="O1221">
        <v>47.6</v>
      </c>
      <c r="P1221">
        <v>49</v>
      </c>
      <c r="Q1221">
        <v>51</v>
      </c>
    </row>
    <row r="1222" spans="1:17" x14ac:dyDescent="0.25">
      <c r="A1222" s="2">
        <v>45416</v>
      </c>
      <c r="B1222" s="2" t="str">
        <f t="shared" si="38"/>
        <v>Saturday</v>
      </c>
      <c r="C1222" s="2" t="b">
        <f t="shared" si="39"/>
        <v>1</v>
      </c>
      <c r="D1222">
        <v>2</v>
      </c>
      <c r="E1222" t="s">
        <v>6</v>
      </c>
      <c r="F1222">
        <v>235</v>
      </c>
      <c r="G1222" s="3">
        <v>3779.76</v>
      </c>
      <c r="H1222" s="3">
        <f>Miami_Retail[[#This Row],[sales_usd]] / Miami_Retail[[#This Row],[customers]]</f>
        <v>16.084085106382979</v>
      </c>
      <c r="I1222">
        <v>65.400000000000006</v>
      </c>
      <c r="J1222">
        <f>(Miami_Retail[[#This Row],[avg_temp_f]]-32) * (5/9)</f>
        <v>18.555555555555561</v>
      </c>
      <c r="K1222">
        <v>0</v>
      </c>
      <c r="L1222">
        <v>0</v>
      </c>
      <c r="M1222">
        <v>48.3</v>
      </c>
      <c r="N1222">
        <v>51.7</v>
      </c>
      <c r="O1222">
        <v>48.3</v>
      </c>
      <c r="P1222">
        <v>54.1</v>
      </c>
      <c r="Q1222">
        <v>45.9</v>
      </c>
    </row>
    <row r="1223" spans="1:17" x14ac:dyDescent="0.25">
      <c r="A1223" s="2">
        <v>45417</v>
      </c>
      <c r="B1223" s="2" t="str">
        <f t="shared" si="38"/>
        <v>Sunday</v>
      </c>
      <c r="C1223" s="2" t="b">
        <f t="shared" si="39"/>
        <v>1</v>
      </c>
      <c r="D1223">
        <v>2</v>
      </c>
      <c r="E1223" t="s">
        <v>6</v>
      </c>
      <c r="F1223">
        <v>209</v>
      </c>
      <c r="G1223" s="3">
        <v>3579.61</v>
      </c>
      <c r="H1223" s="3">
        <f>Miami_Retail[[#This Row],[sales_usd]] / Miami_Retail[[#This Row],[customers]]</f>
        <v>17.127320574162681</v>
      </c>
      <c r="I1223">
        <v>68.5</v>
      </c>
      <c r="J1223">
        <f>(Miami_Retail[[#This Row],[avg_temp_f]]-32) * (5/9)</f>
        <v>20.277777777777779</v>
      </c>
      <c r="K1223">
        <v>0.22</v>
      </c>
      <c r="L1223">
        <v>1</v>
      </c>
      <c r="M1223">
        <v>42.6</v>
      </c>
      <c r="N1223">
        <v>51.9</v>
      </c>
      <c r="O1223">
        <v>48.1</v>
      </c>
      <c r="P1223">
        <v>54.8</v>
      </c>
      <c r="Q1223">
        <v>45.2</v>
      </c>
    </row>
    <row r="1224" spans="1:17" x14ac:dyDescent="0.25">
      <c r="A1224" s="2">
        <v>45418</v>
      </c>
      <c r="B1224" s="2" t="str">
        <f t="shared" si="38"/>
        <v>Monday</v>
      </c>
      <c r="C1224" s="2" t="b">
        <f t="shared" si="39"/>
        <v>0</v>
      </c>
      <c r="D1224">
        <v>2</v>
      </c>
      <c r="E1224" t="s">
        <v>6</v>
      </c>
      <c r="F1224">
        <v>195</v>
      </c>
      <c r="G1224" s="3">
        <v>3205.66</v>
      </c>
      <c r="H1224" s="3">
        <f>Miami_Retail[[#This Row],[sales_usd]] / Miami_Retail[[#This Row],[customers]]</f>
        <v>16.439282051282049</v>
      </c>
      <c r="I1224">
        <v>68.5</v>
      </c>
      <c r="J1224">
        <f>(Miami_Retail[[#This Row],[avg_temp_f]]-32) * (5/9)</f>
        <v>20.277777777777779</v>
      </c>
      <c r="K1224">
        <v>0.45</v>
      </c>
      <c r="L1224">
        <v>1</v>
      </c>
      <c r="M1224">
        <v>52.5</v>
      </c>
      <c r="N1224">
        <v>50.4</v>
      </c>
      <c r="O1224">
        <v>49.6</v>
      </c>
      <c r="P1224">
        <v>47.6</v>
      </c>
      <c r="Q1224">
        <v>52.4</v>
      </c>
    </row>
    <row r="1225" spans="1:17" x14ac:dyDescent="0.25">
      <c r="A1225" s="2">
        <v>45419</v>
      </c>
      <c r="B1225" s="2" t="str">
        <f t="shared" si="38"/>
        <v>Tuesday</v>
      </c>
      <c r="C1225" s="2" t="b">
        <f t="shared" si="39"/>
        <v>0</v>
      </c>
      <c r="D1225">
        <v>2</v>
      </c>
      <c r="E1225" t="s">
        <v>6</v>
      </c>
      <c r="F1225">
        <v>212</v>
      </c>
      <c r="G1225" s="3">
        <v>3680.26</v>
      </c>
      <c r="H1225" s="3">
        <f>Miami_Retail[[#This Row],[sales_usd]] / Miami_Retail[[#This Row],[customers]]</f>
        <v>17.359716981132078</v>
      </c>
      <c r="I1225">
        <v>71.3</v>
      </c>
      <c r="J1225">
        <f>(Miami_Retail[[#This Row],[avg_temp_f]]-32) * (5/9)</f>
        <v>21.833333333333332</v>
      </c>
      <c r="K1225">
        <v>0</v>
      </c>
      <c r="L1225">
        <v>0</v>
      </c>
      <c r="M1225">
        <v>52.2</v>
      </c>
      <c r="N1225">
        <v>51.3</v>
      </c>
      <c r="O1225">
        <v>48.7</v>
      </c>
      <c r="P1225">
        <v>48</v>
      </c>
      <c r="Q1225">
        <v>52</v>
      </c>
    </row>
    <row r="1226" spans="1:17" x14ac:dyDescent="0.25">
      <c r="A1226" s="2">
        <v>45420</v>
      </c>
      <c r="B1226" s="2" t="str">
        <f t="shared" si="38"/>
        <v>Wednesday</v>
      </c>
      <c r="C1226" s="2" t="b">
        <f t="shared" si="39"/>
        <v>0</v>
      </c>
      <c r="D1226">
        <v>2</v>
      </c>
      <c r="E1226" t="s">
        <v>6</v>
      </c>
      <c r="F1226">
        <v>170</v>
      </c>
      <c r="G1226" s="3">
        <v>2865.26</v>
      </c>
      <c r="H1226" s="3">
        <f>Miami_Retail[[#This Row],[sales_usd]] / Miami_Retail[[#This Row],[customers]]</f>
        <v>16.854470588235294</v>
      </c>
      <c r="I1226">
        <v>65.599999999999994</v>
      </c>
      <c r="J1226">
        <f>(Miami_Retail[[#This Row],[avg_temp_f]]-32) * (5/9)</f>
        <v>18.666666666666664</v>
      </c>
      <c r="K1226">
        <v>1</v>
      </c>
      <c r="L1226">
        <v>1</v>
      </c>
      <c r="M1226">
        <v>35</v>
      </c>
      <c r="N1226">
        <v>51</v>
      </c>
      <c r="O1226">
        <v>49</v>
      </c>
      <c r="P1226">
        <v>46.9</v>
      </c>
      <c r="Q1226">
        <v>53.1</v>
      </c>
    </row>
    <row r="1227" spans="1:17" x14ac:dyDescent="0.25">
      <c r="A1227" s="2">
        <v>45421</v>
      </c>
      <c r="B1227" s="2" t="str">
        <f t="shared" si="38"/>
        <v>Thursday</v>
      </c>
      <c r="C1227" s="2" t="b">
        <f t="shared" si="39"/>
        <v>0</v>
      </c>
      <c r="D1227">
        <v>2</v>
      </c>
      <c r="E1227" t="s">
        <v>6</v>
      </c>
      <c r="F1227">
        <v>221</v>
      </c>
      <c r="G1227" s="3">
        <v>3820.86</v>
      </c>
      <c r="H1227" s="3">
        <f>Miami_Retail[[#This Row],[sales_usd]] / Miami_Retail[[#This Row],[customers]]</f>
        <v>17.288959276018101</v>
      </c>
      <c r="I1227">
        <v>74.099999999999994</v>
      </c>
      <c r="J1227">
        <f>(Miami_Retail[[#This Row],[avg_temp_f]]-32) * (5/9)</f>
        <v>23.388888888888886</v>
      </c>
      <c r="K1227">
        <v>0</v>
      </c>
      <c r="L1227">
        <v>0</v>
      </c>
      <c r="M1227">
        <v>42.7</v>
      </c>
      <c r="N1227">
        <v>52.2</v>
      </c>
      <c r="O1227">
        <v>47.8</v>
      </c>
      <c r="P1227">
        <v>46.1</v>
      </c>
      <c r="Q1227">
        <v>53.9</v>
      </c>
    </row>
    <row r="1228" spans="1:17" x14ac:dyDescent="0.25">
      <c r="A1228" s="2">
        <v>45422</v>
      </c>
      <c r="B1228" s="2" t="str">
        <f t="shared" si="38"/>
        <v>Friday</v>
      </c>
      <c r="C1228" s="2" t="b">
        <f t="shared" si="39"/>
        <v>0</v>
      </c>
      <c r="D1228">
        <v>2</v>
      </c>
      <c r="E1228" t="s">
        <v>6</v>
      </c>
      <c r="F1228">
        <v>200</v>
      </c>
      <c r="G1228" s="3">
        <v>3533.74</v>
      </c>
      <c r="H1228" s="3">
        <f>Miami_Retail[[#This Row],[sales_usd]] / Miami_Retail[[#This Row],[customers]]</f>
        <v>17.668699999999998</v>
      </c>
      <c r="I1228">
        <v>72.400000000000006</v>
      </c>
      <c r="J1228">
        <f>(Miami_Retail[[#This Row],[avg_temp_f]]-32) * (5/9)</f>
        <v>22.44444444444445</v>
      </c>
      <c r="K1228">
        <v>0</v>
      </c>
      <c r="L1228">
        <v>0</v>
      </c>
      <c r="M1228">
        <v>46.8</v>
      </c>
      <c r="N1228">
        <v>48.7</v>
      </c>
      <c r="O1228">
        <v>51.3</v>
      </c>
      <c r="P1228">
        <v>47.6</v>
      </c>
      <c r="Q1228">
        <v>52.4</v>
      </c>
    </row>
    <row r="1229" spans="1:17" x14ac:dyDescent="0.25">
      <c r="A1229" s="2">
        <v>45423</v>
      </c>
      <c r="B1229" s="2" t="str">
        <f t="shared" si="38"/>
        <v>Saturday</v>
      </c>
      <c r="C1229" s="2" t="b">
        <f t="shared" si="39"/>
        <v>1</v>
      </c>
      <c r="D1229">
        <v>2</v>
      </c>
      <c r="E1229" t="s">
        <v>6</v>
      </c>
      <c r="F1229">
        <v>248</v>
      </c>
      <c r="G1229" s="3">
        <v>4175.2299999999996</v>
      </c>
      <c r="H1229" s="3">
        <f>Miami_Retail[[#This Row],[sales_usd]] / Miami_Retail[[#This Row],[customers]]</f>
        <v>16.835604838709674</v>
      </c>
      <c r="I1229">
        <v>63.2</v>
      </c>
      <c r="J1229">
        <f>(Miami_Retail[[#This Row],[avg_temp_f]]-32) * (5/9)</f>
        <v>17.333333333333336</v>
      </c>
      <c r="K1229">
        <v>1.59</v>
      </c>
      <c r="L1229">
        <v>1</v>
      </c>
      <c r="M1229">
        <v>49.1</v>
      </c>
      <c r="N1229">
        <v>51</v>
      </c>
      <c r="O1229">
        <v>49</v>
      </c>
      <c r="P1229">
        <v>56.6</v>
      </c>
      <c r="Q1229">
        <v>43.4</v>
      </c>
    </row>
    <row r="1230" spans="1:17" x14ac:dyDescent="0.25">
      <c r="A1230" s="2">
        <v>45424</v>
      </c>
      <c r="B1230" s="2" t="str">
        <f t="shared" si="38"/>
        <v>Sunday</v>
      </c>
      <c r="C1230" s="2" t="b">
        <f t="shared" si="39"/>
        <v>1</v>
      </c>
      <c r="D1230">
        <v>2</v>
      </c>
      <c r="E1230" t="s">
        <v>6</v>
      </c>
      <c r="F1230">
        <v>250</v>
      </c>
      <c r="G1230" s="3">
        <v>4086.26</v>
      </c>
      <c r="H1230" s="3">
        <f>Miami_Retail[[#This Row],[sales_usd]] / Miami_Retail[[#This Row],[customers]]</f>
        <v>16.345040000000001</v>
      </c>
      <c r="I1230">
        <v>74.099999999999994</v>
      </c>
      <c r="J1230">
        <f>(Miami_Retail[[#This Row],[avg_temp_f]]-32) * (5/9)</f>
        <v>23.388888888888886</v>
      </c>
      <c r="K1230">
        <v>0.4</v>
      </c>
      <c r="L1230">
        <v>1</v>
      </c>
      <c r="M1230">
        <v>48.3</v>
      </c>
      <c r="N1230">
        <v>52.6</v>
      </c>
      <c r="O1230">
        <v>47.4</v>
      </c>
      <c r="P1230">
        <v>53.4</v>
      </c>
      <c r="Q1230">
        <v>46.6</v>
      </c>
    </row>
    <row r="1231" spans="1:17" x14ac:dyDescent="0.25">
      <c r="A1231" s="2">
        <v>45425</v>
      </c>
      <c r="B1231" s="2" t="str">
        <f t="shared" si="38"/>
        <v>Monday</v>
      </c>
      <c r="C1231" s="2" t="b">
        <f t="shared" si="39"/>
        <v>0</v>
      </c>
      <c r="D1231">
        <v>2</v>
      </c>
      <c r="E1231" t="s">
        <v>6</v>
      </c>
      <c r="F1231">
        <v>181</v>
      </c>
      <c r="G1231" s="3">
        <v>2885.53</v>
      </c>
      <c r="H1231" s="3">
        <f>Miami_Retail[[#This Row],[sales_usd]] / Miami_Retail[[#This Row],[customers]]</f>
        <v>15.942154696132597</v>
      </c>
      <c r="I1231">
        <v>68.900000000000006</v>
      </c>
      <c r="J1231">
        <f>(Miami_Retail[[#This Row],[avg_temp_f]]-32) * (5/9)</f>
        <v>20.500000000000004</v>
      </c>
      <c r="K1231">
        <v>0.37</v>
      </c>
      <c r="L1231">
        <v>1</v>
      </c>
      <c r="M1231">
        <v>49.5</v>
      </c>
      <c r="N1231">
        <v>50.7</v>
      </c>
      <c r="O1231">
        <v>49.3</v>
      </c>
      <c r="P1231">
        <v>50.6</v>
      </c>
      <c r="Q1231">
        <v>49.4</v>
      </c>
    </row>
    <row r="1232" spans="1:17" x14ac:dyDescent="0.25">
      <c r="A1232" s="2">
        <v>45426</v>
      </c>
      <c r="B1232" s="2" t="str">
        <f t="shared" si="38"/>
        <v>Tuesday</v>
      </c>
      <c r="C1232" s="2" t="b">
        <f t="shared" si="39"/>
        <v>0</v>
      </c>
      <c r="D1232">
        <v>2</v>
      </c>
      <c r="E1232" t="s">
        <v>6</v>
      </c>
      <c r="F1232">
        <v>226</v>
      </c>
      <c r="G1232" s="3">
        <v>3762.66</v>
      </c>
      <c r="H1232" s="3">
        <f>Miami_Retail[[#This Row],[sales_usd]] / Miami_Retail[[#This Row],[customers]]</f>
        <v>16.648938053097343</v>
      </c>
      <c r="I1232">
        <v>77.400000000000006</v>
      </c>
      <c r="J1232">
        <f>(Miami_Retail[[#This Row],[avg_temp_f]]-32) * (5/9)</f>
        <v>25.222222222222225</v>
      </c>
      <c r="K1232">
        <v>0</v>
      </c>
      <c r="L1232">
        <v>0</v>
      </c>
      <c r="M1232">
        <v>43.2</v>
      </c>
      <c r="N1232">
        <v>50.6</v>
      </c>
      <c r="O1232">
        <v>49.4</v>
      </c>
      <c r="P1232">
        <v>46.6</v>
      </c>
      <c r="Q1232">
        <v>53.4</v>
      </c>
    </row>
    <row r="1233" spans="1:17" x14ac:dyDescent="0.25">
      <c r="A1233" s="2">
        <v>45427</v>
      </c>
      <c r="B1233" s="2" t="str">
        <f t="shared" si="38"/>
        <v>Wednesday</v>
      </c>
      <c r="C1233" s="2" t="b">
        <f t="shared" si="39"/>
        <v>0</v>
      </c>
      <c r="D1233">
        <v>2</v>
      </c>
      <c r="E1233" t="s">
        <v>6</v>
      </c>
      <c r="F1233">
        <v>243</v>
      </c>
      <c r="G1233" s="3">
        <v>4156.68</v>
      </c>
      <c r="H1233" s="3">
        <f>Miami_Retail[[#This Row],[sales_usd]] / Miami_Retail[[#This Row],[customers]]</f>
        <v>17.105679012345679</v>
      </c>
      <c r="I1233">
        <v>71.599999999999994</v>
      </c>
      <c r="J1233">
        <f>(Miami_Retail[[#This Row],[avg_temp_f]]-32) * (5/9)</f>
        <v>21.999999999999996</v>
      </c>
      <c r="K1233">
        <v>0</v>
      </c>
      <c r="L1233">
        <v>0</v>
      </c>
      <c r="M1233">
        <v>41.7</v>
      </c>
      <c r="N1233">
        <v>50.5</v>
      </c>
      <c r="O1233">
        <v>49.5</v>
      </c>
      <c r="P1233">
        <v>48.1</v>
      </c>
      <c r="Q1233">
        <v>51.9</v>
      </c>
    </row>
    <row r="1234" spans="1:17" x14ac:dyDescent="0.25">
      <c r="A1234" s="2">
        <v>45428</v>
      </c>
      <c r="B1234" s="2" t="str">
        <f t="shared" si="38"/>
        <v>Thursday</v>
      </c>
      <c r="C1234" s="2" t="b">
        <f t="shared" si="39"/>
        <v>0</v>
      </c>
      <c r="D1234">
        <v>2</v>
      </c>
      <c r="E1234" t="s">
        <v>6</v>
      </c>
      <c r="F1234">
        <v>235</v>
      </c>
      <c r="G1234" s="3">
        <v>4254.9399999999996</v>
      </c>
      <c r="H1234" s="3">
        <f>Miami_Retail[[#This Row],[sales_usd]] / Miami_Retail[[#This Row],[customers]]</f>
        <v>18.106127659574465</v>
      </c>
      <c r="I1234">
        <v>73.8</v>
      </c>
      <c r="J1234">
        <f>(Miami_Retail[[#This Row],[avg_temp_f]]-32) * (5/9)</f>
        <v>23.222222222222221</v>
      </c>
      <c r="K1234">
        <v>0</v>
      </c>
      <c r="L1234">
        <v>0</v>
      </c>
      <c r="M1234">
        <v>38.799999999999997</v>
      </c>
      <c r="N1234">
        <v>50.4</v>
      </c>
      <c r="O1234">
        <v>49.6</v>
      </c>
      <c r="P1234">
        <v>49.6</v>
      </c>
      <c r="Q1234">
        <v>50.4</v>
      </c>
    </row>
    <row r="1235" spans="1:17" x14ac:dyDescent="0.25">
      <c r="A1235" s="2">
        <v>45429</v>
      </c>
      <c r="B1235" s="2" t="str">
        <f t="shared" si="38"/>
        <v>Friday</v>
      </c>
      <c r="C1235" s="2" t="b">
        <f t="shared" si="39"/>
        <v>0</v>
      </c>
      <c r="D1235">
        <v>2</v>
      </c>
      <c r="E1235" t="s">
        <v>6</v>
      </c>
      <c r="F1235">
        <v>223</v>
      </c>
      <c r="G1235" s="3">
        <v>3790.1</v>
      </c>
      <c r="H1235" s="3">
        <f>Miami_Retail[[#This Row],[sales_usd]] / Miami_Retail[[#This Row],[customers]]</f>
        <v>16.995964125560537</v>
      </c>
      <c r="I1235">
        <v>70.599999999999994</v>
      </c>
      <c r="J1235">
        <f>(Miami_Retail[[#This Row],[avg_temp_f]]-32) * (5/9)</f>
        <v>21.444444444444443</v>
      </c>
      <c r="K1235">
        <v>0</v>
      </c>
      <c r="L1235">
        <v>0</v>
      </c>
      <c r="M1235">
        <v>49</v>
      </c>
      <c r="N1235">
        <v>50.4</v>
      </c>
      <c r="O1235">
        <v>49.6</v>
      </c>
      <c r="P1235">
        <v>49</v>
      </c>
      <c r="Q1235">
        <v>51</v>
      </c>
    </row>
    <row r="1236" spans="1:17" x14ac:dyDescent="0.25">
      <c r="A1236" s="2">
        <v>45430</v>
      </c>
      <c r="B1236" s="2" t="str">
        <f t="shared" si="38"/>
        <v>Saturday</v>
      </c>
      <c r="C1236" s="2" t="b">
        <f t="shared" si="39"/>
        <v>1</v>
      </c>
      <c r="D1236">
        <v>2</v>
      </c>
      <c r="E1236" t="s">
        <v>6</v>
      </c>
      <c r="F1236">
        <v>256</v>
      </c>
      <c r="G1236" s="3">
        <v>4585.9399999999996</v>
      </c>
      <c r="H1236" s="3">
        <f>Miami_Retail[[#This Row],[sales_usd]] / Miami_Retail[[#This Row],[customers]]</f>
        <v>17.913828124999998</v>
      </c>
      <c r="I1236">
        <v>74.599999999999994</v>
      </c>
      <c r="J1236">
        <f>(Miami_Retail[[#This Row],[avg_temp_f]]-32) * (5/9)</f>
        <v>23.666666666666664</v>
      </c>
      <c r="K1236">
        <v>0</v>
      </c>
      <c r="L1236">
        <v>0</v>
      </c>
      <c r="M1236">
        <v>46.7</v>
      </c>
      <c r="N1236">
        <v>50.9</v>
      </c>
      <c r="O1236">
        <v>49.1</v>
      </c>
      <c r="P1236">
        <v>54.3</v>
      </c>
      <c r="Q1236">
        <v>45.7</v>
      </c>
    </row>
    <row r="1237" spans="1:17" x14ac:dyDescent="0.25">
      <c r="A1237" s="2">
        <v>45431</v>
      </c>
      <c r="B1237" s="2" t="str">
        <f t="shared" si="38"/>
        <v>Sunday</v>
      </c>
      <c r="C1237" s="2" t="b">
        <f t="shared" si="39"/>
        <v>1</v>
      </c>
      <c r="D1237">
        <v>2</v>
      </c>
      <c r="E1237" t="s">
        <v>6</v>
      </c>
      <c r="F1237">
        <v>226</v>
      </c>
      <c r="G1237" s="3">
        <v>3959.68</v>
      </c>
      <c r="H1237" s="3">
        <f>Miami_Retail[[#This Row],[sales_usd]] / Miami_Retail[[#This Row],[customers]]</f>
        <v>17.520707964601769</v>
      </c>
      <c r="I1237">
        <v>71.099999999999994</v>
      </c>
      <c r="J1237">
        <f>(Miami_Retail[[#This Row],[avg_temp_f]]-32) * (5/9)</f>
        <v>21.722222222222221</v>
      </c>
      <c r="K1237">
        <v>0.41</v>
      </c>
      <c r="L1237">
        <v>1</v>
      </c>
      <c r="M1237">
        <v>53.6</v>
      </c>
      <c r="N1237">
        <v>50.6</v>
      </c>
      <c r="O1237">
        <v>49.4</v>
      </c>
      <c r="P1237">
        <v>54.1</v>
      </c>
      <c r="Q1237">
        <v>45.9</v>
      </c>
    </row>
    <row r="1238" spans="1:17" x14ac:dyDescent="0.25">
      <c r="A1238" s="2">
        <v>45432</v>
      </c>
      <c r="B1238" s="2" t="str">
        <f t="shared" si="38"/>
        <v>Monday</v>
      </c>
      <c r="C1238" s="2" t="b">
        <f t="shared" si="39"/>
        <v>0</v>
      </c>
      <c r="D1238">
        <v>2</v>
      </c>
      <c r="E1238" t="s">
        <v>6</v>
      </c>
      <c r="F1238">
        <v>207</v>
      </c>
      <c r="G1238" s="3">
        <v>3257.31</v>
      </c>
      <c r="H1238" s="3">
        <f>Miami_Retail[[#This Row],[sales_usd]] / Miami_Retail[[#This Row],[customers]]</f>
        <v>15.735797101449275</v>
      </c>
      <c r="I1238">
        <v>69.3</v>
      </c>
      <c r="J1238">
        <f>(Miami_Retail[[#This Row],[avg_temp_f]]-32) * (5/9)</f>
        <v>20.722222222222221</v>
      </c>
      <c r="K1238">
        <v>0</v>
      </c>
      <c r="L1238">
        <v>0</v>
      </c>
      <c r="M1238">
        <v>55.6</v>
      </c>
      <c r="N1238">
        <v>49.2</v>
      </c>
      <c r="O1238">
        <v>50.8</v>
      </c>
      <c r="P1238">
        <v>46.7</v>
      </c>
      <c r="Q1238">
        <v>53.3</v>
      </c>
    </row>
    <row r="1239" spans="1:17" x14ac:dyDescent="0.25">
      <c r="A1239" s="2">
        <v>45433</v>
      </c>
      <c r="B1239" s="2" t="str">
        <f t="shared" si="38"/>
        <v>Tuesday</v>
      </c>
      <c r="C1239" s="2" t="b">
        <f t="shared" si="39"/>
        <v>0</v>
      </c>
      <c r="D1239">
        <v>2</v>
      </c>
      <c r="E1239" t="s">
        <v>6</v>
      </c>
      <c r="F1239">
        <v>232</v>
      </c>
      <c r="G1239" s="3">
        <v>3935.26</v>
      </c>
      <c r="H1239" s="3">
        <f>Miami_Retail[[#This Row],[sales_usd]] / Miami_Retail[[#This Row],[customers]]</f>
        <v>16.962327586206897</v>
      </c>
      <c r="I1239">
        <v>72</v>
      </c>
      <c r="J1239">
        <f>(Miami_Retail[[#This Row],[avg_temp_f]]-32) * (5/9)</f>
        <v>22.222222222222221</v>
      </c>
      <c r="K1239">
        <v>0</v>
      </c>
      <c r="L1239">
        <v>0</v>
      </c>
      <c r="M1239">
        <v>52.1</v>
      </c>
      <c r="N1239">
        <v>50</v>
      </c>
      <c r="O1239">
        <v>50</v>
      </c>
      <c r="P1239">
        <v>48.5</v>
      </c>
      <c r="Q1239">
        <v>51.5</v>
      </c>
    </row>
    <row r="1240" spans="1:17" x14ac:dyDescent="0.25">
      <c r="A1240" s="2">
        <v>45434</v>
      </c>
      <c r="B1240" s="2" t="str">
        <f t="shared" si="38"/>
        <v>Wednesday</v>
      </c>
      <c r="C1240" s="2" t="b">
        <f t="shared" si="39"/>
        <v>0</v>
      </c>
      <c r="D1240">
        <v>2</v>
      </c>
      <c r="E1240" t="s">
        <v>6</v>
      </c>
      <c r="F1240">
        <v>220</v>
      </c>
      <c r="G1240" s="3">
        <v>3765.19</v>
      </c>
      <c r="H1240" s="3">
        <f>Miami_Retail[[#This Row],[sales_usd]] / Miami_Retail[[#This Row],[customers]]</f>
        <v>17.1145</v>
      </c>
      <c r="I1240">
        <v>70.400000000000006</v>
      </c>
      <c r="J1240">
        <f>(Miami_Retail[[#This Row],[avg_temp_f]]-32) * (5/9)</f>
        <v>21.333333333333336</v>
      </c>
      <c r="K1240">
        <v>0.26</v>
      </c>
      <c r="L1240">
        <v>1</v>
      </c>
      <c r="M1240">
        <v>47.9</v>
      </c>
      <c r="N1240">
        <v>48.9</v>
      </c>
      <c r="O1240">
        <v>51.1</v>
      </c>
      <c r="P1240">
        <v>48.7</v>
      </c>
      <c r="Q1240">
        <v>51.3</v>
      </c>
    </row>
    <row r="1241" spans="1:17" x14ac:dyDescent="0.25">
      <c r="A1241" s="2">
        <v>45435</v>
      </c>
      <c r="B1241" s="2" t="str">
        <f t="shared" si="38"/>
        <v>Thursday</v>
      </c>
      <c r="C1241" s="2" t="b">
        <f t="shared" si="39"/>
        <v>0</v>
      </c>
      <c r="D1241">
        <v>2</v>
      </c>
      <c r="E1241" t="s">
        <v>6</v>
      </c>
      <c r="F1241">
        <v>199</v>
      </c>
      <c r="G1241" s="3">
        <v>3032.57</v>
      </c>
      <c r="H1241" s="3">
        <f>Miami_Retail[[#This Row],[sales_usd]] / Miami_Retail[[#This Row],[customers]]</f>
        <v>15.239045226130655</v>
      </c>
      <c r="I1241">
        <v>70.599999999999994</v>
      </c>
      <c r="J1241">
        <f>(Miami_Retail[[#This Row],[avg_temp_f]]-32) * (5/9)</f>
        <v>21.444444444444443</v>
      </c>
      <c r="K1241">
        <v>0</v>
      </c>
      <c r="L1241">
        <v>0</v>
      </c>
      <c r="M1241">
        <v>47.1</v>
      </c>
      <c r="N1241">
        <v>51</v>
      </c>
      <c r="O1241">
        <v>49</v>
      </c>
      <c r="P1241">
        <v>49</v>
      </c>
      <c r="Q1241">
        <v>51</v>
      </c>
    </row>
    <row r="1242" spans="1:17" x14ac:dyDescent="0.25">
      <c r="A1242" s="2">
        <v>45436</v>
      </c>
      <c r="B1242" s="2" t="str">
        <f t="shared" si="38"/>
        <v>Friday</v>
      </c>
      <c r="C1242" s="2" t="b">
        <f t="shared" si="39"/>
        <v>0</v>
      </c>
      <c r="D1242">
        <v>2</v>
      </c>
      <c r="E1242" t="s">
        <v>6</v>
      </c>
      <c r="F1242">
        <v>217</v>
      </c>
      <c r="G1242" s="3">
        <v>3368.17</v>
      </c>
      <c r="H1242" s="3">
        <f>Miami_Retail[[#This Row],[sales_usd]] / Miami_Retail[[#This Row],[customers]]</f>
        <v>15.521520737327188</v>
      </c>
      <c r="I1242">
        <v>83.1</v>
      </c>
      <c r="J1242">
        <f>(Miami_Retail[[#This Row],[avg_temp_f]]-32) * (5/9)</f>
        <v>28.388888888888886</v>
      </c>
      <c r="K1242">
        <v>1.65</v>
      </c>
      <c r="L1242">
        <v>1</v>
      </c>
      <c r="M1242">
        <v>53.9</v>
      </c>
      <c r="N1242">
        <v>52.1</v>
      </c>
      <c r="O1242">
        <v>47.9</v>
      </c>
      <c r="P1242">
        <v>47.7</v>
      </c>
      <c r="Q1242">
        <v>52.3</v>
      </c>
    </row>
    <row r="1243" spans="1:17" x14ac:dyDescent="0.25">
      <c r="A1243" s="2">
        <v>45437</v>
      </c>
      <c r="B1243" s="2" t="str">
        <f t="shared" si="38"/>
        <v>Saturday</v>
      </c>
      <c r="C1243" s="2" t="b">
        <f t="shared" si="39"/>
        <v>1</v>
      </c>
      <c r="D1243">
        <v>2</v>
      </c>
      <c r="E1243" t="s">
        <v>6</v>
      </c>
      <c r="F1243">
        <v>242</v>
      </c>
      <c r="G1243" s="3">
        <v>4237.8900000000003</v>
      </c>
      <c r="H1243" s="3">
        <f>Miami_Retail[[#This Row],[sales_usd]] / Miami_Retail[[#This Row],[customers]]</f>
        <v>17.511942148760333</v>
      </c>
      <c r="I1243">
        <v>75.400000000000006</v>
      </c>
      <c r="J1243">
        <f>(Miami_Retail[[#This Row],[avg_temp_f]]-32) * (5/9)</f>
        <v>24.111111111111114</v>
      </c>
      <c r="K1243">
        <v>0.71</v>
      </c>
      <c r="L1243">
        <v>1</v>
      </c>
      <c r="M1243">
        <v>55.1</v>
      </c>
      <c r="N1243">
        <v>50.7</v>
      </c>
      <c r="O1243">
        <v>49.3</v>
      </c>
      <c r="P1243">
        <v>53.8</v>
      </c>
      <c r="Q1243">
        <v>46.2</v>
      </c>
    </row>
    <row r="1244" spans="1:17" x14ac:dyDescent="0.25">
      <c r="A1244" s="2">
        <v>45438</v>
      </c>
      <c r="B1244" s="2" t="str">
        <f t="shared" si="38"/>
        <v>Sunday</v>
      </c>
      <c r="C1244" s="2" t="b">
        <f t="shared" si="39"/>
        <v>1</v>
      </c>
      <c r="D1244">
        <v>2</v>
      </c>
      <c r="E1244" t="s">
        <v>6</v>
      </c>
      <c r="F1244">
        <v>238</v>
      </c>
      <c r="G1244" s="3">
        <v>4369.4399999999996</v>
      </c>
      <c r="H1244" s="3">
        <f>Miami_Retail[[#This Row],[sales_usd]] / Miami_Retail[[#This Row],[customers]]</f>
        <v>18.358991596638653</v>
      </c>
      <c r="I1244">
        <v>73.2</v>
      </c>
      <c r="J1244">
        <f>(Miami_Retail[[#This Row],[avg_temp_f]]-32) * (5/9)</f>
        <v>22.888888888888893</v>
      </c>
      <c r="K1244">
        <v>0.13</v>
      </c>
      <c r="L1244">
        <v>1</v>
      </c>
      <c r="M1244">
        <v>57.8</v>
      </c>
      <c r="N1244">
        <v>50.3</v>
      </c>
      <c r="O1244">
        <v>49.7</v>
      </c>
      <c r="P1244">
        <v>53.7</v>
      </c>
      <c r="Q1244">
        <v>46.3</v>
      </c>
    </row>
    <row r="1245" spans="1:17" x14ac:dyDescent="0.25">
      <c r="A1245" s="2">
        <v>45439</v>
      </c>
      <c r="B1245" s="2" t="str">
        <f t="shared" si="38"/>
        <v>Monday</v>
      </c>
      <c r="C1245" s="2" t="b">
        <f t="shared" si="39"/>
        <v>0</v>
      </c>
      <c r="D1245">
        <v>2</v>
      </c>
      <c r="E1245" t="s">
        <v>6</v>
      </c>
      <c r="F1245">
        <v>190</v>
      </c>
      <c r="G1245" s="3">
        <v>3238.38</v>
      </c>
      <c r="H1245" s="3">
        <f>Miami_Retail[[#This Row],[sales_usd]] / Miami_Retail[[#This Row],[customers]]</f>
        <v>17.044105263157896</v>
      </c>
      <c r="I1245">
        <v>69.900000000000006</v>
      </c>
      <c r="J1245">
        <f>(Miami_Retail[[#This Row],[avg_temp_f]]-32) * (5/9)</f>
        <v>21.055555555555561</v>
      </c>
      <c r="K1245">
        <v>0</v>
      </c>
      <c r="L1245">
        <v>0</v>
      </c>
      <c r="M1245">
        <v>48.7</v>
      </c>
      <c r="N1245">
        <v>50.5</v>
      </c>
      <c r="O1245">
        <v>49.5</v>
      </c>
      <c r="P1245">
        <v>47.5</v>
      </c>
      <c r="Q1245">
        <v>52.5</v>
      </c>
    </row>
    <row r="1246" spans="1:17" x14ac:dyDescent="0.25">
      <c r="A1246" s="2">
        <v>45440</v>
      </c>
      <c r="B1246" s="2" t="str">
        <f t="shared" si="38"/>
        <v>Tuesday</v>
      </c>
      <c r="C1246" s="2" t="b">
        <f t="shared" si="39"/>
        <v>0</v>
      </c>
      <c r="D1246">
        <v>2</v>
      </c>
      <c r="E1246" t="s">
        <v>6</v>
      </c>
      <c r="F1246">
        <v>230</v>
      </c>
      <c r="G1246" s="3">
        <v>3769.15</v>
      </c>
      <c r="H1246" s="3">
        <f>Miami_Retail[[#This Row],[sales_usd]] / Miami_Retail[[#This Row],[customers]]</f>
        <v>16.387608695652176</v>
      </c>
      <c r="I1246">
        <v>67.5</v>
      </c>
      <c r="J1246">
        <f>(Miami_Retail[[#This Row],[avg_temp_f]]-32) * (5/9)</f>
        <v>19.722222222222221</v>
      </c>
      <c r="K1246">
        <v>0</v>
      </c>
      <c r="L1246">
        <v>0</v>
      </c>
      <c r="M1246">
        <v>54</v>
      </c>
      <c r="N1246">
        <v>50.8</v>
      </c>
      <c r="O1246">
        <v>49.2</v>
      </c>
      <c r="P1246">
        <v>47.4</v>
      </c>
      <c r="Q1246">
        <v>52.6</v>
      </c>
    </row>
    <row r="1247" spans="1:17" x14ac:dyDescent="0.25">
      <c r="A1247" s="2">
        <v>45441</v>
      </c>
      <c r="B1247" s="2" t="str">
        <f t="shared" si="38"/>
        <v>Wednesday</v>
      </c>
      <c r="C1247" s="2" t="b">
        <f t="shared" si="39"/>
        <v>0</v>
      </c>
      <c r="D1247">
        <v>2</v>
      </c>
      <c r="E1247" t="s">
        <v>6</v>
      </c>
      <c r="F1247">
        <v>195</v>
      </c>
      <c r="G1247" s="3">
        <v>3636.1</v>
      </c>
      <c r="H1247" s="3">
        <f>Miami_Retail[[#This Row],[sales_usd]] / Miami_Retail[[#This Row],[customers]]</f>
        <v>18.646666666666665</v>
      </c>
      <c r="I1247">
        <v>71.3</v>
      </c>
      <c r="J1247">
        <f>(Miami_Retail[[#This Row],[avg_temp_f]]-32) * (5/9)</f>
        <v>21.833333333333332</v>
      </c>
      <c r="K1247">
        <v>0</v>
      </c>
      <c r="L1247">
        <v>0</v>
      </c>
      <c r="M1247">
        <v>50.9</v>
      </c>
      <c r="N1247">
        <v>51.2</v>
      </c>
      <c r="O1247">
        <v>48.8</v>
      </c>
      <c r="P1247">
        <v>47.7</v>
      </c>
      <c r="Q1247">
        <v>52.3</v>
      </c>
    </row>
    <row r="1248" spans="1:17" x14ac:dyDescent="0.25">
      <c r="A1248" s="2">
        <v>45442</v>
      </c>
      <c r="B1248" s="2" t="str">
        <f t="shared" si="38"/>
        <v>Thursday</v>
      </c>
      <c r="C1248" s="2" t="b">
        <f t="shared" si="39"/>
        <v>0</v>
      </c>
      <c r="D1248">
        <v>2</v>
      </c>
      <c r="E1248" t="s">
        <v>6</v>
      </c>
      <c r="F1248">
        <v>240</v>
      </c>
      <c r="G1248" s="3">
        <v>4086.52</v>
      </c>
      <c r="H1248" s="3">
        <f>Miami_Retail[[#This Row],[sales_usd]] / Miami_Retail[[#This Row],[customers]]</f>
        <v>17.027166666666666</v>
      </c>
      <c r="I1248">
        <v>77.2</v>
      </c>
      <c r="J1248">
        <f>(Miami_Retail[[#This Row],[avg_temp_f]]-32) * (5/9)</f>
        <v>25.111111111111114</v>
      </c>
      <c r="K1248">
        <v>0</v>
      </c>
      <c r="L1248">
        <v>0</v>
      </c>
      <c r="M1248">
        <v>51.2</v>
      </c>
      <c r="N1248">
        <v>50</v>
      </c>
      <c r="O1248">
        <v>50</v>
      </c>
      <c r="P1248">
        <v>48.1</v>
      </c>
      <c r="Q1248">
        <v>51.9</v>
      </c>
    </row>
    <row r="1249" spans="1:17" x14ac:dyDescent="0.25">
      <c r="A1249" s="2">
        <v>45443</v>
      </c>
      <c r="B1249" s="2" t="str">
        <f t="shared" si="38"/>
        <v>Friday</v>
      </c>
      <c r="C1249" s="2" t="b">
        <f t="shared" si="39"/>
        <v>0</v>
      </c>
      <c r="D1249">
        <v>2</v>
      </c>
      <c r="E1249" t="s">
        <v>6</v>
      </c>
      <c r="F1249">
        <v>220</v>
      </c>
      <c r="G1249" s="3">
        <v>3800.7</v>
      </c>
      <c r="H1249" s="3">
        <f>Miami_Retail[[#This Row],[sales_usd]] / Miami_Retail[[#This Row],[customers]]</f>
        <v>17.275909090909089</v>
      </c>
      <c r="I1249">
        <v>78.400000000000006</v>
      </c>
      <c r="J1249">
        <f>(Miami_Retail[[#This Row],[avg_temp_f]]-32) * (5/9)</f>
        <v>25.777777777777782</v>
      </c>
      <c r="K1249">
        <v>0.52</v>
      </c>
      <c r="L1249">
        <v>1</v>
      </c>
      <c r="M1249">
        <v>57.9</v>
      </c>
      <c r="N1249">
        <v>52.2</v>
      </c>
      <c r="O1249">
        <v>47.8</v>
      </c>
      <c r="P1249">
        <v>47.4</v>
      </c>
      <c r="Q1249">
        <v>52.6</v>
      </c>
    </row>
    <row r="1250" spans="1:17" x14ac:dyDescent="0.25">
      <c r="A1250" s="2">
        <v>45444</v>
      </c>
      <c r="B1250" s="2" t="str">
        <f t="shared" si="38"/>
        <v>Saturday</v>
      </c>
      <c r="C1250" s="2" t="b">
        <f t="shared" si="39"/>
        <v>1</v>
      </c>
      <c r="D1250">
        <v>2</v>
      </c>
      <c r="E1250" t="s">
        <v>6</v>
      </c>
      <c r="F1250">
        <v>238</v>
      </c>
      <c r="G1250" s="3">
        <v>4108.79</v>
      </c>
      <c r="H1250" s="3">
        <f>Miami_Retail[[#This Row],[sales_usd]] / Miami_Retail[[#This Row],[customers]]</f>
        <v>17.263823529411763</v>
      </c>
      <c r="I1250">
        <v>74.599999999999994</v>
      </c>
      <c r="J1250">
        <f>(Miami_Retail[[#This Row],[avg_temp_f]]-32) * (5/9)</f>
        <v>23.666666666666664</v>
      </c>
      <c r="K1250">
        <v>0.54</v>
      </c>
      <c r="L1250">
        <v>1</v>
      </c>
      <c r="M1250">
        <v>51.6</v>
      </c>
      <c r="N1250">
        <v>49</v>
      </c>
      <c r="O1250">
        <v>51</v>
      </c>
      <c r="P1250">
        <v>53.6</v>
      </c>
      <c r="Q1250">
        <v>46.4</v>
      </c>
    </row>
    <row r="1251" spans="1:17" x14ac:dyDescent="0.25">
      <c r="A1251" s="2">
        <v>45445</v>
      </c>
      <c r="B1251" s="2" t="str">
        <f t="shared" si="38"/>
        <v>Sunday</v>
      </c>
      <c r="C1251" s="2" t="b">
        <f t="shared" si="39"/>
        <v>1</v>
      </c>
      <c r="D1251">
        <v>2</v>
      </c>
      <c r="E1251" t="s">
        <v>6</v>
      </c>
      <c r="F1251">
        <v>259</v>
      </c>
      <c r="G1251" s="3">
        <v>4243.88</v>
      </c>
      <c r="H1251" s="3">
        <f>Miami_Retail[[#This Row],[sales_usd]] / Miami_Retail[[#This Row],[customers]]</f>
        <v>16.385637065637066</v>
      </c>
      <c r="I1251">
        <v>66.7</v>
      </c>
      <c r="J1251">
        <f>(Miami_Retail[[#This Row],[avg_temp_f]]-32) * (5/9)</f>
        <v>19.277777777777779</v>
      </c>
      <c r="K1251">
        <v>1.07</v>
      </c>
      <c r="L1251">
        <v>1</v>
      </c>
      <c r="M1251">
        <v>48.5</v>
      </c>
      <c r="N1251">
        <v>52.5</v>
      </c>
      <c r="O1251">
        <v>47.5</v>
      </c>
      <c r="P1251">
        <v>53.9</v>
      </c>
      <c r="Q1251">
        <v>46.1</v>
      </c>
    </row>
    <row r="1252" spans="1:17" x14ac:dyDescent="0.25">
      <c r="A1252" s="2">
        <v>45446</v>
      </c>
      <c r="B1252" s="2" t="str">
        <f t="shared" si="38"/>
        <v>Monday</v>
      </c>
      <c r="C1252" s="2" t="b">
        <f t="shared" si="39"/>
        <v>0</v>
      </c>
      <c r="D1252">
        <v>2</v>
      </c>
      <c r="E1252" t="s">
        <v>6</v>
      </c>
      <c r="F1252">
        <v>246</v>
      </c>
      <c r="G1252" s="3">
        <v>3909.94</v>
      </c>
      <c r="H1252" s="3">
        <f>Miami_Retail[[#This Row],[sales_usd]] / Miami_Retail[[#This Row],[customers]]</f>
        <v>15.894065040650407</v>
      </c>
      <c r="I1252">
        <v>76.8</v>
      </c>
      <c r="J1252">
        <f>(Miami_Retail[[#This Row],[avg_temp_f]]-32) * (5/9)</f>
        <v>24.888888888888889</v>
      </c>
      <c r="K1252">
        <v>1.63</v>
      </c>
      <c r="L1252">
        <v>1</v>
      </c>
      <c r="M1252">
        <v>55.3</v>
      </c>
      <c r="N1252">
        <v>51.5</v>
      </c>
      <c r="O1252">
        <v>48.5</v>
      </c>
      <c r="P1252">
        <v>48.5</v>
      </c>
      <c r="Q1252">
        <v>51.5</v>
      </c>
    </row>
    <row r="1253" spans="1:17" x14ac:dyDescent="0.25">
      <c r="A1253" s="2">
        <v>45447</v>
      </c>
      <c r="B1253" s="2" t="str">
        <f t="shared" si="38"/>
        <v>Tuesday</v>
      </c>
      <c r="C1253" s="2" t="b">
        <f t="shared" si="39"/>
        <v>0</v>
      </c>
      <c r="D1253">
        <v>2</v>
      </c>
      <c r="E1253" t="s">
        <v>6</v>
      </c>
      <c r="F1253">
        <v>224</v>
      </c>
      <c r="G1253" s="3">
        <v>3718.33</v>
      </c>
      <c r="H1253" s="3">
        <f>Miami_Retail[[#This Row],[sales_usd]] / Miami_Retail[[#This Row],[customers]]</f>
        <v>16.599687499999998</v>
      </c>
      <c r="I1253">
        <v>77.400000000000006</v>
      </c>
      <c r="J1253">
        <f>(Miami_Retail[[#This Row],[avg_temp_f]]-32) * (5/9)</f>
        <v>25.222222222222225</v>
      </c>
      <c r="K1253">
        <v>0</v>
      </c>
      <c r="L1253">
        <v>0</v>
      </c>
      <c r="M1253">
        <v>44.1</v>
      </c>
      <c r="N1253">
        <v>50.5</v>
      </c>
      <c r="O1253">
        <v>49.5</v>
      </c>
      <c r="P1253">
        <v>47.5</v>
      </c>
      <c r="Q1253">
        <v>52.5</v>
      </c>
    </row>
    <row r="1254" spans="1:17" x14ac:dyDescent="0.25">
      <c r="A1254" s="2">
        <v>45448</v>
      </c>
      <c r="B1254" s="2" t="str">
        <f t="shared" si="38"/>
        <v>Wednesday</v>
      </c>
      <c r="C1254" s="2" t="b">
        <f t="shared" si="39"/>
        <v>0</v>
      </c>
      <c r="D1254">
        <v>2</v>
      </c>
      <c r="E1254" t="s">
        <v>6</v>
      </c>
      <c r="F1254">
        <v>234</v>
      </c>
      <c r="G1254" s="3">
        <v>4015.6</v>
      </c>
      <c r="H1254" s="3">
        <f>Miami_Retail[[#This Row],[sales_usd]] / Miami_Retail[[#This Row],[customers]]</f>
        <v>17.16068376068376</v>
      </c>
      <c r="I1254">
        <v>76.5</v>
      </c>
      <c r="J1254">
        <f>(Miami_Retail[[#This Row],[avg_temp_f]]-32) * (5/9)</f>
        <v>24.722222222222225</v>
      </c>
      <c r="K1254">
        <v>0</v>
      </c>
      <c r="L1254">
        <v>0</v>
      </c>
      <c r="M1254">
        <v>56.7</v>
      </c>
      <c r="N1254">
        <v>49.5</v>
      </c>
      <c r="O1254">
        <v>50.5</v>
      </c>
      <c r="P1254">
        <v>46.6</v>
      </c>
      <c r="Q1254">
        <v>53.4</v>
      </c>
    </row>
    <row r="1255" spans="1:17" x14ac:dyDescent="0.25">
      <c r="A1255" s="2">
        <v>45449</v>
      </c>
      <c r="B1255" s="2" t="str">
        <f t="shared" si="38"/>
        <v>Thursday</v>
      </c>
      <c r="C1255" s="2" t="b">
        <f t="shared" si="39"/>
        <v>0</v>
      </c>
      <c r="D1255">
        <v>2</v>
      </c>
      <c r="E1255" t="s">
        <v>6</v>
      </c>
      <c r="F1255">
        <v>256</v>
      </c>
      <c r="G1255" s="3">
        <v>4315.68</v>
      </c>
      <c r="H1255" s="3">
        <f>Miami_Retail[[#This Row],[sales_usd]] / Miami_Retail[[#This Row],[customers]]</f>
        <v>16.858125000000001</v>
      </c>
      <c r="I1255">
        <v>78.8</v>
      </c>
      <c r="J1255">
        <f>(Miami_Retail[[#This Row],[avg_temp_f]]-32) * (5/9)</f>
        <v>26</v>
      </c>
      <c r="K1255">
        <v>0.28999999999999998</v>
      </c>
      <c r="L1255">
        <v>1</v>
      </c>
      <c r="M1255">
        <v>52.1</v>
      </c>
      <c r="N1255">
        <v>49.3</v>
      </c>
      <c r="O1255">
        <v>50.7</v>
      </c>
      <c r="P1255">
        <v>48.1</v>
      </c>
      <c r="Q1255">
        <v>51.9</v>
      </c>
    </row>
    <row r="1256" spans="1:17" x14ac:dyDescent="0.25">
      <c r="A1256" s="2">
        <v>45450</v>
      </c>
      <c r="B1256" s="2" t="str">
        <f t="shared" si="38"/>
        <v>Friday</v>
      </c>
      <c r="C1256" s="2" t="b">
        <f t="shared" si="39"/>
        <v>0</v>
      </c>
      <c r="D1256">
        <v>2</v>
      </c>
      <c r="E1256" t="s">
        <v>6</v>
      </c>
      <c r="F1256">
        <v>223</v>
      </c>
      <c r="G1256" s="3">
        <v>3566.58</v>
      </c>
      <c r="H1256" s="3">
        <f>Miami_Retail[[#This Row],[sales_usd]] / Miami_Retail[[#This Row],[customers]]</f>
        <v>15.993632286995515</v>
      </c>
      <c r="I1256">
        <v>74</v>
      </c>
      <c r="J1256">
        <f>(Miami_Retail[[#This Row],[avg_temp_f]]-32) * (5/9)</f>
        <v>23.333333333333336</v>
      </c>
      <c r="K1256">
        <v>0</v>
      </c>
      <c r="L1256">
        <v>0</v>
      </c>
      <c r="M1256">
        <v>52.8</v>
      </c>
      <c r="N1256">
        <v>50.3</v>
      </c>
      <c r="O1256">
        <v>49.7</v>
      </c>
      <c r="P1256">
        <v>48.2</v>
      </c>
      <c r="Q1256">
        <v>51.8</v>
      </c>
    </row>
    <row r="1257" spans="1:17" x14ac:dyDescent="0.25">
      <c r="A1257" s="2">
        <v>45451</v>
      </c>
      <c r="B1257" s="2" t="str">
        <f t="shared" si="38"/>
        <v>Saturday</v>
      </c>
      <c r="C1257" s="2" t="b">
        <f t="shared" si="39"/>
        <v>1</v>
      </c>
      <c r="D1257">
        <v>2</v>
      </c>
      <c r="E1257" t="s">
        <v>6</v>
      </c>
      <c r="F1257">
        <v>251</v>
      </c>
      <c r="G1257" s="3">
        <v>4201.55</v>
      </c>
      <c r="H1257" s="3">
        <f>Miami_Retail[[#This Row],[sales_usd]] / Miami_Retail[[#This Row],[customers]]</f>
        <v>16.739243027888445</v>
      </c>
      <c r="I1257">
        <v>73.599999999999994</v>
      </c>
      <c r="J1257">
        <f>(Miami_Retail[[#This Row],[avg_temp_f]]-32) * (5/9)</f>
        <v>23.111111111111111</v>
      </c>
      <c r="K1257">
        <v>0.68</v>
      </c>
      <c r="L1257">
        <v>1</v>
      </c>
      <c r="M1257">
        <v>52.4</v>
      </c>
      <c r="N1257">
        <v>49.3</v>
      </c>
      <c r="O1257">
        <v>50.7</v>
      </c>
      <c r="P1257">
        <v>53.9</v>
      </c>
      <c r="Q1257">
        <v>46.1</v>
      </c>
    </row>
    <row r="1258" spans="1:17" x14ac:dyDescent="0.25">
      <c r="A1258" s="2">
        <v>45452</v>
      </c>
      <c r="B1258" s="2" t="str">
        <f t="shared" si="38"/>
        <v>Sunday</v>
      </c>
      <c r="C1258" s="2" t="b">
        <f t="shared" si="39"/>
        <v>1</v>
      </c>
      <c r="D1258">
        <v>2</v>
      </c>
      <c r="E1258" t="s">
        <v>6</v>
      </c>
      <c r="F1258">
        <v>267</v>
      </c>
      <c r="G1258" s="3">
        <v>4152.7299999999996</v>
      </c>
      <c r="H1258" s="3">
        <f>Miami_Retail[[#This Row],[sales_usd]] / Miami_Retail[[#This Row],[customers]]</f>
        <v>15.553295880149811</v>
      </c>
      <c r="I1258">
        <v>69.3</v>
      </c>
      <c r="J1258">
        <f>(Miami_Retail[[#This Row],[avg_temp_f]]-32) * (5/9)</f>
        <v>20.722222222222221</v>
      </c>
      <c r="K1258">
        <v>0.27</v>
      </c>
      <c r="L1258">
        <v>1</v>
      </c>
      <c r="M1258">
        <v>54.1</v>
      </c>
      <c r="N1258">
        <v>53.2</v>
      </c>
      <c r="O1258">
        <v>46.8</v>
      </c>
      <c r="P1258">
        <v>54.6</v>
      </c>
      <c r="Q1258">
        <v>45.4</v>
      </c>
    </row>
    <row r="1259" spans="1:17" x14ac:dyDescent="0.25">
      <c r="A1259" s="2">
        <v>45453</v>
      </c>
      <c r="B1259" s="2" t="str">
        <f t="shared" si="38"/>
        <v>Monday</v>
      </c>
      <c r="C1259" s="2" t="b">
        <f t="shared" si="39"/>
        <v>0</v>
      </c>
      <c r="D1259">
        <v>2</v>
      </c>
      <c r="E1259" t="s">
        <v>6</v>
      </c>
      <c r="F1259">
        <v>229</v>
      </c>
      <c r="G1259" s="3">
        <v>3924.6</v>
      </c>
      <c r="H1259" s="3">
        <f>Miami_Retail[[#This Row],[sales_usd]] / Miami_Retail[[#This Row],[customers]]</f>
        <v>17.137991266375547</v>
      </c>
      <c r="I1259">
        <v>69.599999999999994</v>
      </c>
      <c r="J1259">
        <f>(Miami_Retail[[#This Row],[avg_temp_f]]-32) * (5/9)</f>
        <v>20.888888888888886</v>
      </c>
      <c r="K1259">
        <v>0</v>
      </c>
      <c r="L1259">
        <v>0</v>
      </c>
      <c r="M1259">
        <v>58.9</v>
      </c>
      <c r="N1259">
        <v>48.3</v>
      </c>
      <c r="O1259">
        <v>51.7</v>
      </c>
      <c r="P1259">
        <v>46.2</v>
      </c>
      <c r="Q1259">
        <v>53.8</v>
      </c>
    </row>
    <row r="1260" spans="1:17" x14ac:dyDescent="0.25">
      <c r="A1260" s="2">
        <v>45454</v>
      </c>
      <c r="B1260" s="2" t="str">
        <f t="shared" si="38"/>
        <v>Tuesday</v>
      </c>
      <c r="C1260" s="2" t="b">
        <f t="shared" si="39"/>
        <v>0</v>
      </c>
      <c r="D1260">
        <v>2</v>
      </c>
      <c r="E1260" t="s">
        <v>6</v>
      </c>
      <c r="F1260">
        <v>197</v>
      </c>
      <c r="G1260" s="3">
        <v>3077.24</v>
      </c>
      <c r="H1260" s="3">
        <f>Miami_Retail[[#This Row],[sales_usd]] / Miami_Retail[[#This Row],[customers]]</f>
        <v>15.620507614213198</v>
      </c>
      <c r="I1260">
        <v>72.8</v>
      </c>
      <c r="J1260">
        <f>(Miami_Retail[[#This Row],[avg_temp_f]]-32) * (5/9)</f>
        <v>22.666666666666668</v>
      </c>
      <c r="K1260">
        <v>0</v>
      </c>
      <c r="L1260">
        <v>0</v>
      </c>
      <c r="M1260">
        <v>61.4</v>
      </c>
      <c r="N1260">
        <v>52.3</v>
      </c>
      <c r="O1260">
        <v>47.7</v>
      </c>
      <c r="P1260">
        <v>47.4</v>
      </c>
      <c r="Q1260">
        <v>52.6</v>
      </c>
    </row>
    <row r="1261" spans="1:17" x14ac:dyDescent="0.25">
      <c r="A1261" s="2">
        <v>45455</v>
      </c>
      <c r="B1261" s="2" t="str">
        <f t="shared" si="38"/>
        <v>Wednesday</v>
      </c>
      <c r="C1261" s="2" t="b">
        <f t="shared" si="39"/>
        <v>0</v>
      </c>
      <c r="D1261">
        <v>2</v>
      </c>
      <c r="E1261" t="s">
        <v>6</v>
      </c>
      <c r="F1261">
        <v>239</v>
      </c>
      <c r="G1261" s="3">
        <v>4325.13</v>
      </c>
      <c r="H1261" s="3">
        <f>Miami_Retail[[#This Row],[sales_usd]] / Miami_Retail[[#This Row],[customers]]</f>
        <v>18.096778242677825</v>
      </c>
      <c r="I1261">
        <v>78</v>
      </c>
      <c r="J1261">
        <f>(Miami_Retail[[#This Row],[avg_temp_f]]-32) * (5/9)</f>
        <v>25.555555555555557</v>
      </c>
      <c r="K1261">
        <v>0.5</v>
      </c>
      <c r="L1261">
        <v>1</v>
      </c>
      <c r="M1261">
        <v>45</v>
      </c>
      <c r="N1261">
        <v>48.7</v>
      </c>
      <c r="O1261">
        <v>51.3</v>
      </c>
      <c r="P1261">
        <v>46.9</v>
      </c>
      <c r="Q1261">
        <v>53.1</v>
      </c>
    </row>
    <row r="1262" spans="1:17" x14ac:dyDescent="0.25">
      <c r="A1262" s="2">
        <v>45456</v>
      </c>
      <c r="B1262" s="2" t="str">
        <f t="shared" si="38"/>
        <v>Thursday</v>
      </c>
      <c r="C1262" s="2" t="b">
        <f t="shared" si="39"/>
        <v>0</v>
      </c>
      <c r="D1262">
        <v>2</v>
      </c>
      <c r="E1262" t="s">
        <v>6</v>
      </c>
      <c r="F1262">
        <v>232</v>
      </c>
      <c r="G1262" s="3">
        <v>3963.8</v>
      </c>
      <c r="H1262" s="3">
        <f>Miami_Retail[[#This Row],[sales_usd]] / Miami_Retail[[#This Row],[customers]]</f>
        <v>17.085344827586209</v>
      </c>
      <c r="I1262">
        <v>75.7</v>
      </c>
      <c r="J1262">
        <f>(Miami_Retail[[#This Row],[avg_temp_f]]-32) * (5/9)</f>
        <v>24.277777777777782</v>
      </c>
      <c r="K1262">
        <v>0</v>
      </c>
      <c r="L1262">
        <v>0</v>
      </c>
      <c r="M1262">
        <v>49.5</v>
      </c>
      <c r="N1262">
        <v>49.6</v>
      </c>
      <c r="O1262">
        <v>50.4</v>
      </c>
      <c r="P1262">
        <v>48.4</v>
      </c>
      <c r="Q1262">
        <v>51.6</v>
      </c>
    </row>
    <row r="1263" spans="1:17" x14ac:dyDescent="0.25">
      <c r="A1263" s="2">
        <v>45457</v>
      </c>
      <c r="B1263" s="2" t="str">
        <f t="shared" si="38"/>
        <v>Friday</v>
      </c>
      <c r="C1263" s="2" t="b">
        <f t="shared" si="39"/>
        <v>0</v>
      </c>
      <c r="D1263">
        <v>2</v>
      </c>
      <c r="E1263" t="s">
        <v>6</v>
      </c>
      <c r="F1263">
        <v>224</v>
      </c>
      <c r="G1263" s="3">
        <v>3951.65</v>
      </c>
      <c r="H1263" s="3">
        <f>Miami_Retail[[#This Row],[sales_usd]] / Miami_Retail[[#This Row],[customers]]</f>
        <v>17.641294642857144</v>
      </c>
      <c r="I1263">
        <v>76.8</v>
      </c>
      <c r="J1263">
        <f>(Miami_Retail[[#This Row],[avg_temp_f]]-32) * (5/9)</f>
        <v>24.888888888888889</v>
      </c>
      <c r="K1263">
        <v>0</v>
      </c>
      <c r="L1263">
        <v>0</v>
      </c>
      <c r="M1263">
        <v>58.7</v>
      </c>
      <c r="N1263">
        <v>50.6</v>
      </c>
      <c r="O1263">
        <v>49.4</v>
      </c>
      <c r="P1263">
        <v>48.2</v>
      </c>
      <c r="Q1263">
        <v>51.8</v>
      </c>
    </row>
    <row r="1264" spans="1:17" x14ac:dyDescent="0.25">
      <c r="A1264" s="2">
        <v>45458</v>
      </c>
      <c r="B1264" s="2" t="str">
        <f t="shared" si="38"/>
        <v>Saturday</v>
      </c>
      <c r="C1264" s="2" t="b">
        <f t="shared" si="39"/>
        <v>1</v>
      </c>
      <c r="D1264">
        <v>2</v>
      </c>
      <c r="E1264" t="s">
        <v>6</v>
      </c>
      <c r="F1264">
        <v>283</v>
      </c>
      <c r="G1264" s="3">
        <v>4707.1099999999997</v>
      </c>
      <c r="H1264" s="3">
        <f>Miami_Retail[[#This Row],[sales_usd]] / Miami_Retail[[#This Row],[customers]]</f>
        <v>16.632897526501765</v>
      </c>
      <c r="I1264">
        <v>81.400000000000006</v>
      </c>
      <c r="J1264">
        <f>(Miami_Retail[[#This Row],[avg_temp_f]]-32) * (5/9)</f>
        <v>27.44444444444445</v>
      </c>
      <c r="K1264">
        <v>0</v>
      </c>
      <c r="L1264">
        <v>0</v>
      </c>
      <c r="M1264">
        <v>58.5</v>
      </c>
      <c r="N1264">
        <v>50.7</v>
      </c>
      <c r="O1264">
        <v>49.3</v>
      </c>
      <c r="P1264">
        <v>55.2</v>
      </c>
      <c r="Q1264">
        <v>44.8</v>
      </c>
    </row>
    <row r="1265" spans="1:17" x14ac:dyDescent="0.25">
      <c r="A1265" s="2">
        <v>45459</v>
      </c>
      <c r="B1265" s="2" t="str">
        <f t="shared" si="38"/>
        <v>Sunday</v>
      </c>
      <c r="C1265" s="2" t="b">
        <f t="shared" si="39"/>
        <v>1</v>
      </c>
      <c r="D1265">
        <v>2</v>
      </c>
      <c r="E1265" t="s">
        <v>6</v>
      </c>
      <c r="F1265">
        <v>261</v>
      </c>
      <c r="G1265" s="3">
        <v>4533.3</v>
      </c>
      <c r="H1265" s="3">
        <f>Miami_Retail[[#This Row],[sales_usd]] / Miami_Retail[[#This Row],[customers]]</f>
        <v>17.368965517241381</v>
      </c>
      <c r="I1265">
        <v>73.3</v>
      </c>
      <c r="J1265">
        <f>(Miami_Retail[[#This Row],[avg_temp_f]]-32) * (5/9)</f>
        <v>22.944444444444443</v>
      </c>
      <c r="K1265">
        <v>0</v>
      </c>
      <c r="L1265">
        <v>0</v>
      </c>
      <c r="M1265">
        <v>63.4</v>
      </c>
      <c r="N1265">
        <v>49.5</v>
      </c>
      <c r="O1265">
        <v>50.5</v>
      </c>
      <c r="P1265">
        <v>53.4</v>
      </c>
      <c r="Q1265">
        <v>46.6</v>
      </c>
    </row>
    <row r="1266" spans="1:17" x14ac:dyDescent="0.25">
      <c r="A1266" s="2">
        <v>45460</v>
      </c>
      <c r="B1266" s="2" t="str">
        <f t="shared" si="38"/>
        <v>Monday</v>
      </c>
      <c r="C1266" s="2" t="b">
        <f t="shared" si="39"/>
        <v>0</v>
      </c>
      <c r="D1266">
        <v>2</v>
      </c>
      <c r="E1266" t="s">
        <v>6</v>
      </c>
      <c r="F1266">
        <v>276</v>
      </c>
      <c r="G1266" s="3">
        <v>4358.5600000000004</v>
      </c>
      <c r="H1266" s="3">
        <f>Miami_Retail[[#This Row],[sales_usd]] / Miami_Retail[[#This Row],[customers]]</f>
        <v>15.791884057971016</v>
      </c>
      <c r="I1266">
        <v>78.3</v>
      </c>
      <c r="J1266">
        <f>(Miami_Retail[[#This Row],[avg_temp_f]]-32) * (5/9)</f>
        <v>25.722222222222221</v>
      </c>
      <c r="K1266">
        <v>0</v>
      </c>
      <c r="L1266">
        <v>0</v>
      </c>
      <c r="M1266">
        <v>45.9</v>
      </c>
      <c r="N1266">
        <v>50.4</v>
      </c>
      <c r="O1266">
        <v>49.6</v>
      </c>
      <c r="P1266">
        <v>46.7</v>
      </c>
      <c r="Q1266">
        <v>53.3</v>
      </c>
    </row>
    <row r="1267" spans="1:17" x14ac:dyDescent="0.25">
      <c r="A1267" s="2">
        <v>45461</v>
      </c>
      <c r="B1267" s="2" t="str">
        <f t="shared" si="38"/>
        <v>Tuesday</v>
      </c>
      <c r="C1267" s="2" t="b">
        <f t="shared" si="39"/>
        <v>0</v>
      </c>
      <c r="D1267">
        <v>2</v>
      </c>
      <c r="E1267" t="s">
        <v>6</v>
      </c>
      <c r="F1267">
        <v>235</v>
      </c>
      <c r="G1267" s="3">
        <v>3848.4</v>
      </c>
      <c r="H1267" s="3">
        <f>Miami_Retail[[#This Row],[sales_usd]] / Miami_Retail[[#This Row],[customers]]</f>
        <v>16.376170212765956</v>
      </c>
      <c r="I1267">
        <v>73.099999999999994</v>
      </c>
      <c r="J1267">
        <f>(Miami_Retail[[#This Row],[avg_temp_f]]-32) * (5/9)</f>
        <v>22.833333333333332</v>
      </c>
      <c r="K1267">
        <v>0</v>
      </c>
      <c r="L1267">
        <v>0</v>
      </c>
      <c r="M1267">
        <v>62.9</v>
      </c>
      <c r="N1267">
        <v>49.1</v>
      </c>
      <c r="O1267">
        <v>50.9</v>
      </c>
      <c r="P1267">
        <v>46.6</v>
      </c>
      <c r="Q1267">
        <v>53.4</v>
      </c>
    </row>
    <row r="1268" spans="1:17" x14ac:dyDescent="0.25">
      <c r="A1268" s="2">
        <v>45462</v>
      </c>
      <c r="B1268" s="2" t="str">
        <f t="shared" si="38"/>
        <v>Wednesday</v>
      </c>
      <c r="C1268" s="2" t="b">
        <f t="shared" si="39"/>
        <v>0</v>
      </c>
      <c r="D1268">
        <v>2</v>
      </c>
      <c r="E1268" t="s">
        <v>6</v>
      </c>
      <c r="F1268">
        <v>242</v>
      </c>
      <c r="G1268" s="3">
        <v>4414.8999999999996</v>
      </c>
      <c r="H1268" s="3">
        <f>Miami_Retail[[#This Row],[sales_usd]] / Miami_Retail[[#This Row],[customers]]</f>
        <v>18.243388429752066</v>
      </c>
      <c r="I1268">
        <v>81.3</v>
      </c>
      <c r="J1268">
        <f>(Miami_Retail[[#This Row],[avg_temp_f]]-32) * (5/9)</f>
        <v>27.388888888888889</v>
      </c>
      <c r="K1268">
        <v>1.21</v>
      </c>
      <c r="L1268">
        <v>1</v>
      </c>
      <c r="M1268">
        <v>56.5</v>
      </c>
      <c r="N1268">
        <v>47.5</v>
      </c>
      <c r="O1268">
        <v>52.5</v>
      </c>
      <c r="P1268">
        <v>47</v>
      </c>
      <c r="Q1268">
        <v>53</v>
      </c>
    </row>
    <row r="1269" spans="1:17" x14ac:dyDescent="0.25">
      <c r="A1269" s="2">
        <v>45463</v>
      </c>
      <c r="B1269" s="2" t="str">
        <f t="shared" si="38"/>
        <v>Thursday</v>
      </c>
      <c r="C1269" s="2" t="b">
        <f t="shared" si="39"/>
        <v>0</v>
      </c>
      <c r="D1269">
        <v>2</v>
      </c>
      <c r="E1269" t="s">
        <v>6</v>
      </c>
      <c r="F1269">
        <v>219</v>
      </c>
      <c r="G1269" s="3">
        <v>3922.01</v>
      </c>
      <c r="H1269" s="3">
        <f>Miami_Retail[[#This Row],[sales_usd]] / Miami_Retail[[#This Row],[customers]]</f>
        <v>17.908721461187216</v>
      </c>
      <c r="I1269">
        <v>73.900000000000006</v>
      </c>
      <c r="J1269">
        <f>(Miami_Retail[[#This Row],[avg_temp_f]]-32) * (5/9)</f>
        <v>23.277777777777782</v>
      </c>
      <c r="K1269">
        <v>1.39</v>
      </c>
      <c r="L1269">
        <v>1</v>
      </c>
      <c r="M1269">
        <v>63.3</v>
      </c>
      <c r="N1269">
        <v>49.9</v>
      </c>
      <c r="O1269">
        <v>50.1</v>
      </c>
      <c r="P1269">
        <v>48</v>
      </c>
      <c r="Q1269">
        <v>52</v>
      </c>
    </row>
    <row r="1270" spans="1:17" x14ac:dyDescent="0.25">
      <c r="A1270" s="2">
        <v>45464</v>
      </c>
      <c r="B1270" s="2" t="str">
        <f t="shared" si="38"/>
        <v>Friday</v>
      </c>
      <c r="C1270" s="2" t="b">
        <f t="shared" si="39"/>
        <v>0</v>
      </c>
      <c r="D1270">
        <v>2</v>
      </c>
      <c r="E1270" t="s">
        <v>6</v>
      </c>
      <c r="F1270">
        <v>253</v>
      </c>
      <c r="G1270" s="3">
        <v>4205.1000000000004</v>
      </c>
      <c r="H1270" s="3">
        <f>Miami_Retail[[#This Row],[sales_usd]] / Miami_Retail[[#This Row],[customers]]</f>
        <v>16.620948616600792</v>
      </c>
      <c r="I1270">
        <v>76.900000000000006</v>
      </c>
      <c r="J1270">
        <f>(Miami_Retail[[#This Row],[avg_temp_f]]-32) * (5/9)</f>
        <v>24.94444444444445</v>
      </c>
      <c r="K1270">
        <v>0</v>
      </c>
      <c r="L1270">
        <v>0</v>
      </c>
      <c r="M1270">
        <v>62.4</v>
      </c>
      <c r="N1270">
        <v>51.1</v>
      </c>
      <c r="O1270">
        <v>48.9</v>
      </c>
      <c r="P1270">
        <v>48.6</v>
      </c>
      <c r="Q1270">
        <v>51.4</v>
      </c>
    </row>
    <row r="1271" spans="1:17" x14ac:dyDescent="0.25">
      <c r="A1271" s="2">
        <v>45465</v>
      </c>
      <c r="B1271" s="2" t="str">
        <f t="shared" si="38"/>
        <v>Saturday</v>
      </c>
      <c r="C1271" s="2" t="b">
        <f t="shared" si="39"/>
        <v>1</v>
      </c>
      <c r="D1271">
        <v>2</v>
      </c>
      <c r="E1271" t="s">
        <v>6</v>
      </c>
      <c r="F1271">
        <v>296</v>
      </c>
      <c r="G1271" s="3">
        <v>4382.34</v>
      </c>
      <c r="H1271" s="3">
        <f>Miami_Retail[[#This Row],[sales_usd]] / Miami_Retail[[#This Row],[customers]]</f>
        <v>14.805202702702703</v>
      </c>
      <c r="I1271">
        <v>76.400000000000006</v>
      </c>
      <c r="J1271">
        <f>(Miami_Retail[[#This Row],[avg_temp_f]]-32) * (5/9)</f>
        <v>24.666666666666671</v>
      </c>
      <c r="K1271">
        <v>0</v>
      </c>
      <c r="L1271">
        <v>0</v>
      </c>
      <c r="M1271">
        <v>48</v>
      </c>
      <c r="N1271">
        <v>50.2</v>
      </c>
      <c r="O1271">
        <v>49.8</v>
      </c>
      <c r="P1271">
        <v>54.3</v>
      </c>
      <c r="Q1271">
        <v>45.7</v>
      </c>
    </row>
    <row r="1272" spans="1:17" x14ac:dyDescent="0.25">
      <c r="A1272" s="2">
        <v>45466</v>
      </c>
      <c r="B1272" s="2" t="str">
        <f t="shared" si="38"/>
        <v>Sunday</v>
      </c>
      <c r="C1272" s="2" t="b">
        <f t="shared" si="39"/>
        <v>1</v>
      </c>
      <c r="D1272">
        <v>2</v>
      </c>
      <c r="E1272" t="s">
        <v>6</v>
      </c>
      <c r="F1272">
        <v>279</v>
      </c>
      <c r="G1272" s="3">
        <v>4852.5200000000004</v>
      </c>
      <c r="H1272" s="3">
        <f>Miami_Retail[[#This Row],[sales_usd]] / Miami_Retail[[#This Row],[customers]]</f>
        <v>17.392544802867384</v>
      </c>
      <c r="I1272">
        <v>77.900000000000006</v>
      </c>
      <c r="J1272">
        <f>(Miami_Retail[[#This Row],[avg_temp_f]]-32) * (5/9)</f>
        <v>25.500000000000004</v>
      </c>
      <c r="K1272">
        <v>0</v>
      </c>
      <c r="L1272">
        <v>0</v>
      </c>
      <c r="M1272">
        <v>51.2</v>
      </c>
      <c r="N1272">
        <v>50.5</v>
      </c>
      <c r="O1272">
        <v>49.5</v>
      </c>
      <c r="P1272">
        <v>51.9</v>
      </c>
      <c r="Q1272">
        <v>48.1</v>
      </c>
    </row>
    <row r="1273" spans="1:17" x14ac:dyDescent="0.25">
      <c r="A1273" s="2">
        <v>45467</v>
      </c>
      <c r="B1273" s="2" t="str">
        <f t="shared" si="38"/>
        <v>Monday</v>
      </c>
      <c r="C1273" s="2" t="b">
        <f t="shared" si="39"/>
        <v>0</v>
      </c>
      <c r="D1273">
        <v>2</v>
      </c>
      <c r="E1273" t="s">
        <v>6</v>
      </c>
      <c r="F1273">
        <v>237</v>
      </c>
      <c r="G1273" s="3">
        <v>3893.19</v>
      </c>
      <c r="H1273" s="3">
        <f>Miami_Retail[[#This Row],[sales_usd]] / Miami_Retail[[#This Row],[customers]]</f>
        <v>16.426962025316456</v>
      </c>
      <c r="I1273">
        <v>81.599999999999994</v>
      </c>
      <c r="J1273">
        <f>(Miami_Retail[[#This Row],[avg_temp_f]]-32) * (5/9)</f>
        <v>27.555555555555554</v>
      </c>
      <c r="K1273">
        <v>0.54</v>
      </c>
      <c r="L1273">
        <v>1</v>
      </c>
      <c r="M1273">
        <v>67</v>
      </c>
      <c r="N1273">
        <v>48.6</v>
      </c>
      <c r="O1273">
        <v>51.4</v>
      </c>
      <c r="P1273">
        <v>48.4</v>
      </c>
      <c r="Q1273">
        <v>51.6</v>
      </c>
    </row>
    <row r="1274" spans="1:17" x14ac:dyDescent="0.25">
      <c r="A1274" s="2">
        <v>45468</v>
      </c>
      <c r="B1274" s="2" t="str">
        <f t="shared" si="38"/>
        <v>Tuesday</v>
      </c>
      <c r="C1274" s="2" t="b">
        <f t="shared" si="39"/>
        <v>0</v>
      </c>
      <c r="D1274">
        <v>2</v>
      </c>
      <c r="E1274" t="s">
        <v>6</v>
      </c>
      <c r="F1274">
        <v>228</v>
      </c>
      <c r="G1274" s="3">
        <v>4044.98</v>
      </c>
      <c r="H1274" s="3">
        <f>Miami_Retail[[#This Row],[sales_usd]] / Miami_Retail[[#This Row],[customers]]</f>
        <v>17.741140350877192</v>
      </c>
      <c r="I1274">
        <v>77.8</v>
      </c>
      <c r="J1274">
        <f>(Miami_Retail[[#This Row],[avg_temp_f]]-32) * (5/9)</f>
        <v>25.444444444444443</v>
      </c>
      <c r="K1274">
        <v>0</v>
      </c>
      <c r="L1274">
        <v>0</v>
      </c>
      <c r="M1274">
        <v>59.2</v>
      </c>
      <c r="N1274">
        <v>49.2</v>
      </c>
      <c r="O1274">
        <v>50.8</v>
      </c>
      <c r="P1274">
        <v>46.6</v>
      </c>
      <c r="Q1274">
        <v>53.4</v>
      </c>
    </row>
    <row r="1275" spans="1:17" x14ac:dyDescent="0.25">
      <c r="A1275" s="2">
        <v>45469</v>
      </c>
      <c r="B1275" s="2" t="str">
        <f t="shared" si="38"/>
        <v>Wednesday</v>
      </c>
      <c r="C1275" s="2" t="b">
        <f t="shared" si="39"/>
        <v>0</v>
      </c>
      <c r="D1275">
        <v>2</v>
      </c>
      <c r="E1275" t="s">
        <v>6</v>
      </c>
      <c r="F1275">
        <v>207</v>
      </c>
      <c r="G1275" s="3">
        <v>3486.5</v>
      </c>
      <c r="H1275" s="3">
        <f>Miami_Retail[[#This Row],[sales_usd]] / Miami_Retail[[#This Row],[customers]]</f>
        <v>16.842995169082126</v>
      </c>
      <c r="I1275">
        <v>76.900000000000006</v>
      </c>
      <c r="J1275">
        <f>(Miami_Retail[[#This Row],[avg_temp_f]]-32) * (5/9)</f>
        <v>24.94444444444445</v>
      </c>
      <c r="K1275">
        <v>0.28000000000000003</v>
      </c>
      <c r="L1275">
        <v>1</v>
      </c>
      <c r="M1275">
        <v>56.9</v>
      </c>
      <c r="N1275">
        <v>49.6</v>
      </c>
      <c r="O1275">
        <v>50.4</v>
      </c>
      <c r="P1275">
        <v>46.5</v>
      </c>
      <c r="Q1275">
        <v>53.5</v>
      </c>
    </row>
    <row r="1276" spans="1:17" x14ac:dyDescent="0.25">
      <c r="A1276" s="2">
        <v>45470</v>
      </c>
      <c r="B1276" s="2" t="str">
        <f t="shared" si="38"/>
        <v>Thursday</v>
      </c>
      <c r="C1276" s="2" t="b">
        <f t="shared" si="39"/>
        <v>0</v>
      </c>
      <c r="D1276">
        <v>2</v>
      </c>
      <c r="E1276" t="s">
        <v>6</v>
      </c>
      <c r="F1276">
        <v>228</v>
      </c>
      <c r="G1276" s="3">
        <v>4473.25</v>
      </c>
      <c r="H1276" s="3">
        <f>Miami_Retail[[#This Row],[sales_usd]] / Miami_Retail[[#This Row],[customers]]</f>
        <v>19.619517543859651</v>
      </c>
      <c r="I1276">
        <v>77.5</v>
      </c>
      <c r="J1276">
        <f>(Miami_Retail[[#This Row],[avg_temp_f]]-32) * (5/9)</f>
        <v>25.277777777777779</v>
      </c>
      <c r="K1276">
        <v>0.72</v>
      </c>
      <c r="L1276">
        <v>1</v>
      </c>
      <c r="M1276">
        <v>59.8</v>
      </c>
      <c r="N1276">
        <v>49</v>
      </c>
      <c r="O1276">
        <v>51</v>
      </c>
      <c r="P1276">
        <v>45.1</v>
      </c>
      <c r="Q1276">
        <v>54.9</v>
      </c>
    </row>
    <row r="1277" spans="1:17" x14ac:dyDescent="0.25">
      <c r="A1277" s="2">
        <v>45471</v>
      </c>
      <c r="B1277" s="2" t="str">
        <f t="shared" si="38"/>
        <v>Friday</v>
      </c>
      <c r="C1277" s="2" t="b">
        <f t="shared" si="39"/>
        <v>0</v>
      </c>
      <c r="D1277">
        <v>2</v>
      </c>
      <c r="E1277" t="s">
        <v>6</v>
      </c>
      <c r="F1277">
        <v>314</v>
      </c>
      <c r="G1277" s="3">
        <v>5416.33</v>
      </c>
      <c r="H1277" s="3">
        <f>Miami_Retail[[#This Row],[sales_usd]] / Miami_Retail[[#This Row],[customers]]</f>
        <v>17.249458598726115</v>
      </c>
      <c r="I1277">
        <v>83.3</v>
      </c>
      <c r="J1277">
        <f>(Miami_Retail[[#This Row],[avg_temp_f]]-32) * (5/9)</f>
        <v>28.5</v>
      </c>
      <c r="K1277">
        <v>0</v>
      </c>
      <c r="L1277">
        <v>0</v>
      </c>
      <c r="M1277">
        <v>57</v>
      </c>
      <c r="N1277">
        <v>49.3</v>
      </c>
      <c r="O1277">
        <v>50.7</v>
      </c>
      <c r="P1277">
        <v>47.7</v>
      </c>
      <c r="Q1277">
        <v>52.3</v>
      </c>
    </row>
    <row r="1278" spans="1:17" x14ac:dyDescent="0.25">
      <c r="A1278" s="2">
        <v>45472</v>
      </c>
      <c r="B1278" s="2" t="str">
        <f t="shared" si="38"/>
        <v>Saturday</v>
      </c>
      <c r="C1278" s="2" t="b">
        <f t="shared" si="39"/>
        <v>1</v>
      </c>
      <c r="D1278">
        <v>2</v>
      </c>
      <c r="E1278" t="s">
        <v>6</v>
      </c>
      <c r="F1278">
        <v>285</v>
      </c>
      <c r="G1278" s="3">
        <v>5473</v>
      </c>
      <c r="H1278" s="3">
        <f>Miami_Retail[[#This Row],[sales_usd]] / Miami_Retail[[#This Row],[customers]]</f>
        <v>19.203508771929826</v>
      </c>
      <c r="I1278">
        <v>79.2</v>
      </c>
      <c r="J1278">
        <f>(Miami_Retail[[#This Row],[avg_temp_f]]-32) * (5/9)</f>
        <v>26.222222222222225</v>
      </c>
      <c r="K1278">
        <v>1.75</v>
      </c>
      <c r="L1278">
        <v>1</v>
      </c>
      <c r="M1278">
        <v>58.9</v>
      </c>
      <c r="N1278">
        <v>47.6</v>
      </c>
      <c r="O1278">
        <v>52.4</v>
      </c>
      <c r="P1278">
        <v>52.9</v>
      </c>
      <c r="Q1278">
        <v>47.1</v>
      </c>
    </row>
    <row r="1279" spans="1:17" x14ac:dyDescent="0.25">
      <c r="A1279" s="2">
        <v>45473</v>
      </c>
      <c r="B1279" s="2" t="str">
        <f t="shared" si="38"/>
        <v>Sunday</v>
      </c>
      <c r="C1279" s="2" t="b">
        <f t="shared" si="39"/>
        <v>1</v>
      </c>
      <c r="D1279">
        <v>2</v>
      </c>
      <c r="E1279" t="s">
        <v>6</v>
      </c>
      <c r="F1279">
        <v>313</v>
      </c>
      <c r="G1279" s="3">
        <v>5047.47</v>
      </c>
      <c r="H1279" s="3">
        <f>Miami_Retail[[#This Row],[sales_usd]] / Miami_Retail[[#This Row],[customers]]</f>
        <v>16.126102236421726</v>
      </c>
      <c r="I1279">
        <v>80.400000000000006</v>
      </c>
      <c r="J1279">
        <f>(Miami_Retail[[#This Row],[avg_temp_f]]-32) * (5/9)</f>
        <v>26.888888888888893</v>
      </c>
      <c r="K1279">
        <v>0</v>
      </c>
      <c r="L1279">
        <v>0</v>
      </c>
      <c r="M1279">
        <v>56.5</v>
      </c>
      <c r="N1279">
        <v>49.1</v>
      </c>
      <c r="O1279">
        <v>50.9</v>
      </c>
      <c r="P1279">
        <v>53</v>
      </c>
      <c r="Q1279">
        <v>47</v>
      </c>
    </row>
    <row r="1280" spans="1:17" x14ac:dyDescent="0.25">
      <c r="A1280" s="2">
        <v>45474</v>
      </c>
      <c r="B1280" s="2" t="str">
        <f t="shared" si="38"/>
        <v>Monday</v>
      </c>
      <c r="C1280" s="2" t="b">
        <f t="shared" si="39"/>
        <v>0</v>
      </c>
      <c r="D1280">
        <v>2</v>
      </c>
      <c r="E1280" t="s">
        <v>6</v>
      </c>
      <c r="F1280">
        <v>252</v>
      </c>
      <c r="G1280" s="3">
        <v>4328.9399999999996</v>
      </c>
      <c r="H1280" s="3">
        <f>Miami_Retail[[#This Row],[sales_usd]] / Miami_Retail[[#This Row],[customers]]</f>
        <v>17.178333333333331</v>
      </c>
      <c r="I1280">
        <v>81.900000000000006</v>
      </c>
      <c r="J1280">
        <f>(Miami_Retail[[#This Row],[avg_temp_f]]-32) * (5/9)</f>
        <v>27.722222222222225</v>
      </c>
      <c r="K1280">
        <v>0</v>
      </c>
      <c r="L1280">
        <v>0</v>
      </c>
      <c r="M1280">
        <v>57.6</v>
      </c>
      <c r="N1280">
        <v>50.1</v>
      </c>
      <c r="O1280">
        <v>49.9</v>
      </c>
      <c r="P1280">
        <v>46.8</v>
      </c>
      <c r="Q1280">
        <v>53.2</v>
      </c>
    </row>
    <row r="1281" spans="1:17" x14ac:dyDescent="0.25">
      <c r="A1281" s="2">
        <v>45475</v>
      </c>
      <c r="B1281" s="2" t="str">
        <f t="shared" si="38"/>
        <v>Tuesday</v>
      </c>
      <c r="C1281" s="2" t="b">
        <f t="shared" si="39"/>
        <v>0</v>
      </c>
      <c r="D1281">
        <v>2</v>
      </c>
      <c r="E1281" t="s">
        <v>6</v>
      </c>
      <c r="F1281">
        <v>296</v>
      </c>
      <c r="G1281" s="3">
        <v>5345.74</v>
      </c>
      <c r="H1281" s="3">
        <f>Miami_Retail[[#This Row],[sales_usd]] / Miami_Retail[[#This Row],[customers]]</f>
        <v>18.059932432432433</v>
      </c>
      <c r="I1281">
        <v>83.8</v>
      </c>
      <c r="J1281">
        <f>(Miami_Retail[[#This Row],[avg_temp_f]]-32) * (5/9)</f>
        <v>28.777777777777779</v>
      </c>
      <c r="K1281">
        <v>0</v>
      </c>
      <c r="L1281">
        <v>0</v>
      </c>
      <c r="M1281">
        <v>69.400000000000006</v>
      </c>
      <c r="N1281">
        <v>50</v>
      </c>
      <c r="O1281">
        <v>50</v>
      </c>
      <c r="P1281">
        <v>47.3</v>
      </c>
      <c r="Q1281">
        <v>52.7</v>
      </c>
    </row>
    <row r="1282" spans="1:17" x14ac:dyDescent="0.25">
      <c r="A1282" s="2">
        <v>45476</v>
      </c>
      <c r="B1282" s="2" t="str">
        <f t="shared" ref="B1282:B1345" si="40">TEXT(A1282, "dddd")</f>
        <v>Wednesday</v>
      </c>
      <c r="C1282" s="2" t="b">
        <f t="shared" ref="C1282:C1345" si="41">IF(WEEKDAY(A1282,2)&gt;5,TRUE,FALSE)</f>
        <v>0</v>
      </c>
      <c r="D1282">
        <v>2</v>
      </c>
      <c r="E1282" t="s">
        <v>6</v>
      </c>
      <c r="F1282">
        <v>263</v>
      </c>
      <c r="G1282" s="3">
        <v>4632.7299999999996</v>
      </c>
      <c r="H1282" s="3">
        <f>Miami_Retail[[#This Row],[sales_usd]] / Miami_Retail[[#This Row],[customers]]</f>
        <v>17.614942965779466</v>
      </c>
      <c r="I1282">
        <v>85.3</v>
      </c>
      <c r="J1282">
        <f>(Miami_Retail[[#This Row],[avg_temp_f]]-32) * (5/9)</f>
        <v>29.611111111111111</v>
      </c>
      <c r="K1282">
        <v>0.26</v>
      </c>
      <c r="L1282">
        <v>1</v>
      </c>
      <c r="M1282">
        <v>62.1</v>
      </c>
      <c r="N1282">
        <v>50.3</v>
      </c>
      <c r="O1282">
        <v>49.7</v>
      </c>
      <c r="P1282">
        <v>48.3</v>
      </c>
      <c r="Q1282">
        <v>51.7</v>
      </c>
    </row>
    <row r="1283" spans="1:17" x14ac:dyDescent="0.25">
      <c r="A1283" s="2">
        <v>45477</v>
      </c>
      <c r="B1283" s="2" t="str">
        <f t="shared" si="40"/>
        <v>Thursday</v>
      </c>
      <c r="C1283" s="2" t="b">
        <f t="shared" si="41"/>
        <v>0</v>
      </c>
      <c r="D1283">
        <v>2</v>
      </c>
      <c r="E1283" t="s">
        <v>6</v>
      </c>
      <c r="F1283">
        <v>272</v>
      </c>
      <c r="G1283" s="3">
        <v>4724.2299999999996</v>
      </c>
      <c r="H1283" s="3">
        <f>Miami_Retail[[#This Row],[sales_usd]] / Miami_Retail[[#This Row],[customers]]</f>
        <v>17.368492647058822</v>
      </c>
      <c r="I1283">
        <v>78.5</v>
      </c>
      <c r="J1283">
        <f>(Miami_Retail[[#This Row],[avg_temp_f]]-32) * (5/9)</f>
        <v>25.833333333333336</v>
      </c>
      <c r="K1283">
        <v>0</v>
      </c>
      <c r="L1283">
        <v>0</v>
      </c>
      <c r="M1283">
        <v>57.6</v>
      </c>
      <c r="N1283">
        <v>48.6</v>
      </c>
      <c r="O1283">
        <v>51.4</v>
      </c>
      <c r="P1283">
        <v>47.8</v>
      </c>
      <c r="Q1283">
        <v>52.2</v>
      </c>
    </row>
    <row r="1284" spans="1:17" x14ac:dyDescent="0.25">
      <c r="A1284" s="2">
        <v>45478</v>
      </c>
      <c r="B1284" s="2" t="str">
        <f t="shared" si="40"/>
        <v>Friday</v>
      </c>
      <c r="C1284" s="2" t="b">
        <f t="shared" si="41"/>
        <v>0</v>
      </c>
      <c r="D1284">
        <v>2</v>
      </c>
      <c r="E1284" t="s">
        <v>6</v>
      </c>
      <c r="F1284">
        <v>229</v>
      </c>
      <c r="G1284" s="3">
        <v>3994.52</v>
      </c>
      <c r="H1284" s="3">
        <f>Miami_Retail[[#This Row],[sales_usd]] / Miami_Retail[[#This Row],[customers]]</f>
        <v>17.443318777292575</v>
      </c>
      <c r="I1284">
        <v>77</v>
      </c>
      <c r="J1284">
        <f>(Miami_Retail[[#This Row],[avg_temp_f]]-32) * (5/9)</f>
        <v>25</v>
      </c>
      <c r="K1284">
        <v>0</v>
      </c>
      <c r="L1284">
        <v>0</v>
      </c>
      <c r="M1284">
        <v>65</v>
      </c>
      <c r="N1284">
        <v>47.6</v>
      </c>
      <c r="O1284">
        <v>52.4</v>
      </c>
      <c r="P1284">
        <v>47.7</v>
      </c>
      <c r="Q1284">
        <v>52.3</v>
      </c>
    </row>
    <row r="1285" spans="1:17" x14ac:dyDescent="0.25">
      <c r="A1285" s="2">
        <v>45479</v>
      </c>
      <c r="B1285" s="2" t="str">
        <f t="shared" si="40"/>
        <v>Saturday</v>
      </c>
      <c r="C1285" s="2" t="b">
        <f t="shared" si="41"/>
        <v>1</v>
      </c>
      <c r="D1285">
        <v>2</v>
      </c>
      <c r="E1285" t="s">
        <v>6</v>
      </c>
      <c r="F1285">
        <v>312</v>
      </c>
      <c r="G1285" s="3">
        <v>5219.72</v>
      </c>
      <c r="H1285" s="3">
        <f>Miami_Retail[[#This Row],[sales_usd]] / Miami_Retail[[#This Row],[customers]]</f>
        <v>16.729871794871794</v>
      </c>
      <c r="I1285">
        <v>82.1</v>
      </c>
      <c r="J1285">
        <f>(Miami_Retail[[#This Row],[avg_temp_f]]-32) * (5/9)</f>
        <v>27.833333333333332</v>
      </c>
      <c r="K1285">
        <v>0</v>
      </c>
      <c r="L1285">
        <v>0</v>
      </c>
      <c r="M1285">
        <v>57.2</v>
      </c>
      <c r="N1285">
        <v>50.3</v>
      </c>
      <c r="O1285">
        <v>49.7</v>
      </c>
      <c r="P1285">
        <v>53.6</v>
      </c>
      <c r="Q1285">
        <v>46.4</v>
      </c>
    </row>
    <row r="1286" spans="1:17" x14ac:dyDescent="0.25">
      <c r="A1286" s="2">
        <v>45480</v>
      </c>
      <c r="B1286" s="2" t="str">
        <f t="shared" si="40"/>
        <v>Sunday</v>
      </c>
      <c r="C1286" s="2" t="b">
        <f t="shared" si="41"/>
        <v>1</v>
      </c>
      <c r="D1286">
        <v>2</v>
      </c>
      <c r="E1286" t="s">
        <v>6</v>
      </c>
      <c r="F1286">
        <v>258</v>
      </c>
      <c r="G1286" s="3">
        <v>4536.87</v>
      </c>
      <c r="H1286" s="3">
        <f>Miami_Retail[[#This Row],[sales_usd]] / Miami_Retail[[#This Row],[customers]]</f>
        <v>17.584767441860464</v>
      </c>
      <c r="I1286">
        <v>82.3</v>
      </c>
      <c r="J1286">
        <f>(Miami_Retail[[#This Row],[avg_temp_f]]-32) * (5/9)</f>
        <v>27.944444444444443</v>
      </c>
      <c r="K1286">
        <v>0</v>
      </c>
      <c r="L1286">
        <v>0</v>
      </c>
      <c r="M1286">
        <v>61.4</v>
      </c>
      <c r="N1286">
        <v>49.9</v>
      </c>
      <c r="O1286">
        <v>50.1</v>
      </c>
      <c r="P1286">
        <v>52.8</v>
      </c>
      <c r="Q1286">
        <v>47.2</v>
      </c>
    </row>
    <row r="1287" spans="1:17" x14ac:dyDescent="0.25">
      <c r="A1287" s="2">
        <v>45481</v>
      </c>
      <c r="B1287" s="2" t="str">
        <f t="shared" si="40"/>
        <v>Monday</v>
      </c>
      <c r="C1287" s="2" t="b">
        <f t="shared" si="41"/>
        <v>0</v>
      </c>
      <c r="D1287">
        <v>2</v>
      </c>
      <c r="E1287" t="s">
        <v>6</v>
      </c>
      <c r="F1287">
        <v>280</v>
      </c>
      <c r="G1287" s="3">
        <v>5187.57</v>
      </c>
      <c r="H1287" s="3">
        <f>Miami_Retail[[#This Row],[sales_usd]] / Miami_Retail[[#This Row],[customers]]</f>
        <v>18.527035714285713</v>
      </c>
      <c r="I1287">
        <v>86.2</v>
      </c>
      <c r="J1287">
        <f>(Miami_Retail[[#This Row],[avg_temp_f]]-32) * (5/9)</f>
        <v>30.111111111111114</v>
      </c>
      <c r="K1287">
        <v>1.61</v>
      </c>
      <c r="L1287">
        <v>1</v>
      </c>
      <c r="M1287">
        <v>72.3</v>
      </c>
      <c r="N1287">
        <v>50</v>
      </c>
      <c r="O1287">
        <v>50</v>
      </c>
      <c r="P1287">
        <v>46.8</v>
      </c>
      <c r="Q1287">
        <v>53.2</v>
      </c>
    </row>
    <row r="1288" spans="1:17" x14ac:dyDescent="0.25">
      <c r="A1288" s="2">
        <v>45482</v>
      </c>
      <c r="B1288" s="2" t="str">
        <f t="shared" si="40"/>
        <v>Tuesday</v>
      </c>
      <c r="C1288" s="2" t="b">
        <f t="shared" si="41"/>
        <v>0</v>
      </c>
      <c r="D1288">
        <v>2</v>
      </c>
      <c r="E1288" t="s">
        <v>6</v>
      </c>
      <c r="F1288">
        <v>263</v>
      </c>
      <c r="G1288" s="3">
        <v>4985.93</v>
      </c>
      <c r="H1288" s="3">
        <f>Miami_Retail[[#This Row],[sales_usd]] / Miami_Retail[[#This Row],[customers]]</f>
        <v>18.957908745247149</v>
      </c>
      <c r="I1288">
        <v>81.3</v>
      </c>
      <c r="J1288">
        <f>(Miami_Retail[[#This Row],[avg_temp_f]]-32) * (5/9)</f>
        <v>27.388888888888889</v>
      </c>
      <c r="K1288">
        <v>0</v>
      </c>
      <c r="L1288">
        <v>0</v>
      </c>
      <c r="M1288">
        <v>59</v>
      </c>
      <c r="N1288">
        <v>48.5</v>
      </c>
      <c r="O1288">
        <v>51.5</v>
      </c>
      <c r="P1288">
        <v>46.3</v>
      </c>
      <c r="Q1288">
        <v>53.7</v>
      </c>
    </row>
    <row r="1289" spans="1:17" x14ac:dyDescent="0.25">
      <c r="A1289" s="2">
        <v>45483</v>
      </c>
      <c r="B1289" s="2" t="str">
        <f t="shared" si="40"/>
        <v>Wednesday</v>
      </c>
      <c r="C1289" s="2" t="b">
        <f t="shared" si="41"/>
        <v>0</v>
      </c>
      <c r="D1289">
        <v>2</v>
      </c>
      <c r="E1289" t="s">
        <v>6</v>
      </c>
      <c r="F1289">
        <v>257</v>
      </c>
      <c r="G1289" s="3">
        <v>4253.84</v>
      </c>
      <c r="H1289" s="3">
        <f>Miami_Retail[[#This Row],[sales_usd]] / Miami_Retail[[#This Row],[customers]]</f>
        <v>16.551906614785992</v>
      </c>
      <c r="I1289">
        <v>79.099999999999994</v>
      </c>
      <c r="J1289">
        <f>(Miami_Retail[[#This Row],[avg_temp_f]]-32) * (5/9)</f>
        <v>26.166666666666664</v>
      </c>
      <c r="K1289">
        <v>0.73</v>
      </c>
      <c r="L1289">
        <v>1</v>
      </c>
      <c r="M1289">
        <v>59.8</v>
      </c>
      <c r="N1289">
        <v>49.4</v>
      </c>
      <c r="O1289">
        <v>50.6</v>
      </c>
      <c r="P1289">
        <v>46.4</v>
      </c>
      <c r="Q1289">
        <v>53.6</v>
      </c>
    </row>
    <row r="1290" spans="1:17" x14ac:dyDescent="0.25">
      <c r="A1290" s="2">
        <v>45484</v>
      </c>
      <c r="B1290" s="2" t="str">
        <f t="shared" si="40"/>
        <v>Thursday</v>
      </c>
      <c r="C1290" s="2" t="b">
        <f t="shared" si="41"/>
        <v>0</v>
      </c>
      <c r="D1290">
        <v>2</v>
      </c>
      <c r="E1290" t="s">
        <v>6</v>
      </c>
      <c r="F1290">
        <v>266</v>
      </c>
      <c r="G1290" s="3">
        <v>4183.53</v>
      </c>
      <c r="H1290" s="3">
        <f>Miami_Retail[[#This Row],[sales_usd]] / Miami_Retail[[#This Row],[customers]]</f>
        <v>15.727556390977442</v>
      </c>
      <c r="I1290">
        <v>82</v>
      </c>
      <c r="J1290">
        <f>(Miami_Retail[[#This Row],[avg_temp_f]]-32) * (5/9)</f>
        <v>27.777777777777779</v>
      </c>
      <c r="K1290">
        <v>0.63</v>
      </c>
      <c r="L1290">
        <v>1</v>
      </c>
      <c r="M1290">
        <v>65.400000000000006</v>
      </c>
      <c r="N1290">
        <v>49.3</v>
      </c>
      <c r="O1290">
        <v>50.7</v>
      </c>
      <c r="P1290">
        <v>46.5</v>
      </c>
      <c r="Q1290">
        <v>53.5</v>
      </c>
    </row>
    <row r="1291" spans="1:17" x14ac:dyDescent="0.25">
      <c r="A1291" s="2">
        <v>45485</v>
      </c>
      <c r="B1291" s="2" t="str">
        <f t="shared" si="40"/>
        <v>Friday</v>
      </c>
      <c r="C1291" s="2" t="b">
        <f t="shared" si="41"/>
        <v>0</v>
      </c>
      <c r="D1291">
        <v>2</v>
      </c>
      <c r="E1291" t="s">
        <v>6</v>
      </c>
      <c r="F1291">
        <v>270</v>
      </c>
      <c r="G1291" s="3">
        <v>4648.13</v>
      </c>
      <c r="H1291" s="3">
        <f>Miami_Retail[[#This Row],[sales_usd]] / Miami_Retail[[#This Row],[customers]]</f>
        <v>17.215296296296298</v>
      </c>
      <c r="I1291">
        <v>77.099999999999994</v>
      </c>
      <c r="J1291">
        <f>(Miami_Retail[[#This Row],[avg_temp_f]]-32) * (5/9)</f>
        <v>25.055555555555554</v>
      </c>
      <c r="K1291">
        <v>0.73</v>
      </c>
      <c r="L1291">
        <v>1</v>
      </c>
      <c r="M1291">
        <v>68.5</v>
      </c>
      <c r="N1291">
        <v>49.4</v>
      </c>
      <c r="O1291">
        <v>50.6</v>
      </c>
      <c r="P1291">
        <v>47.9</v>
      </c>
      <c r="Q1291">
        <v>52.1</v>
      </c>
    </row>
    <row r="1292" spans="1:17" x14ac:dyDescent="0.25">
      <c r="A1292" s="2">
        <v>45486</v>
      </c>
      <c r="B1292" s="2" t="str">
        <f t="shared" si="40"/>
        <v>Saturday</v>
      </c>
      <c r="C1292" s="2" t="b">
        <f t="shared" si="41"/>
        <v>1</v>
      </c>
      <c r="D1292">
        <v>2</v>
      </c>
      <c r="E1292" t="s">
        <v>6</v>
      </c>
      <c r="F1292">
        <v>292</v>
      </c>
      <c r="G1292" s="3">
        <v>4349.6400000000003</v>
      </c>
      <c r="H1292" s="3">
        <f>Miami_Retail[[#This Row],[sales_usd]] / Miami_Retail[[#This Row],[customers]]</f>
        <v>14.896027397260275</v>
      </c>
      <c r="I1292">
        <v>80.3</v>
      </c>
      <c r="J1292">
        <f>(Miami_Retail[[#This Row],[avg_temp_f]]-32) * (5/9)</f>
        <v>26.833333333333332</v>
      </c>
      <c r="K1292">
        <v>0</v>
      </c>
      <c r="L1292">
        <v>0</v>
      </c>
      <c r="M1292">
        <v>73.400000000000006</v>
      </c>
      <c r="N1292">
        <v>49.4</v>
      </c>
      <c r="O1292">
        <v>50.6</v>
      </c>
      <c r="P1292">
        <v>52.8</v>
      </c>
      <c r="Q1292">
        <v>47.2</v>
      </c>
    </row>
    <row r="1293" spans="1:17" x14ac:dyDescent="0.25">
      <c r="A1293" s="2">
        <v>45487</v>
      </c>
      <c r="B1293" s="2" t="str">
        <f t="shared" si="40"/>
        <v>Sunday</v>
      </c>
      <c r="C1293" s="2" t="b">
        <f t="shared" si="41"/>
        <v>1</v>
      </c>
      <c r="D1293">
        <v>2</v>
      </c>
      <c r="E1293" t="s">
        <v>6</v>
      </c>
      <c r="F1293">
        <v>268</v>
      </c>
      <c r="G1293" s="3">
        <v>4854.09</v>
      </c>
      <c r="H1293" s="3">
        <f>Miami_Retail[[#This Row],[sales_usd]] / Miami_Retail[[#This Row],[customers]]</f>
        <v>18.112276119402985</v>
      </c>
      <c r="I1293">
        <v>80.900000000000006</v>
      </c>
      <c r="J1293">
        <f>(Miami_Retail[[#This Row],[avg_temp_f]]-32) * (5/9)</f>
        <v>27.166666666666671</v>
      </c>
      <c r="K1293">
        <v>0</v>
      </c>
      <c r="L1293">
        <v>0</v>
      </c>
      <c r="M1293">
        <v>71.3</v>
      </c>
      <c r="N1293">
        <v>46.5</v>
      </c>
      <c r="O1293">
        <v>53.5</v>
      </c>
      <c r="P1293">
        <v>52.7</v>
      </c>
      <c r="Q1293">
        <v>47.3</v>
      </c>
    </row>
    <row r="1294" spans="1:17" x14ac:dyDescent="0.25">
      <c r="A1294" s="2">
        <v>45488</v>
      </c>
      <c r="B1294" s="2" t="str">
        <f t="shared" si="40"/>
        <v>Monday</v>
      </c>
      <c r="C1294" s="2" t="b">
        <f t="shared" si="41"/>
        <v>0</v>
      </c>
      <c r="D1294">
        <v>2</v>
      </c>
      <c r="E1294" t="s">
        <v>6</v>
      </c>
      <c r="F1294">
        <v>276</v>
      </c>
      <c r="G1294" s="3">
        <v>4687.84</v>
      </c>
      <c r="H1294" s="3">
        <f>Miami_Retail[[#This Row],[sales_usd]] / Miami_Retail[[#This Row],[customers]]</f>
        <v>16.984927536231886</v>
      </c>
      <c r="I1294">
        <v>84.4</v>
      </c>
      <c r="J1294">
        <f>(Miami_Retail[[#This Row],[avg_temp_f]]-32) * (5/9)</f>
        <v>29.111111111111114</v>
      </c>
      <c r="K1294">
        <v>0.56999999999999995</v>
      </c>
      <c r="L1294">
        <v>1</v>
      </c>
      <c r="M1294">
        <v>65.2</v>
      </c>
      <c r="N1294">
        <v>48.1</v>
      </c>
      <c r="O1294">
        <v>51.9</v>
      </c>
      <c r="P1294">
        <v>46.8</v>
      </c>
      <c r="Q1294">
        <v>53.2</v>
      </c>
    </row>
    <row r="1295" spans="1:17" x14ac:dyDescent="0.25">
      <c r="A1295" s="2">
        <v>45489</v>
      </c>
      <c r="B1295" s="2" t="str">
        <f t="shared" si="40"/>
        <v>Tuesday</v>
      </c>
      <c r="C1295" s="2" t="b">
        <f t="shared" si="41"/>
        <v>0</v>
      </c>
      <c r="D1295">
        <v>2</v>
      </c>
      <c r="E1295" t="s">
        <v>6</v>
      </c>
      <c r="F1295">
        <v>291</v>
      </c>
      <c r="G1295" s="3">
        <v>4813.6400000000003</v>
      </c>
      <c r="H1295" s="3">
        <f>Miami_Retail[[#This Row],[sales_usd]] / Miami_Retail[[#This Row],[customers]]</f>
        <v>16.54171821305842</v>
      </c>
      <c r="I1295">
        <v>89.4</v>
      </c>
      <c r="J1295">
        <f>(Miami_Retail[[#This Row],[avg_temp_f]]-32) * (5/9)</f>
        <v>31.888888888888893</v>
      </c>
      <c r="K1295">
        <v>0</v>
      </c>
      <c r="L1295">
        <v>0</v>
      </c>
      <c r="M1295">
        <v>69.5</v>
      </c>
      <c r="N1295">
        <v>49.1</v>
      </c>
      <c r="O1295">
        <v>50.9</v>
      </c>
      <c r="P1295">
        <v>47.6</v>
      </c>
      <c r="Q1295">
        <v>52.4</v>
      </c>
    </row>
    <row r="1296" spans="1:17" x14ac:dyDescent="0.25">
      <c r="A1296" s="2">
        <v>45490</v>
      </c>
      <c r="B1296" s="2" t="str">
        <f t="shared" si="40"/>
        <v>Wednesday</v>
      </c>
      <c r="C1296" s="2" t="b">
        <f t="shared" si="41"/>
        <v>0</v>
      </c>
      <c r="D1296">
        <v>2</v>
      </c>
      <c r="E1296" t="s">
        <v>6</v>
      </c>
      <c r="F1296">
        <v>257</v>
      </c>
      <c r="G1296" s="3">
        <v>4417.38</v>
      </c>
      <c r="H1296" s="3">
        <f>Miami_Retail[[#This Row],[sales_usd]] / Miami_Retail[[#This Row],[customers]]</f>
        <v>17.188249027237354</v>
      </c>
      <c r="I1296">
        <v>80.7</v>
      </c>
      <c r="J1296">
        <f>(Miami_Retail[[#This Row],[avg_temp_f]]-32) * (5/9)</f>
        <v>27.055555555555557</v>
      </c>
      <c r="K1296">
        <v>0</v>
      </c>
      <c r="L1296">
        <v>0</v>
      </c>
      <c r="M1296">
        <v>63.8</v>
      </c>
      <c r="N1296">
        <v>48</v>
      </c>
      <c r="O1296">
        <v>52</v>
      </c>
      <c r="P1296">
        <v>46.6</v>
      </c>
      <c r="Q1296">
        <v>53.4</v>
      </c>
    </row>
    <row r="1297" spans="1:17" x14ac:dyDescent="0.25">
      <c r="A1297" s="2">
        <v>45491</v>
      </c>
      <c r="B1297" s="2" t="str">
        <f t="shared" si="40"/>
        <v>Thursday</v>
      </c>
      <c r="C1297" s="2" t="b">
        <f t="shared" si="41"/>
        <v>0</v>
      </c>
      <c r="D1297">
        <v>2</v>
      </c>
      <c r="E1297" t="s">
        <v>6</v>
      </c>
      <c r="F1297">
        <v>231</v>
      </c>
      <c r="G1297" s="3">
        <v>3750.52</v>
      </c>
      <c r="H1297" s="3">
        <f>Miami_Retail[[#This Row],[sales_usd]] / Miami_Retail[[#This Row],[customers]]</f>
        <v>16.236017316017318</v>
      </c>
      <c r="I1297">
        <v>80.3</v>
      </c>
      <c r="J1297">
        <f>(Miami_Retail[[#This Row],[avg_temp_f]]-32) * (5/9)</f>
        <v>26.833333333333332</v>
      </c>
      <c r="K1297">
        <v>0.57999999999999996</v>
      </c>
      <c r="L1297">
        <v>1</v>
      </c>
      <c r="M1297">
        <v>77.7</v>
      </c>
      <c r="N1297">
        <v>49.2</v>
      </c>
      <c r="O1297">
        <v>50.8</v>
      </c>
      <c r="P1297">
        <v>48.3</v>
      </c>
      <c r="Q1297">
        <v>51.7</v>
      </c>
    </row>
    <row r="1298" spans="1:17" x14ac:dyDescent="0.25">
      <c r="A1298" s="2">
        <v>45492</v>
      </c>
      <c r="B1298" s="2" t="str">
        <f t="shared" si="40"/>
        <v>Friday</v>
      </c>
      <c r="C1298" s="2" t="b">
        <f t="shared" si="41"/>
        <v>0</v>
      </c>
      <c r="D1298">
        <v>2</v>
      </c>
      <c r="E1298" t="s">
        <v>6</v>
      </c>
      <c r="F1298">
        <v>240</v>
      </c>
      <c r="G1298" s="3">
        <v>3805.89</v>
      </c>
      <c r="H1298" s="3">
        <f>Miami_Retail[[#This Row],[sales_usd]] / Miami_Retail[[#This Row],[customers]]</f>
        <v>15.857875</v>
      </c>
      <c r="I1298">
        <v>81</v>
      </c>
      <c r="J1298">
        <f>(Miami_Retail[[#This Row],[avg_temp_f]]-32) * (5/9)</f>
        <v>27.222222222222225</v>
      </c>
      <c r="K1298">
        <v>0</v>
      </c>
      <c r="L1298">
        <v>0</v>
      </c>
      <c r="M1298">
        <v>68.3</v>
      </c>
      <c r="N1298">
        <v>47.4</v>
      </c>
      <c r="O1298">
        <v>52.6</v>
      </c>
      <c r="P1298">
        <v>45.5</v>
      </c>
      <c r="Q1298">
        <v>54.5</v>
      </c>
    </row>
    <row r="1299" spans="1:17" x14ac:dyDescent="0.25">
      <c r="A1299" s="2">
        <v>45493</v>
      </c>
      <c r="B1299" s="2" t="str">
        <f t="shared" si="40"/>
        <v>Saturday</v>
      </c>
      <c r="C1299" s="2" t="b">
        <f t="shared" si="41"/>
        <v>1</v>
      </c>
      <c r="D1299">
        <v>2</v>
      </c>
      <c r="E1299" t="s">
        <v>6</v>
      </c>
      <c r="F1299">
        <v>294</v>
      </c>
      <c r="G1299" s="3">
        <v>4852.17</v>
      </c>
      <c r="H1299" s="3">
        <f>Miami_Retail[[#This Row],[sales_usd]] / Miami_Retail[[#This Row],[customers]]</f>
        <v>16.503979591836735</v>
      </c>
      <c r="I1299">
        <v>85.9</v>
      </c>
      <c r="J1299">
        <f>(Miami_Retail[[#This Row],[avg_temp_f]]-32) * (5/9)</f>
        <v>29.94444444444445</v>
      </c>
      <c r="K1299">
        <v>0</v>
      </c>
      <c r="L1299">
        <v>0</v>
      </c>
      <c r="M1299">
        <v>77.099999999999994</v>
      </c>
      <c r="N1299">
        <v>48</v>
      </c>
      <c r="O1299">
        <v>52</v>
      </c>
      <c r="P1299">
        <v>51.4</v>
      </c>
      <c r="Q1299">
        <v>48.6</v>
      </c>
    </row>
    <row r="1300" spans="1:17" x14ac:dyDescent="0.25">
      <c r="A1300" s="2">
        <v>45494</v>
      </c>
      <c r="B1300" s="2" t="str">
        <f t="shared" si="40"/>
        <v>Sunday</v>
      </c>
      <c r="C1300" s="2" t="b">
        <f t="shared" si="41"/>
        <v>1</v>
      </c>
      <c r="D1300">
        <v>2</v>
      </c>
      <c r="E1300" t="s">
        <v>6</v>
      </c>
      <c r="F1300">
        <v>295</v>
      </c>
      <c r="G1300" s="3">
        <v>5349</v>
      </c>
      <c r="H1300" s="3">
        <f>Miami_Retail[[#This Row],[sales_usd]] / Miami_Retail[[#This Row],[customers]]</f>
        <v>18.132203389830508</v>
      </c>
      <c r="I1300">
        <v>84.5</v>
      </c>
      <c r="J1300">
        <f>(Miami_Retail[[#This Row],[avg_temp_f]]-32) * (5/9)</f>
        <v>29.166666666666668</v>
      </c>
      <c r="K1300">
        <v>0</v>
      </c>
      <c r="L1300">
        <v>0</v>
      </c>
      <c r="M1300">
        <v>70.2</v>
      </c>
      <c r="N1300">
        <v>45.5</v>
      </c>
      <c r="O1300">
        <v>54.5</v>
      </c>
      <c r="P1300">
        <v>51.2</v>
      </c>
      <c r="Q1300">
        <v>48.8</v>
      </c>
    </row>
    <row r="1301" spans="1:17" x14ac:dyDescent="0.25">
      <c r="A1301" s="2">
        <v>45495</v>
      </c>
      <c r="B1301" s="2" t="str">
        <f t="shared" si="40"/>
        <v>Monday</v>
      </c>
      <c r="C1301" s="2" t="b">
        <f t="shared" si="41"/>
        <v>0</v>
      </c>
      <c r="D1301">
        <v>2</v>
      </c>
      <c r="E1301" t="s">
        <v>6</v>
      </c>
      <c r="F1301">
        <v>301</v>
      </c>
      <c r="G1301" s="3">
        <v>4960.53</v>
      </c>
      <c r="H1301" s="3">
        <f>Miami_Retail[[#This Row],[sales_usd]] / Miami_Retail[[#This Row],[customers]]</f>
        <v>16.480166112956809</v>
      </c>
      <c r="I1301">
        <v>92.5</v>
      </c>
      <c r="J1301">
        <f>(Miami_Retail[[#This Row],[avg_temp_f]]-32) * (5/9)</f>
        <v>33.611111111111114</v>
      </c>
      <c r="K1301">
        <v>0</v>
      </c>
      <c r="L1301">
        <v>0</v>
      </c>
      <c r="M1301">
        <v>70.900000000000006</v>
      </c>
      <c r="N1301">
        <v>48.8</v>
      </c>
      <c r="O1301">
        <v>51.2</v>
      </c>
      <c r="P1301">
        <v>47.4</v>
      </c>
      <c r="Q1301">
        <v>52.6</v>
      </c>
    </row>
    <row r="1302" spans="1:17" x14ac:dyDescent="0.25">
      <c r="A1302" s="2">
        <v>45496</v>
      </c>
      <c r="B1302" s="2" t="str">
        <f t="shared" si="40"/>
        <v>Tuesday</v>
      </c>
      <c r="C1302" s="2" t="b">
        <f t="shared" si="41"/>
        <v>0</v>
      </c>
      <c r="D1302">
        <v>2</v>
      </c>
      <c r="E1302" t="s">
        <v>6</v>
      </c>
      <c r="F1302">
        <v>306</v>
      </c>
      <c r="G1302" s="3">
        <v>4926.4399999999996</v>
      </c>
      <c r="H1302" s="3">
        <f>Miami_Retail[[#This Row],[sales_usd]] / Miami_Retail[[#This Row],[customers]]</f>
        <v>16.099477124183004</v>
      </c>
      <c r="I1302">
        <v>87.1</v>
      </c>
      <c r="J1302">
        <f>(Miami_Retail[[#This Row],[avg_temp_f]]-32) * (5/9)</f>
        <v>30.611111111111111</v>
      </c>
      <c r="K1302">
        <v>0</v>
      </c>
      <c r="L1302">
        <v>0</v>
      </c>
      <c r="M1302">
        <v>71.900000000000006</v>
      </c>
      <c r="N1302">
        <v>48</v>
      </c>
      <c r="O1302">
        <v>52</v>
      </c>
      <c r="P1302">
        <v>47.2</v>
      </c>
      <c r="Q1302">
        <v>52.8</v>
      </c>
    </row>
    <row r="1303" spans="1:17" x14ac:dyDescent="0.25">
      <c r="A1303" s="2">
        <v>45497</v>
      </c>
      <c r="B1303" s="2" t="str">
        <f t="shared" si="40"/>
        <v>Wednesday</v>
      </c>
      <c r="C1303" s="2" t="b">
        <f t="shared" si="41"/>
        <v>0</v>
      </c>
      <c r="D1303">
        <v>2</v>
      </c>
      <c r="E1303" t="s">
        <v>6</v>
      </c>
      <c r="F1303">
        <v>270</v>
      </c>
      <c r="G1303" s="3">
        <v>4372.79</v>
      </c>
      <c r="H1303" s="3">
        <f>Miami_Retail[[#This Row],[sales_usd]] / Miami_Retail[[#This Row],[customers]]</f>
        <v>16.195518518518519</v>
      </c>
      <c r="I1303">
        <v>81.3</v>
      </c>
      <c r="J1303">
        <f>(Miami_Retail[[#This Row],[avg_temp_f]]-32) * (5/9)</f>
        <v>27.388888888888889</v>
      </c>
      <c r="K1303">
        <v>0.33</v>
      </c>
      <c r="L1303">
        <v>1</v>
      </c>
      <c r="M1303">
        <v>60.8</v>
      </c>
      <c r="N1303">
        <v>46.4</v>
      </c>
      <c r="O1303">
        <v>53.6</v>
      </c>
      <c r="P1303">
        <v>47.6</v>
      </c>
      <c r="Q1303">
        <v>52.4</v>
      </c>
    </row>
    <row r="1304" spans="1:17" x14ac:dyDescent="0.25">
      <c r="A1304" s="2">
        <v>45498</v>
      </c>
      <c r="B1304" s="2" t="str">
        <f t="shared" si="40"/>
        <v>Thursday</v>
      </c>
      <c r="C1304" s="2" t="b">
        <f t="shared" si="41"/>
        <v>0</v>
      </c>
      <c r="D1304">
        <v>2</v>
      </c>
      <c r="E1304" t="s">
        <v>6</v>
      </c>
      <c r="F1304">
        <v>287</v>
      </c>
      <c r="G1304" s="3">
        <v>4927.41</v>
      </c>
      <c r="H1304" s="3">
        <f>Miami_Retail[[#This Row],[sales_usd]] / Miami_Retail[[#This Row],[customers]]</f>
        <v>17.168675958188153</v>
      </c>
      <c r="I1304">
        <v>87.7</v>
      </c>
      <c r="J1304">
        <f>(Miami_Retail[[#This Row],[avg_temp_f]]-32) * (5/9)</f>
        <v>30.944444444444446</v>
      </c>
      <c r="K1304">
        <v>0</v>
      </c>
      <c r="L1304">
        <v>0</v>
      </c>
      <c r="M1304">
        <v>70.099999999999994</v>
      </c>
      <c r="N1304">
        <v>49.5</v>
      </c>
      <c r="O1304">
        <v>50.5</v>
      </c>
      <c r="P1304">
        <v>46.2</v>
      </c>
      <c r="Q1304">
        <v>53.8</v>
      </c>
    </row>
    <row r="1305" spans="1:17" x14ac:dyDescent="0.25">
      <c r="A1305" s="2">
        <v>45499</v>
      </c>
      <c r="B1305" s="2" t="str">
        <f t="shared" si="40"/>
        <v>Friday</v>
      </c>
      <c r="C1305" s="2" t="b">
        <f t="shared" si="41"/>
        <v>0</v>
      </c>
      <c r="D1305">
        <v>2</v>
      </c>
      <c r="E1305" t="s">
        <v>6</v>
      </c>
      <c r="F1305">
        <v>276</v>
      </c>
      <c r="G1305" s="3">
        <v>4255.4399999999996</v>
      </c>
      <c r="H1305" s="3">
        <f>Miami_Retail[[#This Row],[sales_usd]] / Miami_Retail[[#This Row],[customers]]</f>
        <v>15.418260869565216</v>
      </c>
      <c r="I1305">
        <v>87</v>
      </c>
      <c r="J1305">
        <f>(Miami_Retail[[#This Row],[avg_temp_f]]-32) * (5/9)</f>
        <v>30.555555555555557</v>
      </c>
      <c r="K1305">
        <v>1.0900000000000001</v>
      </c>
      <c r="L1305">
        <v>1</v>
      </c>
      <c r="M1305">
        <v>64.5</v>
      </c>
      <c r="N1305">
        <v>48.3</v>
      </c>
      <c r="O1305">
        <v>51.7</v>
      </c>
      <c r="P1305">
        <v>46.2</v>
      </c>
      <c r="Q1305">
        <v>53.8</v>
      </c>
    </row>
    <row r="1306" spans="1:17" x14ac:dyDescent="0.25">
      <c r="A1306" s="2">
        <v>45500</v>
      </c>
      <c r="B1306" s="2" t="str">
        <f t="shared" si="40"/>
        <v>Saturday</v>
      </c>
      <c r="C1306" s="2" t="b">
        <f t="shared" si="41"/>
        <v>1</v>
      </c>
      <c r="D1306">
        <v>2</v>
      </c>
      <c r="E1306" t="s">
        <v>6</v>
      </c>
      <c r="F1306">
        <v>319</v>
      </c>
      <c r="G1306" s="3">
        <v>5412.59</v>
      </c>
      <c r="H1306" s="3">
        <f>Miami_Retail[[#This Row],[sales_usd]] / Miami_Retail[[#This Row],[customers]]</f>
        <v>16.967366771159874</v>
      </c>
      <c r="I1306">
        <v>82.5</v>
      </c>
      <c r="J1306">
        <f>(Miami_Retail[[#This Row],[avg_temp_f]]-32) * (5/9)</f>
        <v>28.055555555555557</v>
      </c>
      <c r="K1306">
        <v>0</v>
      </c>
      <c r="L1306">
        <v>0</v>
      </c>
      <c r="M1306">
        <v>69.099999999999994</v>
      </c>
      <c r="N1306">
        <v>48.2</v>
      </c>
      <c r="O1306">
        <v>51.8</v>
      </c>
      <c r="P1306">
        <v>52.4</v>
      </c>
      <c r="Q1306">
        <v>47.6</v>
      </c>
    </row>
    <row r="1307" spans="1:17" x14ac:dyDescent="0.25">
      <c r="A1307" s="2">
        <v>45501</v>
      </c>
      <c r="B1307" s="2" t="str">
        <f t="shared" si="40"/>
        <v>Sunday</v>
      </c>
      <c r="C1307" s="2" t="b">
        <f t="shared" si="41"/>
        <v>1</v>
      </c>
      <c r="D1307">
        <v>2</v>
      </c>
      <c r="E1307" t="s">
        <v>6</v>
      </c>
      <c r="F1307">
        <v>334</v>
      </c>
      <c r="G1307" s="3">
        <v>5886.89</v>
      </c>
      <c r="H1307" s="3">
        <f>Miami_Retail[[#This Row],[sales_usd]] / Miami_Retail[[#This Row],[customers]]</f>
        <v>17.625419161676646</v>
      </c>
      <c r="I1307">
        <v>88.3</v>
      </c>
      <c r="J1307">
        <f>(Miami_Retail[[#This Row],[avg_temp_f]]-32) * (5/9)</f>
        <v>31.277777777777779</v>
      </c>
      <c r="K1307">
        <v>0</v>
      </c>
      <c r="L1307">
        <v>0</v>
      </c>
      <c r="M1307">
        <v>66.5</v>
      </c>
      <c r="N1307">
        <v>47.2</v>
      </c>
      <c r="O1307">
        <v>52.8</v>
      </c>
      <c r="P1307">
        <v>54</v>
      </c>
      <c r="Q1307">
        <v>46</v>
      </c>
    </row>
    <row r="1308" spans="1:17" x14ac:dyDescent="0.25">
      <c r="A1308" s="2">
        <v>45502</v>
      </c>
      <c r="B1308" s="2" t="str">
        <f t="shared" si="40"/>
        <v>Monday</v>
      </c>
      <c r="C1308" s="2" t="b">
        <f t="shared" si="41"/>
        <v>0</v>
      </c>
      <c r="D1308">
        <v>2</v>
      </c>
      <c r="E1308" t="s">
        <v>6</v>
      </c>
      <c r="F1308">
        <v>262</v>
      </c>
      <c r="G1308" s="3">
        <v>4276.42</v>
      </c>
      <c r="H1308" s="3">
        <f>Miami_Retail[[#This Row],[sales_usd]] / Miami_Retail[[#This Row],[customers]]</f>
        <v>16.322213740458015</v>
      </c>
      <c r="I1308">
        <v>85.5</v>
      </c>
      <c r="J1308">
        <f>(Miami_Retail[[#This Row],[avg_temp_f]]-32) * (5/9)</f>
        <v>29.722222222222225</v>
      </c>
      <c r="K1308">
        <v>0</v>
      </c>
      <c r="L1308">
        <v>0</v>
      </c>
      <c r="M1308">
        <v>68.8</v>
      </c>
      <c r="N1308">
        <v>48</v>
      </c>
      <c r="O1308">
        <v>52</v>
      </c>
      <c r="P1308">
        <v>47.7</v>
      </c>
      <c r="Q1308">
        <v>52.3</v>
      </c>
    </row>
    <row r="1309" spans="1:17" x14ac:dyDescent="0.25">
      <c r="A1309" s="2">
        <v>45503</v>
      </c>
      <c r="B1309" s="2" t="str">
        <f t="shared" si="40"/>
        <v>Tuesday</v>
      </c>
      <c r="C1309" s="2" t="b">
        <f t="shared" si="41"/>
        <v>0</v>
      </c>
      <c r="D1309">
        <v>2</v>
      </c>
      <c r="E1309" t="s">
        <v>6</v>
      </c>
      <c r="F1309">
        <v>279</v>
      </c>
      <c r="G1309" s="3">
        <v>5346.4</v>
      </c>
      <c r="H1309" s="3">
        <f>Miami_Retail[[#This Row],[sales_usd]] / Miami_Retail[[#This Row],[customers]]</f>
        <v>19.162724014336916</v>
      </c>
      <c r="I1309">
        <v>88.2</v>
      </c>
      <c r="J1309">
        <f>(Miami_Retail[[#This Row],[avg_temp_f]]-32) * (5/9)</f>
        <v>31.222222222222225</v>
      </c>
      <c r="K1309">
        <v>0.5</v>
      </c>
      <c r="L1309">
        <v>1</v>
      </c>
      <c r="M1309">
        <v>68.2</v>
      </c>
      <c r="N1309">
        <v>48</v>
      </c>
      <c r="O1309">
        <v>52</v>
      </c>
      <c r="P1309">
        <v>45.4</v>
      </c>
      <c r="Q1309">
        <v>54.6</v>
      </c>
    </row>
    <row r="1310" spans="1:17" x14ac:dyDescent="0.25">
      <c r="A1310" s="2">
        <v>45504</v>
      </c>
      <c r="B1310" s="2" t="str">
        <f t="shared" si="40"/>
        <v>Wednesday</v>
      </c>
      <c r="C1310" s="2" t="b">
        <f t="shared" si="41"/>
        <v>0</v>
      </c>
      <c r="D1310">
        <v>2</v>
      </c>
      <c r="E1310" t="s">
        <v>6</v>
      </c>
      <c r="F1310">
        <v>305</v>
      </c>
      <c r="G1310" s="3">
        <v>5031.26</v>
      </c>
      <c r="H1310" s="3">
        <f>Miami_Retail[[#This Row],[sales_usd]] / Miami_Retail[[#This Row],[customers]]</f>
        <v>16.49593442622951</v>
      </c>
      <c r="I1310">
        <v>86.7</v>
      </c>
      <c r="J1310">
        <f>(Miami_Retail[[#This Row],[avg_temp_f]]-32) * (5/9)</f>
        <v>30.388888888888893</v>
      </c>
      <c r="K1310">
        <v>0</v>
      </c>
      <c r="L1310">
        <v>0</v>
      </c>
      <c r="M1310">
        <v>69.3</v>
      </c>
      <c r="N1310">
        <v>48.5</v>
      </c>
      <c r="O1310">
        <v>51.5</v>
      </c>
      <c r="P1310">
        <v>47.1</v>
      </c>
      <c r="Q1310">
        <v>52.9</v>
      </c>
    </row>
    <row r="1311" spans="1:17" x14ac:dyDescent="0.25">
      <c r="A1311" s="2">
        <v>45505</v>
      </c>
      <c r="B1311" s="2" t="str">
        <f t="shared" si="40"/>
        <v>Thursday</v>
      </c>
      <c r="C1311" s="2" t="b">
        <f t="shared" si="41"/>
        <v>0</v>
      </c>
      <c r="D1311">
        <v>2</v>
      </c>
      <c r="E1311" t="s">
        <v>6</v>
      </c>
      <c r="F1311">
        <v>296</v>
      </c>
      <c r="G1311" s="3">
        <v>5327.7</v>
      </c>
      <c r="H1311" s="3">
        <f>Miami_Retail[[#This Row],[sales_usd]] / Miami_Retail[[#This Row],[customers]]</f>
        <v>17.998986486486487</v>
      </c>
      <c r="I1311">
        <v>88.1</v>
      </c>
      <c r="J1311">
        <f>(Miami_Retail[[#This Row],[avg_temp_f]]-32) * (5/9)</f>
        <v>31.166666666666664</v>
      </c>
      <c r="K1311">
        <v>0.99</v>
      </c>
      <c r="L1311">
        <v>1</v>
      </c>
      <c r="M1311">
        <v>65.7</v>
      </c>
      <c r="N1311">
        <v>48.7</v>
      </c>
      <c r="O1311">
        <v>51.3</v>
      </c>
      <c r="P1311">
        <v>46.4</v>
      </c>
      <c r="Q1311">
        <v>53.6</v>
      </c>
    </row>
    <row r="1312" spans="1:17" x14ac:dyDescent="0.25">
      <c r="A1312" s="2">
        <v>45506</v>
      </c>
      <c r="B1312" s="2" t="str">
        <f t="shared" si="40"/>
        <v>Friday</v>
      </c>
      <c r="C1312" s="2" t="b">
        <f t="shared" si="41"/>
        <v>0</v>
      </c>
      <c r="D1312">
        <v>2</v>
      </c>
      <c r="E1312" t="s">
        <v>6</v>
      </c>
      <c r="F1312">
        <v>273</v>
      </c>
      <c r="G1312" s="3">
        <v>4632.75</v>
      </c>
      <c r="H1312" s="3">
        <f>Miami_Retail[[#This Row],[sales_usd]] / Miami_Retail[[#This Row],[customers]]</f>
        <v>16.969780219780219</v>
      </c>
      <c r="I1312">
        <v>87.9</v>
      </c>
      <c r="J1312">
        <f>(Miami_Retail[[#This Row],[avg_temp_f]]-32) * (5/9)</f>
        <v>31.055555555555561</v>
      </c>
      <c r="K1312">
        <v>0</v>
      </c>
      <c r="L1312">
        <v>0</v>
      </c>
      <c r="M1312">
        <v>74.2</v>
      </c>
      <c r="N1312">
        <v>48.6</v>
      </c>
      <c r="O1312">
        <v>51.4</v>
      </c>
      <c r="P1312">
        <v>46.8</v>
      </c>
      <c r="Q1312">
        <v>53.2</v>
      </c>
    </row>
    <row r="1313" spans="1:17" x14ac:dyDescent="0.25">
      <c r="A1313" s="2">
        <v>45507</v>
      </c>
      <c r="B1313" s="2" t="str">
        <f t="shared" si="40"/>
        <v>Saturday</v>
      </c>
      <c r="C1313" s="2" t="b">
        <f t="shared" si="41"/>
        <v>1</v>
      </c>
      <c r="D1313">
        <v>2</v>
      </c>
      <c r="E1313" t="s">
        <v>6</v>
      </c>
      <c r="F1313">
        <v>306</v>
      </c>
      <c r="G1313" s="3">
        <v>4992.18</v>
      </c>
      <c r="H1313" s="3">
        <f>Miami_Retail[[#This Row],[sales_usd]] / Miami_Retail[[#This Row],[customers]]</f>
        <v>16.314313725490198</v>
      </c>
      <c r="I1313">
        <v>86.5</v>
      </c>
      <c r="J1313">
        <f>(Miami_Retail[[#This Row],[avg_temp_f]]-32) * (5/9)</f>
        <v>30.277777777777779</v>
      </c>
      <c r="K1313">
        <v>0</v>
      </c>
      <c r="L1313">
        <v>0</v>
      </c>
      <c r="M1313">
        <v>68.599999999999994</v>
      </c>
      <c r="N1313">
        <v>49.5</v>
      </c>
      <c r="O1313">
        <v>50.5</v>
      </c>
      <c r="P1313">
        <v>52.9</v>
      </c>
      <c r="Q1313">
        <v>47.1</v>
      </c>
    </row>
    <row r="1314" spans="1:17" x14ac:dyDescent="0.25">
      <c r="A1314" s="2">
        <v>45508</v>
      </c>
      <c r="B1314" s="2" t="str">
        <f t="shared" si="40"/>
        <v>Sunday</v>
      </c>
      <c r="C1314" s="2" t="b">
        <f t="shared" si="41"/>
        <v>1</v>
      </c>
      <c r="D1314">
        <v>2</v>
      </c>
      <c r="E1314" t="s">
        <v>6</v>
      </c>
      <c r="F1314">
        <v>306</v>
      </c>
      <c r="G1314" s="3">
        <v>5387.93</v>
      </c>
      <c r="H1314" s="3">
        <f>Miami_Retail[[#This Row],[sales_usd]] / Miami_Retail[[#This Row],[customers]]</f>
        <v>17.607614379084968</v>
      </c>
      <c r="I1314">
        <v>86.9</v>
      </c>
      <c r="J1314">
        <f>(Miami_Retail[[#This Row],[avg_temp_f]]-32) * (5/9)</f>
        <v>30.500000000000004</v>
      </c>
      <c r="K1314">
        <v>0</v>
      </c>
      <c r="L1314">
        <v>0</v>
      </c>
      <c r="M1314">
        <v>76.900000000000006</v>
      </c>
      <c r="N1314">
        <v>48.5</v>
      </c>
      <c r="O1314">
        <v>51.5</v>
      </c>
      <c r="P1314">
        <v>51.5</v>
      </c>
      <c r="Q1314">
        <v>48.5</v>
      </c>
    </row>
    <row r="1315" spans="1:17" x14ac:dyDescent="0.25">
      <c r="A1315" s="2">
        <v>45509</v>
      </c>
      <c r="B1315" s="2" t="str">
        <f t="shared" si="40"/>
        <v>Monday</v>
      </c>
      <c r="C1315" s="2" t="b">
        <f t="shared" si="41"/>
        <v>0</v>
      </c>
      <c r="D1315">
        <v>2</v>
      </c>
      <c r="E1315" t="s">
        <v>6</v>
      </c>
      <c r="F1315">
        <v>297</v>
      </c>
      <c r="G1315" s="3">
        <v>5164.58</v>
      </c>
      <c r="H1315" s="3">
        <f>Miami_Retail[[#This Row],[sales_usd]] / Miami_Retail[[#This Row],[customers]]</f>
        <v>17.38915824915825</v>
      </c>
      <c r="I1315">
        <v>90.7</v>
      </c>
      <c r="J1315">
        <f>(Miami_Retail[[#This Row],[avg_temp_f]]-32) * (5/9)</f>
        <v>32.611111111111114</v>
      </c>
      <c r="K1315">
        <v>0</v>
      </c>
      <c r="L1315">
        <v>0</v>
      </c>
      <c r="M1315">
        <v>71.7</v>
      </c>
      <c r="N1315">
        <v>47.5</v>
      </c>
      <c r="O1315">
        <v>52.5</v>
      </c>
      <c r="P1315">
        <v>47.3</v>
      </c>
      <c r="Q1315">
        <v>52.7</v>
      </c>
    </row>
    <row r="1316" spans="1:17" x14ac:dyDescent="0.25">
      <c r="A1316" s="2">
        <v>45510</v>
      </c>
      <c r="B1316" s="2" t="str">
        <f t="shared" si="40"/>
        <v>Tuesday</v>
      </c>
      <c r="C1316" s="2" t="b">
        <f t="shared" si="41"/>
        <v>0</v>
      </c>
      <c r="D1316">
        <v>2</v>
      </c>
      <c r="E1316" t="s">
        <v>6</v>
      </c>
      <c r="F1316">
        <v>295</v>
      </c>
      <c r="G1316" s="3">
        <v>4908.87</v>
      </c>
      <c r="H1316" s="3">
        <f>Miami_Retail[[#This Row],[sales_usd]] / Miami_Retail[[#This Row],[customers]]</f>
        <v>16.640237288135594</v>
      </c>
      <c r="I1316">
        <v>84.8</v>
      </c>
      <c r="J1316">
        <f>(Miami_Retail[[#This Row],[avg_temp_f]]-32) * (5/9)</f>
        <v>29.333333333333332</v>
      </c>
      <c r="K1316">
        <v>0</v>
      </c>
      <c r="L1316">
        <v>0</v>
      </c>
      <c r="M1316">
        <v>84</v>
      </c>
      <c r="N1316">
        <v>45.2</v>
      </c>
      <c r="O1316">
        <v>54.8</v>
      </c>
      <c r="P1316">
        <v>46.2</v>
      </c>
      <c r="Q1316">
        <v>53.8</v>
      </c>
    </row>
    <row r="1317" spans="1:17" x14ac:dyDescent="0.25">
      <c r="A1317" s="2">
        <v>45511</v>
      </c>
      <c r="B1317" s="2" t="str">
        <f t="shared" si="40"/>
        <v>Wednesday</v>
      </c>
      <c r="C1317" s="2" t="b">
        <f t="shared" si="41"/>
        <v>0</v>
      </c>
      <c r="D1317">
        <v>2</v>
      </c>
      <c r="E1317" t="s">
        <v>6</v>
      </c>
      <c r="F1317">
        <v>276</v>
      </c>
      <c r="G1317" s="3">
        <v>4417.1400000000003</v>
      </c>
      <c r="H1317" s="3">
        <f>Miami_Retail[[#This Row],[sales_usd]] / Miami_Retail[[#This Row],[customers]]</f>
        <v>16.00413043478261</v>
      </c>
      <c r="I1317">
        <v>89.5</v>
      </c>
      <c r="J1317">
        <f>(Miami_Retail[[#This Row],[avg_temp_f]]-32) * (5/9)</f>
        <v>31.944444444444446</v>
      </c>
      <c r="K1317">
        <v>1.25</v>
      </c>
      <c r="L1317">
        <v>1</v>
      </c>
      <c r="M1317">
        <v>73.3</v>
      </c>
      <c r="N1317">
        <v>46.7</v>
      </c>
      <c r="O1317">
        <v>53.3</v>
      </c>
      <c r="P1317">
        <v>46.3</v>
      </c>
      <c r="Q1317">
        <v>53.7</v>
      </c>
    </row>
    <row r="1318" spans="1:17" x14ac:dyDescent="0.25">
      <c r="A1318" s="2">
        <v>45512</v>
      </c>
      <c r="B1318" s="2" t="str">
        <f t="shared" si="40"/>
        <v>Thursday</v>
      </c>
      <c r="C1318" s="2" t="b">
        <f t="shared" si="41"/>
        <v>0</v>
      </c>
      <c r="D1318">
        <v>2</v>
      </c>
      <c r="E1318" t="s">
        <v>6</v>
      </c>
      <c r="F1318">
        <v>287</v>
      </c>
      <c r="G1318" s="3">
        <v>5104.82</v>
      </c>
      <c r="H1318" s="3">
        <f>Miami_Retail[[#This Row],[sales_usd]] / Miami_Retail[[#This Row],[customers]]</f>
        <v>17.786829268292681</v>
      </c>
      <c r="I1318">
        <v>91.6</v>
      </c>
      <c r="J1318">
        <f>(Miami_Retail[[#This Row],[avg_temp_f]]-32) * (5/9)</f>
        <v>33.111111111111107</v>
      </c>
      <c r="K1318">
        <v>0</v>
      </c>
      <c r="L1318">
        <v>0</v>
      </c>
      <c r="M1318">
        <v>73.2</v>
      </c>
      <c r="N1318">
        <v>46.9</v>
      </c>
      <c r="O1318">
        <v>53.1</v>
      </c>
      <c r="P1318">
        <v>47.2</v>
      </c>
      <c r="Q1318">
        <v>52.8</v>
      </c>
    </row>
    <row r="1319" spans="1:17" x14ac:dyDescent="0.25">
      <c r="A1319" s="2">
        <v>45513</v>
      </c>
      <c r="B1319" s="2" t="str">
        <f t="shared" si="40"/>
        <v>Friday</v>
      </c>
      <c r="C1319" s="2" t="b">
        <f t="shared" si="41"/>
        <v>0</v>
      </c>
      <c r="D1319">
        <v>2</v>
      </c>
      <c r="E1319" t="s">
        <v>6</v>
      </c>
      <c r="F1319">
        <v>270</v>
      </c>
      <c r="G1319" s="3">
        <v>4116.59</v>
      </c>
      <c r="H1319" s="3">
        <f>Miami_Retail[[#This Row],[sales_usd]] / Miami_Retail[[#This Row],[customers]]</f>
        <v>15.246629629629631</v>
      </c>
      <c r="I1319">
        <v>83.8</v>
      </c>
      <c r="J1319">
        <f>(Miami_Retail[[#This Row],[avg_temp_f]]-32) * (5/9)</f>
        <v>28.777777777777779</v>
      </c>
      <c r="K1319">
        <v>0.97</v>
      </c>
      <c r="L1319">
        <v>1</v>
      </c>
      <c r="M1319">
        <v>69.400000000000006</v>
      </c>
      <c r="N1319">
        <v>46.9</v>
      </c>
      <c r="O1319">
        <v>53.1</v>
      </c>
      <c r="P1319">
        <v>47.3</v>
      </c>
      <c r="Q1319">
        <v>52.7</v>
      </c>
    </row>
    <row r="1320" spans="1:17" x14ac:dyDescent="0.25">
      <c r="A1320" s="2">
        <v>45514</v>
      </c>
      <c r="B1320" s="2" t="str">
        <f t="shared" si="40"/>
        <v>Saturday</v>
      </c>
      <c r="C1320" s="2" t="b">
        <f t="shared" si="41"/>
        <v>1</v>
      </c>
      <c r="D1320">
        <v>2</v>
      </c>
      <c r="E1320" t="s">
        <v>6</v>
      </c>
      <c r="F1320">
        <v>308</v>
      </c>
      <c r="G1320" s="3">
        <v>4862.22</v>
      </c>
      <c r="H1320" s="3">
        <f>Miami_Retail[[#This Row],[sales_usd]] / Miami_Retail[[#This Row],[customers]]</f>
        <v>15.786428571428573</v>
      </c>
      <c r="I1320">
        <v>88.7</v>
      </c>
      <c r="J1320">
        <f>(Miami_Retail[[#This Row],[avg_temp_f]]-32) * (5/9)</f>
        <v>31.500000000000004</v>
      </c>
      <c r="K1320">
        <v>0</v>
      </c>
      <c r="L1320">
        <v>0</v>
      </c>
      <c r="M1320">
        <v>78.7</v>
      </c>
      <c r="N1320">
        <v>46.5</v>
      </c>
      <c r="O1320">
        <v>53.5</v>
      </c>
      <c r="P1320">
        <v>51.9</v>
      </c>
      <c r="Q1320">
        <v>48.1</v>
      </c>
    </row>
    <row r="1321" spans="1:17" x14ac:dyDescent="0.25">
      <c r="A1321" s="2">
        <v>45515</v>
      </c>
      <c r="B1321" s="2" t="str">
        <f t="shared" si="40"/>
        <v>Sunday</v>
      </c>
      <c r="C1321" s="2" t="b">
        <f t="shared" si="41"/>
        <v>1</v>
      </c>
      <c r="D1321">
        <v>2</v>
      </c>
      <c r="E1321" t="s">
        <v>6</v>
      </c>
      <c r="F1321">
        <v>330</v>
      </c>
      <c r="G1321" s="3">
        <v>5421.64</v>
      </c>
      <c r="H1321" s="3">
        <f>Miami_Retail[[#This Row],[sales_usd]] / Miami_Retail[[#This Row],[customers]]</f>
        <v>16.429212121212121</v>
      </c>
      <c r="I1321">
        <v>93.2</v>
      </c>
      <c r="J1321">
        <f>(Miami_Retail[[#This Row],[avg_temp_f]]-32) * (5/9)</f>
        <v>34</v>
      </c>
      <c r="K1321">
        <v>0</v>
      </c>
      <c r="L1321">
        <v>0</v>
      </c>
      <c r="M1321">
        <v>69.900000000000006</v>
      </c>
      <c r="N1321">
        <v>46.4</v>
      </c>
      <c r="O1321">
        <v>53.6</v>
      </c>
      <c r="P1321">
        <v>51.1</v>
      </c>
      <c r="Q1321">
        <v>48.9</v>
      </c>
    </row>
    <row r="1322" spans="1:17" x14ac:dyDescent="0.25">
      <c r="A1322" s="2">
        <v>45516</v>
      </c>
      <c r="B1322" s="2" t="str">
        <f t="shared" si="40"/>
        <v>Monday</v>
      </c>
      <c r="C1322" s="2" t="b">
        <f t="shared" si="41"/>
        <v>0</v>
      </c>
      <c r="D1322">
        <v>2</v>
      </c>
      <c r="E1322" t="s">
        <v>6</v>
      </c>
      <c r="F1322">
        <v>270</v>
      </c>
      <c r="G1322" s="3">
        <v>4267.12</v>
      </c>
      <c r="H1322" s="3">
        <f>Miami_Retail[[#This Row],[sales_usd]] / Miami_Retail[[#This Row],[customers]]</f>
        <v>15.804148148148148</v>
      </c>
      <c r="I1322">
        <v>84.6</v>
      </c>
      <c r="J1322">
        <f>(Miami_Retail[[#This Row],[avg_temp_f]]-32) * (5/9)</f>
        <v>29.222222222222221</v>
      </c>
      <c r="K1322">
        <v>0</v>
      </c>
      <c r="L1322">
        <v>0</v>
      </c>
      <c r="M1322">
        <v>80.099999999999994</v>
      </c>
      <c r="N1322">
        <v>47.9</v>
      </c>
      <c r="O1322">
        <v>52.1</v>
      </c>
      <c r="P1322">
        <v>46</v>
      </c>
      <c r="Q1322">
        <v>54</v>
      </c>
    </row>
    <row r="1323" spans="1:17" x14ac:dyDescent="0.25">
      <c r="A1323" s="2">
        <v>45517</v>
      </c>
      <c r="B1323" s="2" t="str">
        <f t="shared" si="40"/>
        <v>Tuesday</v>
      </c>
      <c r="C1323" s="2" t="b">
        <f t="shared" si="41"/>
        <v>0</v>
      </c>
      <c r="D1323">
        <v>2</v>
      </c>
      <c r="E1323" t="s">
        <v>6</v>
      </c>
      <c r="F1323">
        <v>285</v>
      </c>
      <c r="G1323" s="3">
        <v>4792.53</v>
      </c>
      <c r="H1323" s="3">
        <f>Miami_Retail[[#This Row],[sales_usd]] / Miami_Retail[[#This Row],[customers]]</f>
        <v>16.815894736842104</v>
      </c>
      <c r="I1323">
        <v>85.9</v>
      </c>
      <c r="J1323">
        <f>(Miami_Retail[[#This Row],[avg_temp_f]]-32) * (5/9)</f>
        <v>29.94444444444445</v>
      </c>
      <c r="K1323">
        <v>0</v>
      </c>
      <c r="L1323">
        <v>0</v>
      </c>
      <c r="M1323">
        <v>65.900000000000006</v>
      </c>
      <c r="N1323">
        <v>45.6</v>
      </c>
      <c r="O1323">
        <v>54.4</v>
      </c>
      <c r="P1323">
        <v>47.1</v>
      </c>
      <c r="Q1323">
        <v>52.9</v>
      </c>
    </row>
    <row r="1324" spans="1:17" x14ac:dyDescent="0.25">
      <c r="A1324" s="2">
        <v>45518</v>
      </c>
      <c r="B1324" s="2" t="str">
        <f t="shared" si="40"/>
        <v>Wednesday</v>
      </c>
      <c r="C1324" s="2" t="b">
        <f t="shared" si="41"/>
        <v>0</v>
      </c>
      <c r="D1324">
        <v>2</v>
      </c>
      <c r="E1324" t="s">
        <v>6</v>
      </c>
      <c r="F1324">
        <v>319</v>
      </c>
      <c r="G1324" s="3">
        <v>5383.75</v>
      </c>
      <c r="H1324" s="3">
        <f>Miami_Retail[[#This Row],[sales_usd]] / Miami_Retail[[#This Row],[customers]]</f>
        <v>16.876959247648902</v>
      </c>
      <c r="I1324">
        <v>85.5</v>
      </c>
      <c r="J1324">
        <f>(Miami_Retail[[#This Row],[avg_temp_f]]-32) * (5/9)</f>
        <v>29.722222222222225</v>
      </c>
      <c r="K1324">
        <v>0</v>
      </c>
      <c r="L1324">
        <v>0</v>
      </c>
      <c r="M1324">
        <v>76</v>
      </c>
      <c r="N1324">
        <v>48.6</v>
      </c>
      <c r="O1324">
        <v>51.4</v>
      </c>
      <c r="P1324">
        <v>47.8</v>
      </c>
      <c r="Q1324">
        <v>52.2</v>
      </c>
    </row>
    <row r="1325" spans="1:17" x14ac:dyDescent="0.25">
      <c r="A1325" s="2">
        <v>45519</v>
      </c>
      <c r="B1325" s="2" t="str">
        <f t="shared" si="40"/>
        <v>Thursday</v>
      </c>
      <c r="C1325" s="2" t="b">
        <f t="shared" si="41"/>
        <v>0</v>
      </c>
      <c r="D1325">
        <v>2</v>
      </c>
      <c r="E1325" t="s">
        <v>6</v>
      </c>
      <c r="F1325">
        <v>282</v>
      </c>
      <c r="G1325" s="3">
        <v>4638.08</v>
      </c>
      <c r="H1325" s="3">
        <f>Miami_Retail[[#This Row],[sales_usd]] / Miami_Retail[[#This Row],[customers]]</f>
        <v>16.447092198581561</v>
      </c>
      <c r="I1325">
        <v>86.7</v>
      </c>
      <c r="J1325">
        <f>(Miami_Retail[[#This Row],[avg_temp_f]]-32) * (5/9)</f>
        <v>30.388888888888893</v>
      </c>
      <c r="K1325">
        <v>0</v>
      </c>
      <c r="L1325">
        <v>0</v>
      </c>
      <c r="M1325">
        <v>74.2</v>
      </c>
      <c r="N1325">
        <v>48.7</v>
      </c>
      <c r="O1325">
        <v>51.3</v>
      </c>
      <c r="P1325">
        <v>45.1</v>
      </c>
      <c r="Q1325">
        <v>54.9</v>
      </c>
    </row>
    <row r="1326" spans="1:17" x14ac:dyDescent="0.25">
      <c r="A1326" s="2">
        <v>45520</v>
      </c>
      <c r="B1326" s="2" t="str">
        <f t="shared" si="40"/>
        <v>Friday</v>
      </c>
      <c r="C1326" s="2" t="b">
        <f t="shared" si="41"/>
        <v>0</v>
      </c>
      <c r="D1326">
        <v>2</v>
      </c>
      <c r="E1326" t="s">
        <v>6</v>
      </c>
      <c r="F1326">
        <v>268</v>
      </c>
      <c r="G1326" s="3">
        <v>4719.1899999999996</v>
      </c>
      <c r="H1326" s="3">
        <f>Miami_Retail[[#This Row],[sales_usd]] / Miami_Retail[[#This Row],[customers]]</f>
        <v>17.608917910447758</v>
      </c>
      <c r="I1326">
        <v>83.4</v>
      </c>
      <c r="J1326">
        <f>(Miami_Retail[[#This Row],[avg_temp_f]]-32) * (5/9)</f>
        <v>28.555555555555561</v>
      </c>
      <c r="K1326">
        <v>0</v>
      </c>
      <c r="L1326">
        <v>0</v>
      </c>
      <c r="M1326">
        <v>74.8</v>
      </c>
      <c r="N1326">
        <v>47.3</v>
      </c>
      <c r="O1326">
        <v>52.7</v>
      </c>
      <c r="P1326">
        <v>45.2</v>
      </c>
      <c r="Q1326">
        <v>54.8</v>
      </c>
    </row>
    <row r="1327" spans="1:17" x14ac:dyDescent="0.25">
      <c r="A1327" s="2">
        <v>45521</v>
      </c>
      <c r="B1327" s="2" t="str">
        <f t="shared" si="40"/>
        <v>Saturday</v>
      </c>
      <c r="C1327" s="2" t="b">
        <f t="shared" si="41"/>
        <v>1</v>
      </c>
      <c r="D1327">
        <v>2</v>
      </c>
      <c r="E1327" t="s">
        <v>6</v>
      </c>
      <c r="F1327">
        <v>312</v>
      </c>
      <c r="G1327" s="3">
        <v>4840.37</v>
      </c>
      <c r="H1327" s="3">
        <f>Miami_Retail[[#This Row],[sales_usd]] / Miami_Retail[[#This Row],[customers]]</f>
        <v>15.51400641025641</v>
      </c>
      <c r="I1327">
        <v>87.5</v>
      </c>
      <c r="J1327">
        <f>(Miami_Retail[[#This Row],[avg_temp_f]]-32) * (5/9)</f>
        <v>30.833333333333336</v>
      </c>
      <c r="K1327">
        <v>1.1599999999999999</v>
      </c>
      <c r="L1327">
        <v>1</v>
      </c>
      <c r="M1327">
        <v>67.599999999999994</v>
      </c>
      <c r="N1327">
        <v>46.6</v>
      </c>
      <c r="O1327">
        <v>53.4</v>
      </c>
      <c r="P1327">
        <v>50.4</v>
      </c>
      <c r="Q1327">
        <v>49.6</v>
      </c>
    </row>
    <row r="1328" spans="1:17" x14ac:dyDescent="0.25">
      <c r="A1328" s="2">
        <v>45522</v>
      </c>
      <c r="B1328" s="2" t="str">
        <f t="shared" si="40"/>
        <v>Sunday</v>
      </c>
      <c r="C1328" s="2" t="b">
        <f t="shared" si="41"/>
        <v>1</v>
      </c>
      <c r="D1328">
        <v>2</v>
      </c>
      <c r="E1328" t="s">
        <v>6</v>
      </c>
      <c r="F1328">
        <v>295</v>
      </c>
      <c r="G1328" s="3">
        <v>4781.91</v>
      </c>
      <c r="H1328" s="3">
        <f>Miami_Retail[[#This Row],[sales_usd]] / Miami_Retail[[#This Row],[customers]]</f>
        <v>16.209864406779662</v>
      </c>
      <c r="I1328">
        <v>85</v>
      </c>
      <c r="J1328">
        <f>(Miami_Retail[[#This Row],[avg_temp_f]]-32) * (5/9)</f>
        <v>29.444444444444446</v>
      </c>
      <c r="K1328">
        <v>0</v>
      </c>
      <c r="L1328">
        <v>0</v>
      </c>
      <c r="M1328">
        <v>72.099999999999994</v>
      </c>
      <c r="N1328">
        <v>45.6</v>
      </c>
      <c r="O1328">
        <v>54.4</v>
      </c>
      <c r="P1328">
        <v>51.3</v>
      </c>
      <c r="Q1328">
        <v>48.7</v>
      </c>
    </row>
    <row r="1329" spans="1:17" x14ac:dyDescent="0.25">
      <c r="A1329" s="2">
        <v>45523</v>
      </c>
      <c r="B1329" s="2" t="str">
        <f t="shared" si="40"/>
        <v>Monday</v>
      </c>
      <c r="C1329" s="2" t="b">
        <f t="shared" si="41"/>
        <v>0</v>
      </c>
      <c r="D1329">
        <v>2</v>
      </c>
      <c r="E1329" t="s">
        <v>6</v>
      </c>
      <c r="F1329">
        <v>256</v>
      </c>
      <c r="G1329" s="3">
        <v>4441.13</v>
      </c>
      <c r="H1329" s="3">
        <f>Miami_Retail[[#This Row],[sales_usd]] / Miami_Retail[[#This Row],[customers]]</f>
        <v>17.3481640625</v>
      </c>
      <c r="I1329">
        <v>85.5</v>
      </c>
      <c r="J1329">
        <f>(Miami_Retail[[#This Row],[avg_temp_f]]-32) * (5/9)</f>
        <v>29.722222222222225</v>
      </c>
      <c r="K1329">
        <v>1.25</v>
      </c>
      <c r="L1329">
        <v>1</v>
      </c>
      <c r="M1329">
        <v>75.5</v>
      </c>
      <c r="N1329">
        <v>46.1</v>
      </c>
      <c r="O1329">
        <v>53.9</v>
      </c>
      <c r="P1329">
        <v>47.7</v>
      </c>
      <c r="Q1329">
        <v>52.3</v>
      </c>
    </row>
    <row r="1330" spans="1:17" x14ac:dyDescent="0.25">
      <c r="A1330" s="2">
        <v>45524</v>
      </c>
      <c r="B1330" s="2" t="str">
        <f t="shared" si="40"/>
        <v>Tuesday</v>
      </c>
      <c r="C1330" s="2" t="b">
        <f t="shared" si="41"/>
        <v>0</v>
      </c>
      <c r="D1330">
        <v>2</v>
      </c>
      <c r="E1330" t="s">
        <v>6</v>
      </c>
      <c r="F1330">
        <v>295</v>
      </c>
      <c r="G1330" s="3">
        <v>5183.43</v>
      </c>
      <c r="H1330" s="3">
        <f>Miami_Retail[[#This Row],[sales_usd]] / Miami_Retail[[#This Row],[customers]]</f>
        <v>17.570949152542372</v>
      </c>
      <c r="I1330">
        <v>89</v>
      </c>
      <c r="J1330">
        <f>(Miami_Retail[[#This Row],[avg_temp_f]]-32) * (5/9)</f>
        <v>31.666666666666668</v>
      </c>
      <c r="K1330">
        <v>0</v>
      </c>
      <c r="L1330">
        <v>0</v>
      </c>
      <c r="M1330">
        <v>76.5</v>
      </c>
      <c r="N1330">
        <v>46</v>
      </c>
      <c r="O1330">
        <v>54</v>
      </c>
      <c r="P1330">
        <v>45.7</v>
      </c>
      <c r="Q1330">
        <v>54.3</v>
      </c>
    </row>
    <row r="1331" spans="1:17" x14ac:dyDescent="0.25">
      <c r="A1331" s="2">
        <v>45525</v>
      </c>
      <c r="B1331" s="2" t="str">
        <f t="shared" si="40"/>
        <v>Wednesday</v>
      </c>
      <c r="C1331" s="2" t="b">
        <f t="shared" si="41"/>
        <v>0</v>
      </c>
      <c r="D1331">
        <v>2</v>
      </c>
      <c r="E1331" t="s">
        <v>6</v>
      </c>
      <c r="F1331">
        <v>305</v>
      </c>
      <c r="G1331" s="3">
        <v>4905.38</v>
      </c>
      <c r="H1331" s="3">
        <f>Miami_Retail[[#This Row],[sales_usd]] / Miami_Retail[[#This Row],[customers]]</f>
        <v>16.083213114754098</v>
      </c>
      <c r="I1331">
        <v>89.8</v>
      </c>
      <c r="J1331">
        <f>(Miami_Retail[[#This Row],[avg_temp_f]]-32) * (5/9)</f>
        <v>32.111111111111114</v>
      </c>
      <c r="K1331">
        <v>0</v>
      </c>
      <c r="L1331">
        <v>0</v>
      </c>
      <c r="M1331">
        <v>76.099999999999994</v>
      </c>
      <c r="N1331">
        <v>47.6</v>
      </c>
      <c r="O1331">
        <v>52.4</v>
      </c>
      <c r="P1331">
        <v>44.7</v>
      </c>
      <c r="Q1331">
        <v>55.3</v>
      </c>
    </row>
    <row r="1332" spans="1:17" x14ac:dyDescent="0.25">
      <c r="A1332" s="2">
        <v>45526</v>
      </c>
      <c r="B1332" s="2" t="str">
        <f t="shared" si="40"/>
        <v>Thursday</v>
      </c>
      <c r="C1332" s="2" t="b">
        <f t="shared" si="41"/>
        <v>0</v>
      </c>
      <c r="D1332">
        <v>2</v>
      </c>
      <c r="E1332" t="s">
        <v>6</v>
      </c>
      <c r="F1332">
        <v>310</v>
      </c>
      <c r="G1332" s="3">
        <v>5594.18</v>
      </c>
      <c r="H1332" s="3">
        <f>Miami_Retail[[#This Row],[sales_usd]] / Miami_Retail[[#This Row],[customers]]</f>
        <v>18.045741935483871</v>
      </c>
      <c r="I1332">
        <v>88.5</v>
      </c>
      <c r="J1332">
        <f>(Miami_Retail[[#This Row],[avg_temp_f]]-32) * (5/9)</f>
        <v>31.388888888888889</v>
      </c>
      <c r="K1332">
        <v>0</v>
      </c>
      <c r="L1332">
        <v>0</v>
      </c>
      <c r="M1332">
        <v>86.6</v>
      </c>
      <c r="N1332">
        <v>46.2</v>
      </c>
      <c r="O1332">
        <v>53.8</v>
      </c>
      <c r="P1332">
        <v>43.4</v>
      </c>
      <c r="Q1332">
        <v>56.6</v>
      </c>
    </row>
    <row r="1333" spans="1:17" x14ac:dyDescent="0.25">
      <c r="A1333" s="2">
        <v>45527</v>
      </c>
      <c r="B1333" s="2" t="str">
        <f t="shared" si="40"/>
        <v>Friday</v>
      </c>
      <c r="C1333" s="2" t="b">
        <f t="shared" si="41"/>
        <v>0</v>
      </c>
      <c r="D1333">
        <v>2</v>
      </c>
      <c r="E1333" t="s">
        <v>6</v>
      </c>
      <c r="F1333">
        <v>290</v>
      </c>
      <c r="G1333" s="3">
        <v>4626.07</v>
      </c>
      <c r="H1333" s="3">
        <f>Miami_Retail[[#This Row],[sales_usd]] / Miami_Retail[[#This Row],[customers]]</f>
        <v>15.951965517241378</v>
      </c>
      <c r="I1333">
        <v>83.9</v>
      </c>
      <c r="J1333">
        <f>(Miami_Retail[[#This Row],[avg_temp_f]]-32) * (5/9)</f>
        <v>28.833333333333339</v>
      </c>
      <c r="K1333">
        <v>0</v>
      </c>
      <c r="L1333">
        <v>0</v>
      </c>
      <c r="M1333">
        <v>69.900000000000006</v>
      </c>
      <c r="N1333">
        <v>47.6</v>
      </c>
      <c r="O1333">
        <v>52.4</v>
      </c>
      <c r="P1333">
        <v>45.1</v>
      </c>
      <c r="Q1333">
        <v>54.9</v>
      </c>
    </row>
    <row r="1334" spans="1:17" x14ac:dyDescent="0.25">
      <c r="A1334" s="2">
        <v>45528</v>
      </c>
      <c r="B1334" s="2" t="str">
        <f t="shared" si="40"/>
        <v>Saturday</v>
      </c>
      <c r="C1334" s="2" t="b">
        <f t="shared" si="41"/>
        <v>1</v>
      </c>
      <c r="D1334">
        <v>2</v>
      </c>
      <c r="E1334" t="s">
        <v>6</v>
      </c>
      <c r="F1334">
        <v>289</v>
      </c>
      <c r="G1334" s="3">
        <v>5508.9</v>
      </c>
      <c r="H1334" s="3">
        <f>Miami_Retail[[#This Row],[sales_usd]] / Miami_Retail[[#This Row],[customers]]</f>
        <v>19.061937716262975</v>
      </c>
      <c r="I1334">
        <v>83.4</v>
      </c>
      <c r="J1334">
        <f>(Miami_Retail[[#This Row],[avg_temp_f]]-32) * (5/9)</f>
        <v>28.555555555555561</v>
      </c>
      <c r="K1334">
        <v>0</v>
      </c>
      <c r="L1334">
        <v>0</v>
      </c>
      <c r="M1334">
        <v>74</v>
      </c>
      <c r="N1334">
        <v>46.8</v>
      </c>
      <c r="O1334">
        <v>53.2</v>
      </c>
      <c r="P1334">
        <v>51.7</v>
      </c>
      <c r="Q1334">
        <v>48.3</v>
      </c>
    </row>
    <row r="1335" spans="1:17" x14ac:dyDescent="0.25">
      <c r="A1335" s="2">
        <v>45529</v>
      </c>
      <c r="B1335" s="2" t="str">
        <f t="shared" si="40"/>
        <v>Sunday</v>
      </c>
      <c r="C1335" s="2" t="b">
        <f t="shared" si="41"/>
        <v>1</v>
      </c>
      <c r="D1335">
        <v>2</v>
      </c>
      <c r="E1335" t="s">
        <v>6</v>
      </c>
      <c r="F1335">
        <v>325</v>
      </c>
      <c r="G1335" s="3">
        <v>6050.79</v>
      </c>
      <c r="H1335" s="3">
        <f>Miami_Retail[[#This Row],[sales_usd]] / Miami_Retail[[#This Row],[customers]]</f>
        <v>18.617815384615383</v>
      </c>
      <c r="I1335">
        <v>85.6</v>
      </c>
      <c r="J1335">
        <f>(Miami_Retail[[#This Row],[avg_temp_f]]-32) * (5/9)</f>
        <v>29.777777777777775</v>
      </c>
      <c r="K1335">
        <v>1.89</v>
      </c>
      <c r="L1335">
        <v>1</v>
      </c>
      <c r="M1335">
        <v>76</v>
      </c>
      <c r="N1335">
        <v>46.5</v>
      </c>
      <c r="O1335">
        <v>53.5</v>
      </c>
      <c r="P1335">
        <v>50.5</v>
      </c>
      <c r="Q1335">
        <v>49.5</v>
      </c>
    </row>
    <row r="1336" spans="1:17" x14ac:dyDescent="0.25">
      <c r="A1336" s="2">
        <v>45530</v>
      </c>
      <c r="B1336" s="2" t="str">
        <f t="shared" si="40"/>
        <v>Monday</v>
      </c>
      <c r="C1336" s="2" t="b">
        <f t="shared" si="41"/>
        <v>0</v>
      </c>
      <c r="D1336">
        <v>2</v>
      </c>
      <c r="E1336" t="s">
        <v>6</v>
      </c>
      <c r="F1336">
        <v>271</v>
      </c>
      <c r="G1336" s="3">
        <v>4394.43</v>
      </c>
      <c r="H1336" s="3">
        <f>Miami_Retail[[#This Row],[sales_usd]] / Miami_Retail[[#This Row],[customers]]</f>
        <v>16.215608856088561</v>
      </c>
      <c r="I1336">
        <v>92.1</v>
      </c>
      <c r="J1336">
        <f>(Miami_Retail[[#This Row],[avg_temp_f]]-32) * (5/9)</f>
        <v>33.388888888888886</v>
      </c>
      <c r="K1336">
        <v>7.0000000000000007E-2</v>
      </c>
      <c r="L1336">
        <v>1</v>
      </c>
      <c r="M1336">
        <v>73.599999999999994</v>
      </c>
      <c r="N1336">
        <v>47.7</v>
      </c>
      <c r="O1336">
        <v>52.3</v>
      </c>
      <c r="P1336">
        <v>46.7</v>
      </c>
      <c r="Q1336">
        <v>53.3</v>
      </c>
    </row>
    <row r="1337" spans="1:17" x14ac:dyDescent="0.25">
      <c r="A1337" s="2">
        <v>45531</v>
      </c>
      <c r="B1337" s="2" t="str">
        <f t="shared" si="40"/>
        <v>Tuesday</v>
      </c>
      <c r="C1337" s="2" t="b">
        <f t="shared" si="41"/>
        <v>0</v>
      </c>
      <c r="D1337">
        <v>2</v>
      </c>
      <c r="E1337" t="s">
        <v>6</v>
      </c>
      <c r="F1337">
        <v>314</v>
      </c>
      <c r="G1337" s="3">
        <v>5524.9</v>
      </c>
      <c r="H1337" s="3">
        <f>Miami_Retail[[#This Row],[sales_usd]] / Miami_Retail[[#This Row],[customers]]</f>
        <v>17.595222929936305</v>
      </c>
      <c r="I1337">
        <v>85.6</v>
      </c>
      <c r="J1337">
        <f>(Miami_Retail[[#This Row],[avg_temp_f]]-32) * (5/9)</f>
        <v>29.777777777777775</v>
      </c>
      <c r="K1337">
        <v>0.91</v>
      </c>
      <c r="L1337">
        <v>1</v>
      </c>
      <c r="M1337">
        <v>77.400000000000006</v>
      </c>
      <c r="N1337">
        <v>46.9</v>
      </c>
      <c r="O1337">
        <v>53.1</v>
      </c>
      <c r="P1337">
        <v>45.7</v>
      </c>
      <c r="Q1337">
        <v>54.3</v>
      </c>
    </row>
    <row r="1338" spans="1:17" x14ac:dyDescent="0.25">
      <c r="A1338" s="2">
        <v>45532</v>
      </c>
      <c r="B1338" s="2" t="str">
        <f t="shared" si="40"/>
        <v>Wednesday</v>
      </c>
      <c r="C1338" s="2" t="b">
        <f t="shared" si="41"/>
        <v>0</v>
      </c>
      <c r="D1338">
        <v>2</v>
      </c>
      <c r="E1338" t="s">
        <v>6</v>
      </c>
      <c r="F1338">
        <v>278</v>
      </c>
      <c r="G1338" s="3">
        <v>4668.21</v>
      </c>
      <c r="H1338" s="3">
        <f>Miami_Retail[[#This Row],[sales_usd]] / Miami_Retail[[#This Row],[customers]]</f>
        <v>16.792122302158273</v>
      </c>
      <c r="I1338">
        <v>94.6</v>
      </c>
      <c r="J1338">
        <f>(Miami_Retail[[#This Row],[avg_temp_f]]-32) * (5/9)</f>
        <v>34.777777777777779</v>
      </c>
      <c r="K1338">
        <v>0</v>
      </c>
      <c r="L1338">
        <v>0</v>
      </c>
      <c r="M1338">
        <v>81.099999999999994</v>
      </c>
      <c r="N1338">
        <v>48.2</v>
      </c>
      <c r="O1338">
        <v>51.8</v>
      </c>
      <c r="P1338">
        <v>45.2</v>
      </c>
      <c r="Q1338">
        <v>54.8</v>
      </c>
    </row>
    <row r="1339" spans="1:17" x14ac:dyDescent="0.25">
      <c r="A1339" s="2">
        <v>45533</v>
      </c>
      <c r="B1339" s="2" t="str">
        <f t="shared" si="40"/>
        <v>Thursday</v>
      </c>
      <c r="C1339" s="2" t="b">
        <f t="shared" si="41"/>
        <v>0</v>
      </c>
      <c r="D1339">
        <v>2</v>
      </c>
      <c r="E1339" t="s">
        <v>6</v>
      </c>
      <c r="F1339">
        <v>296</v>
      </c>
      <c r="G1339" s="3">
        <v>5093.5200000000004</v>
      </c>
      <c r="H1339" s="3">
        <f>Miami_Retail[[#This Row],[sales_usd]] / Miami_Retail[[#This Row],[customers]]</f>
        <v>17.20783783783784</v>
      </c>
      <c r="I1339">
        <v>87.2</v>
      </c>
      <c r="J1339">
        <f>(Miami_Retail[[#This Row],[avg_temp_f]]-32) * (5/9)</f>
        <v>30.666666666666668</v>
      </c>
      <c r="K1339">
        <v>0.19</v>
      </c>
      <c r="L1339">
        <v>1</v>
      </c>
      <c r="M1339">
        <v>81.900000000000006</v>
      </c>
      <c r="N1339">
        <v>46.6</v>
      </c>
      <c r="O1339">
        <v>53.4</v>
      </c>
      <c r="P1339">
        <v>45.6</v>
      </c>
      <c r="Q1339">
        <v>54.4</v>
      </c>
    </row>
    <row r="1340" spans="1:17" x14ac:dyDescent="0.25">
      <c r="A1340" s="2">
        <v>45534</v>
      </c>
      <c r="B1340" s="2" t="str">
        <f t="shared" si="40"/>
        <v>Friday</v>
      </c>
      <c r="C1340" s="2" t="b">
        <f t="shared" si="41"/>
        <v>0</v>
      </c>
      <c r="D1340">
        <v>2</v>
      </c>
      <c r="E1340" t="s">
        <v>6</v>
      </c>
      <c r="F1340">
        <v>286</v>
      </c>
      <c r="G1340" s="3">
        <v>4861.93</v>
      </c>
      <c r="H1340" s="3">
        <f>Miami_Retail[[#This Row],[sales_usd]] / Miami_Retail[[#This Row],[customers]]</f>
        <v>16.999755244755246</v>
      </c>
      <c r="I1340">
        <v>91.1</v>
      </c>
      <c r="J1340">
        <f>(Miami_Retail[[#This Row],[avg_temp_f]]-32) * (5/9)</f>
        <v>32.833333333333329</v>
      </c>
      <c r="K1340">
        <v>0</v>
      </c>
      <c r="L1340">
        <v>0</v>
      </c>
      <c r="M1340">
        <v>77</v>
      </c>
      <c r="N1340">
        <v>45.3</v>
      </c>
      <c r="O1340">
        <v>54.7</v>
      </c>
      <c r="P1340">
        <v>46.2</v>
      </c>
      <c r="Q1340">
        <v>53.8</v>
      </c>
    </row>
    <row r="1341" spans="1:17" x14ac:dyDescent="0.25">
      <c r="A1341" s="2">
        <v>45535</v>
      </c>
      <c r="B1341" s="2" t="str">
        <f t="shared" si="40"/>
        <v>Saturday</v>
      </c>
      <c r="C1341" s="2" t="b">
        <f t="shared" si="41"/>
        <v>1</v>
      </c>
      <c r="D1341">
        <v>2</v>
      </c>
      <c r="E1341" t="s">
        <v>6</v>
      </c>
      <c r="F1341">
        <v>344</v>
      </c>
      <c r="G1341" s="3">
        <v>5864.51</v>
      </c>
      <c r="H1341" s="3">
        <f>Miami_Retail[[#This Row],[sales_usd]] / Miami_Retail[[#This Row],[customers]]</f>
        <v>17.047994186046513</v>
      </c>
      <c r="I1341">
        <v>92.4</v>
      </c>
      <c r="J1341">
        <f>(Miami_Retail[[#This Row],[avg_temp_f]]-32) * (5/9)</f>
        <v>33.555555555555557</v>
      </c>
      <c r="K1341">
        <v>2.13</v>
      </c>
      <c r="L1341">
        <v>1</v>
      </c>
      <c r="M1341">
        <v>68.099999999999994</v>
      </c>
      <c r="N1341">
        <v>45</v>
      </c>
      <c r="O1341">
        <v>55</v>
      </c>
      <c r="P1341">
        <v>51.6</v>
      </c>
      <c r="Q1341">
        <v>48.4</v>
      </c>
    </row>
    <row r="1342" spans="1:17" x14ac:dyDescent="0.25">
      <c r="A1342" s="2">
        <v>45536</v>
      </c>
      <c r="B1342" s="2" t="str">
        <f t="shared" si="40"/>
        <v>Sunday</v>
      </c>
      <c r="C1342" s="2" t="b">
        <f t="shared" si="41"/>
        <v>1</v>
      </c>
      <c r="D1342">
        <v>2</v>
      </c>
      <c r="E1342" t="s">
        <v>6</v>
      </c>
      <c r="F1342">
        <v>337</v>
      </c>
      <c r="G1342" s="3">
        <v>5855.35</v>
      </c>
      <c r="H1342" s="3">
        <f>Miami_Retail[[#This Row],[sales_usd]] / Miami_Retail[[#This Row],[customers]]</f>
        <v>17.37492581602374</v>
      </c>
      <c r="I1342">
        <v>91.2</v>
      </c>
      <c r="J1342">
        <f>(Miami_Retail[[#This Row],[avg_temp_f]]-32) * (5/9)</f>
        <v>32.888888888888893</v>
      </c>
      <c r="K1342">
        <v>0.87</v>
      </c>
      <c r="L1342">
        <v>1</v>
      </c>
      <c r="M1342">
        <v>75.7</v>
      </c>
      <c r="N1342">
        <v>46.5</v>
      </c>
      <c r="O1342">
        <v>53.5</v>
      </c>
      <c r="P1342">
        <v>49.7</v>
      </c>
      <c r="Q1342">
        <v>50.3</v>
      </c>
    </row>
    <row r="1343" spans="1:17" x14ac:dyDescent="0.25">
      <c r="A1343" s="2">
        <v>45537</v>
      </c>
      <c r="B1343" s="2" t="str">
        <f t="shared" si="40"/>
        <v>Monday</v>
      </c>
      <c r="C1343" s="2" t="b">
        <f t="shared" si="41"/>
        <v>0</v>
      </c>
      <c r="D1343">
        <v>2</v>
      </c>
      <c r="E1343" t="s">
        <v>6</v>
      </c>
      <c r="F1343">
        <v>294</v>
      </c>
      <c r="G1343" s="3">
        <v>4865.8</v>
      </c>
      <c r="H1343" s="3">
        <f>Miami_Retail[[#This Row],[sales_usd]] / Miami_Retail[[#This Row],[customers]]</f>
        <v>16.550340136054423</v>
      </c>
      <c r="I1343">
        <v>94.3</v>
      </c>
      <c r="J1343">
        <f>(Miami_Retail[[#This Row],[avg_temp_f]]-32) * (5/9)</f>
        <v>34.611111111111114</v>
      </c>
      <c r="K1343">
        <v>0</v>
      </c>
      <c r="L1343">
        <v>0</v>
      </c>
      <c r="M1343">
        <v>84.8</v>
      </c>
      <c r="N1343">
        <v>45.1</v>
      </c>
      <c r="O1343">
        <v>54.9</v>
      </c>
      <c r="P1343">
        <v>46.2</v>
      </c>
      <c r="Q1343">
        <v>53.8</v>
      </c>
    </row>
    <row r="1344" spans="1:17" x14ac:dyDescent="0.25">
      <c r="A1344" s="2">
        <v>45538</v>
      </c>
      <c r="B1344" s="2" t="str">
        <f t="shared" si="40"/>
        <v>Tuesday</v>
      </c>
      <c r="C1344" s="2" t="b">
        <f t="shared" si="41"/>
        <v>0</v>
      </c>
      <c r="D1344">
        <v>2</v>
      </c>
      <c r="E1344" t="s">
        <v>6</v>
      </c>
      <c r="F1344">
        <v>289</v>
      </c>
      <c r="G1344" s="3">
        <v>4727.1499999999996</v>
      </c>
      <c r="H1344" s="3">
        <f>Miami_Retail[[#This Row],[sales_usd]] / Miami_Retail[[#This Row],[customers]]</f>
        <v>16.356920415224913</v>
      </c>
      <c r="I1344">
        <v>90.5</v>
      </c>
      <c r="J1344">
        <f>(Miami_Retail[[#This Row],[avg_temp_f]]-32) * (5/9)</f>
        <v>32.5</v>
      </c>
      <c r="K1344">
        <v>2.5499999999999998</v>
      </c>
      <c r="L1344">
        <v>1</v>
      </c>
      <c r="M1344">
        <v>71.8</v>
      </c>
      <c r="N1344">
        <v>48</v>
      </c>
      <c r="O1344">
        <v>52</v>
      </c>
      <c r="P1344">
        <v>44.7</v>
      </c>
      <c r="Q1344">
        <v>55.3</v>
      </c>
    </row>
    <row r="1345" spans="1:17" x14ac:dyDescent="0.25">
      <c r="A1345" s="2">
        <v>45539</v>
      </c>
      <c r="B1345" s="2" t="str">
        <f t="shared" si="40"/>
        <v>Wednesday</v>
      </c>
      <c r="C1345" s="2" t="b">
        <f t="shared" si="41"/>
        <v>0</v>
      </c>
      <c r="D1345">
        <v>2</v>
      </c>
      <c r="E1345" t="s">
        <v>6</v>
      </c>
      <c r="F1345">
        <v>250</v>
      </c>
      <c r="G1345" s="3">
        <v>4420.9399999999996</v>
      </c>
      <c r="H1345" s="3">
        <f>Miami_Retail[[#This Row],[sales_usd]] / Miami_Retail[[#This Row],[customers]]</f>
        <v>17.683759999999999</v>
      </c>
      <c r="I1345">
        <v>82.6</v>
      </c>
      <c r="J1345">
        <f>(Miami_Retail[[#This Row],[avg_temp_f]]-32) * (5/9)</f>
        <v>28.111111111111111</v>
      </c>
      <c r="K1345">
        <v>0</v>
      </c>
      <c r="L1345">
        <v>0</v>
      </c>
      <c r="M1345">
        <v>84.7</v>
      </c>
      <c r="N1345">
        <v>45.8</v>
      </c>
      <c r="O1345">
        <v>54.2</v>
      </c>
      <c r="P1345">
        <v>45.4</v>
      </c>
      <c r="Q1345">
        <v>54.6</v>
      </c>
    </row>
    <row r="1346" spans="1:17" x14ac:dyDescent="0.25">
      <c r="A1346" s="2">
        <v>45540</v>
      </c>
      <c r="B1346" s="2" t="str">
        <f t="shared" ref="B1346:B1409" si="42">TEXT(A1346, "dddd")</f>
        <v>Thursday</v>
      </c>
      <c r="C1346" s="2" t="b">
        <f t="shared" ref="C1346:C1409" si="43">IF(WEEKDAY(A1346,2)&gt;5,TRUE,FALSE)</f>
        <v>0</v>
      </c>
      <c r="D1346">
        <v>2</v>
      </c>
      <c r="E1346" t="s">
        <v>6</v>
      </c>
      <c r="F1346">
        <v>241</v>
      </c>
      <c r="G1346" s="3">
        <v>4643.8100000000004</v>
      </c>
      <c r="H1346" s="3">
        <f>Miami_Retail[[#This Row],[sales_usd]] / Miami_Retail[[#This Row],[customers]]</f>
        <v>19.268921161825727</v>
      </c>
      <c r="I1346">
        <v>87.4</v>
      </c>
      <c r="J1346">
        <f>(Miami_Retail[[#This Row],[avg_temp_f]]-32) * (5/9)</f>
        <v>30.777777777777782</v>
      </c>
      <c r="K1346">
        <v>4.01</v>
      </c>
      <c r="L1346">
        <v>1</v>
      </c>
      <c r="M1346">
        <v>75.400000000000006</v>
      </c>
      <c r="N1346">
        <v>47.8</v>
      </c>
      <c r="O1346">
        <v>52.2</v>
      </c>
      <c r="P1346">
        <v>43.6</v>
      </c>
      <c r="Q1346">
        <v>56.4</v>
      </c>
    </row>
    <row r="1347" spans="1:17" x14ac:dyDescent="0.25">
      <c r="A1347" s="2">
        <v>45541</v>
      </c>
      <c r="B1347" s="2" t="str">
        <f t="shared" si="42"/>
        <v>Friday</v>
      </c>
      <c r="C1347" s="2" t="b">
        <f t="shared" si="43"/>
        <v>0</v>
      </c>
      <c r="D1347">
        <v>2</v>
      </c>
      <c r="E1347" t="s">
        <v>6</v>
      </c>
      <c r="F1347">
        <v>270</v>
      </c>
      <c r="G1347" s="3">
        <v>4656.1499999999996</v>
      </c>
      <c r="H1347" s="3">
        <f>Miami_Retail[[#This Row],[sales_usd]] / Miami_Retail[[#This Row],[customers]]</f>
        <v>17.244999999999997</v>
      </c>
      <c r="I1347">
        <v>89.8</v>
      </c>
      <c r="J1347">
        <f>(Miami_Retail[[#This Row],[avg_temp_f]]-32) * (5/9)</f>
        <v>32.111111111111114</v>
      </c>
      <c r="K1347">
        <v>0</v>
      </c>
      <c r="L1347">
        <v>0</v>
      </c>
      <c r="M1347">
        <v>74.8</v>
      </c>
      <c r="N1347">
        <v>47.9</v>
      </c>
      <c r="O1347">
        <v>52.1</v>
      </c>
      <c r="P1347">
        <v>45.2</v>
      </c>
      <c r="Q1347">
        <v>54.8</v>
      </c>
    </row>
    <row r="1348" spans="1:17" x14ac:dyDescent="0.25">
      <c r="A1348" s="2">
        <v>45542</v>
      </c>
      <c r="B1348" s="2" t="str">
        <f t="shared" si="42"/>
        <v>Saturday</v>
      </c>
      <c r="C1348" s="2" t="b">
        <f t="shared" si="43"/>
        <v>1</v>
      </c>
      <c r="D1348">
        <v>2</v>
      </c>
      <c r="E1348" t="s">
        <v>6</v>
      </c>
      <c r="F1348">
        <v>308</v>
      </c>
      <c r="G1348" s="3">
        <v>4873.1400000000003</v>
      </c>
      <c r="H1348" s="3">
        <f>Miami_Retail[[#This Row],[sales_usd]] / Miami_Retail[[#This Row],[customers]]</f>
        <v>15.821883116883118</v>
      </c>
      <c r="I1348">
        <v>88.6</v>
      </c>
      <c r="J1348">
        <f>(Miami_Retail[[#This Row],[avg_temp_f]]-32) * (5/9)</f>
        <v>31.444444444444443</v>
      </c>
      <c r="K1348">
        <v>0</v>
      </c>
      <c r="L1348">
        <v>0</v>
      </c>
      <c r="M1348">
        <v>72.2</v>
      </c>
      <c r="N1348">
        <v>44.8</v>
      </c>
      <c r="O1348">
        <v>55.2</v>
      </c>
      <c r="P1348">
        <v>50.8</v>
      </c>
      <c r="Q1348">
        <v>49.2</v>
      </c>
    </row>
    <row r="1349" spans="1:17" x14ac:dyDescent="0.25">
      <c r="A1349" s="2">
        <v>45543</v>
      </c>
      <c r="B1349" s="2" t="str">
        <f t="shared" si="42"/>
        <v>Sunday</v>
      </c>
      <c r="C1349" s="2" t="b">
        <f t="shared" si="43"/>
        <v>1</v>
      </c>
      <c r="D1349">
        <v>2</v>
      </c>
      <c r="E1349" t="s">
        <v>6</v>
      </c>
      <c r="F1349">
        <v>265</v>
      </c>
      <c r="G1349" s="3">
        <v>4651.42</v>
      </c>
      <c r="H1349" s="3">
        <f>Miami_Retail[[#This Row],[sales_usd]] / Miami_Retail[[#This Row],[customers]]</f>
        <v>17.552528301886792</v>
      </c>
      <c r="I1349">
        <v>83.8</v>
      </c>
      <c r="J1349">
        <f>(Miami_Retail[[#This Row],[avg_temp_f]]-32) * (5/9)</f>
        <v>28.777777777777779</v>
      </c>
      <c r="K1349">
        <v>0.45</v>
      </c>
      <c r="L1349">
        <v>1</v>
      </c>
      <c r="M1349">
        <v>81.5</v>
      </c>
      <c r="N1349">
        <v>46.5</v>
      </c>
      <c r="O1349">
        <v>53.5</v>
      </c>
      <c r="P1349">
        <v>50.7</v>
      </c>
      <c r="Q1349">
        <v>49.3</v>
      </c>
    </row>
    <row r="1350" spans="1:17" x14ac:dyDescent="0.25">
      <c r="A1350" s="2">
        <v>45544</v>
      </c>
      <c r="B1350" s="2" t="str">
        <f t="shared" si="42"/>
        <v>Monday</v>
      </c>
      <c r="C1350" s="2" t="b">
        <f t="shared" si="43"/>
        <v>0</v>
      </c>
      <c r="D1350">
        <v>2</v>
      </c>
      <c r="E1350" t="s">
        <v>6</v>
      </c>
      <c r="F1350">
        <v>263</v>
      </c>
      <c r="G1350" s="3">
        <v>4286.1000000000004</v>
      </c>
      <c r="H1350" s="3">
        <f>Miami_Retail[[#This Row],[sales_usd]] / Miami_Retail[[#This Row],[customers]]</f>
        <v>16.296958174904944</v>
      </c>
      <c r="I1350">
        <v>87.9</v>
      </c>
      <c r="J1350">
        <f>(Miami_Retail[[#This Row],[avg_temp_f]]-32) * (5/9)</f>
        <v>31.055555555555561</v>
      </c>
      <c r="K1350">
        <v>0</v>
      </c>
      <c r="L1350">
        <v>0</v>
      </c>
      <c r="M1350">
        <v>74.8</v>
      </c>
      <c r="N1350">
        <v>44.8</v>
      </c>
      <c r="O1350">
        <v>55.2</v>
      </c>
      <c r="P1350">
        <v>43.7</v>
      </c>
      <c r="Q1350">
        <v>56.3</v>
      </c>
    </row>
    <row r="1351" spans="1:17" x14ac:dyDescent="0.25">
      <c r="A1351" s="2">
        <v>45545</v>
      </c>
      <c r="B1351" s="2" t="str">
        <f t="shared" si="42"/>
        <v>Tuesday</v>
      </c>
      <c r="C1351" s="2" t="b">
        <f t="shared" si="43"/>
        <v>0</v>
      </c>
      <c r="D1351">
        <v>2</v>
      </c>
      <c r="E1351" t="s">
        <v>6</v>
      </c>
      <c r="F1351">
        <v>280</v>
      </c>
      <c r="G1351" s="3">
        <v>4316.83</v>
      </c>
      <c r="H1351" s="3">
        <f>Miami_Retail[[#This Row],[sales_usd]] / Miami_Retail[[#This Row],[customers]]</f>
        <v>15.417249999999999</v>
      </c>
      <c r="I1351">
        <v>96.3</v>
      </c>
      <c r="J1351">
        <f>(Miami_Retail[[#This Row],[avg_temp_f]]-32) * (5/9)</f>
        <v>35.722222222222221</v>
      </c>
      <c r="K1351">
        <v>0</v>
      </c>
      <c r="L1351">
        <v>0</v>
      </c>
      <c r="M1351">
        <v>71.599999999999994</v>
      </c>
      <c r="N1351">
        <v>44.7</v>
      </c>
      <c r="O1351">
        <v>55.3</v>
      </c>
      <c r="P1351">
        <v>44.2</v>
      </c>
      <c r="Q1351">
        <v>55.8</v>
      </c>
    </row>
    <row r="1352" spans="1:17" x14ac:dyDescent="0.25">
      <c r="A1352" s="2">
        <v>45546</v>
      </c>
      <c r="B1352" s="2" t="str">
        <f t="shared" si="42"/>
        <v>Wednesday</v>
      </c>
      <c r="C1352" s="2" t="b">
        <f t="shared" si="43"/>
        <v>0</v>
      </c>
      <c r="D1352">
        <v>2</v>
      </c>
      <c r="E1352" t="s">
        <v>6</v>
      </c>
      <c r="F1352">
        <v>242</v>
      </c>
      <c r="G1352" s="3">
        <v>4066.38</v>
      </c>
      <c r="H1352" s="3">
        <f>Miami_Retail[[#This Row],[sales_usd]] / Miami_Retail[[#This Row],[customers]]</f>
        <v>16.803223140495867</v>
      </c>
      <c r="I1352">
        <v>87.3</v>
      </c>
      <c r="J1352">
        <f>(Miami_Retail[[#This Row],[avg_temp_f]]-32) * (5/9)</f>
        <v>30.722222222222221</v>
      </c>
      <c r="K1352">
        <v>0</v>
      </c>
      <c r="L1352">
        <v>0</v>
      </c>
      <c r="M1352">
        <v>72.599999999999994</v>
      </c>
      <c r="N1352">
        <v>46.1</v>
      </c>
      <c r="O1352">
        <v>53.9</v>
      </c>
      <c r="P1352">
        <v>45.6</v>
      </c>
      <c r="Q1352">
        <v>54.4</v>
      </c>
    </row>
    <row r="1353" spans="1:17" x14ac:dyDescent="0.25">
      <c r="A1353" s="2">
        <v>45547</v>
      </c>
      <c r="B1353" s="2" t="str">
        <f t="shared" si="42"/>
        <v>Thursday</v>
      </c>
      <c r="C1353" s="2" t="b">
        <f t="shared" si="43"/>
        <v>0</v>
      </c>
      <c r="D1353">
        <v>2</v>
      </c>
      <c r="E1353" t="s">
        <v>6</v>
      </c>
      <c r="F1353">
        <v>298</v>
      </c>
      <c r="G1353" s="3">
        <v>4865.17</v>
      </c>
      <c r="H1353" s="3">
        <f>Miami_Retail[[#This Row],[sales_usd]] / Miami_Retail[[#This Row],[customers]]</f>
        <v>16.326073825503357</v>
      </c>
      <c r="I1353">
        <v>91.7</v>
      </c>
      <c r="J1353">
        <f>(Miami_Retail[[#This Row],[avg_temp_f]]-32) * (5/9)</f>
        <v>33.166666666666671</v>
      </c>
      <c r="K1353">
        <v>0.94</v>
      </c>
      <c r="L1353">
        <v>1</v>
      </c>
      <c r="M1353">
        <v>68</v>
      </c>
      <c r="N1353">
        <v>46.5</v>
      </c>
      <c r="O1353">
        <v>53.5</v>
      </c>
      <c r="P1353">
        <v>45.6</v>
      </c>
      <c r="Q1353">
        <v>54.4</v>
      </c>
    </row>
    <row r="1354" spans="1:17" x14ac:dyDescent="0.25">
      <c r="A1354" s="2">
        <v>45548</v>
      </c>
      <c r="B1354" s="2" t="str">
        <f t="shared" si="42"/>
        <v>Friday</v>
      </c>
      <c r="C1354" s="2" t="b">
        <f t="shared" si="43"/>
        <v>0</v>
      </c>
      <c r="D1354">
        <v>2</v>
      </c>
      <c r="E1354" t="s">
        <v>6</v>
      </c>
      <c r="F1354">
        <v>295</v>
      </c>
      <c r="G1354" s="3">
        <v>5009.51</v>
      </c>
      <c r="H1354" s="3">
        <f>Miami_Retail[[#This Row],[sales_usd]] / Miami_Retail[[#This Row],[customers]]</f>
        <v>16.981389830508476</v>
      </c>
      <c r="I1354">
        <v>90.9</v>
      </c>
      <c r="J1354">
        <f>(Miami_Retail[[#This Row],[avg_temp_f]]-32) * (5/9)</f>
        <v>32.722222222222229</v>
      </c>
      <c r="K1354">
        <v>0</v>
      </c>
      <c r="L1354">
        <v>0</v>
      </c>
      <c r="M1354">
        <v>71.3</v>
      </c>
      <c r="N1354">
        <v>46.6</v>
      </c>
      <c r="O1354">
        <v>53.4</v>
      </c>
      <c r="P1354">
        <v>45.3</v>
      </c>
      <c r="Q1354">
        <v>54.7</v>
      </c>
    </row>
    <row r="1355" spans="1:17" x14ac:dyDescent="0.25">
      <c r="A1355" s="2">
        <v>45549</v>
      </c>
      <c r="B1355" s="2" t="str">
        <f t="shared" si="42"/>
        <v>Saturday</v>
      </c>
      <c r="C1355" s="2" t="b">
        <f t="shared" si="43"/>
        <v>1</v>
      </c>
      <c r="D1355">
        <v>2</v>
      </c>
      <c r="E1355" t="s">
        <v>6</v>
      </c>
      <c r="F1355">
        <v>336</v>
      </c>
      <c r="G1355" s="3">
        <v>5416.7</v>
      </c>
      <c r="H1355" s="3">
        <f>Miami_Retail[[#This Row],[sales_usd]] / Miami_Retail[[#This Row],[customers]]</f>
        <v>16.121130952380952</v>
      </c>
      <c r="I1355">
        <v>90.2</v>
      </c>
      <c r="J1355">
        <f>(Miami_Retail[[#This Row],[avg_temp_f]]-32) * (5/9)</f>
        <v>32.333333333333336</v>
      </c>
      <c r="K1355">
        <v>0</v>
      </c>
      <c r="L1355">
        <v>0</v>
      </c>
      <c r="M1355">
        <v>67.5</v>
      </c>
      <c r="N1355">
        <v>45.3</v>
      </c>
      <c r="O1355">
        <v>54.7</v>
      </c>
      <c r="P1355">
        <v>50.8</v>
      </c>
      <c r="Q1355">
        <v>49.2</v>
      </c>
    </row>
    <row r="1356" spans="1:17" x14ac:dyDescent="0.25">
      <c r="A1356" s="2">
        <v>45550</v>
      </c>
      <c r="B1356" s="2" t="str">
        <f t="shared" si="42"/>
        <v>Sunday</v>
      </c>
      <c r="C1356" s="2" t="b">
        <f t="shared" si="43"/>
        <v>1</v>
      </c>
      <c r="D1356">
        <v>2</v>
      </c>
      <c r="E1356" t="s">
        <v>6</v>
      </c>
      <c r="F1356">
        <v>314</v>
      </c>
      <c r="G1356" s="3">
        <v>5814.62</v>
      </c>
      <c r="H1356" s="3">
        <f>Miami_Retail[[#This Row],[sales_usd]] / Miami_Retail[[#This Row],[customers]]</f>
        <v>18.517898089171975</v>
      </c>
      <c r="I1356">
        <v>88.9</v>
      </c>
      <c r="J1356">
        <f>(Miami_Retail[[#This Row],[avg_temp_f]]-32) * (5/9)</f>
        <v>31.611111111111114</v>
      </c>
      <c r="K1356">
        <v>0</v>
      </c>
      <c r="L1356">
        <v>0</v>
      </c>
      <c r="M1356">
        <v>75.5</v>
      </c>
      <c r="N1356">
        <v>48</v>
      </c>
      <c r="O1356">
        <v>52</v>
      </c>
      <c r="P1356">
        <v>51.6</v>
      </c>
      <c r="Q1356">
        <v>48.4</v>
      </c>
    </row>
    <row r="1357" spans="1:17" x14ac:dyDescent="0.25">
      <c r="A1357" s="2">
        <v>45551</v>
      </c>
      <c r="B1357" s="2" t="str">
        <f t="shared" si="42"/>
        <v>Monday</v>
      </c>
      <c r="C1357" s="2" t="b">
        <f t="shared" si="43"/>
        <v>0</v>
      </c>
      <c r="D1357">
        <v>2</v>
      </c>
      <c r="E1357" t="s">
        <v>6</v>
      </c>
      <c r="F1357">
        <v>278</v>
      </c>
      <c r="G1357" s="3">
        <v>4761.4399999999996</v>
      </c>
      <c r="H1357" s="3">
        <f>Miami_Retail[[#This Row],[sales_usd]] / Miami_Retail[[#This Row],[customers]]</f>
        <v>17.127482014388487</v>
      </c>
      <c r="I1357">
        <v>86.3</v>
      </c>
      <c r="J1357">
        <f>(Miami_Retail[[#This Row],[avg_temp_f]]-32) * (5/9)</f>
        <v>30.166666666666668</v>
      </c>
      <c r="K1357">
        <v>0</v>
      </c>
      <c r="L1357">
        <v>0</v>
      </c>
      <c r="M1357">
        <v>78.8</v>
      </c>
      <c r="N1357">
        <v>48.7</v>
      </c>
      <c r="O1357">
        <v>51.3</v>
      </c>
      <c r="P1357">
        <v>45.6</v>
      </c>
      <c r="Q1357">
        <v>54.4</v>
      </c>
    </row>
    <row r="1358" spans="1:17" x14ac:dyDescent="0.25">
      <c r="A1358" s="2">
        <v>45552</v>
      </c>
      <c r="B1358" s="2" t="str">
        <f t="shared" si="42"/>
        <v>Tuesday</v>
      </c>
      <c r="C1358" s="2" t="b">
        <f t="shared" si="43"/>
        <v>0</v>
      </c>
      <c r="D1358">
        <v>2</v>
      </c>
      <c r="E1358" t="s">
        <v>6</v>
      </c>
      <c r="F1358">
        <v>254</v>
      </c>
      <c r="G1358" s="3">
        <v>4583.34</v>
      </c>
      <c r="H1358" s="3">
        <f>Miami_Retail[[#This Row],[sales_usd]] / Miami_Retail[[#This Row],[customers]]</f>
        <v>18.044645669291338</v>
      </c>
      <c r="I1358">
        <v>89.1</v>
      </c>
      <c r="J1358">
        <f>(Miami_Retail[[#This Row],[avg_temp_f]]-32) * (5/9)</f>
        <v>31.722222222222221</v>
      </c>
      <c r="K1358">
        <v>0.83</v>
      </c>
      <c r="L1358">
        <v>1</v>
      </c>
      <c r="M1358">
        <v>82.8</v>
      </c>
      <c r="N1358">
        <v>46.4</v>
      </c>
      <c r="O1358">
        <v>53.6</v>
      </c>
      <c r="P1358">
        <v>45.1</v>
      </c>
      <c r="Q1358">
        <v>54.9</v>
      </c>
    </row>
    <row r="1359" spans="1:17" x14ac:dyDescent="0.25">
      <c r="A1359" s="2">
        <v>45553</v>
      </c>
      <c r="B1359" s="2" t="str">
        <f t="shared" si="42"/>
        <v>Wednesday</v>
      </c>
      <c r="C1359" s="2" t="b">
        <f t="shared" si="43"/>
        <v>0</v>
      </c>
      <c r="D1359">
        <v>2</v>
      </c>
      <c r="E1359" t="s">
        <v>6</v>
      </c>
      <c r="F1359">
        <v>255</v>
      </c>
      <c r="G1359" s="3">
        <v>4036.17</v>
      </c>
      <c r="H1359" s="3">
        <f>Miami_Retail[[#This Row],[sales_usd]] / Miami_Retail[[#This Row],[customers]]</f>
        <v>15.828117647058823</v>
      </c>
      <c r="I1359">
        <v>89.8</v>
      </c>
      <c r="J1359">
        <f>(Miami_Retail[[#This Row],[avg_temp_f]]-32) * (5/9)</f>
        <v>32.111111111111114</v>
      </c>
      <c r="K1359">
        <v>0.83</v>
      </c>
      <c r="L1359">
        <v>1</v>
      </c>
      <c r="M1359">
        <v>78.400000000000006</v>
      </c>
      <c r="N1359">
        <v>46.2</v>
      </c>
      <c r="O1359">
        <v>53.8</v>
      </c>
      <c r="P1359">
        <v>44</v>
      </c>
      <c r="Q1359">
        <v>56</v>
      </c>
    </row>
    <row r="1360" spans="1:17" x14ac:dyDescent="0.25">
      <c r="A1360" s="2">
        <v>45554</v>
      </c>
      <c r="B1360" s="2" t="str">
        <f t="shared" si="42"/>
        <v>Thursday</v>
      </c>
      <c r="C1360" s="2" t="b">
        <f t="shared" si="43"/>
        <v>0</v>
      </c>
      <c r="D1360">
        <v>2</v>
      </c>
      <c r="E1360" t="s">
        <v>6</v>
      </c>
      <c r="F1360">
        <v>268</v>
      </c>
      <c r="G1360" s="3">
        <v>4418.47</v>
      </c>
      <c r="H1360" s="3">
        <f>Miami_Retail[[#This Row],[sales_usd]] / Miami_Retail[[#This Row],[customers]]</f>
        <v>16.486828358208957</v>
      </c>
      <c r="I1360">
        <v>90.5</v>
      </c>
      <c r="J1360">
        <f>(Miami_Retail[[#This Row],[avg_temp_f]]-32) * (5/9)</f>
        <v>32.5</v>
      </c>
      <c r="K1360">
        <v>0.68</v>
      </c>
      <c r="L1360">
        <v>1</v>
      </c>
      <c r="M1360">
        <v>75.400000000000006</v>
      </c>
      <c r="N1360">
        <v>44.6</v>
      </c>
      <c r="O1360">
        <v>55.4</v>
      </c>
      <c r="P1360">
        <v>43</v>
      </c>
      <c r="Q1360">
        <v>57</v>
      </c>
    </row>
    <row r="1361" spans="1:17" x14ac:dyDescent="0.25">
      <c r="A1361" s="2">
        <v>45555</v>
      </c>
      <c r="B1361" s="2" t="str">
        <f t="shared" si="42"/>
        <v>Friday</v>
      </c>
      <c r="C1361" s="2" t="b">
        <f t="shared" si="43"/>
        <v>0</v>
      </c>
      <c r="D1361">
        <v>2</v>
      </c>
      <c r="E1361" t="s">
        <v>6</v>
      </c>
      <c r="F1361">
        <v>303</v>
      </c>
      <c r="G1361" s="3">
        <v>4476.74</v>
      </c>
      <c r="H1361" s="3">
        <f>Miami_Retail[[#This Row],[sales_usd]] / Miami_Retail[[#This Row],[customers]]</f>
        <v>14.774719471947193</v>
      </c>
      <c r="I1361">
        <v>87.4</v>
      </c>
      <c r="J1361">
        <f>(Miami_Retail[[#This Row],[avg_temp_f]]-32) * (5/9)</f>
        <v>30.777777777777782</v>
      </c>
      <c r="K1361">
        <v>7.0000000000000007E-2</v>
      </c>
      <c r="L1361">
        <v>1</v>
      </c>
      <c r="M1361">
        <v>76.900000000000006</v>
      </c>
      <c r="N1361">
        <v>46.2</v>
      </c>
      <c r="O1361">
        <v>53.8</v>
      </c>
      <c r="P1361">
        <v>44.2</v>
      </c>
      <c r="Q1361">
        <v>55.8</v>
      </c>
    </row>
    <row r="1362" spans="1:17" x14ac:dyDescent="0.25">
      <c r="A1362" s="2">
        <v>45556</v>
      </c>
      <c r="B1362" s="2" t="str">
        <f t="shared" si="42"/>
        <v>Saturday</v>
      </c>
      <c r="C1362" s="2" t="b">
        <f t="shared" si="43"/>
        <v>1</v>
      </c>
      <c r="D1362">
        <v>2</v>
      </c>
      <c r="E1362" t="s">
        <v>6</v>
      </c>
      <c r="F1362">
        <v>304</v>
      </c>
      <c r="G1362" s="3">
        <v>4920.34</v>
      </c>
      <c r="H1362" s="3">
        <f>Miami_Retail[[#This Row],[sales_usd]] / Miami_Retail[[#This Row],[customers]]</f>
        <v>16.185328947368422</v>
      </c>
      <c r="I1362">
        <v>89.5</v>
      </c>
      <c r="J1362">
        <f>(Miami_Retail[[#This Row],[avg_temp_f]]-32) * (5/9)</f>
        <v>31.944444444444446</v>
      </c>
      <c r="K1362">
        <v>0</v>
      </c>
      <c r="L1362">
        <v>0</v>
      </c>
      <c r="M1362">
        <v>71.8</v>
      </c>
      <c r="N1362">
        <v>46.3</v>
      </c>
      <c r="O1362">
        <v>53.7</v>
      </c>
      <c r="P1362">
        <v>49.8</v>
      </c>
      <c r="Q1362">
        <v>50.2</v>
      </c>
    </row>
    <row r="1363" spans="1:17" x14ac:dyDescent="0.25">
      <c r="A1363" s="2">
        <v>45557</v>
      </c>
      <c r="B1363" s="2" t="str">
        <f t="shared" si="42"/>
        <v>Sunday</v>
      </c>
      <c r="C1363" s="2" t="b">
        <f t="shared" si="43"/>
        <v>1</v>
      </c>
      <c r="D1363">
        <v>2</v>
      </c>
      <c r="E1363" t="s">
        <v>6</v>
      </c>
      <c r="F1363">
        <v>306</v>
      </c>
      <c r="G1363" s="3">
        <v>5254.43</v>
      </c>
      <c r="H1363" s="3">
        <f>Miami_Retail[[#This Row],[sales_usd]] / Miami_Retail[[#This Row],[customers]]</f>
        <v>17.171339869281045</v>
      </c>
      <c r="I1363">
        <v>89.4</v>
      </c>
      <c r="J1363">
        <f>(Miami_Retail[[#This Row],[avg_temp_f]]-32) * (5/9)</f>
        <v>31.888888888888893</v>
      </c>
      <c r="K1363">
        <v>0</v>
      </c>
      <c r="L1363">
        <v>0</v>
      </c>
      <c r="M1363">
        <v>77.5</v>
      </c>
      <c r="N1363">
        <v>44.9</v>
      </c>
      <c r="O1363">
        <v>55.1</v>
      </c>
      <c r="P1363">
        <v>50</v>
      </c>
      <c r="Q1363">
        <v>50</v>
      </c>
    </row>
    <row r="1364" spans="1:17" x14ac:dyDescent="0.25">
      <c r="A1364" s="2">
        <v>45558</v>
      </c>
      <c r="B1364" s="2" t="str">
        <f t="shared" si="42"/>
        <v>Monday</v>
      </c>
      <c r="C1364" s="2" t="b">
        <f t="shared" si="43"/>
        <v>0</v>
      </c>
      <c r="D1364">
        <v>2</v>
      </c>
      <c r="E1364" t="s">
        <v>6</v>
      </c>
      <c r="F1364">
        <v>269</v>
      </c>
      <c r="G1364" s="3">
        <v>4468.71</v>
      </c>
      <c r="H1364" s="3">
        <f>Miami_Retail[[#This Row],[sales_usd]] / Miami_Retail[[#This Row],[customers]]</f>
        <v>16.612304832713754</v>
      </c>
      <c r="I1364">
        <v>91.2</v>
      </c>
      <c r="J1364">
        <f>(Miami_Retail[[#This Row],[avg_temp_f]]-32) * (5/9)</f>
        <v>32.888888888888893</v>
      </c>
      <c r="K1364">
        <v>0</v>
      </c>
      <c r="L1364">
        <v>0</v>
      </c>
      <c r="M1364">
        <v>78.400000000000006</v>
      </c>
      <c r="N1364">
        <v>45.6</v>
      </c>
      <c r="O1364">
        <v>54.4</v>
      </c>
      <c r="P1364">
        <v>46</v>
      </c>
      <c r="Q1364">
        <v>54</v>
      </c>
    </row>
    <row r="1365" spans="1:17" x14ac:dyDescent="0.25">
      <c r="A1365" s="2">
        <v>45559</v>
      </c>
      <c r="B1365" s="2" t="str">
        <f t="shared" si="42"/>
        <v>Tuesday</v>
      </c>
      <c r="C1365" s="2" t="b">
        <f t="shared" si="43"/>
        <v>0</v>
      </c>
      <c r="D1365">
        <v>2</v>
      </c>
      <c r="E1365" t="s">
        <v>6</v>
      </c>
      <c r="F1365">
        <v>270</v>
      </c>
      <c r="G1365" s="3">
        <v>4220.1000000000004</v>
      </c>
      <c r="H1365" s="3">
        <f>Miami_Retail[[#This Row],[sales_usd]] / Miami_Retail[[#This Row],[customers]]</f>
        <v>15.63</v>
      </c>
      <c r="I1365">
        <v>90.2</v>
      </c>
      <c r="J1365">
        <f>(Miami_Retail[[#This Row],[avg_temp_f]]-32) * (5/9)</f>
        <v>32.333333333333336</v>
      </c>
      <c r="K1365">
        <v>0</v>
      </c>
      <c r="L1365">
        <v>0</v>
      </c>
      <c r="M1365">
        <v>69.7</v>
      </c>
      <c r="N1365">
        <v>45.5</v>
      </c>
      <c r="O1365">
        <v>54.5</v>
      </c>
      <c r="P1365">
        <v>44</v>
      </c>
      <c r="Q1365">
        <v>56</v>
      </c>
    </row>
    <row r="1366" spans="1:17" x14ac:dyDescent="0.25">
      <c r="A1366" s="2">
        <v>45560</v>
      </c>
      <c r="B1366" s="2" t="str">
        <f t="shared" si="42"/>
        <v>Wednesday</v>
      </c>
      <c r="C1366" s="2" t="b">
        <f t="shared" si="43"/>
        <v>0</v>
      </c>
      <c r="D1366">
        <v>2</v>
      </c>
      <c r="E1366" t="s">
        <v>6</v>
      </c>
      <c r="F1366">
        <v>233</v>
      </c>
      <c r="G1366" s="3">
        <v>3896.44</v>
      </c>
      <c r="H1366" s="3">
        <f>Miami_Retail[[#This Row],[sales_usd]] / Miami_Retail[[#This Row],[customers]]</f>
        <v>16.722918454935623</v>
      </c>
      <c r="I1366">
        <v>87.6</v>
      </c>
      <c r="J1366">
        <f>(Miami_Retail[[#This Row],[avg_temp_f]]-32) * (5/9)</f>
        <v>30.888888888888886</v>
      </c>
      <c r="K1366">
        <v>0</v>
      </c>
      <c r="L1366">
        <v>0</v>
      </c>
      <c r="M1366">
        <v>82.3</v>
      </c>
      <c r="N1366">
        <v>47</v>
      </c>
      <c r="O1366">
        <v>53</v>
      </c>
      <c r="P1366">
        <v>44.5</v>
      </c>
      <c r="Q1366">
        <v>55.5</v>
      </c>
    </row>
    <row r="1367" spans="1:17" x14ac:dyDescent="0.25">
      <c r="A1367" s="2">
        <v>45561</v>
      </c>
      <c r="B1367" s="2" t="str">
        <f t="shared" si="42"/>
        <v>Thursday</v>
      </c>
      <c r="C1367" s="2" t="b">
        <f t="shared" si="43"/>
        <v>0</v>
      </c>
      <c r="D1367">
        <v>2</v>
      </c>
      <c r="E1367" t="s">
        <v>6</v>
      </c>
      <c r="F1367">
        <v>247</v>
      </c>
      <c r="G1367" s="3">
        <v>4218.1000000000004</v>
      </c>
      <c r="H1367" s="3">
        <f>Miami_Retail[[#This Row],[sales_usd]] / Miami_Retail[[#This Row],[customers]]</f>
        <v>17.077327935222673</v>
      </c>
      <c r="I1367">
        <v>89.3</v>
      </c>
      <c r="J1367">
        <f>(Miami_Retail[[#This Row],[avg_temp_f]]-32) * (5/9)</f>
        <v>31.833333333333332</v>
      </c>
      <c r="K1367">
        <v>0.8</v>
      </c>
      <c r="L1367">
        <v>1</v>
      </c>
      <c r="M1367">
        <v>79.099999999999994</v>
      </c>
      <c r="N1367">
        <v>45.9</v>
      </c>
      <c r="O1367">
        <v>54.1</v>
      </c>
      <c r="P1367">
        <v>44.9</v>
      </c>
      <c r="Q1367">
        <v>55.1</v>
      </c>
    </row>
    <row r="1368" spans="1:17" x14ac:dyDescent="0.25">
      <c r="A1368" s="2">
        <v>45562</v>
      </c>
      <c r="B1368" s="2" t="str">
        <f t="shared" si="42"/>
        <v>Friday</v>
      </c>
      <c r="C1368" s="2" t="b">
        <f t="shared" si="43"/>
        <v>0</v>
      </c>
      <c r="D1368">
        <v>2</v>
      </c>
      <c r="E1368" t="s">
        <v>6</v>
      </c>
      <c r="F1368">
        <v>283</v>
      </c>
      <c r="G1368" s="3">
        <v>4754.8100000000004</v>
      </c>
      <c r="H1368" s="3">
        <f>Miami_Retail[[#This Row],[sales_usd]] / Miami_Retail[[#This Row],[customers]]</f>
        <v>16.801448763250885</v>
      </c>
      <c r="I1368">
        <v>89.2</v>
      </c>
      <c r="J1368">
        <f>(Miami_Retail[[#This Row],[avg_temp_f]]-32) * (5/9)</f>
        <v>31.777777777777782</v>
      </c>
      <c r="K1368">
        <v>0.23</v>
      </c>
      <c r="L1368">
        <v>1</v>
      </c>
      <c r="M1368">
        <v>69.5</v>
      </c>
      <c r="N1368">
        <v>46.7</v>
      </c>
      <c r="O1368">
        <v>53.3</v>
      </c>
      <c r="P1368">
        <v>45.3</v>
      </c>
      <c r="Q1368">
        <v>54.7</v>
      </c>
    </row>
    <row r="1369" spans="1:17" x14ac:dyDescent="0.25">
      <c r="A1369" s="2">
        <v>45563</v>
      </c>
      <c r="B1369" s="2" t="str">
        <f t="shared" si="42"/>
        <v>Saturday</v>
      </c>
      <c r="C1369" s="2" t="b">
        <f t="shared" si="43"/>
        <v>1</v>
      </c>
      <c r="D1369">
        <v>2</v>
      </c>
      <c r="E1369" t="s">
        <v>6</v>
      </c>
      <c r="F1369">
        <v>294</v>
      </c>
      <c r="G1369" s="3">
        <v>4702.3</v>
      </c>
      <c r="H1369" s="3">
        <f>Miami_Retail[[#This Row],[sales_usd]] / Miami_Retail[[#This Row],[customers]]</f>
        <v>15.99421768707483</v>
      </c>
      <c r="I1369">
        <v>89.2</v>
      </c>
      <c r="J1369">
        <f>(Miami_Retail[[#This Row],[avg_temp_f]]-32) * (5/9)</f>
        <v>31.777777777777782</v>
      </c>
      <c r="K1369">
        <v>0</v>
      </c>
      <c r="L1369">
        <v>0</v>
      </c>
      <c r="M1369">
        <v>69.8</v>
      </c>
      <c r="N1369">
        <v>47</v>
      </c>
      <c r="O1369">
        <v>53</v>
      </c>
      <c r="P1369">
        <v>51.2</v>
      </c>
      <c r="Q1369">
        <v>48.8</v>
      </c>
    </row>
    <row r="1370" spans="1:17" x14ac:dyDescent="0.25">
      <c r="A1370" s="2">
        <v>45564</v>
      </c>
      <c r="B1370" s="2" t="str">
        <f t="shared" si="42"/>
        <v>Sunday</v>
      </c>
      <c r="C1370" s="2" t="b">
        <f t="shared" si="43"/>
        <v>1</v>
      </c>
      <c r="D1370">
        <v>2</v>
      </c>
      <c r="E1370" t="s">
        <v>6</v>
      </c>
      <c r="F1370">
        <v>302</v>
      </c>
      <c r="G1370" s="3">
        <v>4981.93</v>
      </c>
      <c r="H1370" s="3">
        <f>Miami_Retail[[#This Row],[sales_usd]] / Miami_Retail[[#This Row],[customers]]</f>
        <v>16.496456953642387</v>
      </c>
      <c r="I1370">
        <v>89.4</v>
      </c>
      <c r="J1370">
        <f>(Miami_Retail[[#This Row],[avg_temp_f]]-32) * (5/9)</f>
        <v>31.888888888888893</v>
      </c>
      <c r="K1370">
        <v>0</v>
      </c>
      <c r="L1370">
        <v>0</v>
      </c>
      <c r="M1370">
        <v>75</v>
      </c>
      <c r="N1370">
        <v>45.2</v>
      </c>
      <c r="O1370">
        <v>54.8</v>
      </c>
      <c r="P1370">
        <v>51.2</v>
      </c>
      <c r="Q1370">
        <v>48.8</v>
      </c>
    </row>
    <row r="1371" spans="1:17" x14ac:dyDescent="0.25">
      <c r="A1371" s="2">
        <v>45565</v>
      </c>
      <c r="B1371" s="2" t="str">
        <f t="shared" si="42"/>
        <v>Monday</v>
      </c>
      <c r="C1371" s="2" t="b">
        <f t="shared" si="43"/>
        <v>0</v>
      </c>
      <c r="D1371">
        <v>2</v>
      </c>
      <c r="E1371" t="s">
        <v>6</v>
      </c>
      <c r="F1371">
        <v>293</v>
      </c>
      <c r="G1371" s="3">
        <v>5117.37</v>
      </c>
      <c r="H1371" s="3">
        <f>Miami_Retail[[#This Row],[sales_usd]] / Miami_Retail[[#This Row],[customers]]</f>
        <v>17.465426621160407</v>
      </c>
      <c r="I1371">
        <v>91.3</v>
      </c>
      <c r="J1371">
        <f>(Miami_Retail[[#This Row],[avg_temp_f]]-32) * (5/9)</f>
        <v>32.944444444444443</v>
      </c>
      <c r="K1371">
        <v>0</v>
      </c>
      <c r="L1371">
        <v>0</v>
      </c>
      <c r="M1371">
        <v>59.2</v>
      </c>
      <c r="N1371">
        <v>46.5</v>
      </c>
      <c r="O1371">
        <v>53.5</v>
      </c>
      <c r="P1371">
        <v>45.1</v>
      </c>
      <c r="Q1371">
        <v>54.9</v>
      </c>
    </row>
    <row r="1372" spans="1:17" x14ac:dyDescent="0.25">
      <c r="A1372" s="2">
        <v>45566</v>
      </c>
      <c r="B1372" s="2" t="str">
        <f t="shared" si="42"/>
        <v>Tuesday</v>
      </c>
      <c r="C1372" s="2" t="b">
        <f t="shared" si="43"/>
        <v>0</v>
      </c>
      <c r="D1372">
        <v>2</v>
      </c>
      <c r="E1372" t="s">
        <v>6</v>
      </c>
      <c r="F1372">
        <v>260</v>
      </c>
      <c r="G1372" s="3">
        <v>4762.4399999999996</v>
      </c>
      <c r="H1372" s="3">
        <f>Miami_Retail[[#This Row],[sales_usd]] / Miami_Retail[[#This Row],[customers]]</f>
        <v>18.317076923076922</v>
      </c>
      <c r="I1372">
        <v>86.8</v>
      </c>
      <c r="J1372">
        <f>(Miami_Retail[[#This Row],[avg_temp_f]]-32) * (5/9)</f>
        <v>30.444444444444443</v>
      </c>
      <c r="K1372">
        <v>0</v>
      </c>
      <c r="L1372">
        <v>0</v>
      </c>
      <c r="M1372">
        <v>71</v>
      </c>
      <c r="N1372">
        <v>47.3</v>
      </c>
      <c r="O1372">
        <v>52.7</v>
      </c>
      <c r="P1372">
        <v>43.9</v>
      </c>
      <c r="Q1372">
        <v>56.1</v>
      </c>
    </row>
    <row r="1373" spans="1:17" x14ac:dyDescent="0.25">
      <c r="A1373" s="2">
        <v>45567</v>
      </c>
      <c r="B1373" s="2" t="str">
        <f t="shared" si="42"/>
        <v>Wednesday</v>
      </c>
      <c r="C1373" s="2" t="b">
        <f t="shared" si="43"/>
        <v>0</v>
      </c>
      <c r="D1373">
        <v>2</v>
      </c>
      <c r="E1373" t="s">
        <v>6</v>
      </c>
      <c r="F1373">
        <v>226</v>
      </c>
      <c r="G1373" s="3">
        <v>4105.5</v>
      </c>
      <c r="H1373" s="3">
        <f>Miami_Retail[[#This Row],[sales_usd]] / Miami_Retail[[#This Row],[customers]]</f>
        <v>18.165929203539822</v>
      </c>
      <c r="I1373">
        <v>88.1</v>
      </c>
      <c r="J1373">
        <f>(Miami_Retail[[#This Row],[avg_temp_f]]-32) * (5/9)</f>
        <v>31.166666666666664</v>
      </c>
      <c r="K1373">
        <v>0</v>
      </c>
      <c r="L1373">
        <v>0</v>
      </c>
      <c r="M1373">
        <v>73.8</v>
      </c>
      <c r="N1373">
        <v>44.7</v>
      </c>
      <c r="O1373">
        <v>55.3</v>
      </c>
      <c r="P1373">
        <v>45.3</v>
      </c>
      <c r="Q1373">
        <v>54.7</v>
      </c>
    </row>
    <row r="1374" spans="1:17" x14ac:dyDescent="0.25">
      <c r="A1374" s="2">
        <v>45568</v>
      </c>
      <c r="B1374" s="2" t="str">
        <f t="shared" si="42"/>
        <v>Thursday</v>
      </c>
      <c r="C1374" s="2" t="b">
        <f t="shared" si="43"/>
        <v>0</v>
      </c>
      <c r="D1374">
        <v>2</v>
      </c>
      <c r="E1374" t="s">
        <v>6</v>
      </c>
      <c r="F1374">
        <v>275</v>
      </c>
      <c r="G1374" s="3">
        <v>4792.66</v>
      </c>
      <c r="H1374" s="3">
        <f>Miami_Retail[[#This Row],[sales_usd]] / Miami_Retail[[#This Row],[customers]]</f>
        <v>17.427854545454544</v>
      </c>
      <c r="I1374">
        <v>94.9</v>
      </c>
      <c r="J1374">
        <f>(Miami_Retail[[#This Row],[avg_temp_f]]-32) * (5/9)</f>
        <v>34.94444444444445</v>
      </c>
      <c r="K1374">
        <v>0</v>
      </c>
      <c r="L1374">
        <v>0</v>
      </c>
      <c r="M1374">
        <v>64.900000000000006</v>
      </c>
      <c r="N1374">
        <v>44.6</v>
      </c>
      <c r="O1374">
        <v>55.4</v>
      </c>
      <c r="P1374">
        <v>42.6</v>
      </c>
      <c r="Q1374">
        <v>57.4</v>
      </c>
    </row>
    <row r="1375" spans="1:17" x14ac:dyDescent="0.25">
      <c r="A1375" s="2">
        <v>45569</v>
      </c>
      <c r="B1375" s="2" t="str">
        <f t="shared" si="42"/>
        <v>Friday</v>
      </c>
      <c r="C1375" s="2" t="b">
        <f t="shared" si="43"/>
        <v>0</v>
      </c>
      <c r="D1375">
        <v>2</v>
      </c>
      <c r="E1375" t="s">
        <v>6</v>
      </c>
      <c r="F1375">
        <v>284</v>
      </c>
      <c r="G1375" s="3">
        <v>4875.82</v>
      </c>
      <c r="H1375" s="3">
        <f>Miami_Retail[[#This Row],[sales_usd]] / Miami_Retail[[#This Row],[customers]]</f>
        <v>17.168380281690141</v>
      </c>
      <c r="I1375">
        <v>90</v>
      </c>
      <c r="J1375">
        <f>(Miami_Retail[[#This Row],[avg_temp_f]]-32) * (5/9)</f>
        <v>32.222222222222221</v>
      </c>
      <c r="K1375">
        <v>0</v>
      </c>
      <c r="L1375">
        <v>0</v>
      </c>
      <c r="M1375">
        <v>67.2</v>
      </c>
      <c r="N1375">
        <v>48</v>
      </c>
      <c r="O1375">
        <v>52</v>
      </c>
      <c r="P1375">
        <v>44.5</v>
      </c>
      <c r="Q1375">
        <v>55.5</v>
      </c>
    </row>
    <row r="1376" spans="1:17" x14ac:dyDescent="0.25">
      <c r="A1376" s="2">
        <v>45570</v>
      </c>
      <c r="B1376" s="2" t="str">
        <f t="shared" si="42"/>
        <v>Saturday</v>
      </c>
      <c r="C1376" s="2" t="b">
        <f t="shared" si="43"/>
        <v>1</v>
      </c>
      <c r="D1376">
        <v>2</v>
      </c>
      <c r="E1376" t="s">
        <v>6</v>
      </c>
      <c r="F1376">
        <v>386</v>
      </c>
      <c r="G1376" s="3">
        <v>6769.15</v>
      </c>
      <c r="H1376" s="3">
        <f>Miami_Retail[[#This Row],[sales_usd]] / Miami_Retail[[#This Row],[customers]]</f>
        <v>17.536658031088081</v>
      </c>
      <c r="I1376">
        <v>94.9</v>
      </c>
      <c r="J1376">
        <f>(Miami_Retail[[#This Row],[avg_temp_f]]-32) * (5/9)</f>
        <v>34.94444444444445</v>
      </c>
      <c r="K1376">
        <v>0</v>
      </c>
      <c r="L1376">
        <v>0</v>
      </c>
      <c r="M1376">
        <v>77.7</v>
      </c>
      <c r="N1376">
        <v>46.6</v>
      </c>
      <c r="O1376">
        <v>53.4</v>
      </c>
      <c r="P1376">
        <v>49.6</v>
      </c>
      <c r="Q1376">
        <v>50.4</v>
      </c>
    </row>
    <row r="1377" spans="1:17" x14ac:dyDescent="0.25">
      <c r="A1377" s="2">
        <v>45571</v>
      </c>
      <c r="B1377" s="2" t="str">
        <f t="shared" si="42"/>
        <v>Sunday</v>
      </c>
      <c r="C1377" s="2" t="b">
        <f t="shared" si="43"/>
        <v>1</v>
      </c>
      <c r="D1377">
        <v>2</v>
      </c>
      <c r="E1377" t="s">
        <v>6</v>
      </c>
      <c r="F1377">
        <v>309</v>
      </c>
      <c r="G1377" s="3">
        <v>5363.85</v>
      </c>
      <c r="H1377" s="3">
        <f>Miami_Retail[[#This Row],[sales_usd]] / Miami_Retail[[#This Row],[customers]]</f>
        <v>17.358737864077671</v>
      </c>
      <c r="I1377">
        <v>88</v>
      </c>
      <c r="J1377">
        <f>(Miami_Retail[[#This Row],[avg_temp_f]]-32) * (5/9)</f>
        <v>31.111111111111114</v>
      </c>
      <c r="K1377">
        <v>0</v>
      </c>
      <c r="L1377">
        <v>0</v>
      </c>
      <c r="M1377">
        <v>63.1</v>
      </c>
      <c r="N1377">
        <v>45.4</v>
      </c>
      <c r="O1377">
        <v>54.6</v>
      </c>
      <c r="P1377">
        <v>48.1</v>
      </c>
      <c r="Q1377">
        <v>51.9</v>
      </c>
    </row>
    <row r="1378" spans="1:17" x14ac:dyDescent="0.25">
      <c r="A1378" s="2">
        <v>45572</v>
      </c>
      <c r="B1378" s="2" t="str">
        <f t="shared" si="42"/>
        <v>Monday</v>
      </c>
      <c r="C1378" s="2" t="b">
        <f t="shared" si="43"/>
        <v>0</v>
      </c>
      <c r="D1378">
        <v>2</v>
      </c>
      <c r="E1378" t="s">
        <v>6</v>
      </c>
      <c r="F1378">
        <v>273</v>
      </c>
      <c r="G1378" s="3">
        <v>4712.12</v>
      </c>
      <c r="H1378" s="3">
        <f>Miami_Retail[[#This Row],[sales_usd]] / Miami_Retail[[#This Row],[customers]]</f>
        <v>17.260512820512819</v>
      </c>
      <c r="I1378">
        <v>89</v>
      </c>
      <c r="J1378">
        <f>(Miami_Retail[[#This Row],[avg_temp_f]]-32) * (5/9)</f>
        <v>31.666666666666668</v>
      </c>
      <c r="K1378">
        <v>0</v>
      </c>
      <c r="L1378">
        <v>0</v>
      </c>
      <c r="M1378">
        <v>72.2</v>
      </c>
      <c r="N1378">
        <v>47.2</v>
      </c>
      <c r="O1378">
        <v>52.8</v>
      </c>
      <c r="P1378">
        <v>44</v>
      </c>
      <c r="Q1378">
        <v>56</v>
      </c>
    </row>
    <row r="1379" spans="1:17" x14ac:dyDescent="0.25">
      <c r="A1379" s="2">
        <v>45573</v>
      </c>
      <c r="B1379" s="2" t="str">
        <f t="shared" si="42"/>
        <v>Tuesday</v>
      </c>
      <c r="C1379" s="2" t="b">
        <f t="shared" si="43"/>
        <v>0</v>
      </c>
      <c r="D1379">
        <v>2</v>
      </c>
      <c r="E1379" t="s">
        <v>6</v>
      </c>
      <c r="F1379">
        <v>277</v>
      </c>
      <c r="G1379" s="3">
        <v>4783.8999999999996</v>
      </c>
      <c r="H1379" s="3">
        <f>Miami_Retail[[#This Row],[sales_usd]] / Miami_Retail[[#This Row],[customers]]</f>
        <v>17.270397111913358</v>
      </c>
      <c r="I1379">
        <v>90.1</v>
      </c>
      <c r="J1379">
        <f>(Miami_Retail[[#This Row],[avg_temp_f]]-32) * (5/9)</f>
        <v>32.277777777777779</v>
      </c>
      <c r="K1379">
        <v>0</v>
      </c>
      <c r="L1379">
        <v>0</v>
      </c>
      <c r="M1379">
        <v>72.900000000000006</v>
      </c>
      <c r="N1379">
        <v>47.7</v>
      </c>
      <c r="O1379">
        <v>52.3</v>
      </c>
      <c r="P1379">
        <v>46.2</v>
      </c>
      <c r="Q1379">
        <v>53.8</v>
      </c>
    </row>
    <row r="1380" spans="1:17" x14ac:dyDescent="0.25">
      <c r="A1380" s="2">
        <v>45574</v>
      </c>
      <c r="B1380" s="2" t="str">
        <f t="shared" si="42"/>
        <v>Wednesday</v>
      </c>
      <c r="C1380" s="2" t="b">
        <f t="shared" si="43"/>
        <v>0</v>
      </c>
      <c r="D1380">
        <v>2</v>
      </c>
      <c r="E1380" t="s">
        <v>6</v>
      </c>
      <c r="F1380">
        <v>253</v>
      </c>
      <c r="G1380" s="3">
        <v>3857.26</v>
      </c>
      <c r="H1380" s="3">
        <f>Miami_Retail[[#This Row],[sales_usd]] / Miami_Retail[[#This Row],[customers]]</f>
        <v>15.24608695652174</v>
      </c>
      <c r="I1380">
        <v>86.9</v>
      </c>
      <c r="J1380">
        <f>(Miami_Retail[[#This Row],[avg_temp_f]]-32) * (5/9)</f>
        <v>30.500000000000004</v>
      </c>
      <c r="K1380">
        <v>0</v>
      </c>
      <c r="L1380">
        <v>0</v>
      </c>
      <c r="M1380">
        <v>69.400000000000006</v>
      </c>
      <c r="N1380">
        <v>46.8</v>
      </c>
      <c r="O1380">
        <v>53.2</v>
      </c>
      <c r="P1380">
        <v>43.4</v>
      </c>
      <c r="Q1380">
        <v>56.6</v>
      </c>
    </row>
    <row r="1381" spans="1:17" x14ac:dyDescent="0.25">
      <c r="A1381" s="2">
        <v>45575</v>
      </c>
      <c r="B1381" s="2" t="str">
        <f t="shared" si="42"/>
        <v>Thursday</v>
      </c>
      <c r="C1381" s="2" t="b">
        <f t="shared" si="43"/>
        <v>0</v>
      </c>
      <c r="D1381">
        <v>2</v>
      </c>
      <c r="E1381" t="s">
        <v>6</v>
      </c>
      <c r="F1381">
        <v>257</v>
      </c>
      <c r="G1381" s="3">
        <v>4716.83</v>
      </c>
      <c r="H1381" s="3">
        <f>Miami_Retail[[#This Row],[sales_usd]] / Miami_Retail[[#This Row],[customers]]</f>
        <v>18.353424124513619</v>
      </c>
      <c r="I1381">
        <v>87.9</v>
      </c>
      <c r="J1381">
        <f>(Miami_Retail[[#This Row],[avg_temp_f]]-32) * (5/9)</f>
        <v>31.055555555555561</v>
      </c>
      <c r="K1381">
        <v>0.08</v>
      </c>
      <c r="L1381">
        <v>1</v>
      </c>
      <c r="M1381">
        <v>73.2</v>
      </c>
      <c r="N1381">
        <v>45.4</v>
      </c>
      <c r="O1381">
        <v>54.6</v>
      </c>
      <c r="P1381">
        <v>44.7</v>
      </c>
      <c r="Q1381">
        <v>55.3</v>
      </c>
    </row>
    <row r="1382" spans="1:17" x14ac:dyDescent="0.25">
      <c r="A1382" s="2">
        <v>45576</v>
      </c>
      <c r="B1382" s="2" t="str">
        <f t="shared" si="42"/>
        <v>Friday</v>
      </c>
      <c r="C1382" s="2" t="b">
        <f t="shared" si="43"/>
        <v>0</v>
      </c>
      <c r="D1382">
        <v>2</v>
      </c>
      <c r="E1382" t="s">
        <v>6</v>
      </c>
      <c r="F1382">
        <v>224</v>
      </c>
      <c r="G1382" s="3">
        <v>4056.25</v>
      </c>
      <c r="H1382" s="3">
        <f>Miami_Retail[[#This Row],[sales_usd]] / Miami_Retail[[#This Row],[customers]]</f>
        <v>18.108258928571427</v>
      </c>
      <c r="I1382">
        <v>83.1</v>
      </c>
      <c r="J1382">
        <f>(Miami_Retail[[#This Row],[avg_temp_f]]-32) * (5/9)</f>
        <v>28.388888888888886</v>
      </c>
      <c r="K1382">
        <v>0</v>
      </c>
      <c r="L1382">
        <v>0</v>
      </c>
      <c r="M1382">
        <v>80.3</v>
      </c>
      <c r="N1382">
        <v>45.3</v>
      </c>
      <c r="O1382">
        <v>54.7</v>
      </c>
      <c r="P1382">
        <v>43.2</v>
      </c>
      <c r="Q1382">
        <v>56.8</v>
      </c>
    </row>
    <row r="1383" spans="1:17" x14ac:dyDescent="0.25">
      <c r="A1383" s="2">
        <v>45577</v>
      </c>
      <c r="B1383" s="2" t="str">
        <f t="shared" si="42"/>
        <v>Saturday</v>
      </c>
      <c r="C1383" s="2" t="b">
        <f t="shared" si="43"/>
        <v>1</v>
      </c>
      <c r="D1383">
        <v>2</v>
      </c>
      <c r="E1383" t="s">
        <v>6</v>
      </c>
      <c r="F1383">
        <v>287</v>
      </c>
      <c r="G1383" s="3">
        <v>4767.51</v>
      </c>
      <c r="H1383" s="3">
        <f>Miami_Retail[[#This Row],[sales_usd]] / Miami_Retail[[#This Row],[customers]]</f>
        <v>16.611533101045296</v>
      </c>
      <c r="I1383">
        <v>87.8</v>
      </c>
      <c r="J1383">
        <f>(Miami_Retail[[#This Row],[avg_temp_f]]-32) * (5/9)</f>
        <v>31</v>
      </c>
      <c r="K1383">
        <v>0</v>
      </c>
      <c r="L1383">
        <v>0</v>
      </c>
      <c r="M1383">
        <v>78.8</v>
      </c>
      <c r="N1383">
        <v>45.3</v>
      </c>
      <c r="O1383">
        <v>54.7</v>
      </c>
      <c r="P1383">
        <v>49.4</v>
      </c>
      <c r="Q1383">
        <v>50.6</v>
      </c>
    </row>
    <row r="1384" spans="1:17" x14ac:dyDescent="0.25">
      <c r="A1384" s="2">
        <v>45578</v>
      </c>
      <c r="B1384" s="2" t="str">
        <f t="shared" si="42"/>
        <v>Sunday</v>
      </c>
      <c r="C1384" s="2" t="b">
        <f t="shared" si="43"/>
        <v>1</v>
      </c>
      <c r="D1384">
        <v>2</v>
      </c>
      <c r="E1384" t="s">
        <v>6</v>
      </c>
      <c r="F1384">
        <v>291</v>
      </c>
      <c r="G1384" s="3">
        <v>4969.17</v>
      </c>
      <c r="H1384" s="3">
        <f>Miami_Retail[[#This Row],[sales_usd]] / Miami_Retail[[#This Row],[customers]]</f>
        <v>17.07618556701031</v>
      </c>
      <c r="I1384">
        <v>87.7</v>
      </c>
      <c r="J1384">
        <f>(Miami_Retail[[#This Row],[avg_temp_f]]-32) * (5/9)</f>
        <v>30.944444444444446</v>
      </c>
      <c r="K1384">
        <v>0</v>
      </c>
      <c r="L1384">
        <v>0</v>
      </c>
      <c r="M1384">
        <v>71.8</v>
      </c>
      <c r="N1384">
        <v>44.2</v>
      </c>
      <c r="O1384">
        <v>55.8</v>
      </c>
      <c r="P1384">
        <v>50.3</v>
      </c>
      <c r="Q1384">
        <v>49.7</v>
      </c>
    </row>
    <row r="1385" spans="1:17" x14ac:dyDescent="0.25">
      <c r="A1385" s="2">
        <v>45579</v>
      </c>
      <c r="B1385" s="2" t="str">
        <f t="shared" si="42"/>
        <v>Monday</v>
      </c>
      <c r="C1385" s="2" t="b">
        <f t="shared" si="43"/>
        <v>0</v>
      </c>
      <c r="D1385">
        <v>2</v>
      </c>
      <c r="E1385" t="s">
        <v>6</v>
      </c>
      <c r="F1385">
        <v>281</v>
      </c>
      <c r="G1385" s="3">
        <v>4695.72</v>
      </c>
      <c r="H1385" s="3">
        <f>Miami_Retail[[#This Row],[sales_usd]] / Miami_Retail[[#This Row],[customers]]</f>
        <v>16.710747330960857</v>
      </c>
      <c r="I1385">
        <v>86.3</v>
      </c>
      <c r="J1385">
        <f>(Miami_Retail[[#This Row],[avg_temp_f]]-32) * (5/9)</f>
        <v>30.166666666666668</v>
      </c>
      <c r="K1385">
        <v>0</v>
      </c>
      <c r="L1385">
        <v>0</v>
      </c>
      <c r="M1385">
        <v>63.6</v>
      </c>
      <c r="N1385">
        <v>46.7</v>
      </c>
      <c r="O1385">
        <v>53.3</v>
      </c>
      <c r="P1385">
        <v>42.6</v>
      </c>
      <c r="Q1385">
        <v>57.4</v>
      </c>
    </row>
    <row r="1386" spans="1:17" x14ac:dyDescent="0.25">
      <c r="A1386" s="2">
        <v>45580</v>
      </c>
      <c r="B1386" s="2" t="str">
        <f t="shared" si="42"/>
        <v>Tuesday</v>
      </c>
      <c r="C1386" s="2" t="b">
        <f t="shared" si="43"/>
        <v>0</v>
      </c>
      <c r="D1386">
        <v>2</v>
      </c>
      <c r="E1386" t="s">
        <v>6</v>
      </c>
      <c r="F1386">
        <v>301</v>
      </c>
      <c r="G1386" s="3">
        <v>5471.69</v>
      </c>
      <c r="H1386" s="3">
        <f>Miami_Retail[[#This Row],[sales_usd]] / Miami_Retail[[#This Row],[customers]]</f>
        <v>18.178372093023256</v>
      </c>
      <c r="I1386">
        <v>88.5</v>
      </c>
      <c r="J1386">
        <f>(Miami_Retail[[#This Row],[avg_temp_f]]-32) * (5/9)</f>
        <v>31.388888888888889</v>
      </c>
      <c r="K1386">
        <v>0</v>
      </c>
      <c r="L1386">
        <v>0</v>
      </c>
      <c r="M1386">
        <v>63.3</v>
      </c>
      <c r="N1386">
        <v>45.5</v>
      </c>
      <c r="O1386">
        <v>54.5</v>
      </c>
      <c r="P1386">
        <v>44.4</v>
      </c>
      <c r="Q1386">
        <v>55.6</v>
      </c>
    </row>
    <row r="1387" spans="1:17" x14ac:dyDescent="0.25">
      <c r="A1387" s="2">
        <v>45581</v>
      </c>
      <c r="B1387" s="2" t="str">
        <f t="shared" si="42"/>
        <v>Wednesday</v>
      </c>
      <c r="C1387" s="2" t="b">
        <f t="shared" si="43"/>
        <v>0</v>
      </c>
      <c r="D1387">
        <v>2</v>
      </c>
      <c r="E1387" t="s">
        <v>6</v>
      </c>
      <c r="F1387">
        <v>309</v>
      </c>
      <c r="G1387" s="3">
        <v>5226.99</v>
      </c>
      <c r="H1387" s="3">
        <f>Miami_Retail[[#This Row],[sales_usd]] / Miami_Retail[[#This Row],[customers]]</f>
        <v>16.915825242718444</v>
      </c>
      <c r="I1387">
        <v>96.1</v>
      </c>
      <c r="J1387">
        <f>(Miami_Retail[[#This Row],[avg_temp_f]]-32) * (5/9)</f>
        <v>35.611111111111107</v>
      </c>
      <c r="K1387">
        <v>0</v>
      </c>
      <c r="L1387">
        <v>0</v>
      </c>
      <c r="M1387">
        <v>68.900000000000006</v>
      </c>
      <c r="N1387">
        <v>45.3</v>
      </c>
      <c r="O1387">
        <v>54.7</v>
      </c>
      <c r="P1387">
        <v>45.2</v>
      </c>
      <c r="Q1387">
        <v>54.8</v>
      </c>
    </row>
    <row r="1388" spans="1:17" x14ac:dyDescent="0.25">
      <c r="A1388" s="2">
        <v>45582</v>
      </c>
      <c r="B1388" s="2" t="str">
        <f t="shared" si="42"/>
        <v>Thursday</v>
      </c>
      <c r="C1388" s="2" t="b">
        <f t="shared" si="43"/>
        <v>0</v>
      </c>
      <c r="D1388">
        <v>2</v>
      </c>
      <c r="E1388" t="s">
        <v>6</v>
      </c>
      <c r="F1388">
        <v>282</v>
      </c>
      <c r="G1388" s="3">
        <v>4919.2</v>
      </c>
      <c r="H1388" s="3">
        <f>Miami_Retail[[#This Row],[sales_usd]] / Miami_Retail[[#This Row],[customers]]</f>
        <v>17.443971631205674</v>
      </c>
      <c r="I1388">
        <v>88.8</v>
      </c>
      <c r="J1388">
        <f>(Miami_Retail[[#This Row],[avg_temp_f]]-32) * (5/9)</f>
        <v>31.555555555555557</v>
      </c>
      <c r="K1388">
        <v>0</v>
      </c>
      <c r="L1388">
        <v>0</v>
      </c>
      <c r="M1388">
        <v>70</v>
      </c>
      <c r="N1388">
        <v>45.7</v>
      </c>
      <c r="O1388">
        <v>54.3</v>
      </c>
      <c r="P1388">
        <v>43.5</v>
      </c>
      <c r="Q1388">
        <v>56.5</v>
      </c>
    </row>
    <row r="1389" spans="1:17" x14ac:dyDescent="0.25">
      <c r="A1389" s="2">
        <v>45583</v>
      </c>
      <c r="B1389" s="2" t="str">
        <f t="shared" si="42"/>
        <v>Friday</v>
      </c>
      <c r="C1389" s="2" t="b">
        <f t="shared" si="43"/>
        <v>0</v>
      </c>
      <c r="D1389">
        <v>2</v>
      </c>
      <c r="E1389" t="s">
        <v>6</v>
      </c>
      <c r="F1389">
        <v>283</v>
      </c>
      <c r="G1389" s="3">
        <v>4886.07</v>
      </c>
      <c r="H1389" s="3">
        <f>Miami_Retail[[#This Row],[sales_usd]] / Miami_Retail[[#This Row],[customers]]</f>
        <v>17.265265017667843</v>
      </c>
      <c r="I1389">
        <v>89.4</v>
      </c>
      <c r="J1389">
        <f>(Miami_Retail[[#This Row],[avg_temp_f]]-32) * (5/9)</f>
        <v>31.888888888888893</v>
      </c>
      <c r="K1389">
        <v>0</v>
      </c>
      <c r="L1389">
        <v>0</v>
      </c>
      <c r="M1389">
        <v>78.400000000000006</v>
      </c>
      <c r="N1389">
        <v>46.3</v>
      </c>
      <c r="O1389">
        <v>53.7</v>
      </c>
      <c r="P1389">
        <v>43.9</v>
      </c>
      <c r="Q1389">
        <v>56.1</v>
      </c>
    </row>
    <row r="1390" spans="1:17" x14ac:dyDescent="0.25">
      <c r="A1390" s="2">
        <v>45584</v>
      </c>
      <c r="B1390" s="2" t="str">
        <f t="shared" si="42"/>
        <v>Saturday</v>
      </c>
      <c r="C1390" s="2" t="b">
        <f t="shared" si="43"/>
        <v>1</v>
      </c>
      <c r="D1390">
        <v>2</v>
      </c>
      <c r="E1390" t="s">
        <v>6</v>
      </c>
      <c r="F1390">
        <v>280</v>
      </c>
      <c r="G1390" s="3">
        <v>4854.7</v>
      </c>
      <c r="H1390" s="3">
        <f>Miami_Retail[[#This Row],[sales_usd]] / Miami_Retail[[#This Row],[customers]]</f>
        <v>17.338214285714287</v>
      </c>
      <c r="I1390">
        <v>88.6</v>
      </c>
      <c r="J1390">
        <f>(Miami_Retail[[#This Row],[avg_temp_f]]-32) * (5/9)</f>
        <v>31.444444444444443</v>
      </c>
      <c r="K1390">
        <v>0</v>
      </c>
      <c r="L1390">
        <v>0</v>
      </c>
      <c r="M1390">
        <v>69.599999999999994</v>
      </c>
      <c r="N1390">
        <v>46.5</v>
      </c>
      <c r="O1390">
        <v>53.5</v>
      </c>
      <c r="P1390">
        <v>50.7</v>
      </c>
      <c r="Q1390">
        <v>49.3</v>
      </c>
    </row>
    <row r="1391" spans="1:17" x14ac:dyDescent="0.25">
      <c r="A1391" s="2">
        <v>45585</v>
      </c>
      <c r="B1391" s="2" t="str">
        <f t="shared" si="42"/>
        <v>Sunday</v>
      </c>
      <c r="C1391" s="2" t="b">
        <f t="shared" si="43"/>
        <v>1</v>
      </c>
      <c r="D1391">
        <v>2</v>
      </c>
      <c r="E1391" t="s">
        <v>6</v>
      </c>
      <c r="F1391">
        <v>296</v>
      </c>
      <c r="G1391" s="3">
        <v>5443.59</v>
      </c>
      <c r="H1391" s="3">
        <f>Miami_Retail[[#This Row],[sales_usd]] / Miami_Retail[[#This Row],[customers]]</f>
        <v>18.390506756756757</v>
      </c>
      <c r="I1391">
        <v>87.6</v>
      </c>
      <c r="J1391">
        <f>(Miami_Retail[[#This Row],[avg_temp_f]]-32) * (5/9)</f>
        <v>30.888888888888886</v>
      </c>
      <c r="K1391">
        <v>0</v>
      </c>
      <c r="L1391">
        <v>0</v>
      </c>
      <c r="M1391">
        <v>75</v>
      </c>
      <c r="N1391">
        <v>46.2</v>
      </c>
      <c r="O1391">
        <v>53.8</v>
      </c>
      <c r="P1391">
        <v>51.6</v>
      </c>
      <c r="Q1391">
        <v>48.4</v>
      </c>
    </row>
    <row r="1392" spans="1:17" x14ac:dyDescent="0.25">
      <c r="A1392" s="2">
        <v>45586</v>
      </c>
      <c r="B1392" s="2" t="str">
        <f t="shared" si="42"/>
        <v>Monday</v>
      </c>
      <c r="C1392" s="2" t="b">
        <f t="shared" si="43"/>
        <v>0</v>
      </c>
      <c r="D1392">
        <v>2</v>
      </c>
      <c r="E1392" t="s">
        <v>6</v>
      </c>
      <c r="F1392">
        <v>265</v>
      </c>
      <c r="G1392" s="3">
        <v>4442.8599999999997</v>
      </c>
      <c r="H1392" s="3">
        <f>Miami_Retail[[#This Row],[sales_usd]] / Miami_Retail[[#This Row],[customers]]</f>
        <v>16.765509433962261</v>
      </c>
      <c r="I1392">
        <v>87.5</v>
      </c>
      <c r="J1392">
        <f>(Miami_Retail[[#This Row],[avg_temp_f]]-32) * (5/9)</f>
        <v>30.833333333333336</v>
      </c>
      <c r="K1392">
        <v>0</v>
      </c>
      <c r="L1392">
        <v>0</v>
      </c>
      <c r="M1392">
        <v>63.4</v>
      </c>
      <c r="N1392">
        <v>44.4</v>
      </c>
      <c r="O1392">
        <v>55.6</v>
      </c>
      <c r="P1392">
        <v>43.3</v>
      </c>
      <c r="Q1392">
        <v>56.7</v>
      </c>
    </row>
    <row r="1393" spans="1:17" x14ac:dyDescent="0.25">
      <c r="A1393" s="2">
        <v>45587</v>
      </c>
      <c r="B1393" s="2" t="str">
        <f t="shared" si="42"/>
        <v>Tuesday</v>
      </c>
      <c r="C1393" s="2" t="b">
        <f t="shared" si="43"/>
        <v>0</v>
      </c>
      <c r="D1393">
        <v>2</v>
      </c>
      <c r="E1393" t="s">
        <v>6</v>
      </c>
      <c r="F1393">
        <v>295</v>
      </c>
      <c r="G1393" s="3">
        <v>5203.54</v>
      </c>
      <c r="H1393" s="3">
        <f>Miami_Retail[[#This Row],[sales_usd]] / Miami_Retail[[#This Row],[customers]]</f>
        <v>17.639118644067796</v>
      </c>
      <c r="I1393">
        <v>86</v>
      </c>
      <c r="J1393">
        <f>(Miami_Retail[[#This Row],[avg_temp_f]]-32) * (5/9)</f>
        <v>30</v>
      </c>
      <c r="K1393">
        <v>0</v>
      </c>
      <c r="L1393">
        <v>0</v>
      </c>
      <c r="M1393">
        <v>59.2</v>
      </c>
      <c r="N1393">
        <v>46.2</v>
      </c>
      <c r="O1393">
        <v>53.8</v>
      </c>
      <c r="P1393">
        <v>43.5</v>
      </c>
      <c r="Q1393">
        <v>56.5</v>
      </c>
    </row>
    <row r="1394" spans="1:17" x14ac:dyDescent="0.25">
      <c r="A1394" s="2">
        <v>45588</v>
      </c>
      <c r="B1394" s="2" t="str">
        <f t="shared" si="42"/>
        <v>Wednesday</v>
      </c>
      <c r="C1394" s="2" t="b">
        <f t="shared" si="43"/>
        <v>0</v>
      </c>
      <c r="D1394">
        <v>2</v>
      </c>
      <c r="E1394" t="s">
        <v>6</v>
      </c>
      <c r="F1394">
        <v>311</v>
      </c>
      <c r="G1394" s="3">
        <v>5459.35</v>
      </c>
      <c r="H1394" s="3">
        <f>Miami_Retail[[#This Row],[sales_usd]] / Miami_Retail[[#This Row],[customers]]</f>
        <v>17.554180064308682</v>
      </c>
      <c r="I1394">
        <v>90.4</v>
      </c>
      <c r="J1394">
        <f>(Miami_Retail[[#This Row],[avg_temp_f]]-32) * (5/9)</f>
        <v>32.44444444444445</v>
      </c>
      <c r="K1394">
        <v>0.52</v>
      </c>
      <c r="L1394">
        <v>1</v>
      </c>
      <c r="M1394">
        <v>70.400000000000006</v>
      </c>
      <c r="N1394">
        <v>46.9</v>
      </c>
      <c r="O1394">
        <v>53.1</v>
      </c>
      <c r="P1394">
        <v>45.2</v>
      </c>
      <c r="Q1394">
        <v>54.8</v>
      </c>
    </row>
    <row r="1395" spans="1:17" x14ac:dyDescent="0.25">
      <c r="A1395" s="2">
        <v>45589</v>
      </c>
      <c r="B1395" s="2" t="str">
        <f t="shared" si="42"/>
        <v>Thursday</v>
      </c>
      <c r="C1395" s="2" t="b">
        <f t="shared" si="43"/>
        <v>0</v>
      </c>
      <c r="D1395">
        <v>2</v>
      </c>
      <c r="E1395" t="s">
        <v>6</v>
      </c>
      <c r="F1395">
        <v>239</v>
      </c>
      <c r="G1395" s="3">
        <v>3779.43</v>
      </c>
      <c r="H1395" s="3">
        <f>Miami_Retail[[#This Row],[sales_usd]] / Miami_Retail[[#This Row],[customers]]</f>
        <v>15.813514644351464</v>
      </c>
      <c r="I1395">
        <v>88.1</v>
      </c>
      <c r="J1395">
        <f>(Miami_Retail[[#This Row],[avg_temp_f]]-32) * (5/9)</f>
        <v>31.166666666666664</v>
      </c>
      <c r="K1395">
        <v>0</v>
      </c>
      <c r="L1395">
        <v>0</v>
      </c>
      <c r="M1395">
        <v>66.2</v>
      </c>
      <c r="N1395">
        <v>47.4</v>
      </c>
      <c r="O1395">
        <v>52.6</v>
      </c>
      <c r="P1395">
        <v>44</v>
      </c>
      <c r="Q1395">
        <v>56</v>
      </c>
    </row>
    <row r="1396" spans="1:17" x14ac:dyDescent="0.25">
      <c r="A1396" s="2">
        <v>45590</v>
      </c>
      <c r="B1396" s="2" t="str">
        <f t="shared" si="42"/>
        <v>Friday</v>
      </c>
      <c r="C1396" s="2" t="b">
        <f t="shared" si="43"/>
        <v>0</v>
      </c>
      <c r="D1396">
        <v>2</v>
      </c>
      <c r="E1396" t="s">
        <v>6</v>
      </c>
      <c r="F1396">
        <v>242</v>
      </c>
      <c r="G1396" s="3">
        <v>4116.1400000000003</v>
      </c>
      <c r="H1396" s="3">
        <f>Miami_Retail[[#This Row],[sales_usd]] / Miami_Retail[[#This Row],[customers]]</f>
        <v>17.008842975206612</v>
      </c>
      <c r="I1396">
        <v>87.7</v>
      </c>
      <c r="J1396">
        <f>(Miami_Retail[[#This Row],[avg_temp_f]]-32) * (5/9)</f>
        <v>30.944444444444446</v>
      </c>
      <c r="K1396">
        <v>0</v>
      </c>
      <c r="L1396">
        <v>0</v>
      </c>
      <c r="M1396">
        <v>67.099999999999994</v>
      </c>
      <c r="N1396">
        <v>45.4</v>
      </c>
      <c r="O1396">
        <v>54.6</v>
      </c>
      <c r="P1396">
        <v>43.4</v>
      </c>
      <c r="Q1396">
        <v>56.6</v>
      </c>
    </row>
    <row r="1397" spans="1:17" x14ac:dyDescent="0.25">
      <c r="A1397" s="2">
        <v>45591</v>
      </c>
      <c r="B1397" s="2" t="str">
        <f t="shared" si="42"/>
        <v>Saturday</v>
      </c>
      <c r="C1397" s="2" t="b">
        <f t="shared" si="43"/>
        <v>1</v>
      </c>
      <c r="D1397">
        <v>2</v>
      </c>
      <c r="E1397" t="s">
        <v>6</v>
      </c>
      <c r="F1397">
        <v>289</v>
      </c>
      <c r="G1397" s="3">
        <v>5431.81</v>
      </c>
      <c r="H1397" s="3">
        <f>Miami_Retail[[#This Row],[sales_usd]] / Miami_Retail[[#This Row],[customers]]</f>
        <v>18.795190311418686</v>
      </c>
      <c r="I1397">
        <v>82.8</v>
      </c>
      <c r="J1397">
        <f>(Miami_Retail[[#This Row],[avg_temp_f]]-32) * (5/9)</f>
        <v>28.222222222222221</v>
      </c>
      <c r="K1397">
        <v>0</v>
      </c>
      <c r="L1397">
        <v>0</v>
      </c>
      <c r="M1397">
        <v>69.8</v>
      </c>
      <c r="N1397">
        <v>46.4</v>
      </c>
      <c r="O1397">
        <v>53.6</v>
      </c>
      <c r="P1397">
        <v>50.9</v>
      </c>
      <c r="Q1397">
        <v>49.1</v>
      </c>
    </row>
    <row r="1398" spans="1:17" x14ac:dyDescent="0.25">
      <c r="A1398" s="2">
        <v>45592</v>
      </c>
      <c r="B1398" s="2" t="str">
        <f t="shared" si="42"/>
        <v>Sunday</v>
      </c>
      <c r="C1398" s="2" t="b">
        <f t="shared" si="43"/>
        <v>1</v>
      </c>
      <c r="D1398">
        <v>2</v>
      </c>
      <c r="E1398" t="s">
        <v>6</v>
      </c>
      <c r="F1398">
        <v>283</v>
      </c>
      <c r="G1398" s="3">
        <v>4782.54</v>
      </c>
      <c r="H1398" s="3">
        <f>Miami_Retail[[#This Row],[sales_usd]] / Miami_Retail[[#This Row],[customers]]</f>
        <v>16.899434628975264</v>
      </c>
      <c r="I1398">
        <v>85.7</v>
      </c>
      <c r="J1398">
        <f>(Miami_Retail[[#This Row],[avg_temp_f]]-32) * (5/9)</f>
        <v>29.833333333333336</v>
      </c>
      <c r="K1398">
        <v>0.14000000000000001</v>
      </c>
      <c r="L1398">
        <v>1</v>
      </c>
      <c r="M1398">
        <v>65.099999999999994</v>
      </c>
      <c r="N1398">
        <v>45.1</v>
      </c>
      <c r="O1398">
        <v>54.9</v>
      </c>
      <c r="P1398">
        <v>48.8</v>
      </c>
      <c r="Q1398">
        <v>51.2</v>
      </c>
    </row>
    <row r="1399" spans="1:17" x14ac:dyDescent="0.25">
      <c r="A1399" s="2">
        <v>45593</v>
      </c>
      <c r="B1399" s="2" t="str">
        <f t="shared" si="42"/>
        <v>Monday</v>
      </c>
      <c r="C1399" s="2" t="b">
        <f t="shared" si="43"/>
        <v>0</v>
      </c>
      <c r="D1399">
        <v>2</v>
      </c>
      <c r="E1399" t="s">
        <v>6</v>
      </c>
      <c r="F1399">
        <v>268</v>
      </c>
      <c r="G1399" s="3">
        <v>4612.08</v>
      </c>
      <c r="H1399" s="3">
        <f>Miami_Retail[[#This Row],[sales_usd]] / Miami_Retail[[#This Row],[customers]]</f>
        <v>17.209253731343285</v>
      </c>
      <c r="I1399">
        <v>87.5</v>
      </c>
      <c r="J1399">
        <f>(Miami_Retail[[#This Row],[avg_temp_f]]-32) * (5/9)</f>
        <v>30.833333333333336</v>
      </c>
      <c r="K1399">
        <v>0</v>
      </c>
      <c r="L1399">
        <v>0</v>
      </c>
      <c r="M1399">
        <v>66.3</v>
      </c>
      <c r="N1399">
        <v>44.6</v>
      </c>
      <c r="O1399">
        <v>55.4</v>
      </c>
      <c r="P1399">
        <v>45.3</v>
      </c>
      <c r="Q1399">
        <v>54.7</v>
      </c>
    </row>
    <row r="1400" spans="1:17" x14ac:dyDescent="0.25">
      <c r="A1400" s="2">
        <v>45594</v>
      </c>
      <c r="B1400" s="2" t="str">
        <f t="shared" si="42"/>
        <v>Tuesday</v>
      </c>
      <c r="C1400" s="2" t="b">
        <f t="shared" si="43"/>
        <v>0</v>
      </c>
      <c r="D1400">
        <v>2</v>
      </c>
      <c r="E1400" t="s">
        <v>6</v>
      </c>
      <c r="F1400">
        <v>256</v>
      </c>
      <c r="G1400" s="3">
        <v>4244.53</v>
      </c>
      <c r="H1400" s="3">
        <f>Miami_Retail[[#This Row],[sales_usd]] / Miami_Retail[[#This Row],[customers]]</f>
        <v>16.580195312499999</v>
      </c>
      <c r="I1400">
        <v>90.1</v>
      </c>
      <c r="J1400">
        <f>(Miami_Retail[[#This Row],[avg_temp_f]]-32) * (5/9)</f>
        <v>32.277777777777779</v>
      </c>
      <c r="K1400">
        <v>0</v>
      </c>
      <c r="L1400">
        <v>0</v>
      </c>
      <c r="M1400">
        <v>61.6</v>
      </c>
      <c r="N1400">
        <v>46.8</v>
      </c>
      <c r="O1400">
        <v>53.2</v>
      </c>
      <c r="P1400">
        <v>45</v>
      </c>
      <c r="Q1400">
        <v>55</v>
      </c>
    </row>
    <row r="1401" spans="1:17" x14ac:dyDescent="0.25">
      <c r="A1401" s="2">
        <v>45595</v>
      </c>
      <c r="B1401" s="2" t="str">
        <f t="shared" si="42"/>
        <v>Wednesday</v>
      </c>
      <c r="C1401" s="2" t="b">
        <f t="shared" si="43"/>
        <v>0</v>
      </c>
      <c r="D1401">
        <v>2</v>
      </c>
      <c r="E1401" t="s">
        <v>6</v>
      </c>
      <c r="F1401">
        <v>258</v>
      </c>
      <c r="G1401" s="3">
        <v>4386.3999999999996</v>
      </c>
      <c r="H1401" s="3">
        <f>Miami_Retail[[#This Row],[sales_usd]] / Miami_Retail[[#This Row],[customers]]</f>
        <v>17.001550387596897</v>
      </c>
      <c r="I1401">
        <v>83.3</v>
      </c>
      <c r="J1401">
        <f>(Miami_Retail[[#This Row],[avg_temp_f]]-32) * (5/9)</f>
        <v>28.5</v>
      </c>
      <c r="K1401">
        <v>1.25</v>
      </c>
      <c r="L1401">
        <v>1</v>
      </c>
      <c r="M1401">
        <v>66</v>
      </c>
      <c r="N1401">
        <v>46.6</v>
      </c>
      <c r="O1401">
        <v>53.4</v>
      </c>
      <c r="P1401">
        <v>42.7</v>
      </c>
      <c r="Q1401">
        <v>57.3</v>
      </c>
    </row>
    <row r="1402" spans="1:17" x14ac:dyDescent="0.25">
      <c r="A1402" s="2">
        <v>45596</v>
      </c>
      <c r="B1402" s="2" t="str">
        <f t="shared" si="42"/>
        <v>Thursday</v>
      </c>
      <c r="C1402" s="2" t="b">
        <f t="shared" si="43"/>
        <v>0</v>
      </c>
      <c r="D1402">
        <v>2</v>
      </c>
      <c r="E1402" t="s">
        <v>6</v>
      </c>
      <c r="F1402">
        <v>233</v>
      </c>
      <c r="G1402" s="3">
        <v>4222.28</v>
      </c>
      <c r="H1402" s="3">
        <f>Miami_Retail[[#This Row],[sales_usd]] / Miami_Retail[[#This Row],[customers]]</f>
        <v>18.121373390557938</v>
      </c>
      <c r="I1402">
        <v>86.7</v>
      </c>
      <c r="J1402">
        <f>(Miami_Retail[[#This Row],[avg_temp_f]]-32) * (5/9)</f>
        <v>30.388888888888893</v>
      </c>
      <c r="K1402">
        <v>0</v>
      </c>
      <c r="L1402">
        <v>0</v>
      </c>
      <c r="M1402">
        <v>64.2</v>
      </c>
      <c r="N1402">
        <v>44.6</v>
      </c>
      <c r="O1402">
        <v>55.4</v>
      </c>
      <c r="P1402">
        <v>44.6</v>
      </c>
      <c r="Q1402">
        <v>55.4</v>
      </c>
    </row>
    <row r="1403" spans="1:17" x14ac:dyDescent="0.25">
      <c r="A1403" s="2">
        <v>45597</v>
      </c>
      <c r="B1403" s="2" t="str">
        <f t="shared" si="42"/>
        <v>Friday</v>
      </c>
      <c r="C1403" s="2" t="b">
        <f t="shared" si="43"/>
        <v>0</v>
      </c>
      <c r="D1403">
        <v>2</v>
      </c>
      <c r="E1403" t="s">
        <v>6</v>
      </c>
      <c r="F1403">
        <v>260</v>
      </c>
      <c r="G1403" s="3">
        <v>4254.2299999999996</v>
      </c>
      <c r="H1403" s="3">
        <f>Miami_Retail[[#This Row],[sales_usd]] / Miami_Retail[[#This Row],[customers]]</f>
        <v>16.362423076923076</v>
      </c>
      <c r="I1403">
        <v>86.6</v>
      </c>
      <c r="J1403">
        <f>(Miami_Retail[[#This Row],[avg_temp_f]]-32) * (5/9)</f>
        <v>30.333333333333332</v>
      </c>
      <c r="K1403">
        <v>0.78</v>
      </c>
      <c r="L1403">
        <v>1</v>
      </c>
      <c r="M1403">
        <v>73.599999999999994</v>
      </c>
      <c r="N1403">
        <v>46.4</v>
      </c>
      <c r="O1403">
        <v>53.6</v>
      </c>
      <c r="P1403">
        <v>43.9</v>
      </c>
      <c r="Q1403">
        <v>56.1</v>
      </c>
    </row>
    <row r="1404" spans="1:17" x14ac:dyDescent="0.25">
      <c r="A1404" s="2">
        <v>45598</v>
      </c>
      <c r="B1404" s="2" t="str">
        <f t="shared" si="42"/>
        <v>Saturday</v>
      </c>
      <c r="C1404" s="2" t="b">
        <f t="shared" si="43"/>
        <v>1</v>
      </c>
      <c r="D1404">
        <v>2</v>
      </c>
      <c r="E1404" t="s">
        <v>6</v>
      </c>
      <c r="F1404">
        <v>304</v>
      </c>
      <c r="G1404" s="3">
        <v>5516.86</v>
      </c>
      <c r="H1404" s="3">
        <f>Miami_Retail[[#This Row],[sales_usd]] / Miami_Retail[[#This Row],[customers]]</f>
        <v>18.147565789473685</v>
      </c>
      <c r="I1404">
        <v>87.6</v>
      </c>
      <c r="J1404">
        <f>(Miami_Retail[[#This Row],[avg_temp_f]]-32) * (5/9)</f>
        <v>30.888888888888886</v>
      </c>
      <c r="K1404">
        <v>0</v>
      </c>
      <c r="L1404">
        <v>0</v>
      </c>
      <c r="M1404">
        <v>62.2</v>
      </c>
      <c r="N1404">
        <v>46.3</v>
      </c>
      <c r="O1404">
        <v>53.7</v>
      </c>
      <c r="P1404">
        <v>49</v>
      </c>
      <c r="Q1404">
        <v>51</v>
      </c>
    </row>
    <row r="1405" spans="1:17" x14ac:dyDescent="0.25">
      <c r="A1405" s="2">
        <v>45599</v>
      </c>
      <c r="B1405" s="2" t="str">
        <f t="shared" si="42"/>
        <v>Sunday</v>
      </c>
      <c r="C1405" s="2" t="b">
        <f t="shared" si="43"/>
        <v>1</v>
      </c>
      <c r="D1405">
        <v>2</v>
      </c>
      <c r="E1405" t="s">
        <v>6</v>
      </c>
      <c r="F1405">
        <v>316</v>
      </c>
      <c r="G1405" s="3">
        <v>5360.27</v>
      </c>
      <c r="H1405" s="3">
        <f>Miami_Retail[[#This Row],[sales_usd]] / Miami_Retail[[#This Row],[customers]]</f>
        <v>16.962879746835444</v>
      </c>
      <c r="I1405">
        <v>91.9</v>
      </c>
      <c r="J1405">
        <f>(Miami_Retail[[#This Row],[avg_temp_f]]-32) * (5/9)</f>
        <v>33.277777777777786</v>
      </c>
      <c r="K1405">
        <v>0</v>
      </c>
      <c r="L1405">
        <v>0</v>
      </c>
      <c r="M1405">
        <v>66.3</v>
      </c>
      <c r="N1405">
        <v>45.8</v>
      </c>
      <c r="O1405">
        <v>54.2</v>
      </c>
      <c r="P1405">
        <v>50.2</v>
      </c>
      <c r="Q1405">
        <v>49.8</v>
      </c>
    </row>
    <row r="1406" spans="1:17" x14ac:dyDescent="0.25">
      <c r="A1406" s="2">
        <v>45600</v>
      </c>
      <c r="B1406" s="2" t="str">
        <f t="shared" si="42"/>
        <v>Monday</v>
      </c>
      <c r="C1406" s="2" t="b">
        <f t="shared" si="43"/>
        <v>0</v>
      </c>
      <c r="D1406">
        <v>2</v>
      </c>
      <c r="E1406" t="s">
        <v>6</v>
      </c>
      <c r="F1406">
        <v>252</v>
      </c>
      <c r="G1406" s="3">
        <v>4252.24</v>
      </c>
      <c r="H1406" s="3">
        <f>Miami_Retail[[#This Row],[sales_usd]] / Miami_Retail[[#This Row],[customers]]</f>
        <v>16.873968253968254</v>
      </c>
      <c r="I1406">
        <v>83.3</v>
      </c>
      <c r="J1406">
        <f>(Miami_Retail[[#This Row],[avg_temp_f]]-32) * (5/9)</f>
        <v>28.5</v>
      </c>
      <c r="K1406">
        <v>0</v>
      </c>
      <c r="L1406">
        <v>0</v>
      </c>
      <c r="M1406">
        <v>72</v>
      </c>
      <c r="N1406">
        <v>47.1</v>
      </c>
      <c r="O1406">
        <v>52.9</v>
      </c>
      <c r="P1406">
        <v>44.3</v>
      </c>
      <c r="Q1406">
        <v>55.7</v>
      </c>
    </row>
    <row r="1407" spans="1:17" x14ac:dyDescent="0.25">
      <c r="A1407" s="2">
        <v>45601</v>
      </c>
      <c r="B1407" s="2" t="str">
        <f t="shared" si="42"/>
        <v>Tuesday</v>
      </c>
      <c r="C1407" s="2" t="b">
        <f t="shared" si="43"/>
        <v>0</v>
      </c>
      <c r="D1407">
        <v>2</v>
      </c>
      <c r="E1407" t="s">
        <v>6</v>
      </c>
      <c r="F1407">
        <v>226</v>
      </c>
      <c r="G1407" s="3">
        <v>3860.56</v>
      </c>
      <c r="H1407" s="3">
        <f>Miami_Retail[[#This Row],[sales_usd]] / Miami_Retail[[#This Row],[customers]]</f>
        <v>17.08212389380531</v>
      </c>
      <c r="I1407">
        <v>83.1</v>
      </c>
      <c r="J1407">
        <f>(Miami_Retail[[#This Row],[avg_temp_f]]-32) * (5/9)</f>
        <v>28.388888888888886</v>
      </c>
      <c r="K1407">
        <v>0.79</v>
      </c>
      <c r="L1407">
        <v>1</v>
      </c>
      <c r="M1407">
        <v>65.8</v>
      </c>
      <c r="N1407">
        <v>46.7</v>
      </c>
      <c r="O1407">
        <v>53.3</v>
      </c>
      <c r="P1407">
        <v>43.6</v>
      </c>
      <c r="Q1407">
        <v>56.4</v>
      </c>
    </row>
    <row r="1408" spans="1:17" x14ac:dyDescent="0.25">
      <c r="A1408" s="2">
        <v>45602</v>
      </c>
      <c r="B1408" s="2" t="str">
        <f t="shared" si="42"/>
        <v>Wednesday</v>
      </c>
      <c r="C1408" s="2" t="b">
        <f t="shared" si="43"/>
        <v>0</v>
      </c>
      <c r="D1408">
        <v>2</v>
      </c>
      <c r="E1408" t="s">
        <v>6</v>
      </c>
      <c r="F1408">
        <v>248</v>
      </c>
      <c r="G1408" s="3">
        <v>4572.1099999999997</v>
      </c>
      <c r="H1408" s="3">
        <f>Miami_Retail[[#This Row],[sales_usd]] / Miami_Retail[[#This Row],[customers]]</f>
        <v>18.435927419354837</v>
      </c>
      <c r="I1408">
        <v>86</v>
      </c>
      <c r="J1408">
        <f>(Miami_Retail[[#This Row],[avg_temp_f]]-32) * (5/9)</f>
        <v>30</v>
      </c>
      <c r="K1408">
        <v>0</v>
      </c>
      <c r="L1408">
        <v>0</v>
      </c>
      <c r="M1408">
        <v>58.8</v>
      </c>
      <c r="N1408">
        <v>45</v>
      </c>
      <c r="O1408">
        <v>55</v>
      </c>
      <c r="P1408">
        <v>43.4</v>
      </c>
      <c r="Q1408">
        <v>56.6</v>
      </c>
    </row>
    <row r="1409" spans="1:17" x14ac:dyDescent="0.25">
      <c r="A1409" s="2">
        <v>45603</v>
      </c>
      <c r="B1409" s="2" t="str">
        <f t="shared" si="42"/>
        <v>Thursday</v>
      </c>
      <c r="C1409" s="2" t="b">
        <f t="shared" si="43"/>
        <v>0</v>
      </c>
      <c r="D1409">
        <v>2</v>
      </c>
      <c r="E1409" t="s">
        <v>6</v>
      </c>
      <c r="F1409">
        <v>254</v>
      </c>
      <c r="G1409" s="3">
        <v>4257.42</v>
      </c>
      <c r="H1409" s="3">
        <f>Miami_Retail[[#This Row],[sales_usd]] / Miami_Retail[[#This Row],[customers]]</f>
        <v>16.761496062992126</v>
      </c>
      <c r="I1409">
        <v>83.8</v>
      </c>
      <c r="J1409">
        <f>(Miami_Retail[[#This Row],[avg_temp_f]]-32) * (5/9)</f>
        <v>28.777777777777779</v>
      </c>
      <c r="K1409">
        <v>1.64</v>
      </c>
      <c r="L1409">
        <v>1</v>
      </c>
      <c r="M1409">
        <v>61.6</v>
      </c>
      <c r="N1409">
        <v>45.6</v>
      </c>
      <c r="O1409">
        <v>54.4</v>
      </c>
      <c r="P1409">
        <v>41</v>
      </c>
      <c r="Q1409">
        <v>59</v>
      </c>
    </row>
    <row r="1410" spans="1:17" x14ac:dyDescent="0.25">
      <c r="A1410" s="2">
        <v>45604</v>
      </c>
      <c r="B1410" s="2" t="str">
        <f t="shared" ref="B1410:B1473" si="44">TEXT(A1410, "dddd")</f>
        <v>Friday</v>
      </c>
      <c r="C1410" s="2" t="b">
        <f t="shared" ref="C1410:C1473" si="45">IF(WEEKDAY(A1410,2)&gt;5,TRUE,FALSE)</f>
        <v>0</v>
      </c>
      <c r="D1410">
        <v>2</v>
      </c>
      <c r="E1410" t="s">
        <v>6</v>
      </c>
      <c r="F1410">
        <v>209</v>
      </c>
      <c r="G1410" s="3">
        <v>3645.35</v>
      </c>
      <c r="H1410" s="3">
        <f>Miami_Retail[[#This Row],[sales_usd]] / Miami_Retail[[#This Row],[customers]]</f>
        <v>17.441866028708134</v>
      </c>
      <c r="I1410">
        <v>82.8</v>
      </c>
      <c r="J1410">
        <f>(Miami_Retail[[#This Row],[avg_temp_f]]-32) * (5/9)</f>
        <v>28.222222222222221</v>
      </c>
      <c r="K1410">
        <v>0</v>
      </c>
      <c r="L1410">
        <v>0</v>
      </c>
      <c r="M1410">
        <v>76</v>
      </c>
      <c r="N1410">
        <v>47.7</v>
      </c>
      <c r="O1410">
        <v>52.3</v>
      </c>
      <c r="P1410">
        <v>44.1</v>
      </c>
      <c r="Q1410">
        <v>55.9</v>
      </c>
    </row>
    <row r="1411" spans="1:17" x14ac:dyDescent="0.25">
      <c r="A1411" s="2">
        <v>45605</v>
      </c>
      <c r="B1411" s="2" t="str">
        <f t="shared" si="44"/>
        <v>Saturday</v>
      </c>
      <c r="C1411" s="2" t="b">
        <f t="shared" si="45"/>
        <v>1</v>
      </c>
      <c r="D1411">
        <v>2</v>
      </c>
      <c r="E1411" t="s">
        <v>6</v>
      </c>
      <c r="F1411">
        <v>287</v>
      </c>
      <c r="G1411" s="3">
        <v>4827.3900000000003</v>
      </c>
      <c r="H1411" s="3">
        <f>Miami_Retail[[#This Row],[sales_usd]] / Miami_Retail[[#This Row],[customers]]</f>
        <v>16.820174216027876</v>
      </c>
      <c r="I1411">
        <v>88</v>
      </c>
      <c r="J1411">
        <f>(Miami_Retail[[#This Row],[avg_temp_f]]-32) * (5/9)</f>
        <v>31.111111111111114</v>
      </c>
      <c r="K1411">
        <v>0</v>
      </c>
      <c r="L1411">
        <v>0</v>
      </c>
      <c r="M1411">
        <v>68.3</v>
      </c>
      <c r="N1411">
        <v>45.9</v>
      </c>
      <c r="O1411">
        <v>54.1</v>
      </c>
      <c r="P1411">
        <v>50</v>
      </c>
      <c r="Q1411">
        <v>50</v>
      </c>
    </row>
    <row r="1412" spans="1:17" x14ac:dyDescent="0.25">
      <c r="A1412" s="2">
        <v>45606</v>
      </c>
      <c r="B1412" s="2" t="str">
        <f t="shared" si="44"/>
        <v>Sunday</v>
      </c>
      <c r="C1412" s="2" t="b">
        <f t="shared" si="45"/>
        <v>1</v>
      </c>
      <c r="D1412">
        <v>2</v>
      </c>
      <c r="E1412" t="s">
        <v>6</v>
      </c>
      <c r="F1412">
        <v>283</v>
      </c>
      <c r="G1412" s="3">
        <v>5052.62</v>
      </c>
      <c r="H1412" s="3">
        <f>Miami_Retail[[#This Row],[sales_usd]] / Miami_Retail[[#This Row],[customers]]</f>
        <v>17.853780918727914</v>
      </c>
      <c r="I1412">
        <v>86.7</v>
      </c>
      <c r="J1412">
        <f>(Miami_Retail[[#This Row],[avg_temp_f]]-32) * (5/9)</f>
        <v>30.388888888888893</v>
      </c>
      <c r="K1412">
        <v>0</v>
      </c>
      <c r="L1412">
        <v>0</v>
      </c>
      <c r="M1412">
        <v>61.7</v>
      </c>
      <c r="N1412">
        <v>45.2</v>
      </c>
      <c r="O1412">
        <v>54.8</v>
      </c>
      <c r="P1412">
        <v>49.7</v>
      </c>
      <c r="Q1412">
        <v>50.3</v>
      </c>
    </row>
    <row r="1413" spans="1:17" x14ac:dyDescent="0.25">
      <c r="A1413" s="2">
        <v>45607</v>
      </c>
      <c r="B1413" s="2" t="str">
        <f t="shared" si="44"/>
        <v>Monday</v>
      </c>
      <c r="C1413" s="2" t="b">
        <f t="shared" si="45"/>
        <v>0</v>
      </c>
      <c r="D1413">
        <v>2</v>
      </c>
      <c r="E1413" t="s">
        <v>6</v>
      </c>
      <c r="F1413">
        <v>257</v>
      </c>
      <c r="G1413" s="3">
        <v>4410.5600000000004</v>
      </c>
      <c r="H1413" s="3">
        <f>Miami_Retail[[#This Row],[sales_usd]] / Miami_Retail[[#This Row],[customers]]</f>
        <v>17.161712062256811</v>
      </c>
      <c r="I1413">
        <v>85.1</v>
      </c>
      <c r="J1413">
        <f>(Miami_Retail[[#This Row],[avg_temp_f]]-32) * (5/9)</f>
        <v>29.499999999999996</v>
      </c>
      <c r="K1413">
        <v>0</v>
      </c>
      <c r="L1413">
        <v>0</v>
      </c>
      <c r="M1413">
        <v>62.7</v>
      </c>
      <c r="N1413">
        <v>46.2</v>
      </c>
      <c r="O1413">
        <v>53.8</v>
      </c>
      <c r="P1413">
        <v>44.5</v>
      </c>
      <c r="Q1413">
        <v>55.5</v>
      </c>
    </row>
    <row r="1414" spans="1:17" x14ac:dyDescent="0.25">
      <c r="A1414" s="2">
        <v>45608</v>
      </c>
      <c r="B1414" s="2" t="str">
        <f t="shared" si="44"/>
        <v>Tuesday</v>
      </c>
      <c r="C1414" s="2" t="b">
        <f t="shared" si="45"/>
        <v>0</v>
      </c>
      <c r="D1414">
        <v>2</v>
      </c>
      <c r="E1414" t="s">
        <v>6</v>
      </c>
      <c r="F1414">
        <v>251</v>
      </c>
      <c r="G1414" s="3">
        <v>4410.8500000000004</v>
      </c>
      <c r="H1414" s="3">
        <f>Miami_Retail[[#This Row],[sales_usd]] / Miami_Retail[[#This Row],[customers]]</f>
        <v>17.573107569721117</v>
      </c>
      <c r="I1414">
        <v>84.9</v>
      </c>
      <c r="J1414">
        <f>(Miami_Retail[[#This Row],[avg_temp_f]]-32) * (5/9)</f>
        <v>29.388888888888893</v>
      </c>
      <c r="K1414">
        <v>0</v>
      </c>
      <c r="L1414">
        <v>0</v>
      </c>
      <c r="M1414">
        <v>66.3</v>
      </c>
      <c r="N1414">
        <v>46.5</v>
      </c>
      <c r="O1414">
        <v>53.5</v>
      </c>
      <c r="P1414">
        <v>43.5</v>
      </c>
      <c r="Q1414">
        <v>56.5</v>
      </c>
    </row>
    <row r="1415" spans="1:17" x14ac:dyDescent="0.25">
      <c r="A1415" s="2">
        <v>45609</v>
      </c>
      <c r="B1415" s="2" t="str">
        <f t="shared" si="44"/>
        <v>Wednesday</v>
      </c>
      <c r="C1415" s="2" t="b">
        <f t="shared" si="45"/>
        <v>0</v>
      </c>
      <c r="D1415">
        <v>2</v>
      </c>
      <c r="E1415" t="s">
        <v>6</v>
      </c>
      <c r="F1415">
        <v>255</v>
      </c>
      <c r="G1415" s="3">
        <v>4324.05</v>
      </c>
      <c r="H1415" s="3">
        <f>Miami_Retail[[#This Row],[sales_usd]] / Miami_Retail[[#This Row],[customers]]</f>
        <v>16.957058823529412</v>
      </c>
      <c r="I1415">
        <v>85.9</v>
      </c>
      <c r="J1415">
        <f>(Miami_Retail[[#This Row],[avg_temp_f]]-32) * (5/9)</f>
        <v>29.94444444444445</v>
      </c>
      <c r="K1415">
        <v>0</v>
      </c>
      <c r="L1415">
        <v>0</v>
      </c>
      <c r="M1415">
        <v>62</v>
      </c>
      <c r="N1415">
        <v>46.2</v>
      </c>
      <c r="O1415">
        <v>53.8</v>
      </c>
      <c r="P1415">
        <v>43.3</v>
      </c>
      <c r="Q1415">
        <v>56.7</v>
      </c>
    </row>
    <row r="1416" spans="1:17" x14ac:dyDescent="0.25">
      <c r="A1416" s="2">
        <v>45610</v>
      </c>
      <c r="B1416" s="2" t="str">
        <f t="shared" si="44"/>
        <v>Thursday</v>
      </c>
      <c r="C1416" s="2" t="b">
        <f t="shared" si="45"/>
        <v>0</v>
      </c>
      <c r="D1416">
        <v>2</v>
      </c>
      <c r="E1416" t="s">
        <v>6</v>
      </c>
      <c r="F1416">
        <v>223</v>
      </c>
      <c r="G1416" s="3">
        <v>3703.24</v>
      </c>
      <c r="H1416" s="3">
        <f>Miami_Retail[[#This Row],[sales_usd]] / Miami_Retail[[#This Row],[customers]]</f>
        <v>16.606457399103139</v>
      </c>
      <c r="I1416">
        <v>76.2</v>
      </c>
      <c r="J1416">
        <f>(Miami_Retail[[#This Row],[avg_temp_f]]-32) * (5/9)</f>
        <v>24.555555555555557</v>
      </c>
      <c r="K1416">
        <v>0</v>
      </c>
      <c r="L1416">
        <v>0</v>
      </c>
      <c r="M1416">
        <v>61.6</v>
      </c>
      <c r="N1416">
        <v>45.9</v>
      </c>
      <c r="O1416">
        <v>54.1</v>
      </c>
      <c r="P1416">
        <v>42.4</v>
      </c>
      <c r="Q1416">
        <v>57.6</v>
      </c>
    </row>
    <row r="1417" spans="1:17" x14ac:dyDescent="0.25">
      <c r="A1417" s="2">
        <v>45611</v>
      </c>
      <c r="B1417" s="2" t="str">
        <f t="shared" si="44"/>
        <v>Friday</v>
      </c>
      <c r="C1417" s="2" t="b">
        <f t="shared" si="45"/>
        <v>0</v>
      </c>
      <c r="D1417">
        <v>2</v>
      </c>
      <c r="E1417" t="s">
        <v>6</v>
      </c>
      <c r="F1417">
        <v>235</v>
      </c>
      <c r="G1417" s="3">
        <v>4026.68</v>
      </c>
      <c r="H1417" s="3">
        <f>Miami_Retail[[#This Row],[sales_usd]] / Miami_Retail[[#This Row],[customers]]</f>
        <v>17.134808510638297</v>
      </c>
      <c r="I1417">
        <v>77.599999999999994</v>
      </c>
      <c r="J1417">
        <f>(Miami_Retail[[#This Row],[avg_temp_f]]-32) * (5/9)</f>
        <v>25.333333333333332</v>
      </c>
      <c r="K1417">
        <v>0</v>
      </c>
      <c r="L1417">
        <v>0</v>
      </c>
      <c r="M1417">
        <v>59.7</v>
      </c>
      <c r="N1417">
        <v>47.2</v>
      </c>
      <c r="O1417">
        <v>52.8</v>
      </c>
      <c r="P1417">
        <v>45</v>
      </c>
      <c r="Q1417">
        <v>55</v>
      </c>
    </row>
    <row r="1418" spans="1:17" x14ac:dyDescent="0.25">
      <c r="A1418" s="2">
        <v>45612</v>
      </c>
      <c r="B1418" s="2" t="str">
        <f t="shared" si="44"/>
        <v>Saturday</v>
      </c>
      <c r="C1418" s="2" t="b">
        <f t="shared" si="45"/>
        <v>1</v>
      </c>
      <c r="D1418">
        <v>2</v>
      </c>
      <c r="E1418" t="s">
        <v>6</v>
      </c>
      <c r="F1418">
        <v>346</v>
      </c>
      <c r="G1418" s="3">
        <v>5847.33</v>
      </c>
      <c r="H1418" s="3">
        <f>Miami_Retail[[#This Row],[sales_usd]] / Miami_Retail[[#This Row],[customers]]</f>
        <v>16.899797687861273</v>
      </c>
      <c r="I1418">
        <v>88.2</v>
      </c>
      <c r="J1418">
        <f>(Miami_Retail[[#This Row],[avg_temp_f]]-32) * (5/9)</f>
        <v>31.222222222222225</v>
      </c>
      <c r="K1418">
        <v>0</v>
      </c>
      <c r="L1418">
        <v>0</v>
      </c>
      <c r="M1418">
        <v>59.8</v>
      </c>
      <c r="N1418">
        <v>47.3</v>
      </c>
      <c r="O1418">
        <v>52.7</v>
      </c>
      <c r="P1418">
        <v>49</v>
      </c>
      <c r="Q1418">
        <v>51</v>
      </c>
    </row>
    <row r="1419" spans="1:17" x14ac:dyDescent="0.25">
      <c r="A1419" s="2">
        <v>45613</v>
      </c>
      <c r="B1419" s="2" t="str">
        <f t="shared" si="44"/>
        <v>Sunday</v>
      </c>
      <c r="C1419" s="2" t="b">
        <f t="shared" si="45"/>
        <v>1</v>
      </c>
      <c r="D1419">
        <v>2</v>
      </c>
      <c r="E1419" t="s">
        <v>6</v>
      </c>
      <c r="F1419">
        <v>282</v>
      </c>
      <c r="G1419" s="3">
        <v>4801.1499999999996</v>
      </c>
      <c r="H1419" s="3">
        <f>Miami_Retail[[#This Row],[sales_usd]] / Miami_Retail[[#This Row],[customers]]</f>
        <v>17.025354609929078</v>
      </c>
      <c r="I1419">
        <v>86.1</v>
      </c>
      <c r="J1419">
        <f>(Miami_Retail[[#This Row],[avg_temp_f]]-32) * (5/9)</f>
        <v>30.055555555555554</v>
      </c>
      <c r="K1419">
        <v>2.02</v>
      </c>
      <c r="L1419">
        <v>1</v>
      </c>
      <c r="M1419">
        <v>56.6</v>
      </c>
      <c r="N1419">
        <v>45.6</v>
      </c>
      <c r="O1419">
        <v>54.4</v>
      </c>
      <c r="P1419">
        <v>50.2</v>
      </c>
      <c r="Q1419">
        <v>49.8</v>
      </c>
    </row>
    <row r="1420" spans="1:17" x14ac:dyDescent="0.25">
      <c r="A1420" s="2">
        <v>45614</v>
      </c>
      <c r="B1420" s="2" t="str">
        <f t="shared" si="44"/>
        <v>Monday</v>
      </c>
      <c r="C1420" s="2" t="b">
        <f t="shared" si="45"/>
        <v>0</v>
      </c>
      <c r="D1420">
        <v>2</v>
      </c>
      <c r="E1420" t="s">
        <v>6</v>
      </c>
      <c r="F1420">
        <v>269</v>
      </c>
      <c r="G1420" s="3">
        <v>4235.0200000000004</v>
      </c>
      <c r="H1420" s="3">
        <f>Miami_Retail[[#This Row],[sales_usd]] / Miami_Retail[[#This Row],[customers]]</f>
        <v>15.743568773234202</v>
      </c>
      <c r="I1420">
        <v>81.099999999999994</v>
      </c>
      <c r="J1420">
        <f>(Miami_Retail[[#This Row],[avg_temp_f]]-32) * (5/9)</f>
        <v>27.277777777777775</v>
      </c>
      <c r="K1420">
        <v>0</v>
      </c>
      <c r="L1420">
        <v>0</v>
      </c>
      <c r="M1420">
        <v>58.6</v>
      </c>
      <c r="N1420">
        <v>46.2</v>
      </c>
      <c r="O1420">
        <v>53.8</v>
      </c>
      <c r="P1420">
        <v>44.5</v>
      </c>
      <c r="Q1420">
        <v>55.5</v>
      </c>
    </row>
    <row r="1421" spans="1:17" x14ac:dyDescent="0.25">
      <c r="A1421" s="2">
        <v>45615</v>
      </c>
      <c r="B1421" s="2" t="str">
        <f t="shared" si="44"/>
        <v>Tuesday</v>
      </c>
      <c r="C1421" s="2" t="b">
        <f t="shared" si="45"/>
        <v>0</v>
      </c>
      <c r="D1421">
        <v>2</v>
      </c>
      <c r="E1421" t="s">
        <v>6</v>
      </c>
      <c r="F1421">
        <v>269</v>
      </c>
      <c r="G1421" s="3">
        <v>4462.7</v>
      </c>
      <c r="H1421" s="3">
        <f>Miami_Retail[[#This Row],[sales_usd]] / Miami_Retail[[#This Row],[customers]]</f>
        <v>16.58996282527881</v>
      </c>
      <c r="I1421">
        <v>82.6</v>
      </c>
      <c r="J1421">
        <f>(Miami_Retail[[#This Row],[avg_temp_f]]-32) * (5/9)</f>
        <v>28.111111111111111</v>
      </c>
      <c r="K1421">
        <v>0</v>
      </c>
      <c r="L1421">
        <v>0</v>
      </c>
      <c r="M1421">
        <v>58.3</v>
      </c>
      <c r="N1421">
        <v>45.5</v>
      </c>
      <c r="O1421">
        <v>54.5</v>
      </c>
      <c r="P1421">
        <v>43.5</v>
      </c>
      <c r="Q1421">
        <v>56.5</v>
      </c>
    </row>
    <row r="1422" spans="1:17" x14ac:dyDescent="0.25">
      <c r="A1422" s="2">
        <v>45616</v>
      </c>
      <c r="B1422" s="2" t="str">
        <f t="shared" si="44"/>
        <v>Wednesday</v>
      </c>
      <c r="C1422" s="2" t="b">
        <f t="shared" si="45"/>
        <v>0</v>
      </c>
      <c r="D1422">
        <v>2</v>
      </c>
      <c r="E1422" t="s">
        <v>6</v>
      </c>
      <c r="F1422">
        <v>300</v>
      </c>
      <c r="G1422" s="3">
        <v>5404.32</v>
      </c>
      <c r="H1422" s="3">
        <f>Miami_Retail[[#This Row],[sales_usd]] / Miami_Retail[[#This Row],[customers]]</f>
        <v>18.014399999999998</v>
      </c>
      <c r="I1422">
        <v>85.9</v>
      </c>
      <c r="J1422">
        <f>(Miami_Retail[[#This Row],[avg_temp_f]]-32) * (5/9)</f>
        <v>29.94444444444445</v>
      </c>
      <c r="K1422">
        <v>0</v>
      </c>
      <c r="L1422">
        <v>0</v>
      </c>
      <c r="M1422">
        <v>67.400000000000006</v>
      </c>
      <c r="N1422">
        <v>46.7</v>
      </c>
      <c r="O1422">
        <v>53.3</v>
      </c>
      <c r="P1422">
        <v>43.8</v>
      </c>
      <c r="Q1422">
        <v>56.2</v>
      </c>
    </row>
    <row r="1423" spans="1:17" x14ac:dyDescent="0.25">
      <c r="A1423" s="2">
        <v>45617</v>
      </c>
      <c r="B1423" s="2" t="str">
        <f t="shared" si="44"/>
        <v>Thursday</v>
      </c>
      <c r="C1423" s="2" t="b">
        <f t="shared" si="45"/>
        <v>0</v>
      </c>
      <c r="D1423">
        <v>2</v>
      </c>
      <c r="E1423" t="s">
        <v>6</v>
      </c>
      <c r="F1423">
        <v>244</v>
      </c>
      <c r="G1423" s="3">
        <v>4048.83</v>
      </c>
      <c r="H1423" s="3">
        <f>Miami_Retail[[#This Row],[sales_usd]] / Miami_Retail[[#This Row],[customers]]</f>
        <v>16.593565573770491</v>
      </c>
      <c r="I1423">
        <v>82.3</v>
      </c>
      <c r="J1423">
        <f>(Miami_Retail[[#This Row],[avg_temp_f]]-32) * (5/9)</f>
        <v>27.944444444444443</v>
      </c>
      <c r="K1423">
        <v>0</v>
      </c>
      <c r="L1423">
        <v>0</v>
      </c>
      <c r="M1423">
        <v>60.6</v>
      </c>
      <c r="N1423">
        <v>46.9</v>
      </c>
      <c r="O1423">
        <v>53.1</v>
      </c>
      <c r="P1423">
        <v>44.5</v>
      </c>
      <c r="Q1423">
        <v>55.5</v>
      </c>
    </row>
    <row r="1424" spans="1:17" x14ac:dyDescent="0.25">
      <c r="A1424" s="2">
        <v>45618</v>
      </c>
      <c r="B1424" s="2" t="str">
        <f t="shared" si="44"/>
        <v>Friday</v>
      </c>
      <c r="C1424" s="2" t="b">
        <f t="shared" si="45"/>
        <v>0</v>
      </c>
      <c r="D1424">
        <v>2</v>
      </c>
      <c r="E1424" t="s">
        <v>6</v>
      </c>
      <c r="F1424">
        <v>239</v>
      </c>
      <c r="G1424" s="3">
        <v>4065.61</v>
      </c>
      <c r="H1424" s="3">
        <f>Miami_Retail[[#This Row],[sales_usd]] / Miami_Retail[[#This Row],[customers]]</f>
        <v>17.010920502092052</v>
      </c>
      <c r="I1424">
        <v>77.400000000000006</v>
      </c>
      <c r="J1424">
        <f>(Miami_Retail[[#This Row],[avg_temp_f]]-32) * (5/9)</f>
        <v>25.222222222222225</v>
      </c>
      <c r="K1424">
        <v>0</v>
      </c>
      <c r="L1424">
        <v>0</v>
      </c>
      <c r="M1424">
        <v>67</v>
      </c>
      <c r="N1424">
        <v>46</v>
      </c>
      <c r="O1424">
        <v>54</v>
      </c>
      <c r="P1424">
        <v>43.8</v>
      </c>
      <c r="Q1424">
        <v>56.2</v>
      </c>
    </row>
    <row r="1425" spans="1:17" x14ac:dyDescent="0.25">
      <c r="A1425" s="2">
        <v>45619</v>
      </c>
      <c r="B1425" s="2" t="str">
        <f t="shared" si="44"/>
        <v>Saturday</v>
      </c>
      <c r="C1425" s="2" t="b">
        <f t="shared" si="45"/>
        <v>1</v>
      </c>
      <c r="D1425">
        <v>2</v>
      </c>
      <c r="E1425" t="s">
        <v>6</v>
      </c>
      <c r="F1425">
        <v>223</v>
      </c>
      <c r="G1425" s="3">
        <v>4032.74</v>
      </c>
      <c r="H1425" s="3">
        <f>Miami_Retail[[#This Row],[sales_usd]] / Miami_Retail[[#This Row],[customers]]</f>
        <v>18.084035874439461</v>
      </c>
      <c r="I1425">
        <v>78.7</v>
      </c>
      <c r="J1425">
        <f>(Miami_Retail[[#This Row],[avg_temp_f]]-32) * (5/9)</f>
        <v>25.944444444444446</v>
      </c>
      <c r="K1425">
        <v>0</v>
      </c>
      <c r="L1425">
        <v>0</v>
      </c>
      <c r="M1425">
        <v>65.5</v>
      </c>
      <c r="N1425">
        <v>47.2</v>
      </c>
      <c r="O1425">
        <v>52.8</v>
      </c>
      <c r="P1425">
        <v>52</v>
      </c>
      <c r="Q1425">
        <v>48</v>
      </c>
    </row>
    <row r="1426" spans="1:17" x14ac:dyDescent="0.25">
      <c r="A1426" s="2">
        <v>45620</v>
      </c>
      <c r="B1426" s="2" t="str">
        <f t="shared" si="44"/>
        <v>Sunday</v>
      </c>
      <c r="C1426" s="2" t="b">
        <f t="shared" si="45"/>
        <v>1</v>
      </c>
      <c r="D1426">
        <v>2</v>
      </c>
      <c r="E1426" t="s">
        <v>6</v>
      </c>
      <c r="F1426">
        <v>293</v>
      </c>
      <c r="G1426" s="3">
        <v>4711.5</v>
      </c>
      <c r="H1426" s="3">
        <f>Miami_Retail[[#This Row],[sales_usd]] / Miami_Retail[[#This Row],[customers]]</f>
        <v>16.080204778156997</v>
      </c>
      <c r="I1426">
        <v>84.5</v>
      </c>
      <c r="J1426">
        <f>(Miami_Retail[[#This Row],[avg_temp_f]]-32) * (5/9)</f>
        <v>29.166666666666668</v>
      </c>
      <c r="K1426">
        <v>0</v>
      </c>
      <c r="L1426">
        <v>0</v>
      </c>
      <c r="M1426">
        <v>62.6</v>
      </c>
      <c r="N1426">
        <v>47.9</v>
      </c>
      <c r="O1426">
        <v>52.1</v>
      </c>
      <c r="P1426">
        <v>50.7</v>
      </c>
      <c r="Q1426">
        <v>49.3</v>
      </c>
    </row>
    <row r="1427" spans="1:17" x14ac:dyDescent="0.25">
      <c r="A1427" s="2">
        <v>45621</v>
      </c>
      <c r="B1427" s="2" t="str">
        <f t="shared" si="44"/>
        <v>Monday</v>
      </c>
      <c r="C1427" s="2" t="b">
        <f t="shared" si="45"/>
        <v>0</v>
      </c>
      <c r="D1427">
        <v>2</v>
      </c>
      <c r="E1427" t="s">
        <v>6</v>
      </c>
      <c r="F1427">
        <v>261</v>
      </c>
      <c r="G1427" s="3">
        <v>4504.7</v>
      </c>
      <c r="H1427" s="3">
        <f>Miami_Retail[[#This Row],[sales_usd]] / Miami_Retail[[#This Row],[customers]]</f>
        <v>17.259386973180074</v>
      </c>
      <c r="I1427">
        <v>83.9</v>
      </c>
      <c r="J1427">
        <f>(Miami_Retail[[#This Row],[avg_temp_f]]-32) * (5/9)</f>
        <v>28.833333333333339</v>
      </c>
      <c r="K1427">
        <v>0</v>
      </c>
      <c r="L1427">
        <v>0</v>
      </c>
      <c r="M1427">
        <v>56.8</v>
      </c>
      <c r="N1427">
        <v>47.4</v>
      </c>
      <c r="O1427">
        <v>52.6</v>
      </c>
      <c r="P1427">
        <v>43.4</v>
      </c>
      <c r="Q1427">
        <v>56.6</v>
      </c>
    </row>
    <row r="1428" spans="1:17" x14ac:dyDescent="0.25">
      <c r="A1428" s="2">
        <v>45622</v>
      </c>
      <c r="B1428" s="2" t="str">
        <f t="shared" si="44"/>
        <v>Tuesday</v>
      </c>
      <c r="C1428" s="2" t="b">
        <f t="shared" si="45"/>
        <v>0</v>
      </c>
      <c r="D1428">
        <v>2</v>
      </c>
      <c r="E1428" t="s">
        <v>6</v>
      </c>
      <c r="F1428">
        <v>238</v>
      </c>
      <c r="G1428" s="3">
        <v>3921.99</v>
      </c>
      <c r="H1428" s="3">
        <f>Miami_Retail[[#This Row],[sales_usd]] / Miami_Retail[[#This Row],[customers]]</f>
        <v>16.47894957983193</v>
      </c>
      <c r="I1428">
        <v>84.8</v>
      </c>
      <c r="J1428">
        <f>(Miami_Retail[[#This Row],[avg_temp_f]]-32) * (5/9)</f>
        <v>29.333333333333332</v>
      </c>
      <c r="K1428">
        <v>0.74</v>
      </c>
      <c r="L1428">
        <v>1</v>
      </c>
      <c r="M1428">
        <v>59</v>
      </c>
      <c r="N1428">
        <v>48</v>
      </c>
      <c r="O1428">
        <v>52</v>
      </c>
      <c r="P1428">
        <v>42.4</v>
      </c>
      <c r="Q1428">
        <v>57.6</v>
      </c>
    </row>
    <row r="1429" spans="1:17" x14ac:dyDescent="0.25">
      <c r="A1429" s="2">
        <v>45623</v>
      </c>
      <c r="B1429" s="2" t="str">
        <f t="shared" si="44"/>
        <v>Wednesday</v>
      </c>
      <c r="C1429" s="2" t="b">
        <f t="shared" si="45"/>
        <v>0</v>
      </c>
      <c r="D1429">
        <v>2</v>
      </c>
      <c r="E1429" t="s">
        <v>6</v>
      </c>
      <c r="F1429">
        <v>304</v>
      </c>
      <c r="G1429" s="3">
        <v>4971.09</v>
      </c>
      <c r="H1429" s="3">
        <f>Miami_Retail[[#This Row],[sales_usd]] / Miami_Retail[[#This Row],[customers]]</f>
        <v>16.352269736842107</v>
      </c>
      <c r="I1429">
        <v>92.3</v>
      </c>
      <c r="J1429">
        <f>(Miami_Retail[[#This Row],[avg_temp_f]]-32) * (5/9)</f>
        <v>33.5</v>
      </c>
      <c r="K1429">
        <v>0</v>
      </c>
      <c r="L1429">
        <v>0</v>
      </c>
      <c r="M1429">
        <v>61.9</v>
      </c>
      <c r="N1429">
        <v>47.9</v>
      </c>
      <c r="O1429">
        <v>52.1</v>
      </c>
      <c r="P1429">
        <v>45</v>
      </c>
      <c r="Q1429">
        <v>55</v>
      </c>
    </row>
    <row r="1430" spans="1:17" x14ac:dyDescent="0.25">
      <c r="A1430" s="2">
        <v>45624</v>
      </c>
      <c r="B1430" s="2" t="str">
        <f t="shared" si="44"/>
        <v>Thursday</v>
      </c>
      <c r="C1430" s="2" t="b">
        <f t="shared" si="45"/>
        <v>0</v>
      </c>
      <c r="D1430">
        <v>2</v>
      </c>
      <c r="E1430" t="s">
        <v>6</v>
      </c>
      <c r="F1430">
        <v>175</v>
      </c>
      <c r="G1430" s="3">
        <v>3064.63</v>
      </c>
      <c r="H1430" s="3">
        <f>Miami_Retail[[#This Row],[sales_usd]] / Miami_Retail[[#This Row],[customers]]</f>
        <v>17.512171428571428</v>
      </c>
      <c r="I1430">
        <v>77.3</v>
      </c>
      <c r="J1430">
        <f>(Miami_Retail[[#This Row],[avg_temp_f]]-32) * (5/9)</f>
        <v>25.166666666666668</v>
      </c>
      <c r="K1430">
        <v>0</v>
      </c>
      <c r="L1430">
        <v>0</v>
      </c>
      <c r="M1430">
        <v>56.7</v>
      </c>
      <c r="N1430">
        <v>48.3</v>
      </c>
      <c r="O1430">
        <v>51.7</v>
      </c>
      <c r="P1430">
        <v>43.1</v>
      </c>
      <c r="Q1430">
        <v>56.9</v>
      </c>
    </row>
    <row r="1431" spans="1:17" x14ac:dyDescent="0.25">
      <c r="A1431" s="2">
        <v>45625</v>
      </c>
      <c r="B1431" s="2" t="str">
        <f t="shared" si="44"/>
        <v>Friday</v>
      </c>
      <c r="C1431" s="2" t="b">
        <f t="shared" si="45"/>
        <v>0</v>
      </c>
      <c r="D1431">
        <v>2</v>
      </c>
      <c r="E1431" t="s">
        <v>6</v>
      </c>
      <c r="F1431">
        <v>213</v>
      </c>
      <c r="G1431" s="3">
        <v>3749.47</v>
      </c>
      <c r="H1431" s="3">
        <f>Miami_Retail[[#This Row],[sales_usd]] / Miami_Retail[[#This Row],[customers]]</f>
        <v>17.603145539906102</v>
      </c>
      <c r="I1431">
        <v>82.8</v>
      </c>
      <c r="J1431">
        <f>(Miami_Retail[[#This Row],[avg_temp_f]]-32) * (5/9)</f>
        <v>28.222222222222221</v>
      </c>
      <c r="K1431">
        <v>0</v>
      </c>
      <c r="L1431">
        <v>0</v>
      </c>
      <c r="M1431">
        <v>67.900000000000006</v>
      </c>
      <c r="N1431">
        <v>48.8</v>
      </c>
      <c r="O1431">
        <v>51.2</v>
      </c>
      <c r="P1431">
        <v>43.7</v>
      </c>
      <c r="Q1431">
        <v>56.3</v>
      </c>
    </row>
    <row r="1432" spans="1:17" x14ac:dyDescent="0.25">
      <c r="A1432" s="2">
        <v>45626</v>
      </c>
      <c r="B1432" s="2" t="str">
        <f t="shared" si="44"/>
        <v>Saturday</v>
      </c>
      <c r="C1432" s="2" t="b">
        <f t="shared" si="45"/>
        <v>1</v>
      </c>
      <c r="D1432">
        <v>2</v>
      </c>
      <c r="E1432" t="s">
        <v>6</v>
      </c>
      <c r="F1432">
        <v>284</v>
      </c>
      <c r="G1432" s="3">
        <v>4978.2299999999996</v>
      </c>
      <c r="H1432" s="3">
        <f>Miami_Retail[[#This Row],[sales_usd]] / Miami_Retail[[#This Row],[customers]]</f>
        <v>17.528978873239435</v>
      </c>
      <c r="I1432">
        <v>81.400000000000006</v>
      </c>
      <c r="J1432">
        <f>(Miami_Retail[[#This Row],[avg_temp_f]]-32) * (5/9)</f>
        <v>27.44444444444445</v>
      </c>
      <c r="K1432">
        <v>0</v>
      </c>
      <c r="L1432">
        <v>0</v>
      </c>
      <c r="M1432">
        <v>57.2</v>
      </c>
      <c r="N1432">
        <v>47.6</v>
      </c>
      <c r="O1432">
        <v>52.4</v>
      </c>
      <c r="P1432">
        <v>50.4</v>
      </c>
      <c r="Q1432">
        <v>49.6</v>
      </c>
    </row>
    <row r="1433" spans="1:17" x14ac:dyDescent="0.25">
      <c r="A1433" s="2">
        <v>45627</v>
      </c>
      <c r="B1433" s="2" t="str">
        <f t="shared" si="44"/>
        <v>Sunday</v>
      </c>
      <c r="C1433" s="2" t="b">
        <f t="shared" si="45"/>
        <v>1</v>
      </c>
      <c r="D1433">
        <v>2</v>
      </c>
      <c r="E1433" t="s">
        <v>6</v>
      </c>
      <c r="F1433">
        <v>269</v>
      </c>
      <c r="G1433" s="3">
        <v>4082.95</v>
      </c>
      <c r="H1433" s="3">
        <f>Miami_Retail[[#This Row],[sales_usd]] / Miami_Retail[[#This Row],[customers]]</f>
        <v>15.178252788104089</v>
      </c>
      <c r="I1433">
        <v>80.5</v>
      </c>
      <c r="J1433">
        <f>(Miami_Retail[[#This Row],[avg_temp_f]]-32) * (5/9)</f>
        <v>26.944444444444446</v>
      </c>
      <c r="K1433">
        <v>0</v>
      </c>
      <c r="L1433">
        <v>0</v>
      </c>
      <c r="M1433">
        <v>57.8</v>
      </c>
      <c r="N1433">
        <v>48.5</v>
      </c>
      <c r="O1433">
        <v>51.5</v>
      </c>
      <c r="P1433">
        <v>50</v>
      </c>
      <c r="Q1433">
        <v>50</v>
      </c>
    </row>
    <row r="1434" spans="1:17" x14ac:dyDescent="0.25">
      <c r="A1434" s="2">
        <v>45628</v>
      </c>
      <c r="B1434" s="2" t="str">
        <f t="shared" si="44"/>
        <v>Monday</v>
      </c>
      <c r="C1434" s="2" t="b">
        <f t="shared" si="45"/>
        <v>0</v>
      </c>
      <c r="D1434">
        <v>2</v>
      </c>
      <c r="E1434" t="s">
        <v>6</v>
      </c>
      <c r="F1434">
        <v>243</v>
      </c>
      <c r="G1434" s="3">
        <v>4125.1400000000003</v>
      </c>
      <c r="H1434" s="3">
        <f>Miami_Retail[[#This Row],[sales_usd]] / Miami_Retail[[#This Row],[customers]]</f>
        <v>16.975884773662553</v>
      </c>
      <c r="I1434">
        <v>83.8</v>
      </c>
      <c r="J1434">
        <f>(Miami_Retail[[#This Row],[avg_temp_f]]-32) * (5/9)</f>
        <v>28.777777777777779</v>
      </c>
      <c r="K1434">
        <v>0</v>
      </c>
      <c r="L1434">
        <v>0</v>
      </c>
      <c r="M1434">
        <v>60.4</v>
      </c>
      <c r="N1434">
        <v>48</v>
      </c>
      <c r="O1434">
        <v>52</v>
      </c>
      <c r="P1434">
        <v>45.5</v>
      </c>
      <c r="Q1434">
        <v>54.5</v>
      </c>
    </row>
    <row r="1435" spans="1:17" x14ac:dyDescent="0.25">
      <c r="A1435" s="2">
        <v>45629</v>
      </c>
      <c r="B1435" s="2" t="str">
        <f t="shared" si="44"/>
        <v>Tuesday</v>
      </c>
      <c r="C1435" s="2" t="b">
        <f t="shared" si="45"/>
        <v>0</v>
      </c>
      <c r="D1435">
        <v>2</v>
      </c>
      <c r="E1435" t="s">
        <v>6</v>
      </c>
      <c r="F1435">
        <v>245</v>
      </c>
      <c r="G1435" s="3">
        <v>4087.05</v>
      </c>
      <c r="H1435" s="3">
        <f>Miami_Retail[[#This Row],[sales_usd]] / Miami_Retail[[#This Row],[customers]]</f>
        <v>16.681836734693878</v>
      </c>
      <c r="I1435">
        <v>82.8</v>
      </c>
      <c r="J1435">
        <f>(Miami_Retail[[#This Row],[avg_temp_f]]-32) * (5/9)</f>
        <v>28.222222222222221</v>
      </c>
      <c r="K1435">
        <v>0.22</v>
      </c>
      <c r="L1435">
        <v>1</v>
      </c>
      <c r="M1435">
        <v>68.400000000000006</v>
      </c>
      <c r="N1435">
        <v>45.8</v>
      </c>
      <c r="O1435">
        <v>54.2</v>
      </c>
      <c r="P1435">
        <v>43.3</v>
      </c>
      <c r="Q1435">
        <v>56.7</v>
      </c>
    </row>
    <row r="1436" spans="1:17" x14ac:dyDescent="0.25">
      <c r="A1436" s="2">
        <v>45630</v>
      </c>
      <c r="B1436" s="2" t="str">
        <f t="shared" si="44"/>
        <v>Wednesday</v>
      </c>
      <c r="C1436" s="2" t="b">
        <f t="shared" si="45"/>
        <v>0</v>
      </c>
      <c r="D1436">
        <v>2</v>
      </c>
      <c r="E1436" t="s">
        <v>6</v>
      </c>
      <c r="F1436">
        <v>217</v>
      </c>
      <c r="G1436" s="3">
        <v>3702.75</v>
      </c>
      <c r="H1436" s="3">
        <f>Miami_Retail[[#This Row],[sales_usd]] / Miami_Retail[[#This Row],[customers]]</f>
        <v>17.063364055299541</v>
      </c>
      <c r="I1436">
        <v>83.7</v>
      </c>
      <c r="J1436">
        <f>(Miami_Retail[[#This Row],[avg_temp_f]]-32) * (5/9)</f>
        <v>28.722222222222225</v>
      </c>
      <c r="K1436">
        <v>1.73</v>
      </c>
      <c r="L1436">
        <v>1</v>
      </c>
      <c r="M1436">
        <v>50</v>
      </c>
      <c r="N1436">
        <v>48.4</v>
      </c>
      <c r="O1436">
        <v>51.6</v>
      </c>
      <c r="P1436">
        <v>44.9</v>
      </c>
      <c r="Q1436">
        <v>55.1</v>
      </c>
    </row>
    <row r="1437" spans="1:17" x14ac:dyDescent="0.25">
      <c r="A1437" s="2">
        <v>45631</v>
      </c>
      <c r="B1437" s="2" t="str">
        <f t="shared" si="44"/>
        <v>Thursday</v>
      </c>
      <c r="C1437" s="2" t="b">
        <f t="shared" si="45"/>
        <v>0</v>
      </c>
      <c r="D1437">
        <v>2</v>
      </c>
      <c r="E1437" t="s">
        <v>6</v>
      </c>
      <c r="F1437">
        <v>223</v>
      </c>
      <c r="G1437" s="3">
        <v>3786.1</v>
      </c>
      <c r="H1437" s="3">
        <f>Miami_Retail[[#This Row],[sales_usd]] / Miami_Retail[[#This Row],[customers]]</f>
        <v>16.978026905829594</v>
      </c>
      <c r="I1437">
        <v>77.5</v>
      </c>
      <c r="J1437">
        <f>(Miami_Retail[[#This Row],[avg_temp_f]]-32) * (5/9)</f>
        <v>25.277777777777779</v>
      </c>
      <c r="K1437">
        <v>0</v>
      </c>
      <c r="L1437">
        <v>0</v>
      </c>
      <c r="M1437">
        <v>56.5</v>
      </c>
      <c r="N1437">
        <v>48.5</v>
      </c>
      <c r="O1437">
        <v>51.5</v>
      </c>
      <c r="P1437">
        <v>44.7</v>
      </c>
      <c r="Q1437">
        <v>55.3</v>
      </c>
    </row>
    <row r="1438" spans="1:17" x14ac:dyDescent="0.25">
      <c r="A1438" s="2">
        <v>45632</v>
      </c>
      <c r="B1438" s="2" t="str">
        <f t="shared" si="44"/>
        <v>Friday</v>
      </c>
      <c r="C1438" s="2" t="b">
        <f t="shared" si="45"/>
        <v>0</v>
      </c>
      <c r="D1438">
        <v>2</v>
      </c>
      <c r="E1438" t="s">
        <v>6</v>
      </c>
      <c r="F1438">
        <v>224</v>
      </c>
      <c r="G1438" s="3">
        <v>3924.62</v>
      </c>
      <c r="H1438" s="3">
        <f>Miami_Retail[[#This Row],[sales_usd]] / Miami_Retail[[#This Row],[customers]]</f>
        <v>17.520624999999999</v>
      </c>
      <c r="I1438">
        <v>79.900000000000006</v>
      </c>
      <c r="J1438">
        <f>(Miami_Retail[[#This Row],[avg_temp_f]]-32) * (5/9)</f>
        <v>26.611111111111114</v>
      </c>
      <c r="K1438">
        <v>0.02</v>
      </c>
      <c r="L1438">
        <v>1</v>
      </c>
      <c r="M1438">
        <v>56.4</v>
      </c>
      <c r="N1438">
        <v>47</v>
      </c>
      <c r="O1438">
        <v>53</v>
      </c>
      <c r="P1438">
        <v>44.4</v>
      </c>
      <c r="Q1438">
        <v>55.6</v>
      </c>
    </row>
    <row r="1439" spans="1:17" x14ac:dyDescent="0.25">
      <c r="A1439" s="2">
        <v>45633</v>
      </c>
      <c r="B1439" s="2" t="str">
        <f t="shared" si="44"/>
        <v>Saturday</v>
      </c>
      <c r="C1439" s="2" t="b">
        <f t="shared" si="45"/>
        <v>1</v>
      </c>
      <c r="D1439">
        <v>2</v>
      </c>
      <c r="E1439" t="s">
        <v>6</v>
      </c>
      <c r="F1439">
        <v>222</v>
      </c>
      <c r="G1439" s="3">
        <v>3678.16</v>
      </c>
      <c r="H1439" s="3">
        <f>Miami_Retail[[#This Row],[sales_usd]] / Miami_Retail[[#This Row],[customers]]</f>
        <v>16.568288288288286</v>
      </c>
      <c r="I1439">
        <v>74.599999999999994</v>
      </c>
      <c r="J1439">
        <f>(Miami_Retail[[#This Row],[avg_temp_f]]-32) * (5/9)</f>
        <v>23.666666666666664</v>
      </c>
      <c r="K1439">
        <v>0.86</v>
      </c>
      <c r="L1439">
        <v>1</v>
      </c>
      <c r="M1439">
        <v>52</v>
      </c>
      <c r="N1439">
        <v>47.1</v>
      </c>
      <c r="O1439">
        <v>52.9</v>
      </c>
      <c r="P1439">
        <v>50.3</v>
      </c>
      <c r="Q1439">
        <v>49.7</v>
      </c>
    </row>
    <row r="1440" spans="1:17" x14ac:dyDescent="0.25">
      <c r="A1440" s="2">
        <v>45634</v>
      </c>
      <c r="B1440" s="2" t="str">
        <f t="shared" si="44"/>
        <v>Sunday</v>
      </c>
      <c r="C1440" s="2" t="b">
        <f t="shared" si="45"/>
        <v>1</v>
      </c>
      <c r="D1440">
        <v>2</v>
      </c>
      <c r="E1440" t="s">
        <v>6</v>
      </c>
      <c r="F1440">
        <v>236</v>
      </c>
      <c r="G1440" s="3">
        <v>4235.0200000000004</v>
      </c>
      <c r="H1440" s="3">
        <f>Miami_Retail[[#This Row],[sales_usd]] / Miami_Retail[[#This Row],[customers]]</f>
        <v>17.945</v>
      </c>
      <c r="I1440">
        <v>73.2</v>
      </c>
      <c r="J1440">
        <f>(Miami_Retail[[#This Row],[avg_temp_f]]-32) * (5/9)</f>
        <v>22.888888888888893</v>
      </c>
      <c r="K1440">
        <v>0</v>
      </c>
      <c r="L1440">
        <v>0</v>
      </c>
      <c r="M1440">
        <v>57.6</v>
      </c>
      <c r="N1440">
        <v>48</v>
      </c>
      <c r="O1440">
        <v>52</v>
      </c>
      <c r="P1440">
        <v>52.5</v>
      </c>
      <c r="Q1440">
        <v>47.5</v>
      </c>
    </row>
    <row r="1441" spans="1:17" x14ac:dyDescent="0.25">
      <c r="A1441" s="2">
        <v>45635</v>
      </c>
      <c r="B1441" s="2" t="str">
        <f t="shared" si="44"/>
        <v>Monday</v>
      </c>
      <c r="C1441" s="2" t="b">
        <f t="shared" si="45"/>
        <v>0</v>
      </c>
      <c r="D1441">
        <v>2</v>
      </c>
      <c r="E1441" t="s">
        <v>6</v>
      </c>
      <c r="F1441">
        <v>253</v>
      </c>
      <c r="G1441" s="3">
        <v>4271.6899999999996</v>
      </c>
      <c r="H1441" s="3">
        <f>Miami_Retail[[#This Row],[sales_usd]] / Miami_Retail[[#This Row],[customers]]</f>
        <v>16.884150197628458</v>
      </c>
      <c r="I1441">
        <v>83.7</v>
      </c>
      <c r="J1441">
        <f>(Miami_Retail[[#This Row],[avg_temp_f]]-32) * (5/9)</f>
        <v>28.722222222222225</v>
      </c>
      <c r="K1441">
        <v>0</v>
      </c>
      <c r="L1441">
        <v>0</v>
      </c>
      <c r="M1441">
        <v>56.6</v>
      </c>
      <c r="N1441">
        <v>48.7</v>
      </c>
      <c r="O1441">
        <v>51.3</v>
      </c>
      <c r="P1441">
        <v>43.9</v>
      </c>
      <c r="Q1441">
        <v>56.1</v>
      </c>
    </row>
    <row r="1442" spans="1:17" x14ac:dyDescent="0.25">
      <c r="A1442" s="2">
        <v>45636</v>
      </c>
      <c r="B1442" s="2" t="str">
        <f t="shared" si="44"/>
        <v>Tuesday</v>
      </c>
      <c r="C1442" s="2" t="b">
        <f t="shared" si="45"/>
        <v>0</v>
      </c>
      <c r="D1442">
        <v>2</v>
      </c>
      <c r="E1442" t="s">
        <v>6</v>
      </c>
      <c r="F1442">
        <v>210</v>
      </c>
      <c r="G1442" s="3">
        <v>3527.59</v>
      </c>
      <c r="H1442" s="3">
        <f>Miami_Retail[[#This Row],[sales_usd]] / Miami_Retail[[#This Row],[customers]]</f>
        <v>16.798047619047619</v>
      </c>
      <c r="I1442">
        <v>74.7</v>
      </c>
      <c r="J1442">
        <f>(Miami_Retail[[#This Row],[avg_temp_f]]-32) * (5/9)</f>
        <v>23.722222222222225</v>
      </c>
      <c r="K1442">
        <v>0</v>
      </c>
      <c r="L1442">
        <v>0</v>
      </c>
      <c r="M1442">
        <v>59.1</v>
      </c>
      <c r="N1442">
        <v>47.4</v>
      </c>
      <c r="O1442">
        <v>52.6</v>
      </c>
      <c r="P1442">
        <v>45.6</v>
      </c>
      <c r="Q1442">
        <v>54.4</v>
      </c>
    </row>
    <row r="1443" spans="1:17" x14ac:dyDescent="0.25">
      <c r="A1443" s="2">
        <v>45637</v>
      </c>
      <c r="B1443" s="2" t="str">
        <f t="shared" si="44"/>
        <v>Wednesday</v>
      </c>
      <c r="C1443" s="2" t="b">
        <f t="shared" si="45"/>
        <v>0</v>
      </c>
      <c r="D1443">
        <v>2</v>
      </c>
      <c r="E1443" t="s">
        <v>6</v>
      </c>
      <c r="F1443">
        <v>251</v>
      </c>
      <c r="G1443" s="3">
        <v>4344.4399999999996</v>
      </c>
      <c r="H1443" s="3">
        <f>Miami_Retail[[#This Row],[sales_usd]] / Miami_Retail[[#This Row],[customers]]</f>
        <v>17.308525896414341</v>
      </c>
      <c r="I1443">
        <v>78.900000000000006</v>
      </c>
      <c r="J1443">
        <f>(Miami_Retail[[#This Row],[avg_temp_f]]-32) * (5/9)</f>
        <v>26.055555555555561</v>
      </c>
      <c r="K1443">
        <v>0</v>
      </c>
      <c r="L1443">
        <v>0</v>
      </c>
      <c r="M1443">
        <v>49.3</v>
      </c>
      <c r="N1443">
        <v>48.8</v>
      </c>
      <c r="O1443">
        <v>51.2</v>
      </c>
      <c r="P1443">
        <v>42.4</v>
      </c>
      <c r="Q1443">
        <v>57.6</v>
      </c>
    </row>
    <row r="1444" spans="1:17" x14ac:dyDescent="0.25">
      <c r="A1444" s="2">
        <v>45638</v>
      </c>
      <c r="B1444" s="2" t="str">
        <f t="shared" si="44"/>
        <v>Thursday</v>
      </c>
      <c r="C1444" s="2" t="b">
        <f t="shared" si="45"/>
        <v>0</v>
      </c>
      <c r="D1444">
        <v>2</v>
      </c>
      <c r="E1444" t="s">
        <v>6</v>
      </c>
      <c r="F1444">
        <v>214</v>
      </c>
      <c r="G1444" s="3">
        <v>3429.5</v>
      </c>
      <c r="H1444" s="3">
        <f>Miami_Retail[[#This Row],[sales_usd]] / Miami_Retail[[#This Row],[customers]]</f>
        <v>16.02570093457944</v>
      </c>
      <c r="I1444">
        <v>75.7</v>
      </c>
      <c r="J1444">
        <f>(Miami_Retail[[#This Row],[avg_temp_f]]-32) * (5/9)</f>
        <v>24.277777777777782</v>
      </c>
      <c r="K1444">
        <v>0</v>
      </c>
      <c r="L1444">
        <v>0</v>
      </c>
      <c r="M1444">
        <v>56.8</v>
      </c>
      <c r="N1444">
        <v>49.4</v>
      </c>
      <c r="O1444">
        <v>50.6</v>
      </c>
      <c r="P1444">
        <v>45.7</v>
      </c>
      <c r="Q1444">
        <v>54.3</v>
      </c>
    </row>
    <row r="1445" spans="1:17" x14ac:dyDescent="0.25">
      <c r="A1445" s="2">
        <v>45639</v>
      </c>
      <c r="B1445" s="2" t="str">
        <f t="shared" si="44"/>
        <v>Friday</v>
      </c>
      <c r="C1445" s="2" t="b">
        <f t="shared" si="45"/>
        <v>0</v>
      </c>
      <c r="D1445">
        <v>2</v>
      </c>
      <c r="E1445" t="s">
        <v>6</v>
      </c>
      <c r="F1445">
        <v>206</v>
      </c>
      <c r="G1445" s="3">
        <v>3684</v>
      </c>
      <c r="H1445" s="3">
        <f>Miami_Retail[[#This Row],[sales_usd]] / Miami_Retail[[#This Row],[customers]]</f>
        <v>17.883495145631066</v>
      </c>
      <c r="I1445">
        <v>72.099999999999994</v>
      </c>
      <c r="J1445">
        <f>(Miami_Retail[[#This Row],[avg_temp_f]]-32) * (5/9)</f>
        <v>22.277777777777775</v>
      </c>
      <c r="K1445">
        <v>0</v>
      </c>
      <c r="L1445">
        <v>0</v>
      </c>
      <c r="M1445">
        <v>54.4</v>
      </c>
      <c r="N1445">
        <v>49.7</v>
      </c>
      <c r="O1445">
        <v>50.3</v>
      </c>
      <c r="P1445">
        <v>46</v>
      </c>
      <c r="Q1445">
        <v>54</v>
      </c>
    </row>
    <row r="1446" spans="1:17" x14ac:dyDescent="0.25">
      <c r="A1446" s="2">
        <v>45640</v>
      </c>
      <c r="B1446" s="2" t="str">
        <f t="shared" si="44"/>
        <v>Saturday</v>
      </c>
      <c r="C1446" s="2" t="b">
        <f t="shared" si="45"/>
        <v>1</v>
      </c>
      <c r="D1446">
        <v>2</v>
      </c>
      <c r="E1446" t="s">
        <v>6</v>
      </c>
      <c r="F1446">
        <v>256</v>
      </c>
      <c r="G1446" s="3">
        <v>4713.03</v>
      </c>
      <c r="H1446" s="3">
        <f>Miami_Retail[[#This Row],[sales_usd]] / Miami_Retail[[#This Row],[customers]]</f>
        <v>18.410273437499999</v>
      </c>
      <c r="I1446">
        <v>79</v>
      </c>
      <c r="J1446">
        <f>(Miami_Retail[[#This Row],[avg_temp_f]]-32) * (5/9)</f>
        <v>26.111111111111111</v>
      </c>
      <c r="K1446">
        <v>0</v>
      </c>
      <c r="L1446">
        <v>0</v>
      </c>
      <c r="M1446">
        <v>55.3</v>
      </c>
      <c r="N1446">
        <v>48.9</v>
      </c>
      <c r="O1446">
        <v>51.1</v>
      </c>
      <c r="P1446">
        <v>50.4</v>
      </c>
      <c r="Q1446">
        <v>49.6</v>
      </c>
    </row>
    <row r="1447" spans="1:17" x14ac:dyDescent="0.25">
      <c r="A1447" s="2">
        <v>45641</v>
      </c>
      <c r="B1447" s="2" t="str">
        <f t="shared" si="44"/>
        <v>Sunday</v>
      </c>
      <c r="C1447" s="2" t="b">
        <f t="shared" si="45"/>
        <v>1</v>
      </c>
      <c r="D1447">
        <v>2</v>
      </c>
      <c r="E1447" t="s">
        <v>6</v>
      </c>
      <c r="F1447">
        <v>184</v>
      </c>
      <c r="G1447" s="3">
        <v>3263.32</v>
      </c>
      <c r="H1447" s="3">
        <f>Miami_Retail[[#This Row],[sales_usd]] / Miami_Retail[[#This Row],[customers]]</f>
        <v>17.735434782608696</v>
      </c>
      <c r="I1447">
        <v>78.5</v>
      </c>
      <c r="J1447">
        <f>(Miami_Retail[[#This Row],[avg_temp_f]]-32) * (5/9)</f>
        <v>25.833333333333336</v>
      </c>
      <c r="K1447">
        <v>1.52</v>
      </c>
      <c r="L1447">
        <v>1</v>
      </c>
      <c r="M1447">
        <v>49</v>
      </c>
      <c r="N1447">
        <v>47.8</v>
      </c>
      <c r="O1447">
        <v>52.2</v>
      </c>
      <c r="P1447">
        <v>49.3</v>
      </c>
      <c r="Q1447">
        <v>50.7</v>
      </c>
    </row>
    <row r="1448" spans="1:17" x14ac:dyDescent="0.25">
      <c r="A1448" s="2">
        <v>45642</v>
      </c>
      <c r="B1448" s="2" t="str">
        <f t="shared" si="44"/>
        <v>Monday</v>
      </c>
      <c r="C1448" s="2" t="b">
        <f t="shared" si="45"/>
        <v>0</v>
      </c>
      <c r="D1448">
        <v>2</v>
      </c>
      <c r="E1448" t="s">
        <v>6</v>
      </c>
      <c r="F1448">
        <v>235</v>
      </c>
      <c r="G1448" s="3">
        <v>3722.66</v>
      </c>
      <c r="H1448" s="3">
        <f>Miami_Retail[[#This Row],[sales_usd]] / Miami_Retail[[#This Row],[customers]]</f>
        <v>15.841106382978722</v>
      </c>
      <c r="I1448">
        <v>78.8</v>
      </c>
      <c r="J1448">
        <f>(Miami_Retail[[#This Row],[avg_temp_f]]-32) * (5/9)</f>
        <v>26</v>
      </c>
      <c r="K1448">
        <v>0</v>
      </c>
      <c r="L1448">
        <v>0</v>
      </c>
      <c r="M1448">
        <v>59.7</v>
      </c>
      <c r="N1448">
        <v>47.8</v>
      </c>
      <c r="O1448">
        <v>52.2</v>
      </c>
      <c r="P1448">
        <v>44.3</v>
      </c>
      <c r="Q1448">
        <v>55.7</v>
      </c>
    </row>
    <row r="1449" spans="1:17" x14ac:dyDescent="0.25">
      <c r="A1449" s="2">
        <v>45643</v>
      </c>
      <c r="B1449" s="2" t="str">
        <f t="shared" si="44"/>
        <v>Tuesday</v>
      </c>
      <c r="C1449" s="2" t="b">
        <f t="shared" si="45"/>
        <v>0</v>
      </c>
      <c r="D1449">
        <v>2</v>
      </c>
      <c r="E1449" t="s">
        <v>6</v>
      </c>
      <c r="F1449">
        <v>221</v>
      </c>
      <c r="G1449" s="3">
        <v>3760.36</v>
      </c>
      <c r="H1449" s="3">
        <f>Miami_Retail[[#This Row],[sales_usd]] / Miami_Retail[[#This Row],[customers]]</f>
        <v>17.015203619909503</v>
      </c>
      <c r="I1449">
        <v>77</v>
      </c>
      <c r="J1449">
        <f>(Miami_Retail[[#This Row],[avg_temp_f]]-32) * (5/9)</f>
        <v>25</v>
      </c>
      <c r="K1449">
        <v>1.75</v>
      </c>
      <c r="L1449">
        <v>1</v>
      </c>
      <c r="M1449">
        <v>47.3</v>
      </c>
      <c r="N1449">
        <v>47.7</v>
      </c>
      <c r="O1449">
        <v>52.3</v>
      </c>
      <c r="P1449">
        <v>41.3</v>
      </c>
      <c r="Q1449">
        <v>58.7</v>
      </c>
    </row>
    <row r="1450" spans="1:17" x14ac:dyDescent="0.25">
      <c r="A1450" s="2">
        <v>45644</v>
      </c>
      <c r="B1450" s="2" t="str">
        <f t="shared" si="44"/>
        <v>Wednesday</v>
      </c>
      <c r="C1450" s="2" t="b">
        <f t="shared" si="45"/>
        <v>0</v>
      </c>
      <c r="D1450">
        <v>2</v>
      </c>
      <c r="E1450" t="s">
        <v>6</v>
      </c>
      <c r="F1450">
        <v>218</v>
      </c>
      <c r="G1450" s="3">
        <v>3589.68</v>
      </c>
      <c r="H1450" s="3">
        <f>Miami_Retail[[#This Row],[sales_usd]] / Miami_Retail[[#This Row],[customers]]</f>
        <v>16.466422018348624</v>
      </c>
      <c r="I1450">
        <v>76.400000000000006</v>
      </c>
      <c r="J1450">
        <f>(Miami_Retail[[#This Row],[avg_temp_f]]-32) * (5/9)</f>
        <v>24.666666666666671</v>
      </c>
      <c r="K1450">
        <v>2.21</v>
      </c>
      <c r="L1450">
        <v>1</v>
      </c>
      <c r="M1450">
        <v>47</v>
      </c>
      <c r="N1450">
        <v>50.5</v>
      </c>
      <c r="O1450">
        <v>49.5</v>
      </c>
      <c r="P1450">
        <v>46.5</v>
      </c>
      <c r="Q1450">
        <v>53.5</v>
      </c>
    </row>
    <row r="1451" spans="1:17" x14ac:dyDescent="0.25">
      <c r="A1451" s="2">
        <v>45645</v>
      </c>
      <c r="B1451" s="2" t="str">
        <f t="shared" si="44"/>
        <v>Thursday</v>
      </c>
      <c r="C1451" s="2" t="b">
        <f t="shared" si="45"/>
        <v>0</v>
      </c>
      <c r="D1451">
        <v>2</v>
      </c>
      <c r="E1451" t="s">
        <v>6</v>
      </c>
      <c r="F1451">
        <v>208</v>
      </c>
      <c r="G1451" s="3">
        <v>3671.03</v>
      </c>
      <c r="H1451" s="3">
        <f>Miami_Retail[[#This Row],[sales_usd]] / Miami_Retail[[#This Row],[customers]]</f>
        <v>17.649182692307694</v>
      </c>
      <c r="I1451">
        <v>73.8</v>
      </c>
      <c r="J1451">
        <f>(Miami_Retail[[#This Row],[avg_temp_f]]-32) * (5/9)</f>
        <v>23.222222222222221</v>
      </c>
      <c r="K1451">
        <v>0</v>
      </c>
      <c r="L1451">
        <v>0</v>
      </c>
      <c r="M1451">
        <v>49</v>
      </c>
      <c r="N1451">
        <v>49.1</v>
      </c>
      <c r="O1451">
        <v>50.9</v>
      </c>
      <c r="P1451">
        <v>43</v>
      </c>
      <c r="Q1451">
        <v>57</v>
      </c>
    </row>
    <row r="1452" spans="1:17" x14ac:dyDescent="0.25">
      <c r="A1452" s="2">
        <v>45646</v>
      </c>
      <c r="B1452" s="2" t="str">
        <f t="shared" si="44"/>
        <v>Friday</v>
      </c>
      <c r="C1452" s="2" t="b">
        <f t="shared" si="45"/>
        <v>0</v>
      </c>
      <c r="D1452">
        <v>2</v>
      </c>
      <c r="E1452" t="s">
        <v>6</v>
      </c>
      <c r="F1452">
        <v>251</v>
      </c>
      <c r="G1452" s="3">
        <v>4099.95</v>
      </c>
      <c r="H1452" s="3">
        <f>Miami_Retail[[#This Row],[sales_usd]] / Miami_Retail[[#This Row],[customers]]</f>
        <v>16.334462151394423</v>
      </c>
      <c r="I1452">
        <v>73.5</v>
      </c>
      <c r="J1452">
        <f>(Miami_Retail[[#This Row],[avg_temp_f]]-32) * (5/9)</f>
        <v>23.055555555555557</v>
      </c>
      <c r="K1452">
        <v>0</v>
      </c>
      <c r="L1452">
        <v>0</v>
      </c>
      <c r="M1452">
        <v>55.1</v>
      </c>
      <c r="N1452">
        <v>46.1</v>
      </c>
      <c r="O1452">
        <v>53.9</v>
      </c>
      <c r="P1452">
        <v>44.4</v>
      </c>
      <c r="Q1452">
        <v>55.6</v>
      </c>
    </row>
    <row r="1453" spans="1:17" x14ac:dyDescent="0.25">
      <c r="A1453" s="2">
        <v>45647</v>
      </c>
      <c r="B1453" s="2" t="str">
        <f t="shared" si="44"/>
        <v>Saturday</v>
      </c>
      <c r="C1453" s="2" t="b">
        <f t="shared" si="45"/>
        <v>1</v>
      </c>
      <c r="D1453">
        <v>2</v>
      </c>
      <c r="E1453" t="s">
        <v>6</v>
      </c>
      <c r="F1453">
        <v>269</v>
      </c>
      <c r="G1453" s="3">
        <v>4701.3500000000004</v>
      </c>
      <c r="H1453" s="3">
        <f>Miami_Retail[[#This Row],[sales_usd]] / Miami_Retail[[#This Row],[customers]]</f>
        <v>17.477137546468402</v>
      </c>
      <c r="I1453">
        <v>76.7</v>
      </c>
      <c r="J1453">
        <f>(Miami_Retail[[#This Row],[avg_temp_f]]-32) * (5/9)</f>
        <v>24.833333333333336</v>
      </c>
      <c r="K1453">
        <v>0</v>
      </c>
      <c r="L1453">
        <v>0</v>
      </c>
      <c r="M1453">
        <v>50.8</v>
      </c>
      <c r="N1453">
        <v>49.7</v>
      </c>
      <c r="O1453">
        <v>50.3</v>
      </c>
      <c r="P1453">
        <v>51.9</v>
      </c>
      <c r="Q1453">
        <v>48.1</v>
      </c>
    </row>
    <row r="1454" spans="1:17" x14ac:dyDescent="0.25">
      <c r="A1454" s="2">
        <v>45648</v>
      </c>
      <c r="B1454" s="2" t="str">
        <f t="shared" si="44"/>
        <v>Sunday</v>
      </c>
      <c r="C1454" s="2" t="b">
        <f t="shared" si="45"/>
        <v>1</v>
      </c>
      <c r="D1454">
        <v>2</v>
      </c>
      <c r="E1454" t="s">
        <v>6</v>
      </c>
      <c r="F1454">
        <v>288</v>
      </c>
      <c r="G1454" s="3">
        <v>4911.95</v>
      </c>
      <c r="H1454" s="3">
        <f>Miami_Retail[[#This Row],[sales_usd]] / Miami_Retail[[#This Row],[customers]]</f>
        <v>17.055381944444445</v>
      </c>
      <c r="I1454">
        <v>77.900000000000006</v>
      </c>
      <c r="J1454">
        <f>(Miami_Retail[[#This Row],[avg_temp_f]]-32) * (5/9)</f>
        <v>25.500000000000004</v>
      </c>
      <c r="K1454">
        <v>0</v>
      </c>
      <c r="L1454">
        <v>0</v>
      </c>
      <c r="M1454">
        <v>53.3</v>
      </c>
      <c r="N1454">
        <v>48.3</v>
      </c>
      <c r="O1454">
        <v>51.7</v>
      </c>
      <c r="P1454">
        <v>49</v>
      </c>
      <c r="Q1454">
        <v>51</v>
      </c>
    </row>
    <row r="1455" spans="1:17" x14ac:dyDescent="0.25">
      <c r="A1455" s="2">
        <v>45649</v>
      </c>
      <c r="B1455" s="2" t="str">
        <f t="shared" si="44"/>
        <v>Monday</v>
      </c>
      <c r="C1455" s="2" t="b">
        <f t="shared" si="45"/>
        <v>0</v>
      </c>
      <c r="D1455">
        <v>2</v>
      </c>
      <c r="E1455" t="s">
        <v>6</v>
      </c>
      <c r="F1455">
        <v>227</v>
      </c>
      <c r="G1455" s="3">
        <v>3661.58</v>
      </c>
      <c r="H1455" s="3">
        <f>Miami_Retail[[#This Row],[sales_usd]] / Miami_Retail[[#This Row],[customers]]</f>
        <v>16.130308370044052</v>
      </c>
      <c r="I1455">
        <v>74.400000000000006</v>
      </c>
      <c r="J1455">
        <f>(Miami_Retail[[#This Row],[avg_temp_f]]-32) * (5/9)</f>
        <v>23.555555555555561</v>
      </c>
      <c r="K1455">
        <v>0</v>
      </c>
      <c r="L1455">
        <v>0</v>
      </c>
      <c r="M1455">
        <v>49.2</v>
      </c>
      <c r="N1455">
        <v>48.5</v>
      </c>
      <c r="O1455">
        <v>51.5</v>
      </c>
      <c r="P1455">
        <v>44.8</v>
      </c>
      <c r="Q1455">
        <v>55.2</v>
      </c>
    </row>
    <row r="1456" spans="1:17" x14ac:dyDescent="0.25">
      <c r="A1456" s="2">
        <v>45650</v>
      </c>
      <c r="B1456" s="2" t="str">
        <f t="shared" si="44"/>
        <v>Tuesday</v>
      </c>
      <c r="C1456" s="2" t="b">
        <f t="shared" si="45"/>
        <v>0</v>
      </c>
      <c r="D1456">
        <v>2</v>
      </c>
      <c r="E1456" t="s">
        <v>6</v>
      </c>
      <c r="F1456">
        <v>255</v>
      </c>
      <c r="G1456" s="3">
        <v>3818.56</v>
      </c>
      <c r="H1456" s="3">
        <f>Miami_Retail[[#This Row],[sales_usd]] / Miami_Retail[[#This Row],[customers]]</f>
        <v>14.974745098039216</v>
      </c>
      <c r="I1456">
        <v>77.7</v>
      </c>
      <c r="J1456">
        <f>(Miami_Retail[[#This Row],[avg_temp_f]]-32) * (5/9)</f>
        <v>25.388888888888893</v>
      </c>
      <c r="K1456">
        <v>0</v>
      </c>
      <c r="L1456">
        <v>0</v>
      </c>
      <c r="M1456">
        <v>47.7</v>
      </c>
      <c r="N1456">
        <v>49.3</v>
      </c>
      <c r="O1456">
        <v>50.7</v>
      </c>
      <c r="P1456">
        <v>43.8</v>
      </c>
      <c r="Q1456">
        <v>56.2</v>
      </c>
    </row>
    <row r="1457" spans="1:17" x14ac:dyDescent="0.25">
      <c r="A1457" s="2">
        <v>45651</v>
      </c>
      <c r="B1457" s="2" t="str">
        <f t="shared" si="44"/>
        <v>Wednesday</v>
      </c>
      <c r="C1457" s="2" t="b">
        <f t="shared" si="45"/>
        <v>0</v>
      </c>
      <c r="D1457">
        <v>2</v>
      </c>
      <c r="E1457" t="s">
        <v>6</v>
      </c>
      <c r="F1457">
        <v>207</v>
      </c>
      <c r="G1457" s="3">
        <v>3706.03</v>
      </c>
      <c r="H1457" s="3">
        <f>Miami_Retail[[#This Row],[sales_usd]] / Miami_Retail[[#This Row],[customers]]</f>
        <v>17.90352657004831</v>
      </c>
      <c r="I1457">
        <v>76.099999999999994</v>
      </c>
      <c r="J1457">
        <f>(Miami_Retail[[#This Row],[avg_temp_f]]-32) * (5/9)</f>
        <v>24.499999999999996</v>
      </c>
      <c r="K1457">
        <v>0.67</v>
      </c>
      <c r="L1457">
        <v>1</v>
      </c>
      <c r="M1457">
        <v>53.5</v>
      </c>
      <c r="N1457">
        <v>49.7</v>
      </c>
      <c r="O1457">
        <v>50.3</v>
      </c>
      <c r="P1457">
        <v>44.5</v>
      </c>
      <c r="Q1457">
        <v>55.5</v>
      </c>
    </row>
    <row r="1458" spans="1:17" x14ac:dyDescent="0.25">
      <c r="A1458" s="2">
        <v>45652</v>
      </c>
      <c r="B1458" s="2" t="str">
        <f t="shared" si="44"/>
        <v>Thursday</v>
      </c>
      <c r="C1458" s="2" t="b">
        <f t="shared" si="45"/>
        <v>0</v>
      </c>
      <c r="D1458">
        <v>2</v>
      </c>
      <c r="E1458" t="s">
        <v>6</v>
      </c>
      <c r="F1458">
        <v>246</v>
      </c>
      <c r="G1458" s="3">
        <v>4190.17</v>
      </c>
      <c r="H1458" s="3">
        <f>Miami_Retail[[#This Row],[sales_usd]] / Miami_Retail[[#This Row],[customers]]</f>
        <v>17.033211382113823</v>
      </c>
      <c r="I1458">
        <v>79.099999999999994</v>
      </c>
      <c r="J1458">
        <f>(Miami_Retail[[#This Row],[avg_temp_f]]-32) * (5/9)</f>
        <v>26.166666666666664</v>
      </c>
      <c r="K1458">
        <v>0</v>
      </c>
      <c r="L1458">
        <v>0</v>
      </c>
      <c r="M1458">
        <v>35</v>
      </c>
      <c r="N1458">
        <v>50.3</v>
      </c>
      <c r="O1458">
        <v>49.7</v>
      </c>
      <c r="P1458">
        <v>44.2</v>
      </c>
      <c r="Q1458">
        <v>55.8</v>
      </c>
    </row>
    <row r="1459" spans="1:17" x14ac:dyDescent="0.25">
      <c r="A1459" s="2">
        <v>45653</v>
      </c>
      <c r="B1459" s="2" t="str">
        <f t="shared" si="44"/>
        <v>Friday</v>
      </c>
      <c r="C1459" s="2" t="b">
        <f t="shared" si="45"/>
        <v>0</v>
      </c>
      <c r="D1459">
        <v>2</v>
      </c>
      <c r="E1459" t="s">
        <v>6</v>
      </c>
      <c r="F1459">
        <v>251</v>
      </c>
      <c r="G1459" s="3">
        <v>4195.8500000000004</v>
      </c>
      <c r="H1459" s="3">
        <f>Miami_Retail[[#This Row],[sales_usd]] / Miami_Retail[[#This Row],[customers]]</f>
        <v>16.716533864541834</v>
      </c>
      <c r="I1459">
        <v>82.2</v>
      </c>
      <c r="J1459">
        <f>(Miami_Retail[[#This Row],[avg_temp_f]]-32) * (5/9)</f>
        <v>27.888888888888893</v>
      </c>
      <c r="K1459">
        <v>0</v>
      </c>
      <c r="L1459">
        <v>0</v>
      </c>
      <c r="M1459">
        <v>51.6</v>
      </c>
      <c r="N1459">
        <v>48.5</v>
      </c>
      <c r="O1459">
        <v>51.5</v>
      </c>
      <c r="P1459">
        <v>44.5</v>
      </c>
      <c r="Q1459">
        <v>55.5</v>
      </c>
    </row>
    <row r="1460" spans="1:17" x14ac:dyDescent="0.25">
      <c r="A1460" s="2">
        <v>45654</v>
      </c>
      <c r="B1460" s="2" t="str">
        <f t="shared" si="44"/>
        <v>Saturday</v>
      </c>
      <c r="C1460" s="2" t="b">
        <f t="shared" si="45"/>
        <v>1</v>
      </c>
      <c r="D1460">
        <v>2</v>
      </c>
      <c r="E1460" t="s">
        <v>6</v>
      </c>
      <c r="F1460">
        <v>225</v>
      </c>
      <c r="G1460" s="3">
        <v>4027.96</v>
      </c>
      <c r="H1460" s="3">
        <f>Miami_Retail[[#This Row],[sales_usd]] / Miami_Retail[[#This Row],[customers]]</f>
        <v>17.902044444444446</v>
      </c>
      <c r="I1460">
        <v>78.5</v>
      </c>
      <c r="J1460">
        <f>(Miami_Retail[[#This Row],[avg_temp_f]]-32) * (5/9)</f>
        <v>25.833333333333336</v>
      </c>
      <c r="K1460">
        <v>1.83</v>
      </c>
      <c r="L1460">
        <v>1</v>
      </c>
      <c r="M1460">
        <v>43.6</v>
      </c>
      <c r="N1460">
        <v>48.2</v>
      </c>
      <c r="O1460">
        <v>51.8</v>
      </c>
      <c r="P1460">
        <v>51.9</v>
      </c>
      <c r="Q1460">
        <v>48.1</v>
      </c>
    </row>
    <row r="1461" spans="1:17" x14ac:dyDescent="0.25">
      <c r="A1461" s="2">
        <v>45655</v>
      </c>
      <c r="B1461" s="2" t="str">
        <f t="shared" si="44"/>
        <v>Sunday</v>
      </c>
      <c r="C1461" s="2" t="b">
        <f t="shared" si="45"/>
        <v>1</v>
      </c>
      <c r="D1461">
        <v>2</v>
      </c>
      <c r="E1461" t="s">
        <v>6</v>
      </c>
      <c r="F1461">
        <v>210</v>
      </c>
      <c r="G1461" s="3">
        <v>3616.46</v>
      </c>
      <c r="H1461" s="3">
        <f>Miami_Retail[[#This Row],[sales_usd]] / Miami_Retail[[#This Row],[customers]]</f>
        <v>17.221238095238096</v>
      </c>
      <c r="I1461">
        <v>74</v>
      </c>
      <c r="J1461">
        <f>(Miami_Retail[[#This Row],[avg_temp_f]]-32) * (5/9)</f>
        <v>23.333333333333336</v>
      </c>
      <c r="K1461">
        <v>0</v>
      </c>
      <c r="L1461">
        <v>0</v>
      </c>
      <c r="M1461">
        <v>52.1</v>
      </c>
      <c r="N1461">
        <v>50</v>
      </c>
      <c r="O1461">
        <v>50</v>
      </c>
      <c r="P1461">
        <v>51.9</v>
      </c>
      <c r="Q1461">
        <v>48.1</v>
      </c>
    </row>
    <row r="1462" spans="1:17" x14ac:dyDescent="0.25">
      <c r="A1462" s="2">
        <v>45656</v>
      </c>
      <c r="B1462" s="2" t="str">
        <f t="shared" si="44"/>
        <v>Monday</v>
      </c>
      <c r="C1462" s="2" t="b">
        <f t="shared" si="45"/>
        <v>0</v>
      </c>
      <c r="D1462">
        <v>2</v>
      </c>
      <c r="E1462" t="s">
        <v>6</v>
      </c>
      <c r="F1462">
        <v>218</v>
      </c>
      <c r="G1462" s="3">
        <v>3843</v>
      </c>
      <c r="H1462" s="3">
        <f>Miami_Retail[[#This Row],[sales_usd]] / Miami_Retail[[#This Row],[customers]]</f>
        <v>17.628440366972477</v>
      </c>
      <c r="I1462">
        <v>75.5</v>
      </c>
      <c r="J1462">
        <f>(Miami_Retail[[#This Row],[avg_temp_f]]-32) * (5/9)</f>
        <v>24.166666666666668</v>
      </c>
      <c r="K1462">
        <v>0.48</v>
      </c>
      <c r="L1462">
        <v>1</v>
      </c>
      <c r="M1462">
        <v>39.299999999999997</v>
      </c>
      <c r="N1462">
        <v>48.9</v>
      </c>
      <c r="O1462">
        <v>51.1</v>
      </c>
      <c r="P1462">
        <v>46.1</v>
      </c>
      <c r="Q1462">
        <v>53.9</v>
      </c>
    </row>
    <row r="1463" spans="1:17" x14ac:dyDescent="0.25">
      <c r="A1463" s="2">
        <v>45657</v>
      </c>
      <c r="B1463" s="2" t="str">
        <f t="shared" si="44"/>
        <v>Tuesday</v>
      </c>
      <c r="C1463" s="2" t="b">
        <f t="shared" si="45"/>
        <v>0</v>
      </c>
      <c r="D1463">
        <v>2</v>
      </c>
      <c r="E1463" t="s">
        <v>6</v>
      </c>
      <c r="F1463">
        <v>239</v>
      </c>
      <c r="G1463" s="3">
        <v>4092.22</v>
      </c>
      <c r="H1463" s="3">
        <f>Miami_Retail[[#This Row],[sales_usd]] / Miami_Retail[[#This Row],[customers]]</f>
        <v>17.12225941422594</v>
      </c>
      <c r="I1463">
        <v>70.900000000000006</v>
      </c>
      <c r="J1463">
        <f>(Miami_Retail[[#This Row],[avg_temp_f]]-32) * (5/9)</f>
        <v>21.611111111111114</v>
      </c>
      <c r="K1463">
        <v>0</v>
      </c>
      <c r="L1463">
        <v>0</v>
      </c>
      <c r="M1463">
        <v>47.8</v>
      </c>
      <c r="N1463">
        <v>50.2</v>
      </c>
      <c r="O1463">
        <v>49.8</v>
      </c>
      <c r="P1463">
        <v>43.8</v>
      </c>
      <c r="Q1463">
        <v>56.2</v>
      </c>
    </row>
    <row r="1464" spans="1:17" x14ac:dyDescent="0.25">
      <c r="A1464" s="2">
        <v>44927</v>
      </c>
      <c r="B1464" s="2" t="str">
        <f t="shared" si="44"/>
        <v>Sunday</v>
      </c>
      <c r="C1464" s="2" t="b">
        <f t="shared" si="45"/>
        <v>1</v>
      </c>
      <c r="D1464">
        <v>3</v>
      </c>
      <c r="E1464" t="s">
        <v>7</v>
      </c>
      <c r="F1464">
        <v>225</v>
      </c>
      <c r="G1464" s="3">
        <v>3716.96</v>
      </c>
      <c r="H1464" s="3">
        <f>Miami_Retail[[#This Row],[sales_usd]] / Miami_Retail[[#This Row],[customers]]</f>
        <v>16.519822222222221</v>
      </c>
      <c r="I1464">
        <v>77.900000000000006</v>
      </c>
      <c r="J1464">
        <f>(Miami_Retail[[#This Row],[avg_temp_f]]-32) * (5/9)</f>
        <v>25.500000000000004</v>
      </c>
      <c r="K1464">
        <v>0</v>
      </c>
      <c r="L1464">
        <v>0</v>
      </c>
      <c r="M1464">
        <v>46.3</v>
      </c>
      <c r="N1464">
        <v>47.9</v>
      </c>
      <c r="O1464">
        <v>52.1</v>
      </c>
      <c r="P1464">
        <v>49.4</v>
      </c>
      <c r="Q1464">
        <v>50.6</v>
      </c>
    </row>
    <row r="1465" spans="1:17" x14ac:dyDescent="0.25">
      <c r="A1465" s="2">
        <v>44928</v>
      </c>
      <c r="B1465" s="2" t="str">
        <f t="shared" si="44"/>
        <v>Monday</v>
      </c>
      <c r="C1465" s="2" t="b">
        <f t="shared" si="45"/>
        <v>0</v>
      </c>
      <c r="D1465">
        <v>3</v>
      </c>
      <c r="E1465" t="s">
        <v>7</v>
      </c>
      <c r="F1465">
        <v>216</v>
      </c>
      <c r="G1465" s="3">
        <v>3117.7</v>
      </c>
      <c r="H1465" s="3">
        <f>Miami_Retail[[#This Row],[sales_usd]] / Miami_Retail[[#This Row],[customers]]</f>
        <v>14.433796296296295</v>
      </c>
      <c r="I1465">
        <v>73.900000000000006</v>
      </c>
      <c r="J1465">
        <f>(Miami_Retail[[#This Row],[avg_temp_f]]-32) * (5/9)</f>
        <v>23.277777777777782</v>
      </c>
      <c r="K1465">
        <v>0.31</v>
      </c>
      <c r="L1465">
        <v>1</v>
      </c>
      <c r="M1465">
        <v>51.1</v>
      </c>
      <c r="N1465">
        <v>47.4</v>
      </c>
      <c r="O1465">
        <v>52.6</v>
      </c>
      <c r="P1465">
        <v>45.6</v>
      </c>
      <c r="Q1465">
        <v>54.4</v>
      </c>
    </row>
    <row r="1466" spans="1:17" x14ac:dyDescent="0.25">
      <c r="A1466" s="2">
        <v>44929</v>
      </c>
      <c r="B1466" s="2" t="str">
        <f t="shared" si="44"/>
        <v>Tuesday</v>
      </c>
      <c r="C1466" s="2" t="b">
        <f t="shared" si="45"/>
        <v>0</v>
      </c>
      <c r="D1466">
        <v>3</v>
      </c>
      <c r="E1466" t="s">
        <v>7</v>
      </c>
      <c r="F1466">
        <v>200</v>
      </c>
      <c r="G1466" s="3">
        <v>3072.35</v>
      </c>
      <c r="H1466" s="3">
        <f>Miami_Retail[[#This Row],[sales_usd]] / Miami_Retail[[#This Row],[customers]]</f>
        <v>15.361749999999999</v>
      </c>
      <c r="I1466">
        <v>76.3</v>
      </c>
      <c r="J1466">
        <f>(Miami_Retail[[#This Row],[avg_temp_f]]-32) * (5/9)</f>
        <v>24.611111111111111</v>
      </c>
      <c r="K1466">
        <v>0</v>
      </c>
      <c r="L1466">
        <v>0</v>
      </c>
      <c r="M1466">
        <v>51.6</v>
      </c>
      <c r="N1466">
        <v>50.3</v>
      </c>
      <c r="O1466">
        <v>49.7</v>
      </c>
      <c r="P1466">
        <v>43.9</v>
      </c>
      <c r="Q1466">
        <v>56.1</v>
      </c>
    </row>
    <row r="1467" spans="1:17" x14ac:dyDescent="0.25">
      <c r="A1467" s="2">
        <v>44930</v>
      </c>
      <c r="B1467" s="2" t="str">
        <f t="shared" si="44"/>
        <v>Wednesday</v>
      </c>
      <c r="C1467" s="2" t="b">
        <f t="shared" si="45"/>
        <v>0</v>
      </c>
      <c r="D1467">
        <v>3</v>
      </c>
      <c r="E1467" t="s">
        <v>7</v>
      </c>
      <c r="F1467">
        <v>200</v>
      </c>
      <c r="G1467" s="3">
        <v>3176.15</v>
      </c>
      <c r="H1467" s="3">
        <f>Miami_Retail[[#This Row],[sales_usd]] / Miami_Retail[[#This Row],[customers]]</f>
        <v>15.880750000000001</v>
      </c>
      <c r="I1467">
        <v>74.2</v>
      </c>
      <c r="J1467">
        <f>(Miami_Retail[[#This Row],[avg_temp_f]]-32) * (5/9)</f>
        <v>23.444444444444446</v>
      </c>
      <c r="K1467">
        <v>0</v>
      </c>
      <c r="L1467">
        <v>0</v>
      </c>
      <c r="M1467">
        <v>51.6</v>
      </c>
      <c r="N1467">
        <v>48.6</v>
      </c>
      <c r="O1467">
        <v>51.4</v>
      </c>
      <c r="P1467">
        <v>44.8</v>
      </c>
      <c r="Q1467">
        <v>55.2</v>
      </c>
    </row>
    <row r="1468" spans="1:17" x14ac:dyDescent="0.25">
      <c r="A1468" s="2">
        <v>44931</v>
      </c>
      <c r="B1468" s="2" t="str">
        <f t="shared" si="44"/>
        <v>Thursday</v>
      </c>
      <c r="C1468" s="2" t="b">
        <f t="shared" si="45"/>
        <v>0</v>
      </c>
      <c r="D1468">
        <v>3</v>
      </c>
      <c r="E1468" t="s">
        <v>7</v>
      </c>
      <c r="F1468">
        <v>210</v>
      </c>
      <c r="G1468" s="3">
        <v>3646.07</v>
      </c>
      <c r="H1468" s="3">
        <f>Miami_Retail[[#This Row],[sales_usd]] / Miami_Retail[[#This Row],[customers]]</f>
        <v>17.362238095238094</v>
      </c>
      <c r="I1468">
        <v>72.7</v>
      </c>
      <c r="J1468">
        <f>(Miami_Retail[[#This Row],[avg_temp_f]]-32) * (5/9)</f>
        <v>22.611111111111114</v>
      </c>
      <c r="K1468">
        <v>0</v>
      </c>
      <c r="L1468">
        <v>0</v>
      </c>
      <c r="M1468">
        <v>54.8</v>
      </c>
      <c r="N1468">
        <v>50.4</v>
      </c>
      <c r="O1468">
        <v>49.6</v>
      </c>
      <c r="P1468">
        <v>43.6</v>
      </c>
      <c r="Q1468">
        <v>56.4</v>
      </c>
    </row>
    <row r="1469" spans="1:17" x14ac:dyDescent="0.25">
      <c r="A1469" s="2">
        <v>44932</v>
      </c>
      <c r="B1469" s="2" t="str">
        <f t="shared" si="44"/>
        <v>Friday</v>
      </c>
      <c r="C1469" s="2" t="b">
        <f t="shared" si="45"/>
        <v>0</v>
      </c>
      <c r="D1469">
        <v>3</v>
      </c>
      <c r="E1469" t="s">
        <v>7</v>
      </c>
      <c r="F1469">
        <v>200</v>
      </c>
      <c r="G1469" s="3">
        <v>3372.63</v>
      </c>
      <c r="H1469" s="3">
        <f>Miami_Retail[[#This Row],[sales_usd]] / Miami_Retail[[#This Row],[customers]]</f>
        <v>16.863150000000001</v>
      </c>
      <c r="I1469">
        <v>73.099999999999994</v>
      </c>
      <c r="J1469">
        <f>(Miami_Retail[[#This Row],[avg_temp_f]]-32) * (5/9)</f>
        <v>22.833333333333332</v>
      </c>
      <c r="K1469">
        <v>0.33</v>
      </c>
      <c r="L1469">
        <v>1</v>
      </c>
      <c r="M1469">
        <v>44.1</v>
      </c>
      <c r="N1469">
        <v>50.7</v>
      </c>
      <c r="O1469">
        <v>49.3</v>
      </c>
      <c r="P1469">
        <v>45.3</v>
      </c>
      <c r="Q1469">
        <v>54.7</v>
      </c>
    </row>
    <row r="1470" spans="1:17" x14ac:dyDescent="0.25">
      <c r="A1470" s="2">
        <v>44933</v>
      </c>
      <c r="B1470" s="2" t="str">
        <f t="shared" si="44"/>
        <v>Saturday</v>
      </c>
      <c r="C1470" s="2" t="b">
        <f t="shared" si="45"/>
        <v>1</v>
      </c>
      <c r="D1470">
        <v>3</v>
      </c>
      <c r="E1470" t="s">
        <v>7</v>
      </c>
      <c r="F1470">
        <v>260</v>
      </c>
      <c r="G1470" s="3">
        <v>4033.61</v>
      </c>
      <c r="H1470" s="3">
        <f>Miami_Retail[[#This Row],[sales_usd]] / Miami_Retail[[#This Row],[customers]]</f>
        <v>15.513884615384615</v>
      </c>
      <c r="I1470">
        <v>74.900000000000006</v>
      </c>
      <c r="J1470">
        <f>(Miami_Retail[[#This Row],[avg_temp_f]]-32) * (5/9)</f>
        <v>23.833333333333339</v>
      </c>
      <c r="K1470">
        <v>0</v>
      </c>
      <c r="L1470">
        <v>0</v>
      </c>
      <c r="M1470">
        <v>48.3</v>
      </c>
      <c r="N1470">
        <v>49</v>
      </c>
      <c r="O1470">
        <v>51</v>
      </c>
      <c r="P1470">
        <v>52.5</v>
      </c>
      <c r="Q1470">
        <v>47.5</v>
      </c>
    </row>
    <row r="1471" spans="1:17" x14ac:dyDescent="0.25">
      <c r="A1471" s="2">
        <v>44934</v>
      </c>
      <c r="B1471" s="2" t="str">
        <f t="shared" si="44"/>
        <v>Sunday</v>
      </c>
      <c r="C1471" s="2" t="b">
        <f t="shared" si="45"/>
        <v>1</v>
      </c>
      <c r="D1471">
        <v>3</v>
      </c>
      <c r="E1471" t="s">
        <v>7</v>
      </c>
      <c r="F1471">
        <v>237</v>
      </c>
      <c r="G1471" s="3">
        <v>3907.93</v>
      </c>
      <c r="H1471" s="3">
        <f>Miami_Retail[[#This Row],[sales_usd]] / Miami_Retail[[#This Row],[customers]]</f>
        <v>16.489156118143459</v>
      </c>
      <c r="I1471">
        <v>68.400000000000006</v>
      </c>
      <c r="J1471">
        <f>(Miami_Retail[[#This Row],[avg_temp_f]]-32) * (5/9)</f>
        <v>20.222222222222225</v>
      </c>
      <c r="K1471">
        <v>0.48</v>
      </c>
      <c r="L1471">
        <v>1</v>
      </c>
      <c r="M1471">
        <v>39.700000000000003</v>
      </c>
      <c r="N1471">
        <v>49.1</v>
      </c>
      <c r="O1471">
        <v>50.9</v>
      </c>
      <c r="P1471">
        <v>50.9</v>
      </c>
      <c r="Q1471">
        <v>49.1</v>
      </c>
    </row>
    <row r="1472" spans="1:17" x14ac:dyDescent="0.25">
      <c r="A1472" s="2">
        <v>44935</v>
      </c>
      <c r="B1472" s="2" t="str">
        <f t="shared" si="44"/>
        <v>Monday</v>
      </c>
      <c r="C1472" s="2" t="b">
        <f t="shared" si="45"/>
        <v>0</v>
      </c>
      <c r="D1472">
        <v>3</v>
      </c>
      <c r="E1472" t="s">
        <v>7</v>
      </c>
      <c r="F1472">
        <v>246</v>
      </c>
      <c r="G1472" s="3">
        <v>3995.93</v>
      </c>
      <c r="H1472" s="3">
        <f>Miami_Retail[[#This Row],[sales_usd]] / Miami_Retail[[#This Row],[customers]]</f>
        <v>16.24361788617886</v>
      </c>
      <c r="I1472">
        <v>74.3</v>
      </c>
      <c r="J1472">
        <f>(Miami_Retail[[#This Row],[avg_temp_f]]-32) * (5/9)</f>
        <v>23.5</v>
      </c>
      <c r="K1472">
        <v>0</v>
      </c>
      <c r="L1472">
        <v>0</v>
      </c>
      <c r="M1472">
        <v>49.8</v>
      </c>
      <c r="N1472">
        <v>49.2</v>
      </c>
      <c r="O1472">
        <v>50.8</v>
      </c>
      <c r="P1472">
        <v>45.9</v>
      </c>
      <c r="Q1472">
        <v>54.1</v>
      </c>
    </row>
    <row r="1473" spans="1:17" x14ac:dyDescent="0.25">
      <c r="A1473" s="2">
        <v>44936</v>
      </c>
      <c r="B1473" s="2" t="str">
        <f t="shared" si="44"/>
        <v>Tuesday</v>
      </c>
      <c r="C1473" s="2" t="b">
        <f t="shared" si="45"/>
        <v>0</v>
      </c>
      <c r="D1473">
        <v>3</v>
      </c>
      <c r="E1473" t="s">
        <v>7</v>
      </c>
      <c r="F1473">
        <v>166</v>
      </c>
      <c r="G1473" s="3">
        <v>2885.05</v>
      </c>
      <c r="H1473" s="3">
        <f>Miami_Retail[[#This Row],[sales_usd]] / Miami_Retail[[#This Row],[customers]]</f>
        <v>17.379819277108435</v>
      </c>
      <c r="I1473">
        <v>70.3</v>
      </c>
      <c r="J1473">
        <f>(Miami_Retail[[#This Row],[avg_temp_f]]-32) * (5/9)</f>
        <v>21.277777777777779</v>
      </c>
      <c r="K1473">
        <v>0</v>
      </c>
      <c r="L1473">
        <v>0</v>
      </c>
      <c r="M1473">
        <v>37.1</v>
      </c>
      <c r="N1473">
        <v>48.5</v>
      </c>
      <c r="O1473">
        <v>51.5</v>
      </c>
      <c r="P1473">
        <v>42.5</v>
      </c>
      <c r="Q1473">
        <v>57.5</v>
      </c>
    </row>
    <row r="1474" spans="1:17" x14ac:dyDescent="0.25">
      <c r="A1474" s="2">
        <v>44937</v>
      </c>
      <c r="B1474" s="2" t="str">
        <f t="shared" ref="B1474:B1537" si="46">TEXT(A1474, "dddd")</f>
        <v>Wednesday</v>
      </c>
      <c r="C1474" s="2" t="b">
        <f t="shared" ref="C1474:C1537" si="47">IF(WEEKDAY(A1474,2)&gt;5,TRUE,FALSE)</f>
        <v>0</v>
      </c>
      <c r="D1474">
        <v>3</v>
      </c>
      <c r="E1474" t="s">
        <v>7</v>
      </c>
      <c r="F1474">
        <v>171</v>
      </c>
      <c r="G1474" s="3">
        <v>2822.53</v>
      </c>
      <c r="H1474" s="3">
        <f>Miami_Retail[[#This Row],[sales_usd]] / Miami_Retail[[#This Row],[customers]]</f>
        <v>16.506023391812867</v>
      </c>
      <c r="I1474">
        <v>71.900000000000006</v>
      </c>
      <c r="J1474">
        <f>(Miami_Retail[[#This Row],[avg_temp_f]]-32) * (5/9)</f>
        <v>22.166666666666671</v>
      </c>
      <c r="K1474">
        <v>0</v>
      </c>
      <c r="L1474">
        <v>0</v>
      </c>
      <c r="M1474">
        <v>44.6</v>
      </c>
      <c r="N1474">
        <v>50.6</v>
      </c>
      <c r="O1474">
        <v>49.4</v>
      </c>
      <c r="P1474">
        <v>44.1</v>
      </c>
      <c r="Q1474">
        <v>55.9</v>
      </c>
    </row>
    <row r="1475" spans="1:17" x14ac:dyDescent="0.25">
      <c r="A1475" s="2">
        <v>44938</v>
      </c>
      <c r="B1475" s="2" t="str">
        <f t="shared" si="46"/>
        <v>Thursday</v>
      </c>
      <c r="C1475" s="2" t="b">
        <f t="shared" si="47"/>
        <v>0</v>
      </c>
      <c r="D1475">
        <v>3</v>
      </c>
      <c r="E1475" t="s">
        <v>7</v>
      </c>
      <c r="F1475">
        <v>178</v>
      </c>
      <c r="G1475" s="3">
        <v>3136.8</v>
      </c>
      <c r="H1475" s="3">
        <f>Miami_Retail[[#This Row],[sales_usd]] / Miami_Retail[[#This Row],[customers]]</f>
        <v>17.62247191011236</v>
      </c>
      <c r="I1475">
        <v>72</v>
      </c>
      <c r="J1475">
        <f>(Miami_Retail[[#This Row],[avg_temp_f]]-32) * (5/9)</f>
        <v>22.222222222222221</v>
      </c>
      <c r="K1475">
        <v>0</v>
      </c>
      <c r="L1475">
        <v>0</v>
      </c>
      <c r="M1475">
        <v>42.7</v>
      </c>
      <c r="N1475">
        <v>49.7</v>
      </c>
      <c r="O1475">
        <v>50.3</v>
      </c>
      <c r="P1475">
        <v>45.6</v>
      </c>
      <c r="Q1475">
        <v>54.4</v>
      </c>
    </row>
    <row r="1476" spans="1:17" x14ac:dyDescent="0.25">
      <c r="A1476" s="2">
        <v>44939</v>
      </c>
      <c r="B1476" s="2" t="str">
        <f t="shared" si="46"/>
        <v>Friday</v>
      </c>
      <c r="C1476" s="2" t="b">
        <f t="shared" si="47"/>
        <v>0</v>
      </c>
      <c r="D1476">
        <v>3</v>
      </c>
      <c r="E1476" t="s">
        <v>7</v>
      </c>
      <c r="F1476">
        <v>209</v>
      </c>
      <c r="G1476" s="3">
        <v>3623.03</v>
      </c>
      <c r="H1476" s="3">
        <f>Miami_Retail[[#This Row],[sales_usd]] / Miami_Retail[[#This Row],[customers]]</f>
        <v>17.335071770334928</v>
      </c>
      <c r="I1476">
        <v>76.2</v>
      </c>
      <c r="J1476">
        <f>(Miami_Retail[[#This Row],[avg_temp_f]]-32) * (5/9)</f>
        <v>24.555555555555557</v>
      </c>
      <c r="K1476">
        <v>0</v>
      </c>
      <c r="L1476">
        <v>0</v>
      </c>
      <c r="M1476">
        <v>40.200000000000003</v>
      </c>
      <c r="N1476">
        <v>49.5</v>
      </c>
      <c r="O1476">
        <v>50.5</v>
      </c>
      <c r="P1476">
        <v>47.3</v>
      </c>
      <c r="Q1476">
        <v>52.7</v>
      </c>
    </row>
    <row r="1477" spans="1:17" x14ac:dyDescent="0.25">
      <c r="A1477" s="2">
        <v>44940</v>
      </c>
      <c r="B1477" s="2" t="str">
        <f t="shared" si="46"/>
        <v>Saturday</v>
      </c>
      <c r="C1477" s="2" t="b">
        <f t="shared" si="47"/>
        <v>1</v>
      </c>
      <c r="D1477">
        <v>3</v>
      </c>
      <c r="E1477" t="s">
        <v>7</v>
      </c>
      <c r="F1477">
        <v>209</v>
      </c>
      <c r="G1477" s="3">
        <v>3170.73</v>
      </c>
      <c r="H1477" s="3">
        <f>Miami_Retail[[#This Row],[sales_usd]] / Miami_Retail[[#This Row],[customers]]</f>
        <v>15.170956937799042</v>
      </c>
      <c r="I1477">
        <v>71.2</v>
      </c>
      <c r="J1477">
        <f>(Miami_Retail[[#This Row],[avg_temp_f]]-32) * (5/9)</f>
        <v>21.777777777777779</v>
      </c>
      <c r="K1477">
        <v>0</v>
      </c>
      <c r="L1477">
        <v>0</v>
      </c>
      <c r="M1477">
        <v>38.4</v>
      </c>
      <c r="N1477">
        <v>50.4</v>
      </c>
      <c r="O1477">
        <v>49.6</v>
      </c>
      <c r="P1477">
        <v>50.6</v>
      </c>
      <c r="Q1477">
        <v>49.4</v>
      </c>
    </row>
    <row r="1478" spans="1:17" x14ac:dyDescent="0.25">
      <c r="A1478" s="2">
        <v>44941</v>
      </c>
      <c r="B1478" s="2" t="str">
        <f t="shared" si="46"/>
        <v>Sunday</v>
      </c>
      <c r="C1478" s="2" t="b">
        <f t="shared" si="47"/>
        <v>1</v>
      </c>
      <c r="D1478">
        <v>3</v>
      </c>
      <c r="E1478" t="s">
        <v>7</v>
      </c>
      <c r="F1478">
        <v>226</v>
      </c>
      <c r="G1478" s="3">
        <v>3513.43</v>
      </c>
      <c r="H1478" s="3">
        <f>Miami_Retail[[#This Row],[sales_usd]] / Miami_Retail[[#This Row],[customers]]</f>
        <v>15.546150442477876</v>
      </c>
      <c r="I1478">
        <v>69.2</v>
      </c>
      <c r="J1478">
        <f>(Miami_Retail[[#This Row],[avg_temp_f]]-32) * (5/9)</f>
        <v>20.666666666666668</v>
      </c>
      <c r="K1478">
        <v>0</v>
      </c>
      <c r="L1478">
        <v>0</v>
      </c>
      <c r="M1478">
        <v>39.700000000000003</v>
      </c>
      <c r="N1478">
        <v>49</v>
      </c>
      <c r="O1478">
        <v>51</v>
      </c>
      <c r="P1478">
        <v>51.5</v>
      </c>
      <c r="Q1478">
        <v>48.5</v>
      </c>
    </row>
    <row r="1479" spans="1:17" x14ac:dyDescent="0.25">
      <c r="A1479" s="2">
        <v>44942</v>
      </c>
      <c r="B1479" s="2" t="str">
        <f t="shared" si="46"/>
        <v>Monday</v>
      </c>
      <c r="C1479" s="2" t="b">
        <f t="shared" si="47"/>
        <v>0</v>
      </c>
      <c r="D1479">
        <v>3</v>
      </c>
      <c r="E1479" t="s">
        <v>7</v>
      </c>
      <c r="F1479">
        <v>194</v>
      </c>
      <c r="G1479" s="3">
        <v>3199.01</v>
      </c>
      <c r="H1479" s="3">
        <f>Miami_Retail[[#This Row],[sales_usd]] / Miami_Retail[[#This Row],[customers]]</f>
        <v>16.489742268041237</v>
      </c>
      <c r="I1479">
        <v>72.5</v>
      </c>
      <c r="J1479">
        <f>(Miami_Retail[[#This Row],[avg_temp_f]]-32) * (5/9)</f>
        <v>22.5</v>
      </c>
      <c r="K1479">
        <v>0</v>
      </c>
      <c r="L1479">
        <v>0</v>
      </c>
      <c r="M1479">
        <v>42.2</v>
      </c>
      <c r="N1479">
        <v>50.9</v>
      </c>
      <c r="O1479">
        <v>49.1</v>
      </c>
      <c r="P1479">
        <v>45.1</v>
      </c>
      <c r="Q1479">
        <v>54.9</v>
      </c>
    </row>
    <row r="1480" spans="1:17" x14ac:dyDescent="0.25">
      <c r="A1480" s="2">
        <v>44943</v>
      </c>
      <c r="B1480" s="2" t="str">
        <f t="shared" si="46"/>
        <v>Tuesday</v>
      </c>
      <c r="C1480" s="2" t="b">
        <f t="shared" si="47"/>
        <v>0</v>
      </c>
      <c r="D1480">
        <v>3</v>
      </c>
      <c r="E1480" t="s">
        <v>7</v>
      </c>
      <c r="F1480">
        <v>179</v>
      </c>
      <c r="G1480" s="3">
        <v>2892.34</v>
      </c>
      <c r="H1480" s="3">
        <f>Miami_Retail[[#This Row],[sales_usd]] / Miami_Retail[[#This Row],[customers]]</f>
        <v>16.15832402234637</v>
      </c>
      <c r="I1480">
        <v>75.2</v>
      </c>
      <c r="J1480">
        <f>(Miami_Retail[[#This Row],[avg_temp_f]]-32) * (5/9)</f>
        <v>24.000000000000004</v>
      </c>
      <c r="K1480">
        <v>0</v>
      </c>
      <c r="L1480">
        <v>0</v>
      </c>
      <c r="M1480">
        <v>40.9</v>
      </c>
      <c r="N1480">
        <v>48.3</v>
      </c>
      <c r="O1480">
        <v>51.7</v>
      </c>
      <c r="P1480">
        <v>43</v>
      </c>
      <c r="Q1480">
        <v>57</v>
      </c>
    </row>
    <row r="1481" spans="1:17" x14ac:dyDescent="0.25">
      <c r="A1481" s="2">
        <v>44944</v>
      </c>
      <c r="B1481" s="2" t="str">
        <f t="shared" si="46"/>
        <v>Wednesday</v>
      </c>
      <c r="C1481" s="2" t="b">
        <f t="shared" si="47"/>
        <v>0</v>
      </c>
      <c r="D1481">
        <v>3</v>
      </c>
      <c r="E1481" t="s">
        <v>7</v>
      </c>
      <c r="F1481">
        <v>154</v>
      </c>
      <c r="G1481" s="3">
        <v>2571.7800000000002</v>
      </c>
      <c r="H1481" s="3">
        <f>Miami_Retail[[#This Row],[sales_usd]] / Miami_Retail[[#This Row],[customers]]</f>
        <v>16.699870129870131</v>
      </c>
      <c r="I1481">
        <v>69.2</v>
      </c>
      <c r="J1481">
        <f>(Miami_Retail[[#This Row],[avg_temp_f]]-32) * (5/9)</f>
        <v>20.666666666666668</v>
      </c>
      <c r="K1481">
        <v>2.5099999999999998</v>
      </c>
      <c r="L1481">
        <v>1</v>
      </c>
      <c r="M1481">
        <v>44.2</v>
      </c>
      <c r="N1481">
        <v>49.7</v>
      </c>
      <c r="O1481">
        <v>50.3</v>
      </c>
      <c r="P1481">
        <v>44.7</v>
      </c>
      <c r="Q1481">
        <v>55.3</v>
      </c>
    </row>
    <row r="1482" spans="1:17" x14ac:dyDescent="0.25">
      <c r="A1482" s="2">
        <v>44945</v>
      </c>
      <c r="B1482" s="2" t="str">
        <f t="shared" si="46"/>
        <v>Thursday</v>
      </c>
      <c r="C1482" s="2" t="b">
        <f t="shared" si="47"/>
        <v>0</v>
      </c>
      <c r="D1482">
        <v>3</v>
      </c>
      <c r="E1482" t="s">
        <v>7</v>
      </c>
      <c r="F1482">
        <v>202</v>
      </c>
      <c r="G1482" s="3">
        <v>3296.65</v>
      </c>
      <c r="H1482" s="3">
        <f>Miami_Retail[[#This Row],[sales_usd]] / Miami_Retail[[#This Row],[customers]]</f>
        <v>16.320049504950497</v>
      </c>
      <c r="I1482">
        <v>77.599999999999994</v>
      </c>
      <c r="J1482">
        <f>(Miami_Retail[[#This Row],[avg_temp_f]]-32) * (5/9)</f>
        <v>25.333333333333332</v>
      </c>
      <c r="K1482">
        <v>0</v>
      </c>
      <c r="L1482">
        <v>0</v>
      </c>
      <c r="M1482">
        <v>49.8</v>
      </c>
      <c r="N1482">
        <v>49.4</v>
      </c>
      <c r="O1482">
        <v>50.6</v>
      </c>
      <c r="P1482">
        <v>45.5</v>
      </c>
      <c r="Q1482">
        <v>54.5</v>
      </c>
    </row>
    <row r="1483" spans="1:17" x14ac:dyDescent="0.25">
      <c r="A1483" s="2">
        <v>44946</v>
      </c>
      <c r="B1483" s="2" t="str">
        <f t="shared" si="46"/>
        <v>Friday</v>
      </c>
      <c r="C1483" s="2" t="b">
        <f t="shared" si="47"/>
        <v>0</v>
      </c>
      <c r="D1483">
        <v>3</v>
      </c>
      <c r="E1483" t="s">
        <v>7</v>
      </c>
      <c r="F1483">
        <v>210</v>
      </c>
      <c r="G1483" s="3">
        <v>3619.77</v>
      </c>
      <c r="H1483" s="3">
        <f>Miami_Retail[[#This Row],[sales_usd]] / Miami_Retail[[#This Row],[customers]]</f>
        <v>17.236999999999998</v>
      </c>
      <c r="I1483">
        <v>72</v>
      </c>
      <c r="J1483">
        <f>(Miami_Retail[[#This Row],[avg_temp_f]]-32) * (5/9)</f>
        <v>22.222222222222221</v>
      </c>
      <c r="K1483">
        <v>0</v>
      </c>
      <c r="L1483">
        <v>0</v>
      </c>
      <c r="M1483">
        <v>45.2</v>
      </c>
      <c r="N1483">
        <v>50.2</v>
      </c>
      <c r="O1483">
        <v>49.8</v>
      </c>
      <c r="P1483">
        <v>43.6</v>
      </c>
      <c r="Q1483">
        <v>56.4</v>
      </c>
    </row>
    <row r="1484" spans="1:17" x14ac:dyDescent="0.25">
      <c r="A1484" s="2">
        <v>44947</v>
      </c>
      <c r="B1484" s="2" t="str">
        <f t="shared" si="46"/>
        <v>Saturday</v>
      </c>
      <c r="C1484" s="2" t="b">
        <f t="shared" si="47"/>
        <v>1</v>
      </c>
      <c r="D1484">
        <v>3</v>
      </c>
      <c r="E1484" t="s">
        <v>7</v>
      </c>
      <c r="F1484">
        <v>229</v>
      </c>
      <c r="G1484" s="3">
        <v>3660.95</v>
      </c>
      <c r="H1484" s="3">
        <f>Miami_Retail[[#This Row],[sales_usd]] / Miami_Retail[[#This Row],[customers]]</f>
        <v>15.986681222707423</v>
      </c>
      <c r="I1484">
        <v>70.7</v>
      </c>
      <c r="J1484">
        <f>(Miami_Retail[[#This Row],[avg_temp_f]]-32) * (5/9)</f>
        <v>21.500000000000004</v>
      </c>
      <c r="K1484">
        <v>0</v>
      </c>
      <c r="L1484">
        <v>0</v>
      </c>
      <c r="M1484">
        <v>36.700000000000003</v>
      </c>
      <c r="N1484">
        <v>51.2</v>
      </c>
      <c r="O1484">
        <v>48.8</v>
      </c>
      <c r="P1484">
        <v>50.4</v>
      </c>
      <c r="Q1484">
        <v>49.6</v>
      </c>
    </row>
    <row r="1485" spans="1:17" x14ac:dyDescent="0.25">
      <c r="A1485" s="2">
        <v>44948</v>
      </c>
      <c r="B1485" s="2" t="str">
        <f t="shared" si="46"/>
        <v>Sunday</v>
      </c>
      <c r="C1485" s="2" t="b">
        <f t="shared" si="47"/>
        <v>1</v>
      </c>
      <c r="D1485">
        <v>3</v>
      </c>
      <c r="E1485" t="s">
        <v>7</v>
      </c>
      <c r="F1485">
        <v>208</v>
      </c>
      <c r="G1485" s="3">
        <v>3620.71</v>
      </c>
      <c r="H1485" s="3">
        <f>Miami_Retail[[#This Row],[sales_usd]] / Miami_Retail[[#This Row],[customers]]</f>
        <v>17.407259615384614</v>
      </c>
      <c r="I1485">
        <v>69.8</v>
      </c>
      <c r="J1485">
        <f>(Miami_Retail[[#This Row],[avg_temp_f]]-32) * (5/9)</f>
        <v>21</v>
      </c>
      <c r="K1485">
        <v>0</v>
      </c>
      <c r="L1485">
        <v>0</v>
      </c>
      <c r="M1485">
        <v>42.4</v>
      </c>
      <c r="N1485">
        <v>49.7</v>
      </c>
      <c r="O1485">
        <v>50.3</v>
      </c>
      <c r="P1485">
        <v>50.7</v>
      </c>
      <c r="Q1485">
        <v>49.3</v>
      </c>
    </row>
    <row r="1486" spans="1:17" x14ac:dyDescent="0.25">
      <c r="A1486" s="2">
        <v>44949</v>
      </c>
      <c r="B1486" s="2" t="str">
        <f t="shared" si="46"/>
        <v>Monday</v>
      </c>
      <c r="C1486" s="2" t="b">
        <f t="shared" si="47"/>
        <v>0</v>
      </c>
      <c r="D1486">
        <v>3</v>
      </c>
      <c r="E1486" t="s">
        <v>7</v>
      </c>
      <c r="F1486">
        <v>189</v>
      </c>
      <c r="G1486" s="3">
        <v>3366.73</v>
      </c>
      <c r="H1486" s="3">
        <f>Miami_Retail[[#This Row],[sales_usd]] / Miami_Retail[[#This Row],[customers]]</f>
        <v>17.813386243386244</v>
      </c>
      <c r="I1486">
        <v>72</v>
      </c>
      <c r="J1486">
        <f>(Miami_Retail[[#This Row],[avg_temp_f]]-32) * (5/9)</f>
        <v>22.222222222222221</v>
      </c>
      <c r="K1486">
        <v>0</v>
      </c>
      <c r="L1486">
        <v>0</v>
      </c>
      <c r="M1486">
        <v>42.4</v>
      </c>
      <c r="N1486">
        <v>49.9</v>
      </c>
      <c r="O1486">
        <v>50.1</v>
      </c>
      <c r="P1486">
        <v>44.1</v>
      </c>
      <c r="Q1486">
        <v>55.9</v>
      </c>
    </row>
    <row r="1487" spans="1:17" x14ac:dyDescent="0.25">
      <c r="A1487" s="2">
        <v>44950</v>
      </c>
      <c r="B1487" s="2" t="str">
        <f t="shared" si="46"/>
        <v>Tuesday</v>
      </c>
      <c r="C1487" s="2" t="b">
        <f t="shared" si="47"/>
        <v>0</v>
      </c>
      <c r="D1487">
        <v>3</v>
      </c>
      <c r="E1487" t="s">
        <v>7</v>
      </c>
      <c r="F1487">
        <v>193</v>
      </c>
      <c r="G1487" s="3">
        <v>3233.32</v>
      </c>
      <c r="H1487" s="3">
        <f>Miami_Retail[[#This Row],[sales_usd]] / Miami_Retail[[#This Row],[customers]]</f>
        <v>16.752953367875648</v>
      </c>
      <c r="I1487">
        <v>69.099999999999994</v>
      </c>
      <c r="J1487">
        <f>(Miami_Retail[[#This Row],[avg_temp_f]]-32) * (5/9)</f>
        <v>20.611111111111107</v>
      </c>
      <c r="K1487">
        <v>0</v>
      </c>
      <c r="L1487">
        <v>0</v>
      </c>
      <c r="M1487">
        <v>46.4</v>
      </c>
      <c r="N1487">
        <v>49.9</v>
      </c>
      <c r="O1487">
        <v>50.1</v>
      </c>
      <c r="P1487">
        <v>45.2</v>
      </c>
      <c r="Q1487">
        <v>54.8</v>
      </c>
    </row>
    <row r="1488" spans="1:17" x14ac:dyDescent="0.25">
      <c r="A1488" s="2">
        <v>44951</v>
      </c>
      <c r="B1488" s="2" t="str">
        <f t="shared" si="46"/>
        <v>Wednesday</v>
      </c>
      <c r="C1488" s="2" t="b">
        <f t="shared" si="47"/>
        <v>0</v>
      </c>
      <c r="D1488">
        <v>3</v>
      </c>
      <c r="E1488" t="s">
        <v>7</v>
      </c>
      <c r="F1488">
        <v>129</v>
      </c>
      <c r="G1488" s="3">
        <v>1812.6</v>
      </c>
      <c r="H1488" s="3">
        <f>Miami_Retail[[#This Row],[sales_usd]] / Miami_Retail[[#This Row],[customers]]</f>
        <v>14.051162790697674</v>
      </c>
      <c r="I1488">
        <v>65.8</v>
      </c>
      <c r="J1488">
        <f>(Miami_Retail[[#This Row],[avg_temp_f]]-32) * (5/9)</f>
        <v>18.777777777777779</v>
      </c>
      <c r="K1488">
        <v>3.11</v>
      </c>
      <c r="L1488">
        <v>1</v>
      </c>
      <c r="M1488">
        <v>46.7</v>
      </c>
      <c r="N1488">
        <v>48.7</v>
      </c>
      <c r="O1488">
        <v>51.3</v>
      </c>
      <c r="P1488">
        <v>46</v>
      </c>
      <c r="Q1488">
        <v>54</v>
      </c>
    </row>
    <row r="1489" spans="1:17" x14ac:dyDescent="0.25">
      <c r="A1489" s="2">
        <v>44952</v>
      </c>
      <c r="B1489" s="2" t="str">
        <f t="shared" si="46"/>
        <v>Thursday</v>
      </c>
      <c r="C1489" s="2" t="b">
        <f t="shared" si="47"/>
        <v>0</v>
      </c>
      <c r="D1489">
        <v>3</v>
      </c>
      <c r="E1489" t="s">
        <v>7</v>
      </c>
      <c r="F1489">
        <v>163</v>
      </c>
      <c r="G1489" s="3">
        <v>2669.8</v>
      </c>
      <c r="H1489" s="3">
        <f>Miami_Retail[[#This Row],[sales_usd]] / Miami_Retail[[#This Row],[customers]]</f>
        <v>16.379141104294479</v>
      </c>
      <c r="I1489">
        <v>68.5</v>
      </c>
      <c r="J1489">
        <f>(Miami_Retail[[#This Row],[avg_temp_f]]-32) * (5/9)</f>
        <v>20.277777777777779</v>
      </c>
      <c r="K1489">
        <v>0</v>
      </c>
      <c r="L1489">
        <v>0</v>
      </c>
      <c r="M1489">
        <v>35</v>
      </c>
      <c r="N1489">
        <v>51</v>
      </c>
      <c r="O1489">
        <v>49</v>
      </c>
      <c r="P1489">
        <v>46.8</v>
      </c>
      <c r="Q1489">
        <v>53.2</v>
      </c>
    </row>
    <row r="1490" spans="1:17" x14ac:dyDescent="0.25">
      <c r="A1490" s="2">
        <v>44953</v>
      </c>
      <c r="B1490" s="2" t="str">
        <f t="shared" si="46"/>
        <v>Friday</v>
      </c>
      <c r="C1490" s="2" t="b">
        <f t="shared" si="47"/>
        <v>0</v>
      </c>
      <c r="D1490">
        <v>3</v>
      </c>
      <c r="E1490" t="s">
        <v>7</v>
      </c>
      <c r="F1490">
        <v>212</v>
      </c>
      <c r="G1490" s="3">
        <v>3541.9</v>
      </c>
      <c r="H1490" s="3">
        <f>Miami_Retail[[#This Row],[sales_usd]] / Miami_Retail[[#This Row],[customers]]</f>
        <v>16.707075471698115</v>
      </c>
      <c r="I1490">
        <v>67.400000000000006</v>
      </c>
      <c r="J1490">
        <f>(Miami_Retail[[#This Row],[avg_temp_f]]-32) * (5/9)</f>
        <v>19.666666666666671</v>
      </c>
      <c r="K1490">
        <v>1.5</v>
      </c>
      <c r="L1490">
        <v>1</v>
      </c>
      <c r="M1490">
        <v>42.3</v>
      </c>
      <c r="N1490">
        <v>50.2</v>
      </c>
      <c r="O1490">
        <v>49.8</v>
      </c>
      <c r="P1490">
        <v>46.3</v>
      </c>
      <c r="Q1490">
        <v>53.7</v>
      </c>
    </row>
    <row r="1491" spans="1:17" x14ac:dyDescent="0.25">
      <c r="A1491" s="2">
        <v>44954</v>
      </c>
      <c r="B1491" s="2" t="str">
        <f t="shared" si="46"/>
        <v>Saturday</v>
      </c>
      <c r="C1491" s="2" t="b">
        <f t="shared" si="47"/>
        <v>1</v>
      </c>
      <c r="D1491">
        <v>3</v>
      </c>
      <c r="E1491" t="s">
        <v>7</v>
      </c>
      <c r="F1491">
        <v>203</v>
      </c>
      <c r="G1491" s="3">
        <v>3370.84</v>
      </c>
      <c r="H1491" s="3">
        <f>Miami_Retail[[#This Row],[sales_usd]] / Miami_Retail[[#This Row],[customers]]</f>
        <v>16.605123152709361</v>
      </c>
      <c r="I1491">
        <v>70.3</v>
      </c>
      <c r="J1491">
        <f>(Miami_Retail[[#This Row],[avg_temp_f]]-32) * (5/9)</f>
        <v>21.277777777777779</v>
      </c>
      <c r="K1491">
        <v>0</v>
      </c>
      <c r="L1491">
        <v>0</v>
      </c>
      <c r="M1491">
        <v>44</v>
      </c>
      <c r="N1491">
        <v>51.1</v>
      </c>
      <c r="O1491">
        <v>48.9</v>
      </c>
      <c r="P1491">
        <v>51.5</v>
      </c>
      <c r="Q1491">
        <v>48.5</v>
      </c>
    </row>
    <row r="1492" spans="1:17" x14ac:dyDescent="0.25">
      <c r="A1492" s="2">
        <v>44955</v>
      </c>
      <c r="B1492" s="2" t="str">
        <f t="shared" si="46"/>
        <v>Sunday</v>
      </c>
      <c r="C1492" s="2" t="b">
        <f t="shared" si="47"/>
        <v>1</v>
      </c>
      <c r="D1492">
        <v>3</v>
      </c>
      <c r="E1492" t="s">
        <v>7</v>
      </c>
      <c r="F1492">
        <v>232</v>
      </c>
      <c r="G1492" s="3">
        <v>3787.25</v>
      </c>
      <c r="H1492" s="3">
        <f>Miami_Retail[[#This Row],[sales_usd]] / Miami_Retail[[#This Row],[customers]]</f>
        <v>16.324353448275861</v>
      </c>
      <c r="I1492">
        <v>75.099999999999994</v>
      </c>
      <c r="J1492">
        <f>(Miami_Retail[[#This Row],[avg_temp_f]]-32) * (5/9)</f>
        <v>23.944444444444443</v>
      </c>
      <c r="K1492">
        <v>0</v>
      </c>
      <c r="L1492">
        <v>0</v>
      </c>
      <c r="M1492">
        <v>35</v>
      </c>
      <c r="N1492">
        <v>51.1</v>
      </c>
      <c r="O1492">
        <v>48.9</v>
      </c>
      <c r="P1492">
        <v>52.8</v>
      </c>
      <c r="Q1492">
        <v>47.2</v>
      </c>
    </row>
    <row r="1493" spans="1:17" x14ac:dyDescent="0.25">
      <c r="A1493" s="2">
        <v>44956</v>
      </c>
      <c r="B1493" s="2" t="str">
        <f t="shared" si="46"/>
        <v>Monday</v>
      </c>
      <c r="C1493" s="2" t="b">
        <f t="shared" si="47"/>
        <v>0</v>
      </c>
      <c r="D1493">
        <v>3</v>
      </c>
      <c r="E1493" t="s">
        <v>7</v>
      </c>
      <c r="F1493">
        <v>217</v>
      </c>
      <c r="G1493" s="3">
        <v>3505.78</v>
      </c>
      <c r="H1493" s="3">
        <f>Miami_Retail[[#This Row],[sales_usd]] / Miami_Retail[[#This Row],[customers]]</f>
        <v>16.155668202764979</v>
      </c>
      <c r="I1493">
        <v>75.5</v>
      </c>
      <c r="J1493">
        <f>(Miami_Retail[[#This Row],[avg_temp_f]]-32) * (5/9)</f>
        <v>24.166666666666668</v>
      </c>
      <c r="K1493">
        <v>0</v>
      </c>
      <c r="L1493">
        <v>0</v>
      </c>
      <c r="M1493">
        <v>38.700000000000003</v>
      </c>
      <c r="N1493">
        <v>49.6</v>
      </c>
      <c r="O1493">
        <v>50.4</v>
      </c>
      <c r="P1493">
        <v>45.8</v>
      </c>
      <c r="Q1493">
        <v>54.2</v>
      </c>
    </row>
    <row r="1494" spans="1:17" x14ac:dyDescent="0.25">
      <c r="A1494" s="2">
        <v>44957</v>
      </c>
      <c r="B1494" s="2" t="str">
        <f t="shared" si="46"/>
        <v>Tuesday</v>
      </c>
      <c r="C1494" s="2" t="b">
        <f t="shared" si="47"/>
        <v>0</v>
      </c>
      <c r="D1494">
        <v>3</v>
      </c>
      <c r="E1494" t="s">
        <v>7</v>
      </c>
      <c r="F1494">
        <v>165</v>
      </c>
      <c r="G1494" s="3">
        <v>2811.91</v>
      </c>
      <c r="H1494" s="3">
        <f>Miami_Retail[[#This Row],[sales_usd]] / Miami_Retail[[#This Row],[customers]]</f>
        <v>17.041878787878787</v>
      </c>
      <c r="I1494">
        <v>69.2</v>
      </c>
      <c r="J1494">
        <f>(Miami_Retail[[#This Row],[avg_temp_f]]-32) * (5/9)</f>
        <v>20.666666666666668</v>
      </c>
      <c r="K1494">
        <v>0</v>
      </c>
      <c r="L1494">
        <v>0</v>
      </c>
      <c r="M1494">
        <v>35</v>
      </c>
      <c r="N1494">
        <v>49.5</v>
      </c>
      <c r="O1494">
        <v>50.5</v>
      </c>
      <c r="P1494">
        <v>45.4</v>
      </c>
      <c r="Q1494">
        <v>54.6</v>
      </c>
    </row>
    <row r="1495" spans="1:17" x14ac:dyDescent="0.25">
      <c r="A1495" s="2">
        <v>44958</v>
      </c>
      <c r="B1495" s="2" t="str">
        <f t="shared" si="46"/>
        <v>Wednesday</v>
      </c>
      <c r="C1495" s="2" t="b">
        <f t="shared" si="47"/>
        <v>0</v>
      </c>
      <c r="D1495">
        <v>3</v>
      </c>
      <c r="E1495" t="s">
        <v>7</v>
      </c>
      <c r="F1495">
        <v>180</v>
      </c>
      <c r="G1495" s="3">
        <v>3278.64</v>
      </c>
      <c r="H1495" s="3">
        <f>Miami_Retail[[#This Row],[sales_usd]] / Miami_Retail[[#This Row],[customers]]</f>
        <v>18.214666666666666</v>
      </c>
      <c r="I1495">
        <v>68.8</v>
      </c>
      <c r="J1495">
        <f>(Miami_Retail[[#This Row],[avg_temp_f]]-32) * (5/9)</f>
        <v>20.444444444444443</v>
      </c>
      <c r="K1495">
        <v>0</v>
      </c>
      <c r="L1495">
        <v>0</v>
      </c>
      <c r="M1495">
        <v>46.9</v>
      </c>
      <c r="N1495">
        <v>50.5</v>
      </c>
      <c r="O1495">
        <v>49.5</v>
      </c>
      <c r="P1495">
        <v>46.4</v>
      </c>
      <c r="Q1495">
        <v>53.6</v>
      </c>
    </row>
    <row r="1496" spans="1:17" x14ac:dyDescent="0.25">
      <c r="A1496" s="2">
        <v>44959</v>
      </c>
      <c r="B1496" s="2" t="str">
        <f t="shared" si="46"/>
        <v>Thursday</v>
      </c>
      <c r="C1496" s="2" t="b">
        <f t="shared" si="47"/>
        <v>0</v>
      </c>
      <c r="D1496">
        <v>3</v>
      </c>
      <c r="E1496" t="s">
        <v>7</v>
      </c>
      <c r="F1496">
        <v>211</v>
      </c>
      <c r="G1496" s="3">
        <v>3667.44</v>
      </c>
      <c r="H1496" s="3">
        <f>Miami_Retail[[#This Row],[sales_usd]] / Miami_Retail[[#This Row],[customers]]</f>
        <v>17.381232227488152</v>
      </c>
      <c r="I1496">
        <v>73.400000000000006</v>
      </c>
      <c r="J1496">
        <f>(Miami_Retail[[#This Row],[avg_temp_f]]-32) * (5/9)</f>
        <v>23.000000000000004</v>
      </c>
      <c r="K1496">
        <v>0</v>
      </c>
      <c r="L1496">
        <v>0</v>
      </c>
      <c r="M1496">
        <v>42.2</v>
      </c>
      <c r="N1496">
        <v>50.3</v>
      </c>
      <c r="O1496">
        <v>49.7</v>
      </c>
      <c r="P1496">
        <v>45.2</v>
      </c>
      <c r="Q1496">
        <v>54.8</v>
      </c>
    </row>
    <row r="1497" spans="1:17" x14ac:dyDescent="0.25">
      <c r="A1497" s="2">
        <v>44960</v>
      </c>
      <c r="B1497" s="2" t="str">
        <f t="shared" si="46"/>
        <v>Friday</v>
      </c>
      <c r="C1497" s="2" t="b">
        <f t="shared" si="47"/>
        <v>0</v>
      </c>
      <c r="D1497">
        <v>3</v>
      </c>
      <c r="E1497" t="s">
        <v>7</v>
      </c>
      <c r="F1497">
        <v>193</v>
      </c>
      <c r="G1497" s="3">
        <v>3159.12</v>
      </c>
      <c r="H1497" s="3">
        <f>Miami_Retail[[#This Row],[sales_usd]] / Miami_Retail[[#This Row],[customers]]</f>
        <v>16.368497409326423</v>
      </c>
      <c r="I1497">
        <v>74.7</v>
      </c>
      <c r="J1497">
        <f>(Miami_Retail[[#This Row],[avg_temp_f]]-32) * (5/9)</f>
        <v>23.722222222222225</v>
      </c>
      <c r="K1497">
        <v>0</v>
      </c>
      <c r="L1497">
        <v>0</v>
      </c>
      <c r="M1497">
        <v>35</v>
      </c>
      <c r="N1497">
        <v>51</v>
      </c>
      <c r="O1497">
        <v>49</v>
      </c>
      <c r="P1497">
        <v>46</v>
      </c>
      <c r="Q1497">
        <v>54</v>
      </c>
    </row>
    <row r="1498" spans="1:17" x14ac:dyDescent="0.25">
      <c r="A1498" s="2">
        <v>44961</v>
      </c>
      <c r="B1498" s="2" t="str">
        <f t="shared" si="46"/>
        <v>Saturday</v>
      </c>
      <c r="C1498" s="2" t="b">
        <f t="shared" si="47"/>
        <v>1</v>
      </c>
      <c r="D1498">
        <v>3</v>
      </c>
      <c r="E1498" t="s">
        <v>7</v>
      </c>
      <c r="F1498">
        <v>189</v>
      </c>
      <c r="G1498" s="3">
        <v>3267.05</v>
      </c>
      <c r="H1498" s="3">
        <f>Miami_Retail[[#This Row],[sales_usd]] / Miami_Retail[[#This Row],[customers]]</f>
        <v>17.285978835978838</v>
      </c>
      <c r="I1498">
        <v>66.2</v>
      </c>
      <c r="J1498">
        <f>(Miami_Retail[[#This Row],[avg_temp_f]]-32) * (5/9)</f>
        <v>19.000000000000004</v>
      </c>
      <c r="K1498">
        <v>0</v>
      </c>
      <c r="L1498">
        <v>0</v>
      </c>
      <c r="M1498">
        <v>43.6</v>
      </c>
      <c r="N1498">
        <v>49.4</v>
      </c>
      <c r="O1498">
        <v>50.6</v>
      </c>
      <c r="P1498">
        <v>52.9</v>
      </c>
      <c r="Q1498">
        <v>47.1</v>
      </c>
    </row>
    <row r="1499" spans="1:17" x14ac:dyDescent="0.25">
      <c r="A1499" s="2">
        <v>44962</v>
      </c>
      <c r="B1499" s="2" t="str">
        <f t="shared" si="46"/>
        <v>Sunday</v>
      </c>
      <c r="C1499" s="2" t="b">
        <f t="shared" si="47"/>
        <v>1</v>
      </c>
      <c r="D1499">
        <v>3</v>
      </c>
      <c r="E1499" t="s">
        <v>7</v>
      </c>
      <c r="F1499">
        <v>200</v>
      </c>
      <c r="G1499" s="3">
        <v>3364.81</v>
      </c>
      <c r="H1499" s="3">
        <f>Miami_Retail[[#This Row],[sales_usd]] / Miami_Retail[[#This Row],[customers]]</f>
        <v>16.82405</v>
      </c>
      <c r="I1499">
        <v>66.8</v>
      </c>
      <c r="J1499">
        <f>(Miami_Retail[[#This Row],[avg_temp_f]]-32) * (5/9)</f>
        <v>19.333333333333332</v>
      </c>
      <c r="K1499">
        <v>0.79</v>
      </c>
      <c r="L1499">
        <v>1</v>
      </c>
      <c r="M1499">
        <v>36.9</v>
      </c>
      <c r="N1499">
        <v>50.2</v>
      </c>
      <c r="O1499">
        <v>49.8</v>
      </c>
      <c r="P1499">
        <v>51.7</v>
      </c>
      <c r="Q1499">
        <v>48.3</v>
      </c>
    </row>
    <row r="1500" spans="1:17" x14ac:dyDescent="0.25">
      <c r="A1500" s="2">
        <v>44963</v>
      </c>
      <c r="B1500" s="2" t="str">
        <f t="shared" si="46"/>
        <v>Monday</v>
      </c>
      <c r="C1500" s="2" t="b">
        <f t="shared" si="47"/>
        <v>0</v>
      </c>
      <c r="D1500">
        <v>3</v>
      </c>
      <c r="E1500" t="s">
        <v>7</v>
      </c>
      <c r="F1500">
        <v>193</v>
      </c>
      <c r="G1500" s="3">
        <v>3120.2</v>
      </c>
      <c r="H1500" s="3">
        <f>Miami_Retail[[#This Row],[sales_usd]] / Miami_Retail[[#This Row],[customers]]</f>
        <v>16.16683937823834</v>
      </c>
      <c r="I1500">
        <v>62</v>
      </c>
      <c r="J1500">
        <f>(Miami_Retail[[#This Row],[avg_temp_f]]-32) * (5/9)</f>
        <v>16.666666666666668</v>
      </c>
      <c r="K1500">
        <v>0</v>
      </c>
      <c r="L1500">
        <v>0</v>
      </c>
      <c r="M1500">
        <v>42.5</v>
      </c>
      <c r="N1500">
        <v>51.2</v>
      </c>
      <c r="O1500">
        <v>48.8</v>
      </c>
      <c r="P1500">
        <v>44.9</v>
      </c>
      <c r="Q1500">
        <v>55.1</v>
      </c>
    </row>
    <row r="1501" spans="1:17" x14ac:dyDescent="0.25">
      <c r="A1501" s="2">
        <v>44964</v>
      </c>
      <c r="B1501" s="2" t="str">
        <f t="shared" si="46"/>
        <v>Tuesday</v>
      </c>
      <c r="C1501" s="2" t="b">
        <f t="shared" si="47"/>
        <v>0</v>
      </c>
      <c r="D1501">
        <v>3</v>
      </c>
      <c r="E1501" t="s">
        <v>7</v>
      </c>
      <c r="F1501">
        <v>219</v>
      </c>
      <c r="G1501" s="3">
        <v>3855.21</v>
      </c>
      <c r="H1501" s="3">
        <f>Miami_Retail[[#This Row],[sales_usd]] / Miami_Retail[[#This Row],[customers]]</f>
        <v>17.603698630136986</v>
      </c>
      <c r="I1501">
        <v>66.099999999999994</v>
      </c>
      <c r="J1501">
        <f>(Miami_Retail[[#This Row],[avg_temp_f]]-32) * (5/9)</f>
        <v>18.944444444444443</v>
      </c>
      <c r="K1501">
        <v>0</v>
      </c>
      <c r="L1501">
        <v>0</v>
      </c>
      <c r="M1501">
        <v>35</v>
      </c>
      <c r="N1501">
        <v>50.6</v>
      </c>
      <c r="O1501">
        <v>49.4</v>
      </c>
      <c r="P1501">
        <v>46.9</v>
      </c>
      <c r="Q1501">
        <v>53.1</v>
      </c>
    </row>
    <row r="1502" spans="1:17" x14ac:dyDescent="0.25">
      <c r="A1502" s="2">
        <v>44965</v>
      </c>
      <c r="B1502" s="2" t="str">
        <f t="shared" si="46"/>
        <v>Wednesday</v>
      </c>
      <c r="C1502" s="2" t="b">
        <f t="shared" si="47"/>
        <v>0</v>
      </c>
      <c r="D1502">
        <v>3</v>
      </c>
      <c r="E1502" t="s">
        <v>7</v>
      </c>
      <c r="F1502">
        <v>157</v>
      </c>
      <c r="G1502" s="3">
        <v>2701.5</v>
      </c>
      <c r="H1502" s="3">
        <f>Miami_Retail[[#This Row],[sales_usd]] / Miami_Retail[[#This Row],[customers]]</f>
        <v>17.20700636942675</v>
      </c>
      <c r="I1502">
        <v>65.5</v>
      </c>
      <c r="J1502">
        <f>(Miami_Retail[[#This Row],[avg_temp_f]]-32) * (5/9)</f>
        <v>18.611111111111111</v>
      </c>
      <c r="K1502">
        <v>3.29</v>
      </c>
      <c r="L1502">
        <v>1</v>
      </c>
      <c r="M1502">
        <v>41.9</v>
      </c>
      <c r="N1502">
        <v>51.8</v>
      </c>
      <c r="O1502">
        <v>48.2</v>
      </c>
      <c r="P1502">
        <v>45.3</v>
      </c>
      <c r="Q1502">
        <v>54.7</v>
      </c>
    </row>
    <row r="1503" spans="1:17" x14ac:dyDescent="0.25">
      <c r="A1503" s="2">
        <v>44966</v>
      </c>
      <c r="B1503" s="2" t="str">
        <f t="shared" si="46"/>
        <v>Thursday</v>
      </c>
      <c r="C1503" s="2" t="b">
        <f t="shared" si="47"/>
        <v>0</v>
      </c>
      <c r="D1503">
        <v>3</v>
      </c>
      <c r="E1503" t="s">
        <v>7</v>
      </c>
      <c r="F1503">
        <v>169</v>
      </c>
      <c r="G1503" s="3">
        <v>2802.54</v>
      </c>
      <c r="H1503" s="3">
        <f>Miami_Retail[[#This Row],[sales_usd]] / Miami_Retail[[#This Row],[customers]]</f>
        <v>16.583076923076923</v>
      </c>
      <c r="I1503">
        <v>70.400000000000006</v>
      </c>
      <c r="J1503">
        <f>(Miami_Retail[[#This Row],[avg_temp_f]]-32) * (5/9)</f>
        <v>21.333333333333336</v>
      </c>
      <c r="K1503">
        <v>0</v>
      </c>
      <c r="L1503">
        <v>0</v>
      </c>
      <c r="M1503">
        <v>36.9</v>
      </c>
      <c r="N1503">
        <v>49.7</v>
      </c>
      <c r="O1503">
        <v>50.3</v>
      </c>
      <c r="P1503">
        <v>43.9</v>
      </c>
      <c r="Q1503">
        <v>56.1</v>
      </c>
    </row>
    <row r="1504" spans="1:17" x14ac:dyDescent="0.25">
      <c r="A1504" s="2">
        <v>44967</v>
      </c>
      <c r="B1504" s="2" t="str">
        <f t="shared" si="46"/>
        <v>Friday</v>
      </c>
      <c r="C1504" s="2" t="b">
        <f t="shared" si="47"/>
        <v>0</v>
      </c>
      <c r="D1504">
        <v>3</v>
      </c>
      <c r="E1504" t="s">
        <v>7</v>
      </c>
      <c r="F1504">
        <v>202</v>
      </c>
      <c r="G1504" s="3">
        <v>3180.87</v>
      </c>
      <c r="H1504" s="3">
        <f>Miami_Retail[[#This Row],[sales_usd]] / Miami_Retail[[#This Row],[customers]]</f>
        <v>15.746881188118811</v>
      </c>
      <c r="I1504">
        <v>65.7</v>
      </c>
      <c r="J1504">
        <f>(Miami_Retail[[#This Row],[avg_temp_f]]-32) * (5/9)</f>
        <v>18.722222222222225</v>
      </c>
      <c r="K1504">
        <v>0</v>
      </c>
      <c r="L1504">
        <v>0</v>
      </c>
      <c r="M1504">
        <v>35</v>
      </c>
      <c r="N1504">
        <v>51.7</v>
      </c>
      <c r="O1504">
        <v>48.3</v>
      </c>
      <c r="P1504">
        <v>45.9</v>
      </c>
      <c r="Q1504">
        <v>54.1</v>
      </c>
    </row>
    <row r="1505" spans="1:17" x14ac:dyDescent="0.25">
      <c r="A1505" s="2">
        <v>44968</v>
      </c>
      <c r="B1505" s="2" t="str">
        <f t="shared" si="46"/>
        <v>Saturday</v>
      </c>
      <c r="C1505" s="2" t="b">
        <f t="shared" si="47"/>
        <v>1</v>
      </c>
      <c r="D1505">
        <v>3</v>
      </c>
      <c r="E1505" t="s">
        <v>7</v>
      </c>
      <c r="F1505">
        <v>181</v>
      </c>
      <c r="G1505" s="3">
        <v>3092.44</v>
      </c>
      <c r="H1505" s="3">
        <f>Miami_Retail[[#This Row],[sales_usd]] / Miami_Retail[[#This Row],[customers]]</f>
        <v>17.085303867403315</v>
      </c>
      <c r="I1505">
        <v>64.7</v>
      </c>
      <c r="J1505">
        <f>(Miami_Retail[[#This Row],[avg_temp_f]]-32) * (5/9)</f>
        <v>18.166666666666668</v>
      </c>
      <c r="K1505">
        <v>2.4700000000000002</v>
      </c>
      <c r="L1505">
        <v>1</v>
      </c>
      <c r="M1505">
        <v>40.6</v>
      </c>
      <c r="N1505">
        <v>50.1</v>
      </c>
      <c r="O1505">
        <v>49.9</v>
      </c>
      <c r="P1505">
        <v>50.7</v>
      </c>
      <c r="Q1505">
        <v>49.3</v>
      </c>
    </row>
    <row r="1506" spans="1:17" x14ac:dyDescent="0.25">
      <c r="A1506" s="2">
        <v>44969</v>
      </c>
      <c r="B1506" s="2" t="str">
        <f t="shared" si="46"/>
        <v>Sunday</v>
      </c>
      <c r="C1506" s="2" t="b">
        <f t="shared" si="47"/>
        <v>1</v>
      </c>
      <c r="D1506">
        <v>3</v>
      </c>
      <c r="E1506" t="s">
        <v>7</v>
      </c>
      <c r="F1506">
        <v>221</v>
      </c>
      <c r="G1506" s="3">
        <v>3540.32</v>
      </c>
      <c r="H1506" s="3">
        <f>Miami_Retail[[#This Row],[sales_usd]] / Miami_Retail[[#This Row],[customers]]</f>
        <v>16.019547511312219</v>
      </c>
      <c r="I1506">
        <v>68.099999999999994</v>
      </c>
      <c r="J1506">
        <f>(Miami_Retail[[#This Row],[avg_temp_f]]-32) * (5/9)</f>
        <v>20.055555555555554</v>
      </c>
      <c r="K1506">
        <v>0</v>
      </c>
      <c r="L1506">
        <v>0</v>
      </c>
      <c r="M1506">
        <v>35.700000000000003</v>
      </c>
      <c r="N1506">
        <v>51.2</v>
      </c>
      <c r="O1506">
        <v>48.8</v>
      </c>
      <c r="P1506">
        <v>52.1</v>
      </c>
      <c r="Q1506">
        <v>47.9</v>
      </c>
    </row>
    <row r="1507" spans="1:17" x14ac:dyDescent="0.25">
      <c r="A1507" s="2">
        <v>44970</v>
      </c>
      <c r="B1507" s="2" t="str">
        <f t="shared" si="46"/>
        <v>Monday</v>
      </c>
      <c r="C1507" s="2" t="b">
        <f t="shared" si="47"/>
        <v>0</v>
      </c>
      <c r="D1507">
        <v>3</v>
      </c>
      <c r="E1507" t="s">
        <v>7</v>
      </c>
      <c r="F1507">
        <v>210</v>
      </c>
      <c r="G1507" s="3">
        <v>3598.86</v>
      </c>
      <c r="H1507" s="3">
        <f>Miami_Retail[[#This Row],[sales_usd]] / Miami_Retail[[#This Row],[customers]]</f>
        <v>17.137428571428572</v>
      </c>
      <c r="I1507">
        <v>69.7</v>
      </c>
      <c r="J1507">
        <f>(Miami_Retail[[#This Row],[avg_temp_f]]-32) * (5/9)</f>
        <v>20.944444444444446</v>
      </c>
      <c r="K1507">
        <v>0</v>
      </c>
      <c r="L1507">
        <v>0</v>
      </c>
      <c r="M1507">
        <v>35</v>
      </c>
      <c r="N1507">
        <v>52</v>
      </c>
      <c r="O1507">
        <v>48</v>
      </c>
      <c r="P1507">
        <v>47.6</v>
      </c>
      <c r="Q1507">
        <v>52.4</v>
      </c>
    </row>
    <row r="1508" spans="1:17" x14ac:dyDescent="0.25">
      <c r="A1508" s="2">
        <v>44971</v>
      </c>
      <c r="B1508" s="2" t="str">
        <f t="shared" si="46"/>
        <v>Tuesday</v>
      </c>
      <c r="C1508" s="2" t="b">
        <f t="shared" si="47"/>
        <v>0</v>
      </c>
      <c r="D1508">
        <v>3</v>
      </c>
      <c r="E1508" t="s">
        <v>7</v>
      </c>
      <c r="F1508">
        <v>191</v>
      </c>
      <c r="G1508" s="3">
        <v>3162.58</v>
      </c>
      <c r="H1508" s="3">
        <f>Miami_Retail[[#This Row],[sales_usd]] / Miami_Retail[[#This Row],[customers]]</f>
        <v>16.558010471204188</v>
      </c>
      <c r="I1508">
        <v>63.7</v>
      </c>
      <c r="J1508">
        <f>(Miami_Retail[[#This Row],[avg_temp_f]]-32) * (5/9)</f>
        <v>17.611111111111114</v>
      </c>
      <c r="K1508">
        <v>0</v>
      </c>
      <c r="L1508">
        <v>0</v>
      </c>
      <c r="M1508">
        <v>35</v>
      </c>
      <c r="N1508">
        <v>51.4</v>
      </c>
      <c r="O1508">
        <v>48.6</v>
      </c>
      <c r="P1508">
        <v>45.8</v>
      </c>
      <c r="Q1508">
        <v>54.2</v>
      </c>
    </row>
    <row r="1509" spans="1:17" x14ac:dyDescent="0.25">
      <c r="A1509" s="2">
        <v>44972</v>
      </c>
      <c r="B1509" s="2" t="str">
        <f t="shared" si="46"/>
        <v>Wednesday</v>
      </c>
      <c r="C1509" s="2" t="b">
        <f t="shared" si="47"/>
        <v>0</v>
      </c>
      <c r="D1509">
        <v>3</v>
      </c>
      <c r="E1509" t="s">
        <v>7</v>
      </c>
      <c r="F1509">
        <v>187</v>
      </c>
      <c r="G1509" s="3">
        <v>3215.12</v>
      </c>
      <c r="H1509" s="3">
        <f>Miami_Retail[[#This Row],[sales_usd]] / Miami_Retail[[#This Row],[customers]]</f>
        <v>17.193155080213902</v>
      </c>
      <c r="I1509">
        <v>59.8</v>
      </c>
      <c r="J1509">
        <f>(Miami_Retail[[#This Row],[avg_temp_f]]-32) * (5/9)</f>
        <v>15.444444444444443</v>
      </c>
      <c r="K1509">
        <v>0</v>
      </c>
      <c r="L1509">
        <v>0</v>
      </c>
      <c r="M1509">
        <v>35</v>
      </c>
      <c r="N1509">
        <v>52.4</v>
      </c>
      <c r="O1509">
        <v>47.6</v>
      </c>
      <c r="P1509">
        <v>47.6</v>
      </c>
      <c r="Q1509">
        <v>52.4</v>
      </c>
    </row>
    <row r="1510" spans="1:17" x14ac:dyDescent="0.25">
      <c r="A1510" s="2">
        <v>44973</v>
      </c>
      <c r="B1510" s="2" t="str">
        <f t="shared" si="46"/>
        <v>Thursday</v>
      </c>
      <c r="C1510" s="2" t="b">
        <f t="shared" si="47"/>
        <v>0</v>
      </c>
      <c r="D1510">
        <v>3</v>
      </c>
      <c r="E1510" t="s">
        <v>7</v>
      </c>
      <c r="F1510">
        <v>196</v>
      </c>
      <c r="G1510" s="3">
        <v>2937.47</v>
      </c>
      <c r="H1510" s="3">
        <f>Miami_Retail[[#This Row],[sales_usd]] / Miami_Retail[[#This Row],[customers]]</f>
        <v>14.987091836734693</v>
      </c>
      <c r="I1510">
        <v>69.400000000000006</v>
      </c>
      <c r="J1510">
        <f>(Miami_Retail[[#This Row],[avg_temp_f]]-32) * (5/9)</f>
        <v>20.777777777777782</v>
      </c>
      <c r="K1510">
        <v>0.8</v>
      </c>
      <c r="L1510">
        <v>1</v>
      </c>
      <c r="M1510">
        <v>37.1</v>
      </c>
      <c r="N1510">
        <v>50.9</v>
      </c>
      <c r="O1510">
        <v>49.1</v>
      </c>
      <c r="P1510">
        <v>45.8</v>
      </c>
      <c r="Q1510">
        <v>54.2</v>
      </c>
    </row>
    <row r="1511" spans="1:17" x14ac:dyDescent="0.25">
      <c r="A1511" s="2">
        <v>44974</v>
      </c>
      <c r="B1511" s="2" t="str">
        <f t="shared" si="46"/>
        <v>Friday</v>
      </c>
      <c r="C1511" s="2" t="b">
        <f t="shared" si="47"/>
        <v>0</v>
      </c>
      <c r="D1511">
        <v>3</v>
      </c>
      <c r="E1511" t="s">
        <v>7</v>
      </c>
      <c r="F1511">
        <v>185</v>
      </c>
      <c r="G1511" s="3">
        <v>3043.86</v>
      </c>
      <c r="H1511" s="3">
        <f>Miami_Retail[[#This Row],[sales_usd]] / Miami_Retail[[#This Row],[customers]]</f>
        <v>16.453297297297297</v>
      </c>
      <c r="I1511">
        <v>59.8</v>
      </c>
      <c r="J1511">
        <f>(Miami_Retail[[#This Row],[avg_temp_f]]-32) * (5/9)</f>
        <v>15.444444444444443</v>
      </c>
      <c r="K1511">
        <v>0</v>
      </c>
      <c r="L1511">
        <v>0</v>
      </c>
      <c r="M1511">
        <v>37.200000000000003</v>
      </c>
      <c r="N1511">
        <v>52.5</v>
      </c>
      <c r="O1511">
        <v>47.5</v>
      </c>
      <c r="P1511">
        <v>45.9</v>
      </c>
      <c r="Q1511">
        <v>54.1</v>
      </c>
    </row>
    <row r="1512" spans="1:17" x14ac:dyDescent="0.25">
      <c r="A1512" s="2">
        <v>44975</v>
      </c>
      <c r="B1512" s="2" t="str">
        <f t="shared" si="46"/>
        <v>Saturday</v>
      </c>
      <c r="C1512" s="2" t="b">
        <f t="shared" si="47"/>
        <v>1</v>
      </c>
      <c r="D1512">
        <v>3</v>
      </c>
      <c r="E1512" t="s">
        <v>7</v>
      </c>
      <c r="F1512">
        <v>250</v>
      </c>
      <c r="G1512" s="3">
        <v>3600.38</v>
      </c>
      <c r="H1512" s="3">
        <f>Miami_Retail[[#This Row],[sales_usd]] / Miami_Retail[[#This Row],[customers]]</f>
        <v>14.40152</v>
      </c>
      <c r="I1512">
        <v>73.5</v>
      </c>
      <c r="J1512">
        <f>(Miami_Retail[[#This Row],[avg_temp_f]]-32) * (5/9)</f>
        <v>23.055555555555557</v>
      </c>
      <c r="K1512">
        <v>0</v>
      </c>
      <c r="L1512">
        <v>0</v>
      </c>
      <c r="M1512">
        <v>35</v>
      </c>
      <c r="N1512">
        <v>52.4</v>
      </c>
      <c r="O1512">
        <v>47.6</v>
      </c>
      <c r="P1512">
        <v>52</v>
      </c>
      <c r="Q1512">
        <v>48</v>
      </c>
    </row>
    <row r="1513" spans="1:17" x14ac:dyDescent="0.25">
      <c r="A1513" s="2">
        <v>44976</v>
      </c>
      <c r="B1513" s="2" t="str">
        <f t="shared" si="46"/>
        <v>Sunday</v>
      </c>
      <c r="C1513" s="2" t="b">
        <f t="shared" si="47"/>
        <v>1</v>
      </c>
      <c r="D1513">
        <v>3</v>
      </c>
      <c r="E1513" t="s">
        <v>7</v>
      </c>
      <c r="F1513">
        <v>200</v>
      </c>
      <c r="G1513" s="3">
        <v>3474.39</v>
      </c>
      <c r="H1513" s="3">
        <f>Miami_Retail[[#This Row],[sales_usd]] / Miami_Retail[[#This Row],[customers]]</f>
        <v>17.371949999999998</v>
      </c>
      <c r="I1513">
        <v>67.8</v>
      </c>
      <c r="J1513">
        <f>(Miami_Retail[[#This Row],[avg_temp_f]]-32) * (5/9)</f>
        <v>19.888888888888889</v>
      </c>
      <c r="K1513">
        <v>0</v>
      </c>
      <c r="L1513">
        <v>0</v>
      </c>
      <c r="M1513">
        <v>35.200000000000003</v>
      </c>
      <c r="N1513">
        <v>52.1</v>
      </c>
      <c r="O1513">
        <v>47.9</v>
      </c>
      <c r="P1513">
        <v>53.8</v>
      </c>
      <c r="Q1513">
        <v>46.2</v>
      </c>
    </row>
    <row r="1514" spans="1:17" x14ac:dyDescent="0.25">
      <c r="A1514" s="2">
        <v>44977</v>
      </c>
      <c r="B1514" s="2" t="str">
        <f t="shared" si="46"/>
        <v>Monday</v>
      </c>
      <c r="C1514" s="2" t="b">
        <f t="shared" si="47"/>
        <v>0</v>
      </c>
      <c r="D1514">
        <v>3</v>
      </c>
      <c r="E1514" t="s">
        <v>7</v>
      </c>
      <c r="F1514">
        <v>196</v>
      </c>
      <c r="G1514" s="3">
        <v>3072.81</v>
      </c>
      <c r="H1514" s="3">
        <f>Miami_Retail[[#This Row],[sales_usd]] / Miami_Retail[[#This Row],[customers]]</f>
        <v>15.677602040816327</v>
      </c>
      <c r="I1514">
        <v>70.900000000000006</v>
      </c>
      <c r="J1514">
        <f>(Miami_Retail[[#This Row],[avg_temp_f]]-32) * (5/9)</f>
        <v>21.611111111111114</v>
      </c>
      <c r="K1514">
        <v>0.32</v>
      </c>
      <c r="L1514">
        <v>1</v>
      </c>
      <c r="M1514">
        <v>35.9</v>
      </c>
      <c r="N1514">
        <v>51.8</v>
      </c>
      <c r="O1514">
        <v>48.2</v>
      </c>
      <c r="P1514">
        <v>47.9</v>
      </c>
      <c r="Q1514">
        <v>52.1</v>
      </c>
    </row>
    <row r="1515" spans="1:17" x14ac:dyDescent="0.25">
      <c r="A1515" s="2">
        <v>44978</v>
      </c>
      <c r="B1515" s="2" t="str">
        <f t="shared" si="46"/>
        <v>Tuesday</v>
      </c>
      <c r="C1515" s="2" t="b">
        <f t="shared" si="47"/>
        <v>0</v>
      </c>
      <c r="D1515">
        <v>3</v>
      </c>
      <c r="E1515" t="s">
        <v>7</v>
      </c>
      <c r="F1515">
        <v>165</v>
      </c>
      <c r="G1515" s="3">
        <v>2698.38</v>
      </c>
      <c r="H1515" s="3">
        <f>Miami_Retail[[#This Row],[sales_usd]] / Miami_Retail[[#This Row],[customers]]</f>
        <v>16.353818181818184</v>
      </c>
      <c r="I1515">
        <v>69.5</v>
      </c>
      <c r="J1515">
        <f>(Miami_Retail[[#This Row],[avg_temp_f]]-32) * (5/9)</f>
        <v>20.833333333333336</v>
      </c>
      <c r="K1515">
        <v>0.59</v>
      </c>
      <c r="L1515">
        <v>1</v>
      </c>
      <c r="M1515">
        <v>35</v>
      </c>
      <c r="N1515">
        <v>50.7</v>
      </c>
      <c r="O1515">
        <v>49.3</v>
      </c>
      <c r="P1515">
        <v>46.5</v>
      </c>
      <c r="Q1515">
        <v>53.5</v>
      </c>
    </row>
    <row r="1516" spans="1:17" x14ac:dyDescent="0.25">
      <c r="A1516" s="2">
        <v>44979</v>
      </c>
      <c r="B1516" s="2" t="str">
        <f t="shared" si="46"/>
        <v>Wednesday</v>
      </c>
      <c r="C1516" s="2" t="b">
        <f t="shared" si="47"/>
        <v>0</v>
      </c>
      <c r="D1516">
        <v>3</v>
      </c>
      <c r="E1516" t="s">
        <v>7</v>
      </c>
      <c r="F1516">
        <v>194</v>
      </c>
      <c r="G1516" s="3">
        <v>3084.66</v>
      </c>
      <c r="H1516" s="3">
        <f>Miami_Retail[[#This Row],[sales_usd]] / Miami_Retail[[#This Row],[customers]]</f>
        <v>15.900309278350514</v>
      </c>
      <c r="I1516">
        <v>69.5</v>
      </c>
      <c r="J1516">
        <f>(Miami_Retail[[#This Row],[avg_temp_f]]-32) * (5/9)</f>
        <v>20.833333333333336</v>
      </c>
      <c r="K1516">
        <v>0</v>
      </c>
      <c r="L1516">
        <v>0</v>
      </c>
      <c r="M1516">
        <v>38.6</v>
      </c>
      <c r="N1516">
        <v>50.3</v>
      </c>
      <c r="O1516">
        <v>49.7</v>
      </c>
      <c r="P1516">
        <v>46.2</v>
      </c>
      <c r="Q1516">
        <v>53.8</v>
      </c>
    </row>
    <row r="1517" spans="1:17" x14ac:dyDescent="0.25">
      <c r="A1517" s="2">
        <v>44980</v>
      </c>
      <c r="B1517" s="2" t="str">
        <f t="shared" si="46"/>
        <v>Thursday</v>
      </c>
      <c r="C1517" s="2" t="b">
        <f t="shared" si="47"/>
        <v>0</v>
      </c>
      <c r="D1517">
        <v>3</v>
      </c>
      <c r="E1517" t="s">
        <v>7</v>
      </c>
      <c r="F1517">
        <v>200</v>
      </c>
      <c r="G1517" s="3">
        <v>3332.89</v>
      </c>
      <c r="H1517" s="3">
        <f>Miami_Retail[[#This Row],[sales_usd]] / Miami_Retail[[#This Row],[customers]]</f>
        <v>16.664449999999999</v>
      </c>
      <c r="I1517">
        <v>67.8</v>
      </c>
      <c r="J1517">
        <f>(Miami_Retail[[#This Row],[avg_temp_f]]-32) * (5/9)</f>
        <v>19.888888888888889</v>
      </c>
      <c r="K1517">
        <v>0</v>
      </c>
      <c r="L1517">
        <v>0</v>
      </c>
      <c r="M1517">
        <v>35</v>
      </c>
      <c r="N1517">
        <v>50.8</v>
      </c>
      <c r="O1517">
        <v>49.2</v>
      </c>
      <c r="P1517">
        <v>46.6</v>
      </c>
      <c r="Q1517">
        <v>53.4</v>
      </c>
    </row>
    <row r="1518" spans="1:17" x14ac:dyDescent="0.25">
      <c r="A1518" s="2">
        <v>44981</v>
      </c>
      <c r="B1518" s="2" t="str">
        <f t="shared" si="46"/>
        <v>Friday</v>
      </c>
      <c r="C1518" s="2" t="b">
        <f t="shared" si="47"/>
        <v>0</v>
      </c>
      <c r="D1518">
        <v>3</v>
      </c>
      <c r="E1518" t="s">
        <v>7</v>
      </c>
      <c r="F1518">
        <v>181</v>
      </c>
      <c r="G1518" s="3">
        <v>2988.95</v>
      </c>
      <c r="H1518" s="3">
        <f>Miami_Retail[[#This Row],[sales_usd]] / Miami_Retail[[#This Row],[customers]]</f>
        <v>16.513535911602208</v>
      </c>
      <c r="I1518">
        <v>55.5</v>
      </c>
      <c r="J1518">
        <f>(Miami_Retail[[#This Row],[avg_temp_f]]-32) * (5/9)</f>
        <v>13.055555555555555</v>
      </c>
      <c r="K1518">
        <v>0</v>
      </c>
      <c r="L1518">
        <v>0</v>
      </c>
      <c r="M1518">
        <v>37.6</v>
      </c>
      <c r="N1518">
        <v>52.5</v>
      </c>
      <c r="O1518">
        <v>47.5</v>
      </c>
      <c r="P1518">
        <v>46.6</v>
      </c>
      <c r="Q1518">
        <v>53.4</v>
      </c>
    </row>
    <row r="1519" spans="1:17" x14ac:dyDescent="0.25">
      <c r="A1519" s="2">
        <v>44982</v>
      </c>
      <c r="B1519" s="2" t="str">
        <f t="shared" si="46"/>
        <v>Saturday</v>
      </c>
      <c r="C1519" s="2" t="b">
        <f t="shared" si="47"/>
        <v>1</v>
      </c>
      <c r="D1519">
        <v>3</v>
      </c>
      <c r="E1519" t="s">
        <v>7</v>
      </c>
      <c r="F1519">
        <v>219</v>
      </c>
      <c r="G1519" s="3">
        <v>3355.69</v>
      </c>
      <c r="H1519" s="3">
        <f>Miami_Retail[[#This Row],[sales_usd]] / Miami_Retail[[#This Row],[customers]]</f>
        <v>15.322785388127855</v>
      </c>
      <c r="I1519">
        <v>62.7</v>
      </c>
      <c r="J1519">
        <f>(Miami_Retail[[#This Row],[avg_temp_f]]-32) * (5/9)</f>
        <v>17.055555555555557</v>
      </c>
      <c r="K1519">
        <v>0.24</v>
      </c>
      <c r="L1519">
        <v>1</v>
      </c>
      <c r="M1519">
        <v>35.200000000000003</v>
      </c>
      <c r="N1519">
        <v>50.5</v>
      </c>
      <c r="O1519">
        <v>49.5</v>
      </c>
      <c r="P1519">
        <v>54.2</v>
      </c>
      <c r="Q1519">
        <v>45.8</v>
      </c>
    </row>
    <row r="1520" spans="1:17" x14ac:dyDescent="0.25">
      <c r="A1520" s="2">
        <v>44983</v>
      </c>
      <c r="B1520" s="2" t="str">
        <f t="shared" si="46"/>
        <v>Sunday</v>
      </c>
      <c r="C1520" s="2" t="b">
        <f t="shared" si="47"/>
        <v>1</v>
      </c>
      <c r="D1520">
        <v>3</v>
      </c>
      <c r="E1520" t="s">
        <v>7</v>
      </c>
      <c r="F1520">
        <v>242</v>
      </c>
      <c r="G1520" s="3">
        <v>4298.3100000000004</v>
      </c>
      <c r="H1520" s="3">
        <f>Miami_Retail[[#This Row],[sales_usd]] / Miami_Retail[[#This Row],[customers]]</f>
        <v>17.761611570247936</v>
      </c>
      <c r="I1520">
        <v>71.8</v>
      </c>
      <c r="J1520">
        <f>(Miami_Retail[[#This Row],[avg_temp_f]]-32) * (5/9)</f>
        <v>22.111111111111111</v>
      </c>
      <c r="K1520">
        <v>0</v>
      </c>
      <c r="L1520">
        <v>0</v>
      </c>
      <c r="M1520">
        <v>41.9</v>
      </c>
      <c r="N1520">
        <v>50.6</v>
      </c>
      <c r="O1520">
        <v>49.4</v>
      </c>
      <c r="P1520">
        <v>51.7</v>
      </c>
      <c r="Q1520">
        <v>48.3</v>
      </c>
    </row>
    <row r="1521" spans="1:17" x14ac:dyDescent="0.25">
      <c r="A1521" s="2">
        <v>44984</v>
      </c>
      <c r="B1521" s="2" t="str">
        <f t="shared" si="46"/>
        <v>Monday</v>
      </c>
      <c r="C1521" s="2" t="b">
        <f t="shared" si="47"/>
        <v>0</v>
      </c>
      <c r="D1521">
        <v>3</v>
      </c>
      <c r="E1521" t="s">
        <v>7</v>
      </c>
      <c r="F1521">
        <v>240</v>
      </c>
      <c r="G1521" s="3">
        <v>3943.14</v>
      </c>
      <c r="H1521" s="3">
        <f>Miami_Retail[[#This Row],[sales_usd]] / Miami_Retail[[#This Row],[customers]]</f>
        <v>16.429749999999999</v>
      </c>
      <c r="I1521">
        <v>61.3</v>
      </c>
      <c r="J1521">
        <f>(Miami_Retail[[#This Row],[avg_temp_f]]-32) * (5/9)</f>
        <v>16.277777777777779</v>
      </c>
      <c r="K1521">
        <v>0</v>
      </c>
      <c r="L1521">
        <v>0</v>
      </c>
      <c r="M1521">
        <v>39.1</v>
      </c>
      <c r="N1521">
        <v>53.1</v>
      </c>
      <c r="O1521">
        <v>46.9</v>
      </c>
      <c r="P1521">
        <v>48.7</v>
      </c>
      <c r="Q1521">
        <v>51.3</v>
      </c>
    </row>
    <row r="1522" spans="1:17" x14ac:dyDescent="0.25">
      <c r="A1522" s="2">
        <v>44985</v>
      </c>
      <c r="B1522" s="2" t="str">
        <f t="shared" si="46"/>
        <v>Tuesday</v>
      </c>
      <c r="C1522" s="2" t="b">
        <f t="shared" si="47"/>
        <v>0</v>
      </c>
      <c r="D1522">
        <v>3</v>
      </c>
      <c r="E1522" t="s">
        <v>7</v>
      </c>
      <c r="F1522">
        <v>172</v>
      </c>
      <c r="G1522" s="3">
        <v>2757.65</v>
      </c>
      <c r="H1522" s="3">
        <f>Miami_Retail[[#This Row],[sales_usd]] / Miami_Retail[[#This Row],[customers]]</f>
        <v>16.032848837209304</v>
      </c>
      <c r="I1522">
        <v>65.8</v>
      </c>
      <c r="J1522">
        <f>(Miami_Retail[[#This Row],[avg_temp_f]]-32) * (5/9)</f>
        <v>18.777777777777779</v>
      </c>
      <c r="K1522">
        <v>0</v>
      </c>
      <c r="L1522">
        <v>0</v>
      </c>
      <c r="M1522">
        <v>35</v>
      </c>
      <c r="N1522">
        <v>50.3</v>
      </c>
      <c r="O1522">
        <v>49.7</v>
      </c>
      <c r="P1522">
        <v>47.1</v>
      </c>
      <c r="Q1522">
        <v>52.9</v>
      </c>
    </row>
    <row r="1523" spans="1:17" x14ac:dyDescent="0.25">
      <c r="A1523" s="2">
        <v>44986</v>
      </c>
      <c r="B1523" s="2" t="str">
        <f t="shared" si="46"/>
        <v>Wednesday</v>
      </c>
      <c r="C1523" s="2" t="b">
        <f t="shared" si="47"/>
        <v>0</v>
      </c>
      <c r="D1523">
        <v>3</v>
      </c>
      <c r="E1523" t="s">
        <v>7</v>
      </c>
      <c r="F1523">
        <v>194</v>
      </c>
      <c r="G1523" s="3">
        <v>2958.36</v>
      </c>
      <c r="H1523" s="3">
        <f>Miami_Retail[[#This Row],[sales_usd]] / Miami_Retail[[#This Row],[customers]]</f>
        <v>15.249278350515464</v>
      </c>
      <c r="I1523">
        <v>71.3</v>
      </c>
      <c r="J1523">
        <f>(Miami_Retail[[#This Row],[avg_temp_f]]-32) * (5/9)</f>
        <v>21.833333333333332</v>
      </c>
      <c r="K1523">
        <v>0.09</v>
      </c>
      <c r="L1523">
        <v>1</v>
      </c>
      <c r="M1523">
        <v>35</v>
      </c>
      <c r="N1523">
        <v>52.8</v>
      </c>
      <c r="O1523">
        <v>47.2</v>
      </c>
      <c r="P1523">
        <v>45.3</v>
      </c>
      <c r="Q1523">
        <v>54.7</v>
      </c>
    </row>
    <row r="1524" spans="1:17" x14ac:dyDescent="0.25">
      <c r="A1524" s="2">
        <v>44987</v>
      </c>
      <c r="B1524" s="2" t="str">
        <f t="shared" si="46"/>
        <v>Thursday</v>
      </c>
      <c r="C1524" s="2" t="b">
        <f t="shared" si="47"/>
        <v>0</v>
      </c>
      <c r="D1524">
        <v>3</v>
      </c>
      <c r="E1524" t="s">
        <v>7</v>
      </c>
      <c r="F1524">
        <v>175</v>
      </c>
      <c r="G1524" s="3">
        <v>2763.11</v>
      </c>
      <c r="H1524" s="3">
        <f>Miami_Retail[[#This Row],[sales_usd]] / Miami_Retail[[#This Row],[customers]]</f>
        <v>15.789200000000001</v>
      </c>
      <c r="I1524">
        <v>65.599999999999994</v>
      </c>
      <c r="J1524">
        <f>(Miami_Retail[[#This Row],[avg_temp_f]]-32) * (5/9)</f>
        <v>18.666666666666664</v>
      </c>
      <c r="K1524">
        <v>0</v>
      </c>
      <c r="L1524">
        <v>0</v>
      </c>
      <c r="M1524">
        <v>37.200000000000003</v>
      </c>
      <c r="N1524">
        <v>50.9</v>
      </c>
      <c r="O1524">
        <v>49.1</v>
      </c>
      <c r="P1524">
        <v>46.8</v>
      </c>
      <c r="Q1524">
        <v>53.2</v>
      </c>
    </row>
    <row r="1525" spans="1:17" x14ac:dyDescent="0.25">
      <c r="A1525" s="2">
        <v>44988</v>
      </c>
      <c r="B1525" s="2" t="str">
        <f t="shared" si="46"/>
        <v>Friday</v>
      </c>
      <c r="C1525" s="2" t="b">
        <f t="shared" si="47"/>
        <v>0</v>
      </c>
      <c r="D1525">
        <v>3</v>
      </c>
      <c r="E1525" t="s">
        <v>7</v>
      </c>
      <c r="F1525">
        <v>175</v>
      </c>
      <c r="G1525" s="3">
        <v>2640.62</v>
      </c>
      <c r="H1525" s="3">
        <f>Miami_Retail[[#This Row],[sales_usd]] / Miami_Retail[[#This Row],[customers]]</f>
        <v>15.089257142857143</v>
      </c>
      <c r="I1525">
        <v>66.900000000000006</v>
      </c>
      <c r="J1525">
        <f>(Miami_Retail[[#This Row],[avg_temp_f]]-32) * (5/9)</f>
        <v>19.388888888888893</v>
      </c>
      <c r="K1525">
        <v>0</v>
      </c>
      <c r="L1525">
        <v>0</v>
      </c>
      <c r="M1525">
        <v>40.4</v>
      </c>
      <c r="N1525">
        <v>51</v>
      </c>
      <c r="O1525">
        <v>49</v>
      </c>
      <c r="P1525">
        <v>46.8</v>
      </c>
      <c r="Q1525">
        <v>53.2</v>
      </c>
    </row>
    <row r="1526" spans="1:17" x14ac:dyDescent="0.25">
      <c r="A1526" s="2">
        <v>44989</v>
      </c>
      <c r="B1526" s="2" t="str">
        <f t="shared" si="46"/>
        <v>Saturday</v>
      </c>
      <c r="C1526" s="2" t="b">
        <f t="shared" si="47"/>
        <v>1</v>
      </c>
      <c r="D1526">
        <v>3</v>
      </c>
      <c r="E1526" t="s">
        <v>7</v>
      </c>
      <c r="F1526">
        <v>235</v>
      </c>
      <c r="G1526" s="3">
        <v>4165.67</v>
      </c>
      <c r="H1526" s="3">
        <f>Miami_Retail[[#This Row],[sales_usd]] / Miami_Retail[[#This Row],[customers]]</f>
        <v>17.726255319148937</v>
      </c>
      <c r="I1526">
        <v>67.5</v>
      </c>
      <c r="J1526">
        <f>(Miami_Retail[[#This Row],[avg_temp_f]]-32) * (5/9)</f>
        <v>19.722222222222221</v>
      </c>
      <c r="K1526">
        <v>0</v>
      </c>
      <c r="L1526">
        <v>0</v>
      </c>
      <c r="M1526">
        <v>35</v>
      </c>
      <c r="N1526">
        <v>51.1</v>
      </c>
      <c r="O1526">
        <v>48.9</v>
      </c>
      <c r="P1526">
        <v>51.9</v>
      </c>
      <c r="Q1526">
        <v>48.1</v>
      </c>
    </row>
    <row r="1527" spans="1:17" x14ac:dyDescent="0.25">
      <c r="A1527" s="2">
        <v>44990</v>
      </c>
      <c r="B1527" s="2" t="str">
        <f t="shared" si="46"/>
        <v>Sunday</v>
      </c>
      <c r="C1527" s="2" t="b">
        <f t="shared" si="47"/>
        <v>1</v>
      </c>
      <c r="D1527">
        <v>3</v>
      </c>
      <c r="E1527" t="s">
        <v>7</v>
      </c>
      <c r="F1527">
        <v>209</v>
      </c>
      <c r="G1527" s="3">
        <v>3409.78</v>
      </c>
      <c r="H1527" s="3">
        <f>Miami_Retail[[#This Row],[sales_usd]] / Miami_Retail[[#This Row],[customers]]</f>
        <v>16.314736842105265</v>
      </c>
      <c r="I1527">
        <v>62.1</v>
      </c>
      <c r="J1527">
        <f>(Miami_Retail[[#This Row],[avg_temp_f]]-32) * (5/9)</f>
        <v>16.722222222222225</v>
      </c>
      <c r="K1527">
        <v>0</v>
      </c>
      <c r="L1527">
        <v>0</v>
      </c>
      <c r="M1527">
        <v>38</v>
      </c>
      <c r="N1527">
        <v>50.8</v>
      </c>
      <c r="O1527">
        <v>49.2</v>
      </c>
      <c r="P1527">
        <v>53.6</v>
      </c>
      <c r="Q1527">
        <v>46.4</v>
      </c>
    </row>
    <row r="1528" spans="1:17" x14ac:dyDescent="0.25">
      <c r="A1528" s="2">
        <v>44991</v>
      </c>
      <c r="B1528" s="2" t="str">
        <f t="shared" si="46"/>
        <v>Monday</v>
      </c>
      <c r="C1528" s="2" t="b">
        <f t="shared" si="47"/>
        <v>0</v>
      </c>
      <c r="D1528">
        <v>3</v>
      </c>
      <c r="E1528" t="s">
        <v>7</v>
      </c>
      <c r="F1528">
        <v>160</v>
      </c>
      <c r="G1528" s="3">
        <v>2642.04</v>
      </c>
      <c r="H1528" s="3">
        <f>Miami_Retail[[#This Row],[sales_usd]] / Miami_Retail[[#This Row],[customers]]</f>
        <v>16.51275</v>
      </c>
      <c r="I1528">
        <v>64.7</v>
      </c>
      <c r="J1528">
        <f>(Miami_Retail[[#This Row],[avg_temp_f]]-32) * (5/9)</f>
        <v>18.166666666666668</v>
      </c>
      <c r="K1528">
        <v>0.44</v>
      </c>
      <c r="L1528">
        <v>1</v>
      </c>
      <c r="M1528">
        <v>35</v>
      </c>
      <c r="N1528">
        <v>51.3</v>
      </c>
      <c r="O1528">
        <v>48.7</v>
      </c>
      <c r="P1528">
        <v>46.9</v>
      </c>
      <c r="Q1528">
        <v>53.1</v>
      </c>
    </row>
    <row r="1529" spans="1:17" x14ac:dyDescent="0.25">
      <c r="A1529" s="2">
        <v>44992</v>
      </c>
      <c r="B1529" s="2" t="str">
        <f t="shared" si="46"/>
        <v>Tuesday</v>
      </c>
      <c r="C1529" s="2" t="b">
        <f t="shared" si="47"/>
        <v>0</v>
      </c>
      <c r="D1529">
        <v>3</v>
      </c>
      <c r="E1529" t="s">
        <v>7</v>
      </c>
      <c r="F1529">
        <v>155</v>
      </c>
      <c r="G1529" s="3">
        <v>2670.48</v>
      </c>
      <c r="H1529" s="3">
        <f>Miami_Retail[[#This Row],[sales_usd]] / Miami_Retail[[#This Row],[customers]]</f>
        <v>17.228903225806452</v>
      </c>
      <c r="I1529">
        <v>61</v>
      </c>
      <c r="J1529">
        <f>(Miami_Retail[[#This Row],[avg_temp_f]]-32) * (5/9)</f>
        <v>16.111111111111111</v>
      </c>
      <c r="K1529">
        <v>0.65</v>
      </c>
      <c r="L1529">
        <v>1</v>
      </c>
      <c r="M1529">
        <v>37.200000000000003</v>
      </c>
      <c r="N1529">
        <v>51.4</v>
      </c>
      <c r="O1529">
        <v>48.6</v>
      </c>
      <c r="P1529">
        <v>46.6</v>
      </c>
      <c r="Q1529">
        <v>53.4</v>
      </c>
    </row>
    <row r="1530" spans="1:17" x14ac:dyDescent="0.25">
      <c r="A1530" s="2">
        <v>44993</v>
      </c>
      <c r="B1530" s="2" t="str">
        <f t="shared" si="46"/>
        <v>Wednesday</v>
      </c>
      <c r="C1530" s="2" t="b">
        <f t="shared" si="47"/>
        <v>0</v>
      </c>
      <c r="D1530">
        <v>3</v>
      </c>
      <c r="E1530" t="s">
        <v>7</v>
      </c>
      <c r="F1530">
        <v>175</v>
      </c>
      <c r="G1530" s="3">
        <v>3133.87</v>
      </c>
      <c r="H1530" s="3">
        <f>Miami_Retail[[#This Row],[sales_usd]] / Miami_Retail[[#This Row],[customers]]</f>
        <v>17.907828571428571</v>
      </c>
      <c r="I1530">
        <v>66.5</v>
      </c>
      <c r="J1530">
        <f>(Miami_Retail[[#This Row],[avg_temp_f]]-32) * (5/9)</f>
        <v>19.166666666666668</v>
      </c>
      <c r="K1530">
        <v>0</v>
      </c>
      <c r="L1530">
        <v>0</v>
      </c>
      <c r="M1530">
        <v>35</v>
      </c>
      <c r="N1530">
        <v>51.7</v>
      </c>
      <c r="O1530">
        <v>48.3</v>
      </c>
      <c r="P1530">
        <v>45.4</v>
      </c>
      <c r="Q1530">
        <v>54.6</v>
      </c>
    </row>
    <row r="1531" spans="1:17" x14ac:dyDescent="0.25">
      <c r="A1531" s="2">
        <v>44994</v>
      </c>
      <c r="B1531" s="2" t="str">
        <f t="shared" si="46"/>
        <v>Thursday</v>
      </c>
      <c r="C1531" s="2" t="b">
        <f t="shared" si="47"/>
        <v>0</v>
      </c>
      <c r="D1531">
        <v>3</v>
      </c>
      <c r="E1531" t="s">
        <v>7</v>
      </c>
      <c r="F1531">
        <v>169</v>
      </c>
      <c r="G1531" s="3">
        <v>2802.63</v>
      </c>
      <c r="H1531" s="3">
        <f>Miami_Retail[[#This Row],[sales_usd]] / Miami_Retail[[#This Row],[customers]]</f>
        <v>16.583609467455624</v>
      </c>
      <c r="I1531">
        <v>63.7</v>
      </c>
      <c r="J1531">
        <f>(Miami_Retail[[#This Row],[avg_temp_f]]-32) * (5/9)</f>
        <v>17.611111111111114</v>
      </c>
      <c r="K1531">
        <v>0</v>
      </c>
      <c r="L1531">
        <v>0</v>
      </c>
      <c r="M1531">
        <v>36.9</v>
      </c>
      <c r="N1531">
        <v>53.2</v>
      </c>
      <c r="O1531">
        <v>46.8</v>
      </c>
      <c r="P1531">
        <v>47.9</v>
      </c>
      <c r="Q1531">
        <v>52.1</v>
      </c>
    </row>
    <row r="1532" spans="1:17" x14ac:dyDescent="0.25">
      <c r="A1532" s="2">
        <v>44995</v>
      </c>
      <c r="B1532" s="2" t="str">
        <f t="shared" si="46"/>
        <v>Friday</v>
      </c>
      <c r="C1532" s="2" t="b">
        <f t="shared" si="47"/>
        <v>0</v>
      </c>
      <c r="D1532">
        <v>3</v>
      </c>
      <c r="E1532" t="s">
        <v>7</v>
      </c>
      <c r="F1532">
        <v>154</v>
      </c>
      <c r="G1532" s="3">
        <v>2524.86</v>
      </c>
      <c r="H1532" s="3">
        <f>Miami_Retail[[#This Row],[sales_usd]] / Miami_Retail[[#This Row],[customers]]</f>
        <v>16.395194805194805</v>
      </c>
      <c r="I1532">
        <v>63.4</v>
      </c>
      <c r="J1532">
        <f>(Miami_Retail[[#This Row],[avg_temp_f]]-32) * (5/9)</f>
        <v>17.444444444444443</v>
      </c>
      <c r="K1532">
        <v>0</v>
      </c>
      <c r="L1532">
        <v>0</v>
      </c>
      <c r="M1532">
        <v>35</v>
      </c>
      <c r="N1532">
        <v>50.5</v>
      </c>
      <c r="O1532">
        <v>49.5</v>
      </c>
      <c r="P1532">
        <v>47.2</v>
      </c>
      <c r="Q1532">
        <v>52.8</v>
      </c>
    </row>
    <row r="1533" spans="1:17" x14ac:dyDescent="0.25">
      <c r="A1533" s="2">
        <v>44996</v>
      </c>
      <c r="B1533" s="2" t="str">
        <f t="shared" si="46"/>
        <v>Saturday</v>
      </c>
      <c r="C1533" s="2" t="b">
        <f t="shared" si="47"/>
        <v>1</v>
      </c>
      <c r="D1533">
        <v>3</v>
      </c>
      <c r="E1533" t="s">
        <v>7</v>
      </c>
      <c r="F1533">
        <v>192</v>
      </c>
      <c r="G1533" s="3">
        <v>3023.41</v>
      </c>
      <c r="H1533" s="3">
        <f>Miami_Retail[[#This Row],[sales_usd]] / Miami_Retail[[#This Row],[customers]]</f>
        <v>15.746927083333333</v>
      </c>
      <c r="I1533">
        <v>68.7</v>
      </c>
      <c r="J1533">
        <f>(Miami_Retail[[#This Row],[avg_temp_f]]-32) * (5/9)</f>
        <v>20.388888888888893</v>
      </c>
      <c r="K1533">
        <v>0.03</v>
      </c>
      <c r="L1533">
        <v>1</v>
      </c>
      <c r="M1533">
        <v>35</v>
      </c>
      <c r="N1533">
        <v>50.4</v>
      </c>
      <c r="O1533">
        <v>49.6</v>
      </c>
      <c r="P1533">
        <v>53.2</v>
      </c>
      <c r="Q1533">
        <v>46.8</v>
      </c>
    </row>
    <row r="1534" spans="1:17" x14ac:dyDescent="0.25">
      <c r="A1534" s="2">
        <v>44997</v>
      </c>
      <c r="B1534" s="2" t="str">
        <f t="shared" si="46"/>
        <v>Sunday</v>
      </c>
      <c r="C1534" s="2" t="b">
        <f t="shared" si="47"/>
        <v>1</v>
      </c>
      <c r="D1534">
        <v>3</v>
      </c>
      <c r="E1534" t="s">
        <v>7</v>
      </c>
      <c r="F1534">
        <v>216</v>
      </c>
      <c r="G1534" s="3">
        <v>3657.1</v>
      </c>
      <c r="H1534" s="3">
        <f>Miami_Retail[[#This Row],[sales_usd]] / Miami_Retail[[#This Row],[customers]]</f>
        <v>16.931018518518517</v>
      </c>
      <c r="I1534">
        <v>71.900000000000006</v>
      </c>
      <c r="J1534">
        <f>(Miami_Retail[[#This Row],[avg_temp_f]]-32) * (5/9)</f>
        <v>22.166666666666671</v>
      </c>
      <c r="K1534">
        <v>0</v>
      </c>
      <c r="L1534">
        <v>0</v>
      </c>
      <c r="M1534">
        <v>35</v>
      </c>
      <c r="N1534">
        <v>51.7</v>
      </c>
      <c r="O1534">
        <v>48.3</v>
      </c>
      <c r="P1534">
        <v>53.2</v>
      </c>
      <c r="Q1534">
        <v>46.8</v>
      </c>
    </row>
    <row r="1535" spans="1:17" x14ac:dyDescent="0.25">
      <c r="A1535" s="2">
        <v>44998</v>
      </c>
      <c r="B1535" s="2" t="str">
        <f t="shared" si="46"/>
        <v>Monday</v>
      </c>
      <c r="C1535" s="2" t="b">
        <f t="shared" si="47"/>
        <v>0</v>
      </c>
      <c r="D1535">
        <v>3</v>
      </c>
      <c r="E1535" t="s">
        <v>7</v>
      </c>
      <c r="F1535">
        <v>149</v>
      </c>
      <c r="G1535" s="3">
        <v>2614.2600000000002</v>
      </c>
      <c r="H1535" s="3">
        <f>Miami_Retail[[#This Row],[sales_usd]] / Miami_Retail[[#This Row],[customers]]</f>
        <v>17.545369127516778</v>
      </c>
      <c r="I1535">
        <v>66.5</v>
      </c>
      <c r="J1535">
        <f>(Miami_Retail[[#This Row],[avg_temp_f]]-32) * (5/9)</f>
        <v>19.166666666666668</v>
      </c>
      <c r="K1535">
        <v>0.21</v>
      </c>
      <c r="L1535">
        <v>1</v>
      </c>
      <c r="M1535">
        <v>43.3</v>
      </c>
      <c r="N1535">
        <v>52.4</v>
      </c>
      <c r="O1535">
        <v>47.6</v>
      </c>
      <c r="P1535">
        <v>49.2</v>
      </c>
      <c r="Q1535">
        <v>50.8</v>
      </c>
    </row>
    <row r="1536" spans="1:17" x14ac:dyDescent="0.25">
      <c r="A1536" s="2">
        <v>44999</v>
      </c>
      <c r="B1536" s="2" t="str">
        <f t="shared" si="46"/>
        <v>Tuesday</v>
      </c>
      <c r="C1536" s="2" t="b">
        <f t="shared" si="47"/>
        <v>0</v>
      </c>
      <c r="D1536">
        <v>3</v>
      </c>
      <c r="E1536" t="s">
        <v>7</v>
      </c>
      <c r="F1536">
        <v>177</v>
      </c>
      <c r="G1536" s="3">
        <v>2974.55</v>
      </c>
      <c r="H1536" s="3">
        <f>Miami_Retail[[#This Row],[sales_usd]] / Miami_Retail[[#This Row],[customers]]</f>
        <v>16.805367231638421</v>
      </c>
      <c r="I1536">
        <v>65.400000000000006</v>
      </c>
      <c r="J1536">
        <f>(Miami_Retail[[#This Row],[avg_temp_f]]-32) * (5/9)</f>
        <v>18.555555555555561</v>
      </c>
      <c r="K1536">
        <v>0</v>
      </c>
      <c r="L1536">
        <v>0</v>
      </c>
      <c r="M1536">
        <v>38.799999999999997</v>
      </c>
      <c r="N1536">
        <v>52.5</v>
      </c>
      <c r="O1536">
        <v>47.5</v>
      </c>
      <c r="P1536">
        <v>46.5</v>
      </c>
      <c r="Q1536">
        <v>53.5</v>
      </c>
    </row>
    <row r="1537" spans="1:17" x14ac:dyDescent="0.25">
      <c r="A1537" s="2">
        <v>45000</v>
      </c>
      <c r="B1537" s="2" t="str">
        <f t="shared" si="46"/>
        <v>Wednesday</v>
      </c>
      <c r="C1537" s="2" t="b">
        <f t="shared" si="47"/>
        <v>0</v>
      </c>
      <c r="D1537">
        <v>3</v>
      </c>
      <c r="E1537" t="s">
        <v>7</v>
      </c>
      <c r="F1537">
        <v>181</v>
      </c>
      <c r="G1537" s="3">
        <v>3122.06</v>
      </c>
      <c r="H1537" s="3">
        <f>Miami_Retail[[#This Row],[sales_usd]] / Miami_Retail[[#This Row],[customers]]</f>
        <v>17.248950276243093</v>
      </c>
      <c r="I1537">
        <v>66.900000000000006</v>
      </c>
      <c r="J1537">
        <f>(Miami_Retail[[#This Row],[avg_temp_f]]-32) * (5/9)</f>
        <v>19.388888888888893</v>
      </c>
      <c r="K1537">
        <v>0</v>
      </c>
      <c r="L1537">
        <v>0</v>
      </c>
      <c r="M1537">
        <v>35</v>
      </c>
      <c r="N1537">
        <v>50.5</v>
      </c>
      <c r="O1537">
        <v>49.5</v>
      </c>
      <c r="P1537">
        <v>47.9</v>
      </c>
      <c r="Q1537">
        <v>52.1</v>
      </c>
    </row>
    <row r="1538" spans="1:17" x14ac:dyDescent="0.25">
      <c r="A1538" s="2">
        <v>45001</v>
      </c>
      <c r="B1538" s="2" t="str">
        <f t="shared" ref="B1538:B1601" si="48">TEXT(A1538, "dddd")</f>
        <v>Thursday</v>
      </c>
      <c r="C1538" s="2" t="b">
        <f t="shared" ref="C1538:C1601" si="49">IF(WEEKDAY(A1538,2)&gt;5,TRUE,FALSE)</f>
        <v>0</v>
      </c>
      <c r="D1538">
        <v>3</v>
      </c>
      <c r="E1538" t="s">
        <v>7</v>
      </c>
      <c r="F1538">
        <v>197</v>
      </c>
      <c r="G1538" s="3">
        <v>3258.45</v>
      </c>
      <c r="H1538" s="3">
        <f>Miami_Retail[[#This Row],[sales_usd]] / Miami_Retail[[#This Row],[customers]]</f>
        <v>16.540355329949239</v>
      </c>
      <c r="I1538">
        <v>72.3</v>
      </c>
      <c r="J1538">
        <f>(Miami_Retail[[#This Row],[avg_temp_f]]-32) * (5/9)</f>
        <v>22.388888888888889</v>
      </c>
      <c r="K1538">
        <v>0</v>
      </c>
      <c r="L1538">
        <v>0</v>
      </c>
      <c r="M1538">
        <v>35</v>
      </c>
      <c r="N1538">
        <v>51.4</v>
      </c>
      <c r="O1538">
        <v>48.6</v>
      </c>
      <c r="P1538">
        <v>47.1</v>
      </c>
      <c r="Q1538">
        <v>52.9</v>
      </c>
    </row>
    <row r="1539" spans="1:17" x14ac:dyDescent="0.25">
      <c r="A1539" s="2">
        <v>45002</v>
      </c>
      <c r="B1539" s="2" t="str">
        <f t="shared" si="48"/>
        <v>Friday</v>
      </c>
      <c r="C1539" s="2" t="b">
        <f t="shared" si="49"/>
        <v>0</v>
      </c>
      <c r="D1539">
        <v>3</v>
      </c>
      <c r="E1539" t="s">
        <v>7</v>
      </c>
      <c r="F1539">
        <v>217</v>
      </c>
      <c r="G1539" s="3">
        <v>3559.78</v>
      </c>
      <c r="H1539" s="3">
        <f>Miami_Retail[[#This Row],[sales_usd]] / Miami_Retail[[#This Row],[customers]]</f>
        <v>16.40451612903226</v>
      </c>
      <c r="I1539">
        <v>65</v>
      </c>
      <c r="J1539">
        <f>(Miami_Retail[[#This Row],[avg_temp_f]]-32) * (5/9)</f>
        <v>18.333333333333336</v>
      </c>
      <c r="K1539">
        <v>0</v>
      </c>
      <c r="L1539">
        <v>0</v>
      </c>
      <c r="M1539">
        <v>39.700000000000003</v>
      </c>
      <c r="N1539">
        <v>51.9</v>
      </c>
      <c r="O1539">
        <v>48.1</v>
      </c>
      <c r="P1539">
        <v>47.6</v>
      </c>
      <c r="Q1539">
        <v>52.4</v>
      </c>
    </row>
    <row r="1540" spans="1:17" x14ac:dyDescent="0.25">
      <c r="A1540" s="2">
        <v>45003</v>
      </c>
      <c r="B1540" s="2" t="str">
        <f t="shared" si="48"/>
        <v>Saturday</v>
      </c>
      <c r="C1540" s="2" t="b">
        <f t="shared" si="49"/>
        <v>1</v>
      </c>
      <c r="D1540">
        <v>3</v>
      </c>
      <c r="E1540" t="s">
        <v>7</v>
      </c>
      <c r="F1540">
        <v>170</v>
      </c>
      <c r="G1540" s="3">
        <v>2677.99</v>
      </c>
      <c r="H1540" s="3">
        <f>Miami_Retail[[#This Row],[sales_usd]] / Miami_Retail[[#This Row],[customers]]</f>
        <v>15.752882352941175</v>
      </c>
      <c r="I1540">
        <v>62.4</v>
      </c>
      <c r="J1540">
        <f>(Miami_Retail[[#This Row],[avg_temp_f]]-32) * (5/9)</f>
        <v>16.888888888888889</v>
      </c>
      <c r="K1540">
        <v>2.29</v>
      </c>
      <c r="L1540">
        <v>1</v>
      </c>
      <c r="M1540">
        <v>35</v>
      </c>
      <c r="N1540">
        <v>53.2</v>
      </c>
      <c r="O1540">
        <v>46.8</v>
      </c>
      <c r="P1540">
        <v>52.2</v>
      </c>
      <c r="Q1540">
        <v>47.8</v>
      </c>
    </row>
    <row r="1541" spans="1:17" x14ac:dyDescent="0.25">
      <c r="A1541" s="2">
        <v>45004</v>
      </c>
      <c r="B1541" s="2" t="str">
        <f t="shared" si="48"/>
        <v>Sunday</v>
      </c>
      <c r="C1541" s="2" t="b">
        <f t="shared" si="49"/>
        <v>1</v>
      </c>
      <c r="D1541">
        <v>3</v>
      </c>
      <c r="E1541" t="s">
        <v>7</v>
      </c>
      <c r="F1541">
        <v>223</v>
      </c>
      <c r="G1541" s="3">
        <v>3863.18</v>
      </c>
      <c r="H1541" s="3">
        <f>Miami_Retail[[#This Row],[sales_usd]] / Miami_Retail[[#This Row],[customers]]</f>
        <v>17.323677130044842</v>
      </c>
      <c r="I1541">
        <v>64.3</v>
      </c>
      <c r="J1541">
        <f>(Miami_Retail[[#This Row],[avg_temp_f]]-32) * (5/9)</f>
        <v>17.944444444444443</v>
      </c>
      <c r="K1541">
        <v>0</v>
      </c>
      <c r="L1541">
        <v>0</v>
      </c>
      <c r="M1541">
        <v>35</v>
      </c>
      <c r="N1541">
        <v>51.9</v>
      </c>
      <c r="O1541">
        <v>48.1</v>
      </c>
      <c r="P1541">
        <v>52.8</v>
      </c>
      <c r="Q1541">
        <v>47.2</v>
      </c>
    </row>
    <row r="1542" spans="1:17" x14ac:dyDescent="0.25">
      <c r="A1542" s="2">
        <v>45005</v>
      </c>
      <c r="B1542" s="2" t="str">
        <f t="shared" si="48"/>
        <v>Monday</v>
      </c>
      <c r="C1542" s="2" t="b">
        <f t="shared" si="49"/>
        <v>0</v>
      </c>
      <c r="D1542">
        <v>3</v>
      </c>
      <c r="E1542" t="s">
        <v>7</v>
      </c>
      <c r="F1542">
        <v>185</v>
      </c>
      <c r="G1542" s="3">
        <v>3139.35</v>
      </c>
      <c r="H1542" s="3">
        <f>Miami_Retail[[#This Row],[sales_usd]] / Miami_Retail[[#This Row],[customers]]</f>
        <v>16.969459459459458</v>
      </c>
      <c r="I1542">
        <v>68.8</v>
      </c>
      <c r="J1542">
        <f>(Miami_Retail[[#This Row],[avg_temp_f]]-32) * (5/9)</f>
        <v>20.444444444444443</v>
      </c>
      <c r="K1542">
        <v>0.67</v>
      </c>
      <c r="L1542">
        <v>1</v>
      </c>
      <c r="M1542">
        <v>38.700000000000003</v>
      </c>
      <c r="N1542">
        <v>52.6</v>
      </c>
      <c r="O1542">
        <v>47.4</v>
      </c>
      <c r="P1542">
        <v>47.3</v>
      </c>
      <c r="Q1542">
        <v>52.7</v>
      </c>
    </row>
    <row r="1543" spans="1:17" x14ac:dyDescent="0.25">
      <c r="A1543" s="2">
        <v>45006</v>
      </c>
      <c r="B1543" s="2" t="str">
        <f t="shared" si="48"/>
        <v>Tuesday</v>
      </c>
      <c r="C1543" s="2" t="b">
        <f t="shared" si="49"/>
        <v>0</v>
      </c>
      <c r="D1543">
        <v>3</v>
      </c>
      <c r="E1543" t="s">
        <v>7</v>
      </c>
      <c r="F1543">
        <v>199</v>
      </c>
      <c r="G1543" s="3">
        <v>2995.06</v>
      </c>
      <c r="H1543" s="3">
        <f>Miami_Retail[[#This Row],[sales_usd]] / Miami_Retail[[#This Row],[customers]]</f>
        <v>15.050552763819095</v>
      </c>
      <c r="I1543">
        <v>69.8</v>
      </c>
      <c r="J1543">
        <f>(Miami_Retail[[#This Row],[avg_temp_f]]-32) * (5/9)</f>
        <v>21</v>
      </c>
      <c r="K1543">
        <v>0</v>
      </c>
      <c r="L1543">
        <v>0</v>
      </c>
      <c r="M1543">
        <v>39.299999999999997</v>
      </c>
      <c r="N1543">
        <v>53.8</v>
      </c>
      <c r="O1543">
        <v>46.2</v>
      </c>
      <c r="P1543">
        <v>48.2</v>
      </c>
      <c r="Q1543">
        <v>51.8</v>
      </c>
    </row>
    <row r="1544" spans="1:17" x14ac:dyDescent="0.25">
      <c r="A1544" s="2">
        <v>45007</v>
      </c>
      <c r="B1544" s="2" t="str">
        <f t="shared" si="48"/>
        <v>Wednesday</v>
      </c>
      <c r="C1544" s="2" t="b">
        <f t="shared" si="49"/>
        <v>0</v>
      </c>
      <c r="D1544">
        <v>3</v>
      </c>
      <c r="E1544" t="s">
        <v>7</v>
      </c>
      <c r="F1544">
        <v>197</v>
      </c>
      <c r="G1544" s="3">
        <v>3082.39</v>
      </c>
      <c r="H1544" s="3">
        <f>Miami_Retail[[#This Row],[sales_usd]] / Miami_Retail[[#This Row],[customers]]</f>
        <v>15.646649746192892</v>
      </c>
      <c r="I1544">
        <v>60.4</v>
      </c>
      <c r="J1544">
        <f>(Miami_Retail[[#This Row],[avg_temp_f]]-32) * (5/9)</f>
        <v>15.777777777777779</v>
      </c>
      <c r="K1544">
        <v>0</v>
      </c>
      <c r="L1544">
        <v>0</v>
      </c>
      <c r="M1544">
        <v>35</v>
      </c>
      <c r="N1544">
        <v>53.6</v>
      </c>
      <c r="O1544">
        <v>46.4</v>
      </c>
      <c r="P1544">
        <v>46.4</v>
      </c>
      <c r="Q1544">
        <v>53.6</v>
      </c>
    </row>
    <row r="1545" spans="1:17" x14ac:dyDescent="0.25">
      <c r="A1545" s="2">
        <v>45008</v>
      </c>
      <c r="B1545" s="2" t="str">
        <f t="shared" si="48"/>
        <v>Thursday</v>
      </c>
      <c r="C1545" s="2" t="b">
        <f t="shared" si="49"/>
        <v>0</v>
      </c>
      <c r="D1545">
        <v>3</v>
      </c>
      <c r="E1545" t="s">
        <v>7</v>
      </c>
      <c r="F1545">
        <v>199</v>
      </c>
      <c r="G1545" s="3">
        <v>3419.38</v>
      </c>
      <c r="H1545" s="3">
        <f>Miami_Retail[[#This Row],[sales_usd]] / Miami_Retail[[#This Row],[customers]]</f>
        <v>17.18281407035176</v>
      </c>
      <c r="I1545">
        <v>67.900000000000006</v>
      </c>
      <c r="J1545">
        <f>(Miami_Retail[[#This Row],[avg_temp_f]]-32) * (5/9)</f>
        <v>19.94444444444445</v>
      </c>
      <c r="K1545">
        <v>0</v>
      </c>
      <c r="L1545">
        <v>0</v>
      </c>
      <c r="M1545">
        <v>38.200000000000003</v>
      </c>
      <c r="N1545">
        <v>52.9</v>
      </c>
      <c r="O1545">
        <v>47.1</v>
      </c>
      <c r="P1545">
        <v>48.6</v>
      </c>
      <c r="Q1545">
        <v>51.4</v>
      </c>
    </row>
    <row r="1546" spans="1:17" x14ac:dyDescent="0.25">
      <c r="A1546" s="2">
        <v>45009</v>
      </c>
      <c r="B1546" s="2" t="str">
        <f t="shared" si="48"/>
        <v>Friday</v>
      </c>
      <c r="C1546" s="2" t="b">
        <f t="shared" si="49"/>
        <v>0</v>
      </c>
      <c r="D1546">
        <v>3</v>
      </c>
      <c r="E1546" t="s">
        <v>7</v>
      </c>
      <c r="F1546">
        <v>149</v>
      </c>
      <c r="G1546" s="3">
        <v>2546.5700000000002</v>
      </c>
      <c r="H1546" s="3">
        <f>Miami_Retail[[#This Row],[sales_usd]] / Miami_Retail[[#This Row],[customers]]</f>
        <v>17.091073825503358</v>
      </c>
      <c r="I1546">
        <v>63.6</v>
      </c>
      <c r="J1546">
        <f>(Miami_Retail[[#This Row],[avg_temp_f]]-32) * (5/9)</f>
        <v>17.555555555555557</v>
      </c>
      <c r="K1546">
        <v>0</v>
      </c>
      <c r="L1546">
        <v>0</v>
      </c>
      <c r="M1546">
        <v>39.299999999999997</v>
      </c>
      <c r="N1546">
        <v>53.2</v>
      </c>
      <c r="O1546">
        <v>46.8</v>
      </c>
      <c r="P1546">
        <v>47</v>
      </c>
      <c r="Q1546">
        <v>53</v>
      </c>
    </row>
    <row r="1547" spans="1:17" x14ac:dyDescent="0.25">
      <c r="A1547" s="2">
        <v>45010</v>
      </c>
      <c r="B1547" s="2" t="str">
        <f t="shared" si="48"/>
        <v>Saturday</v>
      </c>
      <c r="C1547" s="2" t="b">
        <f t="shared" si="49"/>
        <v>1</v>
      </c>
      <c r="D1547">
        <v>3</v>
      </c>
      <c r="E1547" t="s">
        <v>7</v>
      </c>
      <c r="F1547">
        <v>212</v>
      </c>
      <c r="G1547" s="3">
        <v>3531.72</v>
      </c>
      <c r="H1547" s="3">
        <f>Miami_Retail[[#This Row],[sales_usd]] / Miami_Retail[[#This Row],[customers]]</f>
        <v>16.659056603773585</v>
      </c>
      <c r="I1547">
        <v>61.9</v>
      </c>
      <c r="J1547">
        <f>(Miami_Retail[[#This Row],[avg_temp_f]]-32) * (5/9)</f>
        <v>16.611111111111111</v>
      </c>
      <c r="K1547">
        <v>0</v>
      </c>
      <c r="L1547">
        <v>0</v>
      </c>
      <c r="M1547">
        <v>41.9</v>
      </c>
      <c r="N1547">
        <v>51</v>
      </c>
      <c r="O1547">
        <v>49</v>
      </c>
      <c r="P1547">
        <v>52.7</v>
      </c>
      <c r="Q1547">
        <v>47.3</v>
      </c>
    </row>
    <row r="1548" spans="1:17" x14ac:dyDescent="0.25">
      <c r="A1548" s="2">
        <v>45011</v>
      </c>
      <c r="B1548" s="2" t="str">
        <f t="shared" si="48"/>
        <v>Sunday</v>
      </c>
      <c r="C1548" s="2" t="b">
        <f t="shared" si="49"/>
        <v>1</v>
      </c>
      <c r="D1548">
        <v>3</v>
      </c>
      <c r="E1548" t="s">
        <v>7</v>
      </c>
      <c r="F1548">
        <v>178</v>
      </c>
      <c r="G1548" s="3">
        <v>2776.4</v>
      </c>
      <c r="H1548" s="3">
        <f>Miami_Retail[[#This Row],[sales_usd]] / Miami_Retail[[#This Row],[customers]]</f>
        <v>15.597752808988764</v>
      </c>
      <c r="I1548">
        <v>66.5</v>
      </c>
      <c r="J1548">
        <f>(Miami_Retail[[#This Row],[avg_temp_f]]-32) * (5/9)</f>
        <v>19.166666666666668</v>
      </c>
      <c r="K1548">
        <v>0</v>
      </c>
      <c r="L1548">
        <v>0</v>
      </c>
      <c r="M1548">
        <v>35</v>
      </c>
      <c r="N1548">
        <v>52.6</v>
      </c>
      <c r="O1548">
        <v>47.4</v>
      </c>
      <c r="P1548">
        <v>53.1</v>
      </c>
      <c r="Q1548">
        <v>46.9</v>
      </c>
    </row>
    <row r="1549" spans="1:17" x14ac:dyDescent="0.25">
      <c r="A1549" s="2">
        <v>45012</v>
      </c>
      <c r="B1549" s="2" t="str">
        <f t="shared" si="48"/>
        <v>Monday</v>
      </c>
      <c r="C1549" s="2" t="b">
        <f t="shared" si="49"/>
        <v>0</v>
      </c>
      <c r="D1549">
        <v>3</v>
      </c>
      <c r="E1549" t="s">
        <v>7</v>
      </c>
      <c r="F1549">
        <v>174</v>
      </c>
      <c r="G1549" s="3">
        <v>2764.8</v>
      </c>
      <c r="H1549" s="3">
        <f>Miami_Retail[[#This Row],[sales_usd]] / Miami_Retail[[#This Row],[customers]]</f>
        <v>15.889655172413795</v>
      </c>
      <c r="I1549">
        <v>67.8</v>
      </c>
      <c r="J1549">
        <f>(Miami_Retail[[#This Row],[avg_temp_f]]-32) * (5/9)</f>
        <v>19.888888888888889</v>
      </c>
      <c r="K1549">
        <v>0</v>
      </c>
      <c r="L1549">
        <v>0</v>
      </c>
      <c r="M1549">
        <v>38.299999999999997</v>
      </c>
      <c r="N1549">
        <v>53.3</v>
      </c>
      <c r="O1549">
        <v>46.7</v>
      </c>
      <c r="P1549">
        <v>47.5</v>
      </c>
      <c r="Q1549">
        <v>52.5</v>
      </c>
    </row>
    <row r="1550" spans="1:17" x14ac:dyDescent="0.25">
      <c r="A1550" s="2">
        <v>45013</v>
      </c>
      <c r="B1550" s="2" t="str">
        <f t="shared" si="48"/>
        <v>Tuesday</v>
      </c>
      <c r="C1550" s="2" t="b">
        <f t="shared" si="49"/>
        <v>0</v>
      </c>
      <c r="D1550">
        <v>3</v>
      </c>
      <c r="E1550" t="s">
        <v>7</v>
      </c>
      <c r="F1550">
        <v>198</v>
      </c>
      <c r="G1550" s="3">
        <v>3070.2</v>
      </c>
      <c r="H1550" s="3">
        <f>Miami_Retail[[#This Row],[sales_usd]] / Miami_Retail[[#This Row],[customers]]</f>
        <v>15.506060606060606</v>
      </c>
      <c r="I1550">
        <v>62.2</v>
      </c>
      <c r="J1550">
        <f>(Miami_Retail[[#This Row],[avg_temp_f]]-32) * (5/9)</f>
        <v>16.777777777777779</v>
      </c>
      <c r="K1550">
        <v>0</v>
      </c>
      <c r="L1550">
        <v>0</v>
      </c>
      <c r="M1550">
        <v>43.5</v>
      </c>
      <c r="N1550">
        <v>52.2</v>
      </c>
      <c r="O1550">
        <v>47.8</v>
      </c>
      <c r="P1550">
        <v>47.7</v>
      </c>
      <c r="Q1550">
        <v>52.3</v>
      </c>
    </row>
    <row r="1551" spans="1:17" x14ac:dyDescent="0.25">
      <c r="A1551" s="2">
        <v>45014</v>
      </c>
      <c r="B1551" s="2" t="str">
        <f t="shared" si="48"/>
        <v>Wednesday</v>
      </c>
      <c r="C1551" s="2" t="b">
        <f t="shared" si="49"/>
        <v>0</v>
      </c>
      <c r="D1551">
        <v>3</v>
      </c>
      <c r="E1551" t="s">
        <v>7</v>
      </c>
      <c r="F1551">
        <v>161</v>
      </c>
      <c r="G1551" s="3">
        <v>2648.21</v>
      </c>
      <c r="H1551" s="3">
        <f>Miami_Retail[[#This Row],[sales_usd]] / Miami_Retail[[#This Row],[customers]]</f>
        <v>16.448509316770185</v>
      </c>
      <c r="I1551">
        <v>62.5</v>
      </c>
      <c r="J1551">
        <f>(Miami_Retail[[#This Row],[avg_temp_f]]-32) * (5/9)</f>
        <v>16.944444444444446</v>
      </c>
      <c r="K1551">
        <v>0</v>
      </c>
      <c r="L1551">
        <v>0</v>
      </c>
      <c r="M1551">
        <v>39.200000000000003</v>
      </c>
      <c r="N1551">
        <v>52.5</v>
      </c>
      <c r="O1551">
        <v>47.5</v>
      </c>
      <c r="P1551">
        <v>45.7</v>
      </c>
      <c r="Q1551">
        <v>54.3</v>
      </c>
    </row>
    <row r="1552" spans="1:17" x14ac:dyDescent="0.25">
      <c r="A1552" s="2">
        <v>45015</v>
      </c>
      <c r="B1552" s="2" t="str">
        <f t="shared" si="48"/>
        <v>Thursday</v>
      </c>
      <c r="C1552" s="2" t="b">
        <f t="shared" si="49"/>
        <v>0</v>
      </c>
      <c r="D1552">
        <v>3</v>
      </c>
      <c r="E1552" t="s">
        <v>7</v>
      </c>
      <c r="F1552">
        <v>185</v>
      </c>
      <c r="G1552" s="3">
        <v>3024.67</v>
      </c>
      <c r="H1552" s="3">
        <f>Miami_Retail[[#This Row],[sales_usd]] / Miami_Retail[[#This Row],[customers]]</f>
        <v>16.349567567567568</v>
      </c>
      <c r="I1552">
        <v>70.3</v>
      </c>
      <c r="J1552">
        <f>(Miami_Retail[[#This Row],[avg_temp_f]]-32) * (5/9)</f>
        <v>21.277777777777779</v>
      </c>
      <c r="K1552">
        <v>0</v>
      </c>
      <c r="L1552">
        <v>0</v>
      </c>
      <c r="M1552">
        <v>40.5</v>
      </c>
      <c r="N1552">
        <v>52.7</v>
      </c>
      <c r="O1552">
        <v>47.3</v>
      </c>
      <c r="P1552">
        <v>45.7</v>
      </c>
      <c r="Q1552">
        <v>54.3</v>
      </c>
    </row>
    <row r="1553" spans="1:17" x14ac:dyDescent="0.25">
      <c r="A1553" s="2">
        <v>45016</v>
      </c>
      <c r="B1553" s="2" t="str">
        <f t="shared" si="48"/>
        <v>Friday</v>
      </c>
      <c r="C1553" s="2" t="b">
        <f t="shared" si="49"/>
        <v>0</v>
      </c>
      <c r="D1553">
        <v>3</v>
      </c>
      <c r="E1553" t="s">
        <v>7</v>
      </c>
      <c r="F1553">
        <v>179</v>
      </c>
      <c r="G1553" s="3">
        <v>2949.69</v>
      </c>
      <c r="H1553" s="3">
        <f>Miami_Retail[[#This Row],[sales_usd]] / Miami_Retail[[#This Row],[customers]]</f>
        <v>16.478715083798882</v>
      </c>
      <c r="I1553">
        <v>66.5</v>
      </c>
      <c r="J1553">
        <f>(Miami_Retail[[#This Row],[avg_temp_f]]-32) * (5/9)</f>
        <v>19.166666666666668</v>
      </c>
      <c r="K1553">
        <v>0</v>
      </c>
      <c r="L1553">
        <v>0</v>
      </c>
      <c r="M1553">
        <v>42.4</v>
      </c>
      <c r="N1553">
        <v>51.8</v>
      </c>
      <c r="O1553">
        <v>48.2</v>
      </c>
      <c r="P1553">
        <v>47.2</v>
      </c>
      <c r="Q1553">
        <v>52.8</v>
      </c>
    </row>
    <row r="1554" spans="1:17" x14ac:dyDescent="0.25">
      <c r="A1554" s="2">
        <v>45017</v>
      </c>
      <c r="B1554" s="2" t="str">
        <f t="shared" si="48"/>
        <v>Saturday</v>
      </c>
      <c r="C1554" s="2" t="b">
        <f t="shared" si="49"/>
        <v>1</v>
      </c>
      <c r="D1554">
        <v>3</v>
      </c>
      <c r="E1554" t="s">
        <v>7</v>
      </c>
      <c r="F1554">
        <v>208</v>
      </c>
      <c r="G1554" s="3">
        <v>3285.1</v>
      </c>
      <c r="H1554" s="3">
        <f>Miami_Retail[[#This Row],[sales_usd]] / Miami_Retail[[#This Row],[customers]]</f>
        <v>15.793749999999999</v>
      </c>
      <c r="I1554">
        <v>65.8</v>
      </c>
      <c r="J1554">
        <f>(Miami_Retail[[#This Row],[avg_temp_f]]-32) * (5/9)</f>
        <v>18.777777777777779</v>
      </c>
      <c r="K1554">
        <v>0</v>
      </c>
      <c r="L1554">
        <v>0</v>
      </c>
      <c r="M1554">
        <v>37</v>
      </c>
      <c r="N1554">
        <v>50.9</v>
      </c>
      <c r="O1554">
        <v>49.1</v>
      </c>
      <c r="P1554">
        <v>53.4</v>
      </c>
      <c r="Q1554">
        <v>46.6</v>
      </c>
    </row>
    <row r="1555" spans="1:17" x14ac:dyDescent="0.25">
      <c r="A1555" s="2">
        <v>45018</v>
      </c>
      <c r="B1555" s="2" t="str">
        <f t="shared" si="48"/>
        <v>Sunday</v>
      </c>
      <c r="C1555" s="2" t="b">
        <f t="shared" si="49"/>
        <v>1</v>
      </c>
      <c r="D1555">
        <v>3</v>
      </c>
      <c r="E1555" t="s">
        <v>7</v>
      </c>
      <c r="F1555">
        <v>199</v>
      </c>
      <c r="G1555" s="3">
        <v>3464.92</v>
      </c>
      <c r="H1555" s="3">
        <f>Miami_Retail[[#This Row],[sales_usd]] / Miami_Retail[[#This Row],[customers]]</f>
        <v>17.411658291457286</v>
      </c>
      <c r="I1555">
        <v>67.099999999999994</v>
      </c>
      <c r="J1555">
        <f>(Miami_Retail[[#This Row],[avg_temp_f]]-32) * (5/9)</f>
        <v>19.499999999999996</v>
      </c>
      <c r="K1555">
        <v>0</v>
      </c>
      <c r="L1555">
        <v>0</v>
      </c>
      <c r="M1555">
        <v>35</v>
      </c>
      <c r="N1555">
        <v>51.6</v>
      </c>
      <c r="O1555">
        <v>48.4</v>
      </c>
      <c r="P1555">
        <v>52.3</v>
      </c>
      <c r="Q1555">
        <v>47.7</v>
      </c>
    </row>
    <row r="1556" spans="1:17" x14ac:dyDescent="0.25">
      <c r="A1556" s="2">
        <v>45019</v>
      </c>
      <c r="B1556" s="2" t="str">
        <f t="shared" si="48"/>
        <v>Monday</v>
      </c>
      <c r="C1556" s="2" t="b">
        <f t="shared" si="49"/>
        <v>0</v>
      </c>
      <c r="D1556">
        <v>3</v>
      </c>
      <c r="E1556" t="s">
        <v>7</v>
      </c>
      <c r="F1556">
        <v>133</v>
      </c>
      <c r="G1556" s="3">
        <v>2351.5</v>
      </c>
      <c r="H1556" s="3">
        <f>Miami_Retail[[#This Row],[sales_usd]] / Miami_Retail[[#This Row],[customers]]</f>
        <v>17.680451127819548</v>
      </c>
      <c r="I1556">
        <v>70.5</v>
      </c>
      <c r="J1556">
        <f>(Miami_Retail[[#This Row],[avg_temp_f]]-32) * (5/9)</f>
        <v>21.388888888888889</v>
      </c>
      <c r="K1556">
        <v>0</v>
      </c>
      <c r="L1556">
        <v>0</v>
      </c>
      <c r="M1556">
        <v>44</v>
      </c>
      <c r="N1556">
        <v>53.3</v>
      </c>
      <c r="O1556">
        <v>46.7</v>
      </c>
      <c r="P1556">
        <v>46.2</v>
      </c>
      <c r="Q1556">
        <v>53.8</v>
      </c>
    </row>
    <row r="1557" spans="1:17" x14ac:dyDescent="0.25">
      <c r="A1557" s="2">
        <v>45020</v>
      </c>
      <c r="B1557" s="2" t="str">
        <f t="shared" si="48"/>
        <v>Tuesday</v>
      </c>
      <c r="C1557" s="2" t="b">
        <f t="shared" si="49"/>
        <v>0</v>
      </c>
      <c r="D1557">
        <v>3</v>
      </c>
      <c r="E1557" t="s">
        <v>7</v>
      </c>
      <c r="F1557">
        <v>199</v>
      </c>
      <c r="G1557" s="3">
        <v>3114.7</v>
      </c>
      <c r="H1557" s="3">
        <f>Miami_Retail[[#This Row],[sales_usd]] / Miami_Retail[[#This Row],[customers]]</f>
        <v>15.651758793969849</v>
      </c>
      <c r="I1557">
        <v>68</v>
      </c>
      <c r="J1557">
        <f>(Miami_Retail[[#This Row],[avg_temp_f]]-32) * (5/9)</f>
        <v>20</v>
      </c>
      <c r="K1557">
        <v>0.17</v>
      </c>
      <c r="L1557">
        <v>1</v>
      </c>
      <c r="M1557">
        <v>38.1</v>
      </c>
      <c r="N1557">
        <v>50.9</v>
      </c>
      <c r="O1557">
        <v>49.1</v>
      </c>
      <c r="P1557">
        <v>46.7</v>
      </c>
      <c r="Q1557">
        <v>53.3</v>
      </c>
    </row>
    <row r="1558" spans="1:17" x14ac:dyDescent="0.25">
      <c r="A1558" s="2">
        <v>45021</v>
      </c>
      <c r="B1558" s="2" t="str">
        <f t="shared" si="48"/>
        <v>Wednesday</v>
      </c>
      <c r="C1558" s="2" t="b">
        <f t="shared" si="49"/>
        <v>0</v>
      </c>
      <c r="D1558">
        <v>3</v>
      </c>
      <c r="E1558" t="s">
        <v>7</v>
      </c>
      <c r="F1558">
        <v>172</v>
      </c>
      <c r="G1558" s="3">
        <v>2830.23</v>
      </c>
      <c r="H1558" s="3">
        <f>Miami_Retail[[#This Row],[sales_usd]] / Miami_Retail[[#This Row],[customers]]</f>
        <v>16.454825581395347</v>
      </c>
      <c r="I1558">
        <v>62.9</v>
      </c>
      <c r="J1558">
        <f>(Miami_Retail[[#This Row],[avg_temp_f]]-32) * (5/9)</f>
        <v>17.166666666666668</v>
      </c>
      <c r="K1558">
        <v>0</v>
      </c>
      <c r="L1558">
        <v>0</v>
      </c>
      <c r="M1558">
        <v>45.5</v>
      </c>
      <c r="N1558">
        <v>53.3</v>
      </c>
      <c r="O1558">
        <v>46.7</v>
      </c>
      <c r="P1558">
        <v>47.7</v>
      </c>
      <c r="Q1558">
        <v>52.3</v>
      </c>
    </row>
    <row r="1559" spans="1:17" x14ac:dyDescent="0.25">
      <c r="A1559" s="2">
        <v>45022</v>
      </c>
      <c r="B1559" s="2" t="str">
        <f t="shared" si="48"/>
        <v>Thursday</v>
      </c>
      <c r="C1559" s="2" t="b">
        <f t="shared" si="49"/>
        <v>0</v>
      </c>
      <c r="D1559">
        <v>3</v>
      </c>
      <c r="E1559" t="s">
        <v>7</v>
      </c>
      <c r="F1559">
        <v>187</v>
      </c>
      <c r="G1559" s="3">
        <v>3167.08</v>
      </c>
      <c r="H1559" s="3">
        <f>Miami_Retail[[#This Row],[sales_usd]] / Miami_Retail[[#This Row],[customers]]</f>
        <v>16.93625668449198</v>
      </c>
      <c r="I1559">
        <v>62.9</v>
      </c>
      <c r="J1559">
        <f>(Miami_Retail[[#This Row],[avg_temp_f]]-32) * (5/9)</f>
        <v>17.166666666666668</v>
      </c>
      <c r="K1559">
        <v>0</v>
      </c>
      <c r="L1559">
        <v>0</v>
      </c>
      <c r="M1559">
        <v>36.9</v>
      </c>
      <c r="N1559">
        <v>51.2</v>
      </c>
      <c r="O1559">
        <v>48.8</v>
      </c>
      <c r="P1559">
        <v>47.4</v>
      </c>
      <c r="Q1559">
        <v>52.6</v>
      </c>
    </row>
    <row r="1560" spans="1:17" x14ac:dyDescent="0.25">
      <c r="A1560" s="2">
        <v>45023</v>
      </c>
      <c r="B1560" s="2" t="str">
        <f t="shared" si="48"/>
        <v>Friday</v>
      </c>
      <c r="C1560" s="2" t="b">
        <f t="shared" si="49"/>
        <v>0</v>
      </c>
      <c r="D1560">
        <v>3</v>
      </c>
      <c r="E1560" t="s">
        <v>7</v>
      </c>
      <c r="F1560">
        <v>186</v>
      </c>
      <c r="G1560" s="3">
        <v>3036.82</v>
      </c>
      <c r="H1560" s="3">
        <f>Miami_Retail[[#This Row],[sales_usd]] / Miami_Retail[[#This Row],[customers]]</f>
        <v>16.326989247311829</v>
      </c>
      <c r="I1560">
        <v>65.3</v>
      </c>
      <c r="J1560">
        <f>(Miami_Retail[[#This Row],[avg_temp_f]]-32) * (5/9)</f>
        <v>18.5</v>
      </c>
      <c r="K1560">
        <v>0</v>
      </c>
      <c r="L1560">
        <v>0</v>
      </c>
      <c r="M1560">
        <v>35.4</v>
      </c>
      <c r="N1560">
        <v>51.6</v>
      </c>
      <c r="O1560">
        <v>48.4</v>
      </c>
      <c r="P1560">
        <v>48.5</v>
      </c>
      <c r="Q1560">
        <v>51.5</v>
      </c>
    </row>
    <row r="1561" spans="1:17" x14ac:dyDescent="0.25">
      <c r="A1561" s="2">
        <v>45024</v>
      </c>
      <c r="B1561" s="2" t="str">
        <f t="shared" si="48"/>
        <v>Saturday</v>
      </c>
      <c r="C1561" s="2" t="b">
        <f t="shared" si="49"/>
        <v>1</v>
      </c>
      <c r="D1561">
        <v>3</v>
      </c>
      <c r="E1561" t="s">
        <v>7</v>
      </c>
      <c r="F1561">
        <v>201</v>
      </c>
      <c r="G1561" s="3">
        <v>3294.17</v>
      </c>
      <c r="H1561" s="3">
        <f>Miami_Retail[[#This Row],[sales_usd]] / Miami_Retail[[#This Row],[customers]]</f>
        <v>16.388905472636818</v>
      </c>
      <c r="I1561">
        <v>61.2</v>
      </c>
      <c r="J1561">
        <f>(Miami_Retail[[#This Row],[avg_temp_f]]-32) * (5/9)</f>
        <v>16.222222222222225</v>
      </c>
      <c r="K1561">
        <v>0</v>
      </c>
      <c r="L1561">
        <v>0</v>
      </c>
      <c r="M1561">
        <v>38.4</v>
      </c>
      <c r="N1561">
        <v>50.8</v>
      </c>
      <c r="O1561">
        <v>49.2</v>
      </c>
      <c r="P1561">
        <v>54</v>
      </c>
      <c r="Q1561">
        <v>46</v>
      </c>
    </row>
    <row r="1562" spans="1:17" x14ac:dyDescent="0.25">
      <c r="A1562" s="2">
        <v>45025</v>
      </c>
      <c r="B1562" s="2" t="str">
        <f t="shared" si="48"/>
        <v>Sunday</v>
      </c>
      <c r="C1562" s="2" t="b">
        <f t="shared" si="49"/>
        <v>1</v>
      </c>
      <c r="D1562">
        <v>3</v>
      </c>
      <c r="E1562" t="s">
        <v>7</v>
      </c>
      <c r="F1562">
        <v>234</v>
      </c>
      <c r="G1562" s="3">
        <v>4167.76</v>
      </c>
      <c r="H1562" s="3">
        <f>Miami_Retail[[#This Row],[sales_usd]] / Miami_Retail[[#This Row],[customers]]</f>
        <v>17.810940170940171</v>
      </c>
      <c r="I1562">
        <v>64.900000000000006</v>
      </c>
      <c r="J1562">
        <f>(Miami_Retail[[#This Row],[avg_temp_f]]-32) * (5/9)</f>
        <v>18.277777777777782</v>
      </c>
      <c r="K1562">
        <v>0</v>
      </c>
      <c r="L1562">
        <v>0</v>
      </c>
      <c r="M1562">
        <v>48</v>
      </c>
      <c r="N1562">
        <v>52.5</v>
      </c>
      <c r="O1562">
        <v>47.5</v>
      </c>
      <c r="P1562">
        <v>52.6</v>
      </c>
      <c r="Q1562">
        <v>47.4</v>
      </c>
    </row>
    <row r="1563" spans="1:17" x14ac:dyDescent="0.25">
      <c r="A1563" s="2">
        <v>45026</v>
      </c>
      <c r="B1563" s="2" t="str">
        <f t="shared" si="48"/>
        <v>Monday</v>
      </c>
      <c r="C1563" s="2" t="b">
        <f t="shared" si="49"/>
        <v>0</v>
      </c>
      <c r="D1563">
        <v>3</v>
      </c>
      <c r="E1563" t="s">
        <v>7</v>
      </c>
      <c r="F1563">
        <v>167</v>
      </c>
      <c r="G1563" s="3">
        <v>2926.57</v>
      </c>
      <c r="H1563" s="3">
        <f>Miami_Retail[[#This Row],[sales_usd]] / Miami_Retail[[#This Row],[customers]]</f>
        <v>17.524371257485029</v>
      </c>
      <c r="I1563">
        <v>63.2</v>
      </c>
      <c r="J1563">
        <f>(Miami_Retail[[#This Row],[avg_temp_f]]-32) * (5/9)</f>
        <v>17.333333333333336</v>
      </c>
      <c r="K1563">
        <v>0</v>
      </c>
      <c r="L1563">
        <v>0</v>
      </c>
      <c r="M1563">
        <v>35</v>
      </c>
      <c r="N1563">
        <v>52.4</v>
      </c>
      <c r="O1563">
        <v>47.6</v>
      </c>
      <c r="P1563">
        <v>49.3</v>
      </c>
      <c r="Q1563">
        <v>50.7</v>
      </c>
    </row>
    <row r="1564" spans="1:17" x14ac:dyDescent="0.25">
      <c r="A1564" s="2">
        <v>45027</v>
      </c>
      <c r="B1564" s="2" t="str">
        <f t="shared" si="48"/>
        <v>Tuesday</v>
      </c>
      <c r="C1564" s="2" t="b">
        <f t="shared" si="49"/>
        <v>0</v>
      </c>
      <c r="D1564">
        <v>3</v>
      </c>
      <c r="E1564" t="s">
        <v>7</v>
      </c>
      <c r="F1564">
        <v>162</v>
      </c>
      <c r="G1564" s="3">
        <v>2841.04</v>
      </c>
      <c r="H1564" s="3">
        <f>Miami_Retail[[#This Row],[sales_usd]] / Miami_Retail[[#This Row],[customers]]</f>
        <v>17.537283950617283</v>
      </c>
      <c r="I1564">
        <v>64.3</v>
      </c>
      <c r="J1564">
        <f>(Miami_Retail[[#This Row],[avg_temp_f]]-32) * (5/9)</f>
        <v>17.944444444444443</v>
      </c>
      <c r="K1564">
        <v>0</v>
      </c>
      <c r="L1564">
        <v>0</v>
      </c>
      <c r="M1564">
        <v>41.6</v>
      </c>
      <c r="N1564">
        <v>52.8</v>
      </c>
      <c r="O1564">
        <v>47.2</v>
      </c>
      <c r="P1564">
        <v>47.2</v>
      </c>
      <c r="Q1564">
        <v>52.8</v>
      </c>
    </row>
    <row r="1565" spans="1:17" x14ac:dyDescent="0.25">
      <c r="A1565" s="2">
        <v>45028</v>
      </c>
      <c r="B1565" s="2" t="str">
        <f t="shared" si="48"/>
        <v>Wednesday</v>
      </c>
      <c r="C1565" s="2" t="b">
        <f t="shared" si="49"/>
        <v>0</v>
      </c>
      <c r="D1565">
        <v>3</v>
      </c>
      <c r="E1565" t="s">
        <v>7</v>
      </c>
      <c r="F1565">
        <v>183</v>
      </c>
      <c r="G1565" s="3">
        <v>3106.35</v>
      </c>
      <c r="H1565" s="3">
        <f>Miami_Retail[[#This Row],[sales_usd]] / Miami_Retail[[#This Row],[customers]]</f>
        <v>16.974590163934426</v>
      </c>
      <c r="I1565">
        <v>71.099999999999994</v>
      </c>
      <c r="J1565">
        <f>(Miami_Retail[[#This Row],[avg_temp_f]]-32) * (5/9)</f>
        <v>21.722222222222221</v>
      </c>
      <c r="K1565">
        <v>0</v>
      </c>
      <c r="L1565">
        <v>0</v>
      </c>
      <c r="M1565">
        <v>35</v>
      </c>
      <c r="N1565">
        <v>51.3</v>
      </c>
      <c r="O1565">
        <v>48.7</v>
      </c>
      <c r="P1565">
        <v>48.3</v>
      </c>
      <c r="Q1565">
        <v>51.7</v>
      </c>
    </row>
    <row r="1566" spans="1:17" x14ac:dyDescent="0.25">
      <c r="A1566" s="2">
        <v>45029</v>
      </c>
      <c r="B1566" s="2" t="str">
        <f t="shared" si="48"/>
        <v>Thursday</v>
      </c>
      <c r="C1566" s="2" t="b">
        <f t="shared" si="49"/>
        <v>0</v>
      </c>
      <c r="D1566">
        <v>3</v>
      </c>
      <c r="E1566" t="s">
        <v>7</v>
      </c>
      <c r="F1566">
        <v>219</v>
      </c>
      <c r="G1566" s="3">
        <v>3694.97</v>
      </c>
      <c r="H1566" s="3">
        <f>Miami_Retail[[#This Row],[sales_usd]] / Miami_Retail[[#This Row],[customers]]</f>
        <v>16.872009132420089</v>
      </c>
      <c r="I1566">
        <v>73.5</v>
      </c>
      <c r="J1566">
        <f>(Miami_Retail[[#This Row],[avg_temp_f]]-32) * (5/9)</f>
        <v>23.055555555555557</v>
      </c>
      <c r="K1566">
        <v>0</v>
      </c>
      <c r="L1566">
        <v>0</v>
      </c>
      <c r="M1566">
        <v>42.1</v>
      </c>
      <c r="N1566">
        <v>52.7</v>
      </c>
      <c r="O1566">
        <v>47.3</v>
      </c>
      <c r="P1566">
        <v>46.8</v>
      </c>
      <c r="Q1566">
        <v>53.2</v>
      </c>
    </row>
    <row r="1567" spans="1:17" x14ac:dyDescent="0.25">
      <c r="A1567" s="2">
        <v>45030</v>
      </c>
      <c r="B1567" s="2" t="str">
        <f t="shared" si="48"/>
        <v>Friday</v>
      </c>
      <c r="C1567" s="2" t="b">
        <f t="shared" si="49"/>
        <v>0</v>
      </c>
      <c r="D1567">
        <v>3</v>
      </c>
      <c r="E1567" t="s">
        <v>7</v>
      </c>
      <c r="F1567">
        <v>163</v>
      </c>
      <c r="G1567" s="3">
        <v>2762.86</v>
      </c>
      <c r="H1567" s="3">
        <f>Miami_Retail[[#This Row],[sales_usd]] / Miami_Retail[[#This Row],[customers]]</f>
        <v>16.950061349693254</v>
      </c>
      <c r="I1567">
        <v>65</v>
      </c>
      <c r="J1567">
        <f>(Miami_Retail[[#This Row],[avg_temp_f]]-32) * (5/9)</f>
        <v>18.333333333333336</v>
      </c>
      <c r="K1567">
        <v>3.1</v>
      </c>
      <c r="L1567">
        <v>1</v>
      </c>
      <c r="M1567">
        <v>48.6</v>
      </c>
      <c r="N1567">
        <v>53.1</v>
      </c>
      <c r="O1567">
        <v>46.9</v>
      </c>
      <c r="P1567">
        <v>48.3</v>
      </c>
      <c r="Q1567">
        <v>51.7</v>
      </c>
    </row>
    <row r="1568" spans="1:17" x14ac:dyDescent="0.25">
      <c r="A1568" s="2">
        <v>45031</v>
      </c>
      <c r="B1568" s="2" t="str">
        <f t="shared" si="48"/>
        <v>Saturday</v>
      </c>
      <c r="C1568" s="2" t="b">
        <f t="shared" si="49"/>
        <v>1</v>
      </c>
      <c r="D1568">
        <v>3</v>
      </c>
      <c r="E1568" t="s">
        <v>7</v>
      </c>
      <c r="F1568">
        <v>234</v>
      </c>
      <c r="G1568" s="3">
        <v>4048.49</v>
      </c>
      <c r="H1568" s="3">
        <f>Miami_Retail[[#This Row],[sales_usd]] / Miami_Retail[[#This Row],[customers]]</f>
        <v>17.301239316239315</v>
      </c>
      <c r="I1568">
        <v>69.599999999999994</v>
      </c>
      <c r="J1568">
        <f>(Miami_Retail[[#This Row],[avg_temp_f]]-32) * (5/9)</f>
        <v>20.888888888888886</v>
      </c>
      <c r="K1568">
        <v>1.46</v>
      </c>
      <c r="L1568">
        <v>1</v>
      </c>
      <c r="M1568">
        <v>37.200000000000003</v>
      </c>
      <c r="N1568">
        <v>50.9</v>
      </c>
      <c r="O1568">
        <v>49.1</v>
      </c>
      <c r="P1568">
        <v>53.4</v>
      </c>
      <c r="Q1568">
        <v>46.6</v>
      </c>
    </row>
    <row r="1569" spans="1:17" x14ac:dyDescent="0.25">
      <c r="A1569" s="2">
        <v>45032</v>
      </c>
      <c r="B1569" s="2" t="str">
        <f t="shared" si="48"/>
        <v>Sunday</v>
      </c>
      <c r="C1569" s="2" t="b">
        <f t="shared" si="49"/>
        <v>1</v>
      </c>
      <c r="D1569">
        <v>3</v>
      </c>
      <c r="E1569" t="s">
        <v>7</v>
      </c>
      <c r="F1569">
        <v>226</v>
      </c>
      <c r="G1569" s="3">
        <v>3563.62</v>
      </c>
      <c r="H1569" s="3">
        <f>Miami_Retail[[#This Row],[sales_usd]] / Miami_Retail[[#This Row],[customers]]</f>
        <v>15.768230088495574</v>
      </c>
      <c r="I1569">
        <v>61</v>
      </c>
      <c r="J1569">
        <f>(Miami_Retail[[#This Row],[avg_temp_f]]-32) * (5/9)</f>
        <v>16.111111111111111</v>
      </c>
      <c r="K1569">
        <v>0</v>
      </c>
      <c r="L1569">
        <v>0</v>
      </c>
      <c r="M1569">
        <v>39</v>
      </c>
      <c r="N1569">
        <v>51.3</v>
      </c>
      <c r="O1569">
        <v>48.7</v>
      </c>
      <c r="P1569">
        <v>53.1</v>
      </c>
      <c r="Q1569">
        <v>46.9</v>
      </c>
    </row>
    <row r="1570" spans="1:17" x14ac:dyDescent="0.25">
      <c r="A1570" s="2">
        <v>45033</v>
      </c>
      <c r="B1570" s="2" t="str">
        <f t="shared" si="48"/>
        <v>Monday</v>
      </c>
      <c r="C1570" s="2" t="b">
        <f t="shared" si="49"/>
        <v>0</v>
      </c>
      <c r="D1570">
        <v>3</v>
      </c>
      <c r="E1570" t="s">
        <v>7</v>
      </c>
      <c r="F1570">
        <v>180</v>
      </c>
      <c r="G1570" s="3">
        <v>2610.21</v>
      </c>
      <c r="H1570" s="3">
        <f>Miami_Retail[[#This Row],[sales_usd]] / Miami_Retail[[#This Row],[customers]]</f>
        <v>14.501166666666666</v>
      </c>
      <c r="I1570">
        <v>64.599999999999994</v>
      </c>
      <c r="J1570">
        <f>(Miami_Retail[[#This Row],[avg_temp_f]]-32) * (5/9)</f>
        <v>18.111111111111107</v>
      </c>
      <c r="K1570">
        <v>0</v>
      </c>
      <c r="L1570">
        <v>0</v>
      </c>
      <c r="M1570">
        <v>46.1</v>
      </c>
      <c r="N1570">
        <v>51.7</v>
      </c>
      <c r="O1570">
        <v>48.3</v>
      </c>
      <c r="P1570">
        <v>46.6</v>
      </c>
      <c r="Q1570">
        <v>53.4</v>
      </c>
    </row>
    <row r="1571" spans="1:17" x14ac:dyDescent="0.25">
      <c r="A1571" s="2">
        <v>45034</v>
      </c>
      <c r="B1571" s="2" t="str">
        <f t="shared" si="48"/>
        <v>Tuesday</v>
      </c>
      <c r="C1571" s="2" t="b">
        <f t="shared" si="49"/>
        <v>0</v>
      </c>
      <c r="D1571">
        <v>3</v>
      </c>
      <c r="E1571" t="s">
        <v>7</v>
      </c>
      <c r="F1571">
        <v>163</v>
      </c>
      <c r="G1571" s="3">
        <v>2636.78</v>
      </c>
      <c r="H1571" s="3">
        <f>Miami_Retail[[#This Row],[sales_usd]] / Miami_Retail[[#This Row],[customers]]</f>
        <v>16.176564417177914</v>
      </c>
      <c r="I1571">
        <v>70.099999999999994</v>
      </c>
      <c r="J1571">
        <f>(Miami_Retail[[#This Row],[avg_temp_f]]-32) * (5/9)</f>
        <v>21.166666666666664</v>
      </c>
      <c r="K1571">
        <v>0</v>
      </c>
      <c r="L1571">
        <v>0</v>
      </c>
      <c r="M1571">
        <v>37</v>
      </c>
      <c r="N1571">
        <v>52.9</v>
      </c>
      <c r="O1571">
        <v>47.1</v>
      </c>
      <c r="P1571">
        <v>45.8</v>
      </c>
      <c r="Q1571">
        <v>54.2</v>
      </c>
    </row>
    <row r="1572" spans="1:17" x14ac:dyDescent="0.25">
      <c r="A1572" s="2">
        <v>45035</v>
      </c>
      <c r="B1572" s="2" t="str">
        <f t="shared" si="48"/>
        <v>Wednesday</v>
      </c>
      <c r="C1572" s="2" t="b">
        <f t="shared" si="49"/>
        <v>0</v>
      </c>
      <c r="D1572">
        <v>3</v>
      </c>
      <c r="E1572" t="s">
        <v>7</v>
      </c>
      <c r="F1572">
        <v>220</v>
      </c>
      <c r="G1572" s="3">
        <v>3686.67</v>
      </c>
      <c r="H1572" s="3">
        <f>Miami_Retail[[#This Row],[sales_usd]] / Miami_Retail[[#This Row],[customers]]</f>
        <v>16.757590909090908</v>
      </c>
      <c r="I1572">
        <v>67.2</v>
      </c>
      <c r="J1572">
        <f>(Miami_Retail[[#This Row],[avg_temp_f]]-32) * (5/9)</f>
        <v>19.555555555555557</v>
      </c>
      <c r="K1572">
        <v>0</v>
      </c>
      <c r="L1572">
        <v>0</v>
      </c>
      <c r="M1572">
        <v>41.2</v>
      </c>
      <c r="N1572">
        <v>51.5</v>
      </c>
      <c r="O1572">
        <v>48.5</v>
      </c>
      <c r="P1572">
        <v>47.2</v>
      </c>
      <c r="Q1572">
        <v>52.8</v>
      </c>
    </row>
    <row r="1573" spans="1:17" x14ac:dyDescent="0.25">
      <c r="A1573" s="2">
        <v>45036</v>
      </c>
      <c r="B1573" s="2" t="str">
        <f t="shared" si="48"/>
        <v>Thursday</v>
      </c>
      <c r="C1573" s="2" t="b">
        <f t="shared" si="49"/>
        <v>0</v>
      </c>
      <c r="D1573">
        <v>3</v>
      </c>
      <c r="E1573" t="s">
        <v>7</v>
      </c>
      <c r="F1573">
        <v>215</v>
      </c>
      <c r="G1573" s="3">
        <v>3464.94</v>
      </c>
      <c r="H1573" s="3">
        <f>Miami_Retail[[#This Row],[sales_usd]] / Miami_Retail[[#This Row],[customers]]</f>
        <v>16.116</v>
      </c>
      <c r="I1573">
        <v>70.400000000000006</v>
      </c>
      <c r="J1573">
        <f>(Miami_Retail[[#This Row],[avg_temp_f]]-32) * (5/9)</f>
        <v>21.333333333333336</v>
      </c>
      <c r="K1573">
        <v>0.35</v>
      </c>
      <c r="L1573">
        <v>1</v>
      </c>
      <c r="M1573">
        <v>35.5</v>
      </c>
      <c r="N1573">
        <v>50.2</v>
      </c>
      <c r="O1573">
        <v>49.8</v>
      </c>
      <c r="P1573">
        <v>48.7</v>
      </c>
      <c r="Q1573">
        <v>51.3</v>
      </c>
    </row>
    <row r="1574" spans="1:17" x14ac:dyDescent="0.25">
      <c r="A1574" s="2">
        <v>45037</v>
      </c>
      <c r="B1574" s="2" t="str">
        <f t="shared" si="48"/>
        <v>Friday</v>
      </c>
      <c r="C1574" s="2" t="b">
        <f t="shared" si="49"/>
        <v>0</v>
      </c>
      <c r="D1574">
        <v>3</v>
      </c>
      <c r="E1574" t="s">
        <v>7</v>
      </c>
      <c r="F1574">
        <v>208</v>
      </c>
      <c r="G1574" s="3">
        <v>3305.65</v>
      </c>
      <c r="H1574" s="3">
        <f>Miami_Retail[[#This Row],[sales_usd]] / Miami_Retail[[#This Row],[customers]]</f>
        <v>15.892548076923077</v>
      </c>
      <c r="I1574">
        <v>71.900000000000006</v>
      </c>
      <c r="J1574">
        <f>(Miami_Retail[[#This Row],[avg_temp_f]]-32) * (5/9)</f>
        <v>22.166666666666671</v>
      </c>
      <c r="K1574">
        <v>0</v>
      </c>
      <c r="L1574">
        <v>0</v>
      </c>
      <c r="M1574">
        <v>37.5</v>
      </c>
      <c r="N1574">
        <v>52.1</v>
      </c>
      <c r="O1574">
        <v>47.9</v>
      </c>
      <c r="P1574">
        <v>48.6</v>
      </c>
      <c r="Q1574">
        <v>51.4</v>
      </c>
    </row>
    <row r="1575" spans="1:17" x14ac:dyDescent="0.25">
      <c r="A1575" s="2">
        <v>45038</v>
      </c>
      <c r="B1575" s="2" t="str">
        <f t="shared" si="48"/>
        <v>Saturday</v>
      </c>
      <c r="C1575" s="2" t="b">
        <f t="shared" si="49"/>
        <v>1</v>
      </c>
      <c r="D1575">
        <v>3</v>
      </c>
      <c r="E1575" t="s">
        <v>7</v>
      </c>
      <c r="F1575">
        <v>220</v>
      </c>
      <c r="G1575" s="3">
        <v>3712.11</v>
      </c>
      <c r="H1575" s="3">
        <f>Miami_Retail[[#This Row],[sales_usd]] / Miami_Retail[[#This Row],[customers]]</f>
        <v>16.873227272727274</v>
      </c>
      <c r="I1575">
        <v>66.400000000000006</v>
      </c>
      <c r="J1575">
        <f>(Miami_Retail[[#This Row],[avg_temp_f]]-32) * (5/9)</f>
        <v>19.111111111111114</v>
      </c>
      <c r="K1575">
        <v>0</v>
      </c>
      <c r="L1575">
        <v>0</v>
      </c>
      <c r="M1575">
        <v>35</v>
      </c>
      <c r="N1575">
        <v>53.1</v>
      </c>
      <c r="O1575">
        <v>46.9</v>
      </c>
      <c r="P1575">
        <v>54.9</v>
      </c>
      <c r="Q1575">
        <v>45.1</v>
      </c>
    </row>
    <row r="1576" spans="1:17" x14ac:dyDescent="0.25">
      <c r="A1576" s="2">
        <v>45039</v>
      </c>
      <c r="B1576" s="2" t="str">
        <f t="shared" si="48"/>
        <v>Sunday</v>
      </c>
      <c r="C1576" s="2" t="b">
        <f t="shared" si="49"/>
        <v>1</v>
      </c>
      <c r="D1576">
        <v>3</v>
      </c>
      <c r="E1576" t="s">
        <v>7</v>
      </c>
      <c r="F1576">
        <v>218</v>
      </c>
      <c r="G1576" s="3">
        <v>3559.82</v>
      </c>
      <c r="H1576" s="3">
        <f>Miami_Retail[[#This Row],[sales_usd]] / Miami_Retail[[#This Row],[customers]]</f>
        <v>16.329449541284404</v>
      </c>
      <c r="I1576">
        <v>71.099999999999994</v>
      </c>
      <c r="J1576">
        <f>(Miami_Retail[[#This Row],[avg_temp_f]]-32) * (5/9)</f>
        <v>21.722222222222221</v>
      </c>
      <c r="K1576">
        <v>0</v>
      </c>
      <c r="L1576">
        <v>0</v>
      </c>
      <c r="M1576">
        <v>35</v>
      </c>
      <c r="N1576">
        <v>51.3</v>
      </c>
      <c r="O1576">
        <v>48.7</v>
      </c>
      <c r="P1576">
        <v>53.2</v>
      </c>
      <c r="Q1576">
        <v>46.8</v>
      </c>
    </row>
    <row r="1577" spans="1:17" x14ac:dyDescent="0.25">
      <c r="A1577" s="2">
        <v>45040</v>
      </c>
      <c r="B1577" s="2" t="str">
        <f t="shared" si="48"/>
        <v>Monday</v>
      </c>
      <c r="C1577" s="2" t="b">
        <f t="shared" si="49"/>
        <v>0</v>
      </c>
      <c r="D1577">
        <v>3</v>
      </c>
      <c r="E1577" t="s">
        <v>7</v>
      </c>
      <c r="F1577">
        <v>178</v>
      </c>
      <c r="G1577" s="3">
        <v>2975.13</v>
      </c>
      <c r="H1577" s="3">
        <f>Miami_Retail[[#This Row],[sales_usd]] / Miami_Retail[[#This Row],[customers]]</f>
        <v>16.714213483146068</v>
      </c>
      <c r="I1577">
        <v>68.599999999999994</v>
      </c>
      <c r="J1577">
        <f>(Miami_Retail[[#This Row],[avg_temp_f]]-32) * (5/9)</f>
        <v>20.333333333333332</v>
      </c>
      <c r="K1577">
        <v>0</v>
      </c>
      <c r="L1577">
        <v>0</v>
      </c>
      <c r="M1577">
        <v>41.2</v>
      </c>
      <c r="N1577">
        <v>50.8</v>
      </c>
      <c r="O1577">
        <v>49.2</v>
      </c>
      <c r="P1577">
        <v>49.2</v>
      </c>
      <c r="Q1577">
        <v>50.8</v>
      </c>
    </row>
    <row r="1578" spans="1:17" x14ac:dyDescent="0.25">
      <c r="A1578" s="2">
        <v>45041</v>
      </c>
      <c r="B1578" s="2" t="str">
        <f t="shared" si="48"/>
        <v>Tuesday</v>
      </c>
      <c r="C1578" s="2" t="b">
        <f t="shared" si="49"/>
        <v>0</v>
      </c>
      <c r="D1578">
        <v>3</v>
      </c>
      <c r="E1578" t="s">
        <v>7</v>
      </c>
      <c r="F1578">
        <v>151</v>
      </c>
      <c r="G1578" s="3">
        <v>2486.13</v>
      </c>
      <c r="H1578" s="3">
        <f>Miami_Retail[[#This Row],[sales_usd]] / Miami_Retail[[#This Row],[customers]]</f>
        <v>16.464437086092715</v>
      </c>
      <c r="I1578">
        <v>70.5</v>
      </c>
      <c r="J1578">
        <f>(Miami_Retail[[#This Row],[avg_temp_f]]-32) * (5/9)</f>
        <v>21.388888888888889</v>
      </c>
      <c r="K1578">
        <v>1.79</v>
      </c>
      <c r="L1578">
        <v>1</v>
      </c>
      <c r="M1578">
        <v>46.2</v>
      </c>
      <c r="N1578">
        <v>50.6</v>
      </c>
      <c r="O1578">
        <v>49.4</v>
      </c>
      <c r="P1578">
        <v>47.3</v>
      </c>
      <c r="Q1578">
        <v>52.7</v>
      </c>
    </row>
    <row r="1579" spans="1:17" x14ac:dyDescent="0.25">
      <c r="A1579" s="2">
        <v>45042</v>
      </c>
      <c r="B1579" s="2" t="str">
        <f t="shared" si="48"/>
        <v>Wednesday</v>
      </c>
      <c r="C1579" s="2" t="b">
        <f t="shared" si="49"/>
        <v>0</v>
      </c>
      <c r="D1579">
        <v>3</v>
      </c>
      <c r="E1579" t="s">
        <v>7</v>
      </c>
      <c r="F1579">
        <v>159</v>
      </c>
      <c r="G1579" s="3">
        <v>2791.23</v>
      </c>
      <c r="H1579" s="3">
        <f>Miami_Retail[[#This Row],[sales_usd]] / Miami_Retail[[#This Row],[customers]]</f>
        <v>17.554905660377358</v>
      </c>
      <c r="I1579">
        <v>63.6</v>
      </c>
      <c r="J1579">
        <f>(Miami_Retail[[#This Row],[avg_temp_f]]-32) * (5/9)</f>
        <v>17.555555555555557</v>
      </c>
      <c r="K1579">
        <v>0</v>
      </c>
      <c r="L1579">
        <v>0</v>
      </c>
      <c r="M1579">
        <v>38.4</v>
      </c>
      <c r="N1579">
        <v>51.6</v>
      </c>
      <c r="O1579">
        <v>48.4</v>
      </c>
      <c r="P1579">
        <v>47.8</v>
      </c>
      <c r="Q1579">
        <v>52.2</v>
      </c>
    </row>
    <row r="1580" spans="1:17" x14ac:dyDescent="0.25">
      <c r="A1580" s="2">
        <v>45043</v>
      </c>
      <c r="B1580" s="2" t="str">
        <f t="shared" si="48"/>
        <v>Thursday</v>
      </c>
      <c r="C1580" s="2" t="b">
        <f t="shared" si="49"/>
        <v>0</v>
      </c>
      <c r="D1580">
        <v>3</v>
      </c>
      <c r="E1580" t="s">
        <v>7</v>
      </c>
      <c r="F1580">
        <v>188</v>
      </c>
      <c r="G1580" s="3">
        <v>3055.44</v>
      </c>
      <c r="H1580" s="3">
        <f>Miami_Retail[[#This Row],[sales_usd]] / Miami_Retail[[#This Row],[customers]]</f>
        <v>16.252340425531916</v>
      </c>
      <c r="I1580">
        <v>72.2</v>
      </c>
      <c r="J1580">
        <f>(Miami_Retail[[#This Row],[avg_temp_f]]-32) * (5/9)</f>
        <v>22.333333333333336</v>
      </c>
      <c r="K1580">
        <v>0.37</v>
      </c>
      <c r="L1580">
        <v>1</v>
      </c>
      <c r="M1580">
        <v>40.5</v>
      </c>
      <c r="N1580">
        <v>51.3</v>
      </c>
      <c r="O1580">
        <v>48.7</v>
      </c>
      <c r="P1580">
        <v>48.5</v>
      </c>
      <c r="Q1580">
        <v>51.5</v>
      </c>
    </row>
    <row r="1581" spans="1:17" x14ac:dyDescent="0.25">
      <c r="A1581" s="2">
        <v>45044</v>
      </c>
      <c r="B1581" s="2" t="str">
        <f t="shared" si="48"/>
        <v>Friday</v>
      </c>
      <c r="C1581" s="2" t="b">
        <f t="shared" si="49"/>
        <v>0</v>
      </c>
      <c r="D1581">
        <v>3</v>
      </c>
      <c r="E1581" t="s">
        <v>7</v>
      </c>
      <c r="F1581">
        <v>181</v>
      </c>
      <c r="G1581" s="3">
        <v>2840.87</v>
      </c>
      <c r="H1581" s="3">
        <f>Miami_Retail[[#This Row],[sales_usd]] / Miami_Retail[[#This Row],[customers]]</f>
        <v>15.695414364640884</v>
      </c>
      <c r="I1581">
        <v>68.3</v>
      </c>
      <c r="J1581">
        <f>(Miami_Retail[[#This Row],[avg_temp_f]]-32) * (5/9)</f>
        <v>20.166666666666664</v>
      </c>
      <c r="K1581">
        <v>0</v>
      </c>
      <c r="L1581">
        <v>0</v>
      </c>
      <c r="M1581">
        <v>39.9</v>
      </c>
      <c r="N1581">
        <v>52.4</v>
      </c>
      <c r="O1581">
        <v>47.6</v>
      </c>
      <c r="P1581">
        <v>48.1</v>
      </c>
      <c r="Q1581">
        <v>51.9</v>
      </c>
    </row>
    <row r="1582" spans="1:17" x14ac:dyDescent="0.25">
      <c r="A1582" s="2">
        <v>45045</v>
      </c>
      <c r="B1582" s="2" t="str">
        <f t="shared" si="48"/>
        <v>Saturday</v>
      </c>
      <c r="C1582" s="2" t="b">
        <f t="shared" si="49"/>
        <v>1</v>
      </c>
      <c r="D1582">
        <v>3</v>
      </c>
      <c r="E1582" t="s">
        <v>7</v>
      </c>
      <c r="F1582">
        <v>251</v>
      </c>
      <c r="G1582" s="3">
        <v>3982.44</v>
      </c>
      <c r="H1582" s="3">
        <f>Miami_Retail[[#This Row],[sales_usd]] / Miami_Retail[[#This Row],[customers]]</f>
        <v>15.866294820717131</v>
      </c>
      <c r="I1582">
        <v>72.900000000000006</v>
      </c>
      <c r="J1582">
        <f>(Miami_Retail[[#This Row],[avg_temp_f]]-32) * (5/9)</f>
        <v>22.722222222222225</v>
      </c>
      <c r="K1582">
        <v>0</v>
      </c>
      <c r="L1582">
        <v>0</v>
      </c>
      <c r="M1582">
        <v>41</v>
      </c>
      <c r="N1582">
        <v>50.4</v>
      </c>
      <c r="O1582">
        <v>49.6</v>
      </c>
      <c r="P1582">
        <v>53</v>
      </c>
      <c r="Q1582">
        <v>47</v>
      </c>
    </row>
    <row r="1583" spans="1:17" x14ac:dyDescent="0.25">
      <c r="A1583" s="2">
        <v>45046</v>
      </c>
      <c r="B1583" s="2" t="str">
        <f t="shared" si="48"/>
        <v>Sunday</v>
      </c>
      <c r="C1583" s="2" t="b">
        <f t="shared" si="49"/>
        <v>1</v>
      </c>
      <c r="D1583">
        <v>3</v>
      </c>
      <c r="E1583" t="s">
        <v>7</v>
      </c>
      <c r="F1583">
        <v>186</v>
      </c>
      <c r="G1583" s="3">
        <v>3177.76</v>
      </c>
      <c r="H1583" s="3">
        <f>Miami_Retail[[#This Row],[sales_usd]] / Miami_Retail[[#This Row],[customers]]</f>
        <v>17.0847311827957</v>
      </c>
      <c r="I1583">
        <v>69.400000000000006</v>
      </c>
      <c r="J1583">
        <f>(Miami_Retail[[#This Row],[avg_temp_f]]-32) * (5/9)</f>
        <v>20.777777777777782</v>
      </c>
      <c r="K1583">
        <v>0</v>
      </c>
      <c r="L1583">
        <v>0</v>
      </c>
      <c r="M1583">
        <v>48</v>
      </c>
      <c r="N1583">
        <v>52.3</v>
      </c>
      <c r="O1583">
        <v>47.7</v>
      </c>
      <c r="P1583">
        <v>54.7</v>
      </c>
      <c r="Q1583">
        <v>45.3</v>
      </c>
    </row>
    <row r="1584" spans="1:17" x14ac:dyDescent="0.25">
      <c r="A1584" s="2">
        <v>45047</v>
      </c>
      <c r="B1584" s="2" t="str">
        <f t="shared" si="48"/>
        <v>Monday</v>
      </c>
      <c r="C1584" s="2" t="b">
        <f t="shared" si="49"/>
        <v>0</v>
      </c>
      <c r="D1584">
        <v>3</v>
      </c>
      <c r="E1584" t="s">
        <v>7</v>
      </c>
      <c r="F1584">
        <v>150</v>
      </c>
      <c r="G1584" s="3">
        <v>2440.4899999999998</v>
      </c>
      <c r="H1584" s="3">
        <f>Miami_Retail[[#This Row],[sales_usd]] / Miami_Retail[[#This Row],[customers]]</f>
        <v>16.269933333333331</v>
      </c>
      <c r="I1584">
        <v>68.2</v>
      </c>
      <c r="J1584">
        <f>(Miami_Retail[[#This Row],[avg_temp_f]]-32) * (5/9)</f>
        <v>20.111111111111114</v>
      </c>
      <c r="K1584">
        <v>0.9</v>
      </c>
      <c r="L1584">
        <v>1</v>
      </c>
      <c r="M1584">
        <v>40.700000000000003</v>
      </c>
      <c r="N1584">
        <v>50.7</v>
      </c>
      <c r="O1584">
        <v>49.3</v>
      </c>
      <c r="P1584">
        <v>47.2</v>
      </c>
      <c r="Q1584">
        <v>52.8</v>
      </c>
    </row>
    <row r="1585" spans="1:17" x14ac:dyDescent="0.25">
      <c r="A1585" s="2">
        <v>45048</v>
      </c>
      <c r="B1585" s="2" t="str">
        <f t="shared" si="48"/>
        <v>Tuesday</v>
      </c>
      <c r="C1585" s="2" t="b">
        <f t="shared" si="49"/>
        <v>0</v>
      </c>
      <c r="D1585">
        <v>3</v>
      </c>
      <c r="E1585" t="s">
        <v>7</v>
      </c>
      <c r="F1585">
        <v>174</v>
      </c>
      <c r="G1585" s="3">
        <v>2782.67</v>
      </c>
      <c r="H1585" s="3">
        <f>Miami_Retail[[#This Row],[sales_usd]] / Miami_Retail[[#This Row],[customers]]</f>
        <v>15.992356321839081</v>
      </c>
      <c r="I1585">
        <v>66</v>
      </c>
      <c r="J1585">
        <f>(Miami_Retail[[#This Row],[avg_temp_f]]-32) * (5/9)</f>
        <v>18.888888888888889</v>
      </c>
      <c r="K1585">
        <v>0.72</v>
      </c>
      <c r="L1585">
        <v>1</v>
      </c>
      <c r="M1585">
        <v>43.7</v>
      </c>
      <c r="N1585">
        <v>52.1</v>
      </c>
      <c r="O1585">
        <v>47.9</v>
      </c>
      <c r="P1585">
        <v>46.3</v>
      </c>
      <c r="Q1585">
        <v>53.7</v>
      </c>
    </row>
    <row r="1586" spans="1:17" x14ac:dyDescent="0.25">
      <c r="A1586" s="2">
        <v>45049</v>
      </c>
      <c r="B1586" s="2" t="str">
        <f t="shared" si="48"/>
        <v>Wednesday</v>
      </c>
      <c r="C1586" s="2" t="b">
        <f t="shared" si="49"/>
        <v>0</v>
      </c>
      <c r="D1586">
        <v>3</v>
      </c>
      <c r="E1586" t="s">
        <v>7</v>
      </c>
      <c r="F1586">
        <v>170</v>
      </c>
      <c r="G1586" s="3">
        <v>3113.93</v>
      </c>
      <c r="H1586" s="3">
        <f>Miami_Retail[[#This Row],[sales_usd]] / Miami_Retail[[#This Row],[customers]]</f>
        <v>18.317235294117648</v>
      </c>
      <c r="I1586">
        <v>70.400000000000006</v>
      </c>
      <c r="J1586">
        <f>(Miami_Retail[[#This Row],[avg_temp_f]]-32) * (5/9)</f>
        <v>21.333333333333336</v>
      </c>
      <c r="K1586">
        <v>2.17</v>
      </c>
      <c r="L1586">
        <v>1</v>
      </c>
      <c r="M1586">
        <v>40.200000000000003</v>
      </c>
      <c r="N1586">
        <v>50.1</v>
      </c>
      <c r="O1586">
        <v>49.9</v>
      </c>
      <c r="P1586">
        <v>47.5</v>
      </c>
      <c r="Q1586">
        <v>52.5</v>
      </c>
    </row>
    <row r="1587" spans="1:17" x14ac:dyDescent="0.25">
      <c r="A1587" s="2">
        <v>45050</v>
      </c>
      <c r="B1587" s="2" t="str">
        <f t="shared" si="48"/>
        <v>Thursday</v>
      </c>
      <c r="C1587" s="2" t="b">
        <f t="shared" si="49"/>
        <v>0</v>
      </c>
      <c r="D1587">
        <v>3</v>
      </c>
      <c r="E1587" t="s">
        <v>7</v>
      </c>
      <c r="F1587">
        <v>205</v>
      </c>
      <c r="G1587" s="3">
        <v>3196</v>
      </c>
      <c r="H1587" s="3">
        <f>Miami_Retail[[#This Row],[sales_usd]] / Miami_Retail[[#This Row],[customers]]</f>
        <v>15.590243902439024</v>
      </c>
      <c r="I1587">
        <v>69.8</v>
      </c>
      <c r="J1587">
        <f>(Miami_Retail[[#This Row],[avg_temp_f]]-32) * (5/9)</f>
        <v>21</v>
      </c>
      <c r="K1587">
        <v>0</v>
      </c>
      <c r="L1587">
        <v>0</v>
      </c>
      <c r="M1587">
        <v>48.8</v>
      </c>
      <c r="N1587">
        <v>51</v>
      </c>
      <c r="O1587">
        <v>49</v>
      </c>
      <c r="P1587">
        <v>47.4</v>
      </c>
      <c r="Q1587">
        <v>52.6</v>
      </c>
    </row>
    <row r="1588" spans="1:17" x14ac:dyDescent="0.25">
      <c r="A1588" s="2">
        <v>45051</v>
      </c>
      <c r="B1588" s="2" t="str">
        <f t="shared" si="48"/>
        <v>Friday</v>
      </c>
      <c r="C1588" s="2" t="b">
        <f t="shared" si="49"/>
        <v>0</v>
      </c>
      <c r="D1588">
        <v>3</v>
      </c>
      <c r="E1588" t="s">
        <v>7</v>
      </c>
      <c r="F1588">
        <v>163</v>
      </c>
      <c r="G1588" s="3">
        <v>2797.72</v>
      </c>
      <c r="H1588" s="3">
        <f>Miami_Retail[[#This Row],[sales_usd]] / Miami_Retail[[#This Row],[customers]]</f>
        <v>17.163926380368096</v>
      </c>
      <c r="I1588">
        <v>67.400000000000006</v>
      </c>
      <c r="J1588">
        <f>(Miami_Retail[[#This Row],[avg_temp_f]]-32) * (5/9)</f>
        <v>19.666666666666671</v>
      </c>
      <c r="K1588">
        <v>1.58</v>
      </c>
      <c r="L1588">
        <v>1</v>
      </c>
      <c r="M1588">
        <v>37</v>
      </c>
      <c r="N1588">
        <v>50.5</v>
      </c>
      <c r="O1588">
        <v>49.5</v>
      </c>
      <c r="P1588">
        <v>47.5</v>
      </c>
      <c r="Q1588">
        <v>52.5</v>
      </c>
    </row>
    <row r="1589" spans="1:17" x14ac:dyDescent="0.25">
      <c r="A1589" s="2">
        <v>45052</v>
      </c>
      <c r="B1589" s="2" t="str">
        <f t="shared" si="48"/>
        <v>Saturday</v>
      </c>
      <c r="C1589" s="2" t="b">
        <f t="shared" si="49"/>
        <v>1</v>
      </c>
      <c r="D1589">
        <v>3</v>
      </c>
      <c r="E1589" t="s">
        <v>7</v>
      </c>
      <c r="F1589">
        <v>218</v>
      </c>
      <c r="G1589" s="3">
        <v>3306.33</v>
      </c>
      <c r="H1589" s="3">
        <f>Miami_Retail[[#This Row],[sales_usd]] / Miami_Retail[[#This Row],[customers]]</f>
        <v>15.166651376146788</v>
      </c>
      <c r="I1589">
        <v>70.5</v>
      </c>
      <c r="J1589">
        <f>(Miami_Retail[[#This Row],[avg_temp_f]]-32) * (5/9)</f>
        <v>21.388888888888889</v>
      </c>
      <c r="K1589">
        <v>0.53</v>
      </c>
      <c r="L1589">
        <v>1</v>
      </c>
      <c r="M1589">
        <v>44.3</v>
      </c>
      <c r="N1589">
        <v>52.4</v>
      </c>
      <c r="O1589">
        <v>47.6</v>
      </c>
      <c r="P1589">
        <v>55.3</v>
      </c>
      <c r="Q1589">
        <v>44.7</v>
      </c>
    </row>
    <row r="1590" spans="1:17" x14ac:dyDescent="0.25">
      <c r="A1590" s="2">
        <v>45053</v>
      </c>
      <c r="B1590" s="2" t="str">
        <f t="shared" si="48"/>
        <v>Sunday</v>
      </c>
      <c r="C1590" s="2" t="b">
        <f t="shared" si="49"/>
        <v>1</v>
      </c>
      <c r="D1590">
        <v>3</v>
      </c>
      <c r="E1590" t="s">
        <v>7</v>
      </c>
      <c r="F1590">
        <v>228</v>
      </c>
      <c r="G1590" s="3">
        <v>3820.15</v>
      </c>
      <c r="H1590" s="3">
        <f>Miami_Retail[[#This Row],[sales_usd]] / Miami_Retail[[#This Row],[customers]]</f>
        <v>16.755043859649124</v>
      </c>
      <c r="I1590">
        <v>64.5</v>
      </c>
      <c r="J1590">
        <f>(Miami_Retail[[#This Row],[avg_temp_f]]-32) * (5/9)</f>
        <v>18.055555555555557</v>
      </c>
      <c r="K1590">
        <v>0</v>
      </c>
      <c r="L1590">
        <v>0</v>
      </c>
      <c r="M1590">
        <v>44.8</v>
      </c>
      <c r="N1590">
        <v>52.9</v>
      </c>
      <c r="O1590">
        <v>47.1</v>
      </c>
      <c r="P1590">
        <v>53.5</v>
      </c>
      <c r="Q1590">
        <v>46.5</v>
      </c>
    </row>
    <row r="1591" spans="1:17" x14ac:dyDescent="0.25">
      <c r="A1591" s="2">
        <v>45054</v>
      </c>
      <c r="B1591" s="2" t="str">
        <f t="shared" si="48"/>
        <v>Monday</v>
      </c>
      <c r="C1591" s="2" t="b">
        <f t="shared" si="49"/>
        <v>0</v>
      </c>
      <c r="D1591">
        <v>3</v>
      </c>
      <c r="E1591" t="s">
        <v>7</v>
      </c>
      <c r="F1591">
        <v>182</v>
      </c>
      <c r="G1591" s="3">
        <v>3069.31</v>
      </c>
      <c r="H1591" s="3">
        <f>Miami_Retail[[#This Row],[sales_usd]] / Miami_Retail[[#This Row],[customers]]</f>
        <v>16.864340659340659</v>
      </c>
      <c r="I1591">
        <v>70</v>
      </c>
      <c r="J1591">
        <f>(Miami_Retail[[#This Row],[avg_temp_f]]-32) * (5/9)</f>
        <v>21.111111111111111</v>
      </c>
      <c r="K1591">
        <v>0</v>
      </c>
      <c r="L1591">
        <v>0</v>
      </c>
      <c r="M1591">
        <v>43.8</v>
      </c>
      <c r="N1591">
        <v>51.4</v>
      </c>
      <c r="O1591">
        <v>48.6</v>
      </c>
      <c r="P1591">
        <v>48.3</v>
      </c>
      <c r="Q1591">
        <v>51.7</v>
      </c>
    </row>
    <row r="1592" spans="1:17" x14ac:dyDescent="0.25">
      <c r="A1592" s="2">
        <v>45055</v>
      </c>
      <c r="B1592" s="2" t="str">
        <f t="shared" si="48"/>
        <v>Tuesday</v>
      </c>
      <c r="C1592" s="2" t="b">
        <f t="shared" si="49"/>
        <v>0</v>
      </c>
      <c r="D1592">
        <v>3</v>
      </c>
      <c r="E1592" t="s">
        <v>7</v>
      </c>
      <c r="F1592">
        <v>176</v>
      </c>
      <c r="G1592" s="3">
        <v>3002.15</v>
      </c>
      <c r="H1592" s="3">
        <f>Miami_Retail[[#This Row],[sales_usd]] / Miami_Retail[[#This Row],[customers]]</f>
        <v>17.057670454545455</v>
      </c>
      <c r="I1592">
        <v>70.3</v>
      </c>
      <c r="J1592">
        <f>(Miami_Retail[[#This Row],[avg_temp_f]]-32) * (5/9)</f>
        <v>21.277777777777779</v>
      </c>
      <c r="K1592">
        <v>0.69</v>
      </c>
      <c r="L1592">
        <v>1</v>
      </c>
      <c r="M1592">
        <v>36.700000000000003</v>
      </c>
      <c r="N1592">
        <v>51.6</v>
      </c>
      <c r="O1592">
        <v>48.4</v>
      </c>
      <c r="P1592">
        <v>50</v>
      </c>
      <c r="Q1592">
        <v>50</v>
      </c>
    </row>
    <row r="1593" spans="1:17" x14ac:dyDescent="0.25">
      <c r="A1593" s="2">
        <v>45056</v>
      </c>
      <c r="B1593" s="2" t="str">
        <f t="shared" si="48"/>
        <v>Wednesday</v>
      </c>
      <c r="C1593" s="2" t="b">
        <f t="shared" si="49"/>
        <v>0</v>
      </c>
      <c r="D1593">
        <v>3</v>
      </c>
      <c r="E1593" t="s">
        <v>7</v>
      </c>
      <c r="F1593">
        <v>182</v>
      </c>
      <c r="G1593" s="3">
        <v>3131.24</v>
      </c>
      <c r="H1593" s="3">
        <f>Miami_Retail[[#This Row],[sales_usd]] / Miami_Retail[[#This Row],[customers]]</f>
        <v>17.204615384615384</v>
      </c>
      <c r="I1593">
        <v>69.599999999999994</v>
      </c>
      <c r="J1593">
        <f>(Miami_Retail[[#This Row],[avg_temp_f]]-32) * (5/9)</f>
        <v>20.888888888888886</v>
      </c>
      <c r="K1593">
        <v>0</v>
      </c>
      <c r="L1593">
        <v>0</v>
      </c>
      <c r="M1593">
        <v>43.3</v>
      </c>
      <c r="N1593">
        <v>50.9</v>
      </c>
      <c r="O1593">
        <v>49.1</v>
      </c>
      <c r="P1593">
        <v>48.2</v>
      </c>
      <c r="Q1593">
        <v>51.8</v>
      </c>
    </row>
    <row r="1594" spans="1:17" x14ac:dyDescent="0.25">
      <c r="A1594" s="2">
        <v>45057</v>
      </c>
      <c r="B1594" s="2" t="str">
        <f t="shared" si="48"/>
        <v>Thursday</v>
      </c>
      <c r="C1594" s="2" t="b">
        <f t="shared" si="49"/>
        <v>0</v>
      </c>
      <c r="D1594">
        <v>3</v>
      </c>
      <c r="E1594" t="s">
        <v>7</v>
      </c>
      <c r="F1594">
        <v>146</v>
      </c>
      <c r="G1594" s="3">
        <v>2495.08</v>
      </c>
      <c r="H1594" s="3">
        <f>Miami_Retail[[#This Row],[sales_usd]] / Miami_Retail[[#This Row],[customers]]</f>
        <v>17.089589041095891</v>
      </c>
      <c r="I1594">
        <v>67.3</v>
      </c>
      <c r="J1594">
        <f>(Miami_Retail[[#This Row],[avg_temp_f]]-32) * (5/9)</f>
        <v>19.611111111111111</v>
      </c>
      <c r="K1594">
        <v>0</v>
      </c>
      <c r="L1594">
        <v>0</v>
      </c>
      <c r="M1594">
        <v>46.5</v>
      </c>
      <c r="N1594">
        <v>51.7</v>
      </c>
      <c r="O1594">
        <v>48.3</v>
      </c>
      <c r="P1594">
        <v>48.4</v>
      </c>
      <c r="Q1594">
        <v>51.6</v>
      </c>
    </row>
    <row r="1595" spans="1:17" x14ac:dyDescent="0.25">
      <c r="A1595" s="2">
        <v>45058</v>
      </c>
      <c r="B1595" s="2" t="str">
        <f t="shared" si="48"/>
        <v>Friday</v>
      </c>
      <c r="C1595" s="2" t="b">
        <f t="shared" si="49"/>
        <v>0</v>
      </c>
      <c r="D1595">
        <v>3</v>
      </c>
      <c r="E1595" t="s">
        <v>7</v>
      </c>
      <c r="F1595">
        <v>206</v>
      </c>
      <c r="G1595" s="3">
        <v>3519.1</v>
      </c>
      <c r="H1595" s="3">
        <f>Miami_Retail[[#This Row],[sales_usd]] / Miami_Retail[[#This Row],[customers]]</f>
        <v>17.083009708737865</v>
      </c>
      <c r="I1595">
        <v>65.400000000000006</v>
      </c>
      <c r="J1595">
        <f>(Miami_Retail[[#This Row],[avg_temp_f]]-32) * (5/9)</f>
        <v>18.555555555555561</v>
      </c>
      <c r="K1595">
        <v>0</v>
      </c>
      <c r="L1595">
        <v>0</v>
      </c>
      <c r="M1595">
        <v>41.1</v>
      </c>
      <c r="N1595">
        <v>49.4</v>
      </c>
      <c r="O1595">
        <v>50.6</v>
      </c>
      <c r="P1595">
        <v>47.5</v>
      </c>
      <c r="Q1595">
        <v>52.5</v>
      </c>
    </row>
    <row r="1596" spans="1:17" x14ac:dyDescent="0.25">
      <c r="A1596" s="2">
        <v>45059</v>
      </c>
      <c r="B1596" s="2" t="str">
        <f t="shared" si="48"/>
        <v>Saturday</v>
      </c>
      <c r="C1596" s="2" t="b">
        <f t="shared" si="49"/>
        <v>1</v>
      </c>
      <c r="D1596">
        <v>3</v>
      </c>
      <c r="E1596" t="s">
        <v>7</v>
      </c>
      <c r="F1596">
        <v>200</v>
      </c>
      <c r="G1596" s="3">
        <v>3201.93</v>
      </c>
      <c r="H1596" s="3">
        <f>Miami_Retail[[#This Row],[sales_usd]] / Miami_Retail[[#This Row],[customers]]</f>
        <v>16.009650000000001</v>
      </c>
      <c r="I1596">
        <v>70</v>
      </c>
      <c r="J1596">
        <f>(Miami_Retail[[#This Row],[avg_temp_f]]-32) * (5/9)</f>
        <v>21.111111111111111</v>
      </c>
      <c r="K1596">
        <v>0.88</v>
      </c>
      <c r="L1596">
        <v>1</v>
      </c>
      <c r="M1596">
        <v>38.1</v>
      </c>
      <c r="N1596">
        <v>49.8</v>
      </c>
      <c r="O1596">
        <v>50.2</v>
      </c>
      <c r="P1596">
        <v>53.1</v>
      </c>
      <c r="Q1596">
        <v>46.9</v>
      </c>
    </row>
    <row r="1597" spans="1:17" x14ac:dyDescent="0.25">
      <c r="A1597" s="2">
        <v>45060</v>
      </c>
      <c r="B1597" s="2" t="str">
        <f t="shared" si="48"/>
        <v>Sunday</v>
      </c>
      <c r="C1597" s="2" t="b">
        <f t="shared" si="49"/>
        <v>1</v>
      </c>
      <c r="D1597">
        <v>3</v>
      </c>
      <c r="E1597" t="s">
        <v>7</v>
      </c>
      <c r="F1597">
        <v>233</v>
      </c>
      <c r="G1597" s="3">
        <v>3823.21</v>
      </c>
      <c r="H1597" s="3">
        <f>Miami_Retail[[#This Row],[sales_usd]] / Miami_Retail[[#This Row],[customers]]</f>
        <v>16.408626609442059</v>
      </c>
      <c r="I1597">
        <v>72.900000000000006</v>
      </c>
      <c r="J1597">
        <f>(Miami_Retail[[#This Row],[avg_temp_f]]-32) * (5/9)</f>
        <v>22.722222222222225</v>
      </c>
      <c r="K1597">
        <v>0</v>
      </c>
      <c r="L1597">
        <v>0</v>
      </c>
      <c r="M1597">
        <v>44.8</v>
      </c>
      <c r="N1597">
        <v>53.5</v>
      </c>
      <c r="O1597">
        <v>46.5</v>
      </c>
      <c r="P1597">
        <v>54.3</v>
      </c>
      <c r="Q1597">
        <v>45.7</v>
      </c>
    </row>
    <row r="1598" spans="1:17" x14ac:dyDescent="0.25">
      <c r="A1598" s="2">
        <v>45061</v>
      </c>
      <c r="B1598" s="2" t="str">
        <f t="shared" si="48"/>
        <v>Monday</v>
      </c>
      <c r="C1598" s="2" t="b">
        <f t="shared" si="49"/>
        <v>0</v>
      </c>
      <c r="D1598">
        <v>3</v>
      </c>
      <c r="E1598" t="s">
        <v>7</v>
      </c>
      <c r="F1598">
        <v>204</v>
      </c>
      <c r="G1598" s="3">
        <v>3409.87</v>
      </c>
      <c r="H1598" s="3">
        <f>Miami_Retail[[#This Row],[sales_usd]] / Miami_Retail[[#This Row],[customers]]</f>
        <v>16.715049019607843</v>
      </c>
      <c r="I1598">
        <v>74.8</v>
      </c>
      <c r="J1598">
        <f>(Miami_Retail[[#This Row],[avg_temp_f]]-32) * (5/9)</f>
        <v>23.777777777777779</v>
      </c>
      <c r="K1598">
        <v>0</v>
      </c>
      <c r="L1598">
        <v>0</v>
      </c>
      <c r="M1598">
        <v>49</v>
      </c>
      <c r="N1598">
        <v>52.2</v>
      </c>
      <c r="O1598">
        <v>47.8</v>
      </c>
      <c r="P1598">
        <v>47.8</v>
      </c>
      <c r="Q1598">
        <v>52.2</v>
      </c>
    </row>
    <row r="1599" spans="1:17" x14ac:dyDescent="0.25">
      <c r="A1599" s="2">
        <v>45062</v>
      </c>
      <c r="B1599" s="2" t="str">
        <f t="shared" si="48"/>
        <v>Tuesday</v>
      </c>
      <c r="C1599" s="2" t="b">
        <f t="shared" si="49"/>
        <v>0</v>
      </c>
      <c r="D1599">
        <v>3</v>
      </c>
      <c r="E1599" t="s">
        <v>7</v>
      </c>
      <c r="F1599">
        <v>174</v>
      </c>
      <c r="G1599" s="3">
        <v>2894.24</v>
      </c>
      <c r="H1599" s="3">
        <f>Miami_Retail[[#This Row],[sales_usd]] / Miami_Retail[[#This Row],[customers]]</f>
        <v>16.633563218390805</v>
      </c>
      <c r="I1599">
        <v>74.8</v>
      </c>
      <c r="J1599">
        <f>(Miami_Retail[[#This Row],[avg_temp_f]]-32) * (5/9)</f>
        <v>23.777777777777779</v>
      </c>
      <c r="K1599">
        <v>0</v>
      </c>
      <c r="L1599">
        <v>0</v>
      </c>
      <c r="M1599">
        <v>40.5</v>
      </c>
      <c r="N1599">
        <v>50.5</v>
      </c>
      <c r="O1599">
        <v>49.5</v>
      </c>
      <c r="P1599">
        <v>47.4</v>
      </c>
      <c r="Q1599">
        <v>52.6</v>
      </c>
    </row>
    <row r="1600" spans="1:17" x14ac:dyDescent="0.25">
      <c r="A1600" s="2">
        <v>45063</v>
      </c>
      <c r="B1600" s="2" t="str">
        <f t="shared" si="48"/>
        <v>Wednesday</v>
      </c>
      <c r="C1600" s="2" t="b">
        <f t="shared" si="49"/>
        <v>0</v>
      </c>
      <c r="D1600">
        <v>3</v>
      </c>
      <c r="E1600" t="s">
        <v>7</v>
      </c>
      <c r="F1600">
        <v>180</v>
      </c>
      <c r="G1600" s="3">
        <v>3176.77</v>
      </c>
      <c r="H1600" s="3">
        <f>Miami_Retail[[#This Row],[sales_usd]] / Miami_Retail[[#This Row],[customers]]</f>
        <v>17.648722222222222</v>
      </c>
      <c r="I1600">
        <v>72.400000000000006</v>
      </c>
      <c r="J1600">
        <f>(Miami_Retail[[#This Row],[avg_temp_f]]-32) * (5/9)</f>
        <v>22.44444444444445</v>
      </c>
      <c r="K1600">
        <v>0.79</v>
      </c>
      <c r="L1600">
        <v>1</v>
      </c>
      <c r="M1600">
        <v>47.5</v>
      </c>
      <c r="N1600">
        <v>51.2</v>
      </c>
      <c r="O1600">
        <v>48.8</v>
      </c>
      <c r="P1600">
        <v>46.5</v>
      </c>
      <c r="Q1600">
        <v>53.5</v>
      </c>
    </row>
    <row r="1601" spans="1:17" x14ac:dyDescent="0.25">
      <c r="A1601" s="2">
        <v>45064</v>
      </c>
      <c r="B1601" s="2" t="str">
        <f t="shared" si="48"/>
        <v>Thursday</v>
      </c>
      <c r="C1601" s="2" t="b">
        <f t="shared" si="49"/>
        <v>0</v>
      </c>
      <c r="D1601">
        <v>3</v>
      </c>
      <c r="E1601" t="s">
        <v>7</v>
      </c>
      <c r="F1601">
        <v>211</v>
      </c>
      <c r="G1601" s="3">
        <v>3888.17</v>
      </c>
      <c r="H1601" s="3">
        <f>Miami_Retail[[#This Row],[sales_usd]] / Miami_Retail[[#This Row],[customers]]</f>
        <v>18.42734597156398</v>
      </c>
      <c r="I1601">
        <v>70</v>
      </c>
      <c r="J1601">
        <f>(Miami_Retail[[#This Row],[avg_temp_f]]-32) * (5/9)</f>
        <v>21.111111111111111</v>
      </c>
      <c r="K1601">
        <v>0</v>
      </c>
      <c r="L1601">
        <v>0</v>
      </c>
      <c r="M1601">
        <v>45.5</v>
      </c>
      <c r="N1601">
        <v>50.1</v>
      </c>
      <c r="O1601">
        <v>49.9</v>
      </c>
      <c r="P1601">
        <v>47.8</v>
      </c>
      <c r="Q1601">
        <v>52.2</v>
      </c>
    </row>
    <row r="1602" spans="1:17" x14ac:dyDescent="0.25">
      <c r="A1602" s="2">
        <v>45065</v>
      </c>
      <c r="B1602" s="2" t="str">
        <f t="shared" ref="B1602:B1665" si="50">TEXT(A1602, "dddd")</f>
        <v>Friday</v>
      </c>
      <c r="C1602" s="2" t="b">
        <f t="shared" ref="C1602:C1665" si="51">IF(WEEKDAY(A1602,2)&gt;5,TRUE,FALSE)</f>
        <v>0</v>
      </c>
      <c r="D1602">
        <v>3</v>
      </c>
      <c r="E1602" t="s">
        <v>7</v>
      </c>
      <c r="F1602">
        <v>204</v>
      </c>
      <c r="G1602" s="3">
        <v>3383.63</v>
      </c>
      <c r="H1602" s="3">
        <f>Miami_Retail[[#This Row],[sales_usd]] / Miami_Retail[[#This Row],[customers]]</f>
        <v>16.586421568627451</v>
      </c>
      <c r="I1602">
        <v>76.7</v>
      </c>
      <c r="J1602">
        <f>(Miami_Retail[[#This Row],[avg_temp_f]]-32) * (5/9)</f>
        <v>24.833333333333336</v>
      </c>
      <c r="K1602">
        <v>0</v>
      </c>
      <c r="L1602">
        <v>0</v>
      </c>
      <c r="M1602">
        <v>47.4</v>
      </c>
      <c r="N1602">
        <v>52.9</v>
      </c>
      <c r="O1602">
        <v>47.1</v>
      </c>
      <c r="P1602">
        <v>47.9</v>
      </c>
      <c r="Q1602">
        <v>52.1</v>
      </c>
    </row>
    <row r="1603" spans="1:17" x14ac:dyDescent="0.25">
      <c r="A1603" s="2">
        <v>45066</v>
      </c>
      <c r="B1603" s="2" t="str">
        <f t="shared" si="50"/>
        <v>Saturday</v>
      </c>
      <c r="C1603" s="2" t="b">
        <f t="shared" si="51"/>
        <v>1</v>
      </c>
      <c r="D1603">
        <v>3</v>
      </c>
      <c r="E1603" t="s">
        <v>7</v>
      </c>
      <c r="F1603">
        <v>227</v>
      </c>
      <c r="G1603" s="3">
        <v>3625.12</v>
      </c>
      <c r="H1603" s="3">
        <f>Miami_Retail[[#This Row],[sales_usd]] / Miami_Retail[[#This Row],[customers]]</f>
        <v>15.969691629955946</v>
      </c>
      <c r="I1603">
        <v>67.7</v>
      </c>
      <c r="J1603">
        <f>(Miami_Retail[[#This Row],[avg_temp_f]]-32) * (5/9)</f>
        <v>19.833333333333336</v>
      </c>
      <c r="K1603">
        <v>0</v>
      </c>
      <c r="L1603">
        <v>0</v>
      </c>
      <c r="M1603">
        <v>37.200000000000003</v>
      </c>
      <c r="N1603">
        <v>51.4</v>
      </c>
      <c r="O1603">
        <v>48.6</v>
      </c>
      <c r="P1603">
        <v>54</v>
      </c>
      <c r="Q1603">
        <v>46</v>
      </c>
    </row>
    <row r="1604" spans="1:17" x14ac:dyDescent="0.25">
      <c r="A1604" s="2">
        <v>45067</v>
      </c>
      <c r="B1604" s="2" t="str">
        <f t="shared" si="50"/>
        <v>Sunday</v>
      </c>
      <c r="C1604" s="2" t="b">
        <f t="shared" si="51"/>
        <v>1</v>
      </c>
      <c r="D1604">
        <v>3</v>
      </c>
      <c r="E1604" t="s">
        <v>7</v>
      </c>
      <c r="F1604">
        <v>191</v>
      </c>
      <c r="G1604" s="3">
        <v>2830.73</v>
      </c>
      <c r="H1604" s="3">
        <f>Miami_Retail[[#This Row],[sales_usd]] / Miami_Retail[[#This Row],[customers]]</f>
        <v>14.820575916230366</v>
      </c>
      <c r="I1604">
        <v>66.400000000000006</v>
      </c>
      <c r="J1604">
        <f>(Miami_Retail[[#This Row],[avg_temp_f]]-32) * (5/9)</f>
        <v>19.111111111111114</v>
      </c>
      <c r="K1604">
        <v>0</v>
      </c>
      <c r="L1604">
        <v>0</v>
      </c>
      <c r="M1604">
        <v>57.4</v>
      </c>
      <c r="N1604">
        <v>51.1</v>
      </c>
      <c r="O1604">
        <v>48.9</v>
      </c>
      <c r="P1604">
        <v>53.3</v>
      </c>
      <c r="Q1604">
        <v>46.7</v>
      </c>
    </row>
    <row r="1605" spans="1:17" x14ac:dyDescent="0.25">
      <c r="A1605" s="2">
        <v>45068</v>
      </c>
      <c r="B1605" s="2" t="str">
        <f t="shared" si="50"/>
        <v>Monday</v>
      </c>
      <c r="C1605" s="2" t="b">
        <f t="shared" si="51"/>
        <v>0</v>
      </c>
      <c r="D1605">
        <v>3</v>
      </c>
      <c r="E1605" t="s">
        <v>7</v>
      </c>
      <c r="F1605">
        <v>194</v>
      </c>
      <c r="G1605" s="3">
        <v>3071.14</v>
      </c>
      <c r="H1605" s="3">
        <f>Miami_Retail[[#This Row],[sales_usd]] / Miami_Retail[[#This Row],[customers]]</f>
        <v>15.83061855670103</v>
      </c>
      <c r="I1605">
        <v>70.7</v>
      </c>
      <c r="J1605">
        <f>(Miami_Retail[[#This Row],[avg_temp_f]]-32) * (5/9)</f>
        <v>21.500000000000004</v>
      </c>
      <c r="K1605">
        <v>0</v>
      </c>
      <c r="L1605">
        <v>0</v>
      </c>
      <c r="M1605">
        <v>56.6</v>
      </c>
      <c r="N1605">
        <v>50.7</v>
      </c>
      <c r="O1605">
        <v>49.3</v>
      </c>
      <c r="P1605">
        <v>49</v>
      </c>
      <c r="Q1605">
        <v>51</v>
      </c>
    </row>
    <row r="1606" spans="1:17" x14ac:dyDescent="0.25">
      <c r="A1606" s="2">
        <v>45069</v>
      </c>
      <c r="B1606" s="2" t="str">
        <f t="shared" si="50"/>
        <v>Tuesday</v>
      </c>
      <c r="C1606" s="2" t="b">
        <f t="shared" si="51"/>
        <v>0</v>
      </c>
      <c r="D1606">
        <v>3</v>
      </c>
      <c r="E1606" t="s">
        <v>7</v>
      </c>
      <c r="F1606">
        <v>185</v>
      </c>
      <c r="G1606" s="3">
        <v>2961.76</v>
      </c>
      <c r="H1606" s="3">
        <f>Miami_Retail[[#This Row],[sales_usd]] / Miami_Retail[[#This Row],[customers]]</f>
        <v>16.009513513513514</v>
      </c>
      <c r="I1606">
        <v>78.400000000000006</v>
      </c>
      <c r="J1606">
        <f>(Miami_Retail[[#This Row],[avg_temp_f]]-32) * (5/9)</f>
        <v>25.777777777777782</v>
      </c>
      <c r="K1606">
        <v>0</v>
      </c>
      <c r="L1606">
        <v>0</v>
      </c>
      <c r="M1606">
        <v>44.1</v>
      </c>
      <c r="N1606">
        <v>52</v>
      </c>
      <c r="O1606">
        <v>48</v>
      </c>
      <c r="P1606">
        <v>46.4</v>
      </c>
      <c r="Q1606">
        <v>53.6</v>
      </c>
    </row>
    <row r="1607" spans="1:17" x14ac:dyDescent="0.25">
      <c r="A1607" s="2">
        <v>45070</v>
      </c>
      <c r="B1607" s="2" t="str">
        <f t="shared" si="50"/>
        <v>Wednesday</v>
      </c>
      <c r="C1607" s="2" t="b">
        <f t="shared" si="51"/>
        <v>0</v>
      </c>
      <c r="D1607">
        <v>3</v>
      </c>
      <c r="E1607" t="s">
        <v>7</v>
      </c>
      <c r="F1607">
        <v>268</v>
      </c>
      <c r="G1607" s="3">
        <v>4471.05</v>
      </c>
      <c r="H1607" s="3">
        <f>Miami_Retail[[#This Row],[sales_usd]] / Miami_Retail[[#This Row],[customers]]</f>
        <v>16.683022388059701</v>
      </c>
      <c r="I1607">
        <v>77.7</v>
      </c>
      <c r="J1607">
        <f>(Miami_Retail[[#This Row],[avg_temp_f]]-32) * (5/9)</f>
        <v>25.388888888888893</v>
      </c>
      <c r="K1607">
        <v>0</v>
      </c>
      <c r="L1607">
        <v>0</v>
      </c>
      <c r="M1607">
        <v>52.9</v>
      </c>
      <c r="N1607">
        <v>50</v>
      </c>
      <c r="O1607">
        <v>50</v>
      </c>
      <c r="P1607">
        <v>48.5</v>
      </c>
      <c r="Q1607">
        <v>51.5</v>
      </c>
    </row>
    <row r="1608" spans="1:17" x14ac:dyDescent="0.25">
      <c r="A1608" s="2">
        <v>45071</v>
      </c>
      <c r="B1608" s="2" t="str">
        <f t="shared" si="50"/>
        <v>Thursday</v>
      </c>
      <c r="C1608" s="2" t="b">
        <f t="shared" si="51"/>
        <v>0</v>
      </c>
      <c r="D1608">
        <v>3</v>
      </c>
      <c r="E1608" t="s">
        <v>7</v>
      </c>
      <c r="F1608">
        <v>206</v>
      </c>
      <c r="G1608" s="3">
        <v>3492.98</v>
      </c>
      <c r="H1608" s="3">
        <f>Miami_Retail[[#This Row],[sales_usd]] / Miami_Retail[[#This Row],[customers]]</f>
        <v>16.956213592233009</v>
      </c>
      <c r="I1608">
        <v>75.099999999999994</v>
      </c>
      <c r="J1608">
        <f>(Miami_Retail[[#This Row],[avg_temp_f]]-32) * (5/9)</f>
        <v>23.944444444444443</v>
      </c>
      <c r="K1608">
        <v>0</v>
      </c>
      <c r="L1608">
        <v>0</v>
      </c>
      <c r="M1608">
        <v>50.1</v>
      </c>
      <c r="N1608">
        <v>51.2</v>
      </c>
      <c r="O1608">
        <v>48.8</v>
      </c>
      <c r="P1608">
        <v>46.6</v>
      </c>
      <c r="Q1608">
        <v>53.4</v>
      </c>
    </row>
    <row r="1609" spans="1:17" x14ac:dyDescent="0.25">
      <c r="A1609" s="2">
        <v>45072</v>
      </c>
      <c r="B1609" s="2" t="str">
        <f t="shared" si="50"/>
        <v>Friday</v>
      </c>
      <c r="C1609" s="2" t="b">
        <f t="shared" si="51"/>
        <v>0</v>
      </c>
      <c r="D1609">
        <v>3</v>
      </c>
      <c r="E1609" t="s">
        <v>7</v>
      </c>
      <c r="F1609">
        <v>225</v>
      </c>
      <c r="G1609" s="3">
        <v>3779.86</v>
      </c>
      <c r="H1609" s="3">
        <f>Miami_Retail[[#This Row],[sales_usd]] / Miami_Retail[[#This Row],[customers]]</f>
        <v>16.799377777777778</v>
      </c>
      <c r="I1609">
        <v>72.5</v>
      </c>
      <c r="J1609">
        <f>(Miami_Retail[[#This Row],[avg_temp_f]]-32) * (5/9)</f>
        <v>22.5</v>
      </c>
      <c r="K1609">
        <v>0</v>
      </c>
      <c r="L1609">
        <v>0</v>
      </c>
      <c r="M1609">
        <v>41.3</v>
      </c>
      <c r="N1609">
        <v>50.5</v>
      </c>
      <c r="O1609">
        <v>49.5</v>
      </c>
      <c r="P1609">
        <v>48.8</v>
      </c>
      <c r="Q1609">
        <v>51.2</v>
      </c>
    </row>
    <row r="1610" spans="1:17" x14ac:dyDescent="0.25">
      <c r="A1610" s="2">
        <v>45073</v>
      </c>
      <c r="B1610" s="2" t="str">
        <f t="shared" si="50"/>
        <v>Saturday</v>
      </c>
      <c r="C1610" s="2" t="b">
        <f t="shared" si="51"/>
        <v>1</v>
      </c>
      <c r="D1610">
        <v>3</v>
      </c>
      <c r="E1610" t="s">
        <v>7</v>
      </c>
      <c r="F1610">
        <v>232</v>
      </c>
      <c r="G1610" s="3">
        <v>3961.37</v>
      </c>
      <c r="H1610" s="3">
        <f>Miami_Retail[[#This Row],[sales_usd]] / Miami_Retail[[#This Row],[customers]]</f>
        <v>17.074870689655171</v>
      </c>
      <c r="I1610">
        <v>74.900000000000006</v>
      </c>
      <c r="J1610">
        <f>(Miami_Retail[[#This Row],[avg_temp_f]]-32) * (5/9)</f>
        <v>23.833333333333339</v>
      </c>
      <c r="K1610">
        <v>0.47</v>
      </c>
      <c r="L1610">
        <v>1</v>
      </c>
      <c r="M1610">
        <v>44.5</v>
      </c>
      <c r="N1610">
        <v>49.9</v>
      </c>
      <c r="O1610">
        <v>50.1</v>
      </c>
      <c r="P1610">
        <v>54.5</v>
      </c>
      <c r="Q1610">
        <v>45.5</v>
      </c>
    </row>
    <row r="1611" spans="1:17" x14ac:dyDescent="0.25">
      <c r="A1611" s="2">
        <v>45074</v>
      </c>
      <c r="B1611" s="2" t="str">
        <f t="shared" si="50"/>
        <v>Sunday</v>
      </c>
      <c r="C1611" s="2" t="b">
        <f t="shared" si="51"/>
        <v>1</v>
      </c>
      <c r="D1611">
        <v>3</v>
      </c>
      <c r="E1611" t="s">
        <v>7</v>
      </c>
      <c r="F1611">
        <v>216</v>
      </c>
      <c r="G1611" s="3">
        <v>3448.36</v>
      </c>
      <c r="H1611" s="3">
        <f>Miami_Retail[[#This Row],[sales_usd]] / Miami_Retail[[#This Row],[customers]]</f>
        <v>15.964629629629631</v>
      </c>
      <c r="I1611">
        <v>68.2</v>
      </c>
      <c r="J1611">
        <f>(Miami_Retail[[#This Row],[avg_temp_f]]-32) * (5/9)</f>
        <v>20.111111111111114</v>
      </c>
      <c r="K1611">
        <v>0.76</v>
      </c>
      <c r="L1611">
        <v>1</v>
      </c>
      <c r="M1611">
        <v>59.8</v>
      </c>
      <c r="N1611">
        <v>51.4</v>
      </c>
      <c r="O1611">
        <v>48.6</v>
      </c>
      <c r="P1611">
        <v>53.4</v>
      </c>
      <c r="Q1611">
        <v>46.6</v>
      </c>
    </row>
    <row r="1612" spans="1:17" x14ac:dyDescent="0.25">
      <c r="A1612" s="2">
        <v>45075</v>
      </c>
      <c r="B1612" s="2" t="str">
        <f t="shared" si="50"/>
        <v>Monday</v>
      </c>
      <c r="C1612" s="2" t="b">
        <f t="shared" si="51"/>
        <v>0</v>
      </c>
      <c r="D1612">
        <v>3</v>
      </c>
      <c r="E1612" t="s">
        <v>7</v>
      </c>
      <c r="F1612">
        <v>181</v>
      </c>
      <c r="G1612" s="3">
        <v>2870.55</v>
      </c>
      <c r="H1612" s="3">
        <f>Miami_Retail[[#This Row],[sales_usd]] / Miami_Retail[[#This Row],[customers]]</f>
        <v>15.859392265193371</v>
      </c>
      <c r="I1612">
        <v>72.400000000000006</v>
      </c>
      <c r="J1612">
        <f>(Miami_Retail[[#This Row],[avg_temp_f]]-32) * (5/9)</f>
        <v>22.44444444444445</v>
      </c>
      <c r="K1612">
        <v>0.99</v>
      </c>
      <c r="L1612">
        <v>1</v>
      </c>
      <c r="M1612">
        <v>53.6</v>
      </c>
      <c r="N1612">
        <v>51.8</v>
      </c>
      <c r="O1612">
        <v>48.2</v>
      </c>
      <c r="P1612">
        <v>48.3</v>
      </c>
      <c r="Q1612">
        <v>51.7</v>
      </c>
    </row>
    <row r="1613" spans="1:17" x14ac:dyDescent="0.25">
      <c r="A1613" s="2">
        <v>45076</v>
      </c>
      <c r="B1613" s="2" t="str">
        <f t="shared" si="50"/>
        <v>Tuesday</v>
      </c>
      <c r="C1613" s="2" t="b">
        <f t="shared" si="51"/>
        <v>0</v>
      </c>
      <c r="D1613">
        <v>3</v>
      </c>
      <c r="E1613" t="s">
        <v>7</v>
      </c>
      <c r="F1613">
        <v>193</v>
      </c>
      <c r="G1613" s="3">
        <v>3211.8</v>
      </c>
      <c r="H1613" s="3">
        <f>Miami_Retail[[#This Row],[sales_usd]] / Miami_Retail[[#This Row],[customers]]</f>
        <v>16.641450777202074</v>
      </c>
      <c r="I1613">
        <v>76.8</v>
      </c>
      <c r="J1613">
        <f>(Miami_Retail[[#This Row],[avg_temp_f]]-32) * (5/9)</f>
        <v>24.888888888888889</v>
      </c>
      <c r="K1613">
        <v>1.28</v>
      </c>
      <c r="L1613">
        <v>1</v>
      </c>
      <c r="M1613">
        <v>56.8</v>
      </c>
      <c r="N1613">
        <v>51.2</v>
      </c>
      <c r="O1613">
        <v>48.8</v>
      </c>
      <c r="P1613">
        <v>48.4</v>
      </c>
      <c r="Q1613">
        <v>51.6</v>
      </c>
    </row>
    <row r="1614" spans="1:17" x14ac:dyDescent="0.25">
      <c r="A1614" s="2">
        <v>45077</v>
      </c>
      <c r="B1614" s="2" t="str">
        <f t="shared" si="50"/>
        <v>Wednesday</v>
      </c>
      <c r="C1614" s="2" t="b">
        <f t="shared" si="51"/>
        <v>0</v>
      </c>
      <c r="D1614">
        <v>3</v>
      </c>
      <c r="E1614" t="s">
        <v>7</v>
      </c>
      <c r="F1614">
        <v>214</v>
      </c>
      <c r="G1614" s="3">
        <v>3652.6</v>
      </c>
      <c r="H1614" s="3">
        <f>Miami_Retail[[#This Row],[sales_usd]] / Miami_Retail[[#This Row],[customers]]</f>
        <v>17.06822429906542</v>
      </c>
      <c r="I1614">
        <v>76.400000000000006</v>
      </c>
      <c r="J1614">
        <f>(Miami_Retail[[#This Row],[avg_temp_f]]-32) * (5/9)</f>
        <v>24.666666666666671</v>
      </c>
      <c r="K1614">
        <v>0</v>
      </c>
      <c r="L1614">
        <v>0</v>
      </c>
      <c r="M1614">
        <v>46.4</v>
      </c>
      <c r="N1614">
        <v>51.4</v>
      </c>
      <c r="O1614">
        <v>48.6</v>
      </c>
      <c r="P1614">
        <v>45.8</v>
      </c>
      <c r="Q1614">
        <v>54.2</v>
      </c>
    </row>
    <row r="1615" spans="1:17" x14ac:dyDescent="0.25">
      <c r="A1615" s="2">
        <v>45078</v>
      </c>
      <c r="B1615" s="2" t="str">
        <f t="shared" si="50"/>
        <v>Thursday</v>
      </c>
      <c r="C1615" s="2" t="b">
        <f t="shared" si="51"/>
        <v>0</v>
      </c>
      <c r="D1615">
        <v>3</v>
      </c>
      <c r="E1615" t="s">
        <v>7</v>
      </c>
      <c r="F1615">
        <v>195</v>
      </c>
      <c r="G1615" s="3">
        <v>3040.69</v>
      </c>
      <c r="H1615" s="3">
        <f>Miami_Retail[[#This Row],[sales_usd]] / Miami_Retail[[#This Row],[customers]]</f>
        <v>15.593282051282051</v>
      </c>
      <c r="I1615">
        <v>72.8</v>
      </c>
      <c r="J1615">
        <f>(Miami_Retail[[#This Row],[avg_temp_f]]-32) * (5/9)</f>
        <v>22.666666666666668</v>
      </c>
      <c r="K1615">
        <v>0</v>
      </c>
      <c r="L1615">
        <v>0</v>
      </c>
      <c r="M1615">
        <v>59.4</v>
      </c>
      <c r="N1615">
        <v>49.3</v>
      </c>
      <c r="O1615">
        <v>50.7</v>
      </c>
      <c r="P1615">
        <v>47.4</v>
      </c>
      <c r="Q1615">
        <v>52.6</v>
      </c>
    </row>
    <row r="1616" spans="1:17" x14ac:dyDescent="0.25">
      <c r="A1616" s="2">
        <v>45079</v>
      </c>
      <c r="B1616" s="2" t="str">
        <f t="shared" si="50"/>
        <v>Friday</v>
      </c>
      <c r="C1616" s="2" t="b">
        <f t="shared" si="51"/>
        <v>0</v>
      </c>
      <c r="D1616">
        <v>3</v>
      </c>
      <c r="E1616" t="s">
        <v>7</v>
      </c>
      <c r="F1616">
        <v>218</v>
      </c>
      <c r="G1616" s="3">
        <v>3848.05</v>
      </c>
      <c r="H1616" s="3">
        <f>Miami_Retail[[#This Row],[sales_usd]] / Miami_Retail[[#This Row],[customers]]</f>
        <v>17.651605504587156</v>
      </c>
      <c r="I1616">
        <v>68.900000000000006</v>
      </c>
      <c r="J1616">
        <f>(Miami_Retail[[#This Row],[avg_temp_f]]-32) * (5/9)</f>
        <v>20.500000000000004</v>
      </c>
      <c r="K1616">
        <v>0</v>
      </c>
      <c r="L1616">
        <v>0</v>
      </c>
      <c r="M1616">
        <v>50.8</v>
      </c>
      <c r="N1616">
        <v>50.7</v>
      </c>
      <c r="O1616">
        <v>49.3</v>
      </c>
      <c r="P1616">
        <v>47.7</v>
      </c>
      <c r="Q1616">
        <v>52.3</v>
      </c>
    </row>
    <row r="1617" spans="1:17" x14ac:dyDescent="0.25">
      <c r="A1617" s="2">
        <v>45080</v>
      </c>
      <c r="B1617" s="2" t="str">
        <f t="shared" si="50"/>
        <v>Saturday</v>
      </c>
      <c r="C1617" s="2" t="b">
        <f t="shared" si="51"/>
        <v>1</v>
      </c>
      <c r="D1617">
        <v>3</v>
      </c>
      <c r="E1617" t="s">
        <v>7</v>
      </c>
      <c r="F1617">
        <v>251</v>
      </c>
      <c r="G1617" s="3">
        <v>4154.41</v>
      </c>
      <c r="H1617" s="3">
        <f>Miami_Retail[[#This Row],[sales_usd]] / Miami_Retail[[#This Row],[customers]]</f>
        <v>16.551434262948206</v>
      </c>
      <c r="I1617">
        <v>74.7</v>
      </c>
      <c r="J1617">
        <f>(Miami_Retail[[#This Row],[avg_temp_f]]-32) * (5/9)</f>
        <v>23.722222222222225</v>
      </c>
      <c r="K1617">
        <v>0.11</v>
      </c>
      <c r="L1617">
        <v>1</v>
      </c>
      <c r="M1617">
        <v>41.6</v>
      </c>
      <c r="N1617">
        <v>50.9</v>
      </c>
      <c r="O1617">
        <v>49.1</v>
      </c>
      <c r="P1617">
        <v>55.2</v>
      </c>
      <c r="Q1617">
        <v>44.8</v>
      </c>
    </row>
    <row r="1618" spans="1:17" x14ac:dyDescent="0.25">
      <c r="A1618" s="2">
        <v>45081</v>
      </c>
      <c r="B1618" s="2" t="str">
        <f t="shared" si="50"/>
        <v>Sunday</v>
      </c>
      <c r="C1618" s="2" t="b">
        <f t="shared" si="51"/>
        <v>1</v>
      </c>
      <c r="D1618">
        <v>3</v>
      </c>
      <c r="E1618" t="s">
        <v>7</v>
      </c>
      <c r="F1618">
        <v>223</v>
      </c>
      <c r="G1618" s="3">
        <v>3737.57</v>
      </c>
      <c r="H1618" s="3">
        <f>Miami_Retail[[#This Row],[sales_usd]] / Miami_Retail[[#This Row],[customers]]</f>
        <v>16.760403587443946</v>
      </c>
      <c r="I1618">
        <v>76.599999999999994</v>
      </c>
      <c r="J1618">
        <f>(Miami_Retail[[#This Row],[avg_temp_f]]-32) * (5/9)</f>
        <v>24.777777777777775</v>
      </c>
      <c r="K1618">
        <v>0</v>
      </c>
      <c r="L1618">
        <v>0</v>
      </c>
      <c r="M1618">
        <v>44</v>
      </c>
      <c r="N1618">
        <v>49.6</v>
      </c>
      <c r="O1618">
        <v>50.4</v>
      </c>
      <c r="P1618">
        <v>52.3</v>
      </c>
      <c r="Q1618">
        <v>47.7</v>
      </c>
    </row>
    <row r="1619" spans="1:17" x14ac:dyDescent="0.25">
      <c r="A1619" s="2">
        <v>45082</v>
      </c>
      <c r="B1619" s="2" t="str">
        <f t="shared" si="50"/>
        <v>Monday</v>
      </c>
      <c r="C1619" s="2" t="b">
        <f t="shared" si="51"/>
        <v>0</v>
      </c>
      <c r="D1619">
        <v>3</v>
      </c>
      <c r="E1619" t="s">
        <v>7</v>
      </c>
      <c r="F1619">
        <v>233</v>
      </c>
      <c r="G1619" s="3">
        <v>3587.1</v>
      </c>
      <c r="H1619" s="3">
        <f>Miami_Retail[[#This Row],[sales_usd]] / Miami_Retail[[#This Row],[customers]]</f>
        <v>15.395278969957081</v>
      </c>
      <c r="I1619">
        <v>76.5</v>
      </c>
      <c r="J1619">
        <f>(Miami_Retail[[#This Row],[avg_temp_f]]-32) * (5/9)</f>
        <v>24.722222222222225</v>
      </c>
      <c r="K1619">
        <v>0.63</v>
      </c>
      <c r="L1619">
        <v>1</v>
      </c>
      <c r="M1619">
        <v>58.1</v>
      </c>
      <c r="N1619">
        <v>49.1</v>
      </c>
      <c r="O1619">
        <v>50.9</v>
      </c>
      <c r="P1619">
        <v>46.4</v>
      </c>
      <c r="Q1619">
        <v>53.6</v>
      </c>
    </row>
    <row r="1620" spans="1:17" x14ac:dyDescent="0.25">
      <c r="A1620" s="2">
        <v>45083</v>
      </c>
      <c r="B1620" s="2" t="str">
        <f t="shared" si="50"/>
        <v>Tuesday</v>
      </c>
      <c r="C1620" s="2" t="b">
        <f t="shared" si="51"/>
        <v>0</v>
      </c>
      <c r="D1620">
        <v>3</v>
      </c>
      <c r="E1620" t="s">
        <v>7</v>
      </c>
      <c r="F1620">
        <v>225</v>
      </c>
      <c r="G1620" s="3">
        <v>3863.73</v>
      </c>
      <c r="H1620" s="3">
        <f>Miami_Retail[[#This Row],[sales_usd]] / Miami_Retail[[#This Row],[customers]]</f>
        <v>17.172133333333335</v>
      </c>
      <c r="I1620">
        <v>74.900000000000006</v>
      </c>
      <c r="J1620">
        <f>(Miami_Retail[[#This Row],[avg_temp_f]]-32) * (5/9)</f>
        <v>23.833333333333339</v>
      </c>
      <c r="K1620">
        <v>0</v>
      </c>
      <c r="L1620">
        <v>0</v>
      </c>
      <c r="M1620">
        <v>58.4</v>
      </c>
      <c r="N1620">
        <v>50.6</v>
      </c>
      <c r="O1620">
        <v>49.4</v>
      </c>
      <c r="P1620">
        <v>46.4</v>
      </c>
      <c r="Q1620">
        <v>53.6</v>
      </c>
    </row>
    <row r="1621" spans="1:17" x14ac:dyDescent="0.25">
      <c r="A1621" s="2">
        <v>45084</v>
      </c>
      <c r="B1621" s="2" t="str">
        <f t="shared" si="50"/>
        <v>Wednesday</v>
      </c>
      <c r="C1621" s="2" t="b">
        <f t="shared" si="51"/>
        <v>0</v>
      </c>
      <c r="D1621">
        <v>3</v>
      </c>
      <c r="E1621" t="s">
        <v>7</v>
      </c>
      <c r="F1621">
        <v>197</v>
      </c>
      <c r="G1621" s="3">
        <v>3292.69</v>
      </c>
      <c r="H1621" s="3">
        <f>Miami_Retail[[#This Row],[sales_usd]] / Miami_Retail[[#This Row],[customers]]</f>
        <v>16.714162436548225</v>
      </c>
      <c r="I1621">
        <v>73.2</v>
      </c>
      <c r="J1621">
        <f>(Miami_Retail[[#This Row],[avg_temp_f]]-32) * (5/9)</f>
        <v>22.888888888888893</v>
      </c>
      <c r="K1621">
        <v>1.85</v>
      </c>
      <c r="L1621">
        <v>1</v>
      </c>
      <c r="M1621">
        <v>53.4</v>
      </c>
      <c r="N1621">
        <v>50</v>
      </c>
      <c r="O1621">
        <v>50</v>
      </c>
      <c r="P1621">
        <v>48.7</v>
      </c>
      <c r="Q1621">
        <v>51.3</v>
      </c>
    </row>
    <row r="1622" spans="1:17" x14ac:dyDescent="0.25">
      <c r="A1622" s="2">
        <v>45085</v>
      </c>
      <c r="B1622" s="2" t="str">
        <f t="shared" si="50"/>
        <v>Thursday</v>
      </c>
      <c r="C1622" s="2" t="b">
        <f t="shared" si="51"/>
        <v>0</v>
      </c>
      <c r="D1622">
        <v>3</v>
      </c>
      <c r="E1622" t="s">
        <v>7</v>
      </c>
      <c r="F1622">
        <v>184</v>
      </c>
      <c r="G1622" s="3">
        <v>2762.65</v>
      </c>
      <c r="H1622" s="3">
        <f>Miami_Retail[[#This Row],[sales_usd]] / Miami_Retail[[#This Row],[customers]]</f>
        <v>15.014402173913044</v>
      </c>
      <c r="I1622">
        <v>78.599999999999994</v>
      </c>
      <c r="J1622">
        <f>(Miami_Retail[[#This Row],[avg_temp_f]]-32) * (5/9)</f>
        <v>25.888888888888886</v>
      </c>
      <c r="K1622">
        <v>0.81</v>
      </c>
      <c r="L1622">
        <v>1</v>
      </c>
      <c r="M1622">
        <v>64.7</v>
      </c>
      <c r="N1622">
        <v>48.6</v>
      </c>
      <c r="O1622">
        <v>51.4</v>
      </c>
      <c r="P1622">
        <v>48.4</v>
      </c>
      <c r="Q1622">
        <v>51.6</v>
      </c>
    </row>
    <row r="1623" spans="1:17" x14ac:dyDescent="0.25">
      <c r="A1623" s="2">
        <v>45086</v>
      </c>
      <c r="B1623" s="2" t="str">
        <f t="shared" si="50"/>
        <v>Friday</v>
      </c>
      <c r="C1623" s="2" t="b">
        <f t="shared" si="51"/>
        <v>0</v>
      </c>
      <c r="D1623">
        <v>3</v>
      </c>
      <c r="E1623" t="s">
        <v>7</v>
      </c>
      <c r="F1623">
        <v>218</v>
      </c>
      <c r="G1623" s="3">
        <v>3321.87</v>
      </c>
      <c r="H1623" s="3">
        <f>Miami_Retail[[#This Row],[sales_usd]] / Miami_Retail[[#This Row],[customers]]</f>
        <v>15.237935779816514</v>
      </c>
      <c r="I1623">
        <v>74.3</v>
      </c>
      <c r="J1623">
        <f>(Miami_Retail[[#This Row],[avg_temp_f]]-32) * (5/9)</f>
        <v>23.5</v>
      </c>
      <c r="K1623">
        <v>0.49</v>
      </c>
      <c r="L1623">
        <v>1</v>
      </c>
      <c r="M1623">
        <v>62.3</v>
      </c>
      <c r="N1623">
        <v>50</v>
      </c>
      <c r="O1623">
        <v>50</v>
      </c>
      <c r="P1623">
        <v>46.1</v>
      </c>
      <c r="Q1623">
        <v>53.9</v>
      </c>
    </row>
    <row r="1624" spans="1:17" x14ac:dyDescent="0.25">
      <c r="A1624" s="2">
        <v>45087</v>
      </c>
      <c r="B1624" s="2" t="str">
        <f t="shared" si="50"/>
        <v>Saturday</v>
      </c>
      <c r="C1624" s="2" t="b">
        <f t="shared" si="51"/>
        <v>1</v>
      </c>
      <c r="D1624">
        <v>3</v>
      </c>
      <c r="E1624" t="s">
        <v>7</v>
      </c>
      <c r="F1624">
        <v>242</v>
      </c>
      <c r="G1624" s="3">
        <v>3804.9</v>
      </c>
      <c r="H1624" s="3">
        <f>Miami_Retail[[#This Row],[sales_usd]] / Miami_Retail[[#This Row],[customers]]</f>
        <v>15.722727272727273</v>
      </c>
      <c r="I1624">
        <v>74.8</v>
      </c>
      <c r="J1624">
        <f>(Miami_Retail[[#This Row],[avg_temp_f]]-32) * (5/9)</f>
        <v>23.777777777777779</v>
      </c>
      <c r="K1624">
        <v>0</v>
      </c>
      <c r="L1624">
        <v>0</v>
      </c>
      <c r="M1624">
        <v>58.9</v>
      </c>
      <c r="N1624">
        <v>50.6</v>
      </c>
      <c r="O1624">
        <v>49.4</v>
      </c>
      <c r="P1624">
        <v>52.6</v>
      </c>
      <c r="Q1624">
        <v>47.4</v>
      </c>
    </row>
    <row r="1625" spans="1:17" x14ac:dyDescent="0.25">
      <c r="A1625" s="2">
        <v>45088</v>
      </c>
      <c r="B1625" s="2" t="str">
        <f t="shared" si="50"/>
        <v>Sunday</v>
      </c>
      <c r="C1625" s="2" t="b">
        <f t="shared" si="51"/>
        <v>1</v>
      </c>
      <c r="D1625">
        <v>3</v>
      </c>
      <c r="E1625" t="s">
        <v>7</v>
      </c>
      <c r="F1625">
        <v>268</v>
      </c>
      <c r="G1625" s="3">
        <v>4935.54</v>
      </c>
      <c r="H1625" s="3">
        <f>Miami_Retail[[#This Row],[sales_usd]] / Miami_Retail[[#This Row],[customers]]</f>
        <v>18.416194029850747</v>
      </c>
      <c r="I1625">
        <v>78.3</v>
      </c>
      <c r="J1625">
        <f>(Miami_Retail[[#This Row],[avg_temp_f]]-32) * (5/9)</f>
        <v>25.722222222222221</v>
      </c>
      <c r="K1625">
        <v>0</v>
      </c>
      <c r="L1625">
        <v>0</v>
      </c>
      <c r="M1625">
        <v>50.2</v>
      </c>
      <c r="N1625">
        <v>47.9</v>
      </c>
      <c r="O1625">
        <v>52.1</v>
      </c>
      <c r="P1625">
        <v>55.8</v>
      </c>
      <c r="Q1625">
        <v>44.2</v>
      </c>
    </row>
    <row r="1626" spans="1:17" x14ac:dyDescent="0.25">
      <c r="A1626" s="2">
        <v>45089</v>
      </c>
      <c r="B1626" s="2" t="str">
        <f t="shared" si="50"/>
        <v>Monday</v>
      </c>
      <c r="C1626" s="2" t="b">
        <f t="shared" si="51"/>
        <v>0</v>
      </c>
      <c r="D1626">
        <v>3</v>
      </c>
      <c r="E1626" t="s">
        <v>7</v>
      </c>
      <c r="F1626">
        <v>234</v>
      </c>
      <c r="G1626" s="3">
        <v>4073.86</v>
      </c>
      <c r="H1626" s="3">
        <f>Miami_Retail[[#This Row],[sales_usd]] / Miami_Retail[[#This Row],[customers]]</f>
        <v>17.409658119658122</v>
      </c>
      <c r="I1626">
        <v>75.8</v>
      </c>
      <c r="J1626">
        <f>(Miami_Retail[[#This Row],[avg_temp_f]]-32) * (5/9)</f>
        <v>24.333333333333332</v>
      </c>
      <c r="K1626">
        <v>0</v>
      </c>
      <c r="L1626">
        <v>0</v>
      </c>
      <c r="M1626">
        <v>55.5</v>
      </c>
      <c r="N1626">
        <v>51.1</v>
      </c>
      <c r="O1626">
        <v>48.9</v>
      </c>
      <c r="P1626">
        <v>47.2</v>
      </c>
      <c r="Q1626">
        <v>52.8</v>
      </c>
    </row>
    <row r="1627" spans="1:17" x14ac:dyDescent="0.25">
      <c r="A1627" s="2">
        <v>45090</v>
      </c>
      <c r="B1627" s="2" t="str">
        <f t="shared" si="50"/>
        <v>Tuesday</v>
      </c>
      <c r="C1627" s="2" t="b">
        <f t="shared" si="51"/>
        <v>0</v>
      </c>
      <c r="D1627">
        <v>3</v>
      </c>
      <c r="E1627" t="s">
        <v>7</v>
      </c>
      <c r="F1627">
        <v>234</v>
      </c>
      <c r="G1627" s="3">
        <v>3772.15</v>
      </c>
      <c r="H1627" s="3">
        <f>Miami_Retail[[#This Row],[sales_usd]] / Miami_Retail[[#This Row],[customers]]</f>
        <v>16.120299145299146</v>
      </c>
      <c r="I1627">
        <v>82.7</v>
      </c>
      <c r="J1627">
        <f>(Miami_Retail[[#This Row],[avg_temp_f]]-32) * (5/9)</f>
        <v>28.166666666666668</v>
      </c>
      <c r="K1627">
        <v>0.67</v>
      </c>
      <c r="L1627">
        <v>1</v>
      </c>
      <c r="M1627">
        <v>57.7</v>
      </c>
      <c r="N1627">
        <v>49.9</v>
      </c>
      <c r="O1627">
        <v>50.1</v>
      </c>
      <c r="P1627">
        <v>48.3</v>
      </c>
      <c r="Q1627">
        <v>51.7</v>
      </c>
    </row>
    <row r="1628" spans="1:17" x14ac:dyDescent="0.25">
      <c r="A1628" s="2">
        <v>45091</v>
      </c>
      <c r="B1628" s="2" t="str">
        <f t="shared" si="50"/>
        <v>Wednesday</v>
      </c>
      <c r="C1628" s="2" t="b">
        <f t="shared" si="51"/>
        <v>0</v>
      </c>
      <c r="D1628">
        <v>3</v>
      </c>
      <c r="E1628" t="s">
        <v>7</v>
      </c>
      <c r="F1628">
        <v>242</v>
      </c>
      <c r="G1628" s="3">
        <v>3896.59</v>
      </c>
      <c r="H1628" s="3">
        <f>Miami_Retail[[#This Row],[sales_usd]] / Miami_Retail[[#This Row],[customers]]</f>
        <v>16.101611570247936</v>
      </c>
      <c r="I1628">
        <v>76.900000000000006</v>
      </c>
      <c r="J1628">
        <f>(Miami_Retail[[#This Row],[avg_temp_f]]-32) * (5/9)</f>
        <v>24.94444444444445</v>
      </c>
      <c r="K1628">
        <v>1.6</v>
      </c>
      <c r="L1628">
        <v>1</v>
      </c>
      <c r="M1628">
        <v>62</v>
      </c>
      <c r="N1628">
        <v>49.3</v>
      </c>
      <c r="O1628">
        <v>50.7</v>
      </c>
      <c r="P1628">
        <v>46.6</v>
      </c>
      <c r="Q1628">
        <v>53.4</v>
      </c>
    </row>
    <row r="1629" spans="1:17" x14ac:dyDescent="0.25">
      <c r="A1629" s="2">
        <v>45092</v>
      </c>
      <c r="B1629" s="2" t="str">
        <f t="shared" si="50"/>
        <v>Thursday</v>
      </c>
      <c r="C1629" s="2" t="b">
        <f t="shared" si="51"/>
        <v>0</v>
      </c>
      <c r="D1629">
        <v>3</v>
      </c>
      <c r="E1629" t="s">
        <v>7</v>
      </c>
      <c r="F1629">
        <v>263</v>
      </c>
      <c r="G1629" s="3">
        <v>3980.86</v>
      </c>
      <c r="H1629" s="3">
        <f>Miami_Retail[[#This Row],[sales_usd]] / Miami_Retail[[#This Row],[customers]]</f>
        <v>15.136349809885932</v>
      </c>
      <c r="I1629">
        <v>78.5</v>
      </c>
      <c r="J1629">
        <f>(Miami_Retail[[#This Row],[avg_temp_f]]-32) * (5/9)</f>
        <v>25.833333333333336</v>
      </c>
      <c r="K1629">
        <v>0</v>
      </c>
      <c r="L1629">
        <v>0</v>
      </c>
      <c r="M1629">
        <v>58.7</v>
      </c>
      <c r="N1629">
        <v>49</v>
      </c>
      <c r="O1629">
        <v>51</v>
      </c>
      <c r="P1629">
        <v>47.1</v>
      </c>
      <c r="Q1629">
        <v>52.9</v>
      </c>
    </row>
    <row r="1630" spans="1:17" x14ac:dyDescent="0.25">
      <c r="A1630" s="2">
        <v>45093</v>
      </c>
      <c r="B1630" s="2" t="str">
        <f t="shared" si="50"/>
        <v>Friday</v>
      </c>
      <c r="C1630" s="2" t="b">
        <f t="shared" si="51"/>
        <v>0</v>
      </c>
      <c r="D1630">
        <v>3</v>
      </c>
      <c r="E1630" t="s">
        <v>7</v>
      </c>
      <c r="F1630">
        <v>239</v>
      </c>
      <c r="G1630" s="3">
        <v>4072.03</v>
      </c>
      <c r="H1630" s="3">
        <f>Miami_Retail[[#This Row],[sales_usd]] / Miami_Retail[[#This Row],[customers]]</f>
        <v>17.037782426778243</v>
      </c>
      <c r="I1630">
        <v>82.1</v>
      </c>
      <c r="J1630">
        <f>(Miami_Retail[[#This Row],[avg_temp_f]]-32) * (5/9)</f>
        <v>27.833333333333332</v>
      </c>
      <c r="K1630">
        <v>0</v>
      </c>
      <c r="L1630">
        <v>0</v>
      </c>
      <c r="M1630">
        <v>57.6</v>
      </c>
      <c r="N1630">
        <v>50.6</v>
      </c>
      <c r="O1630">
        <v>49.4</v>
      </c>
      <c r="P1630">
        <v>47.9</v>
      </c>
      <c r="Q1630">
        <v>52.1</v>
      </c>
    </row>
    <row r="1631" spans="1:17" x14ac:dyDescent="0.25">
      <c r="A1631" s="2">
        <v>45094</v>
      </c>
      <c r="B1631" s="2" t="str">
        <f t="shared" si="50"/>
        <v>Saturday</v>
      </c>
      <c r="C1631" s="2" t="b">
        <f t="shared" si="51"/>
        <v>1</v>
      </c>
      <c r="D1631">
        <v>3</v>
      </c>
      <c r="E1631" t="s">
        <v>7</v>
      </c>
      <c r="F1631">
        <v>297</v>
      </c>
      <c r="G1631" s="3">
        <v>4902.8900000000003</v>
      </c>
      <c r="H1631" s="3">
        <f>Miami_Retail[[#This Row],[sales_usd]] / Miami_Retail[[#This Row],[customers]]</f>
        <v>16.508047138047139</v>
      </c>
      <c r="I1631">
        <v>83.5</v>
      </c>
      <c r="J1631">
        <f>(Miami_Retail[[#This Row],[avg_temp_f]]-32) * (5/9)</f>
        <v>28.611111111111111</v>
      </c>
      <c r="K1631">
        <v>0</v>
      </c>
      <c r="L1631">
        <v>0</v>
      </c>
      <c r="M1631">
        <v>56.4</v>
      </c>
      <c r="N1631">
        <v>48.8</v>
      </c>
      <c r="O1631">
        <v>51.2</v>
      </c>
      <c r="P1631">
        <v>53.5</v>
      </c>
      <c r="Q1631">
        <v>46.5</v>
      </c>
    </row>
    <row r="1632" spans="1:17" x14ac:dyDescent="0.25">
      <c r="A1632" s="2">
        <v>45095</v>
      </c>
      <c r="B1632" s="2" t="str">
        <f t="shared" si="50"/>
        <v>Sunday</v>
      </c>
      <c r="C1632" s="2" t="b">
        <f t="shared" si="51"/>
        <v>1</v>
      </c>
      <c r="D1632">
        <v>3</v>
      </c>
      <c r="E1632" t="s">
        <v>7</v>
      </c>
      <c r="F1632">
        <v>249</v>
      </c>
      <c r="G1632" s="3">
        <v>4001.92</v>
      </c>
      <c r="H1632" s="3">
        <f>Miami_Retail[[#This Row],[sales_usd]] / Miami_Retail[[#This Row],[customers]]</f>
        <v>16.071967871485946</v>
      </c>
      <c r="I1632">
        <v>71.900000000000006</v>
      </c>
      <c r="J1632">
        <f>(Miami_Retail[[#This Row],[avg_temp_f]]-32) * (5/9)</f>
        <v>22.166666666666671</v>
      </c>
      <c r="K1632">
        <v>0</v>
      </c>
      <c r="L1632">
        <v>0</v>
      </c>
      <c r="M1632">
        <v>60</v>
      </c>
      <c r="N1632">
        <v>49.2</v>
      </c>
      <c r="O1632">
        <v>50.8</v>
      </c>
      <c r="P1632">
        <v>54.3</v>
      </c>
      <c r="Q1632">
        <v>45.7</v>
      </c>
    </row>
    <row r="1633" spans="1:17" x14ac:dyDescent="0.25">
      <c r="A1633" s="2">
        <v>45096</v>
      </c>
      <c r="B1633" s="2" t="str">
        <f t="shared" si="50"/>
        <v>Monday</v>
      </c>
      <c r="C1633" s="2" t="b">
        <f t="shared" si="51"/>
        <v>0</v>
      </c>
      <c r="D1633">
        <v>3</v>
      </c>
      <c r="E1633" t="s">
        <v>7</v>
      </c>
      <c r="F1633">
        <v>222</v>
      </c>
      <c r="G1633" s="3">
        <v>3635.06</v>
      </c>
      <c r="H1633" s="3">
        <f>Miami_Retail[[#This Row],[sales_usd]] / Miami_Retail[[#This Row],[customers]]</f>
        <v>16.374144144144143</v>
      </c>
      <c r="I1633">
        <v>78.5</v>
      </c>
      <c r="J1633">
        <f>(Miami_Retail[[#This Row],[avg_temp_f]]-32) * (5/9)</f>
        <v>25.833333333333336</v>
      </c>
      <c r="K1633">
        <v>7.0000000000000007E-2</v>
      </c>
      <c r="L1633">
        <v>1</v>
      </c>
      <c r="M1633">
        <v>58.4</v>
      </c>
      <c r="N1633">
        <v>48.7</v>
      </c>
      <c r="O1633">
        <v>51.3</v>
      </c>
      <c r="P1633">
        <v>45.5</v>
      </c>
      <c r="Q1633">
        <v>54.5</v>
      </c>
    </row>
    <row r="1634" spans="1:17" x14ac:dyDescent="0.25">
      <c r="A1634" s="2">
        <v>45097</v>
      </c>
      <c r="B1634" s="2" t="str">
        <f t="shared" si="50"/>
        <v>Tuesday</v>
      </c>
      <c r="C1634" s="2" t="b">
        <f t="shared" si="51"/>
        <v>0</v>
      </c>
      <c r="D1634">
        <v>3</v>
      </c>
      <c r="E1634" t="s">
        <v>7</v>
      </c>
      <c r="F1634">
        <v>212</v>
      </c>
      <c r="G1634" s="3">
        <v>3387.85</v>
      </c>
      <c r="H1634" s="3">
        <f>Miami_Retail[[#This Row],[sales_usd]] / Miami_Retail[[#This Row],[customers]]</f>
        <v>15.980424528301887</v>
      </c>
      <c r="I1634">
        <v>72.7</v>
      </c>
      <c r="J1634">
        <f>(Miami_Retail[[#This Row],[avg_temp_f]]-32) * (5/9)</f>
        <v>22.611111111111114</v>
      </c>
      <c r="K1634">
        <v>0</v>
      </c>
      <c r="L1634">
        <v>0</v>
      </c>
      <c r="M1634">
        <v>64.400000000000006</v>
      </c>
      <c r="N1634">
        <v>50.1</v>
      </c>
      <c r="O1634">
        <v>49.9</v>
      </c>
      <c r="P1634">
        <v>47.8</v>
      </c>
      <c r="Q1634">
        <v>52.2</v>
      </c>
    </row>
    <row r="1635" spans="1:17" x14ac:dyDescent="0.25">
      <c r="A1635" s="2">
        <v>45098</v>
      </c>
      <c r="B1635" s="2" t="str">
        <f t="shared" si="50"/>
        <v>Wednesday</v>
      </c>
      <c r="C1635" s="2" t="b">
        <f t="shared" si="51"/>
        <v>0</v>
      </c>
      <c r="D1635">
        <v>3</v>
      </c>
      <c r="E1635" t="s">
        <v>7</v>
      </c>
      <c r="F1635">
        <v>211</v>
      </c>
      <c r="G1635" s="3">
        <v>3445.64</v>
      </c>
      <c r="H1635" s="3">
        <f>Miami_Retail[[#This Row],[sales_usd]] / Miami_Retail[[#This Row],[customers]]</f>
        <v>16.330047393364929</v>
      </c>
      <c r="I1635">
        <v>77.3</v>
      </c>
      <c r="J1635">
        <f>(Miami_Retail[[#This Row],[avg_temp_f]]-32) * (5/9)</f>
        <v>25.166666666666668</v>
      </c>
      <c r="K1635">
        <v>0</v>
      </c>
      <c r="L1635">
        <v>0</v>
      </c>
      <c r="M1635">
        <v>59</v>
      </c>
      <c r="N1635">
        <v>48.1</v>
      </c>
      <c r="O1635">
        <v>51.9</v>
      </c>
      <c r="P1635">
        <v>48.5</v>
      </c>
      <c r="Q1635">
        <v>51.5</v>
      </c>
    </row>
    <row r="1636" spans="1:17" x14ac:dyDescent="0.25">
      <c r="A1636" s="2">
        <v>45099</v>
      </c>
      <c r="B1636" s="2" t="str">
        <f t="shared" si="50"/>
        <v>Thursday</v>
      </c>
      <c r="C1636" s="2" t="b">
        <f t="shared" si="51"/>
        <v>0</v>
      </c>
      <c r="D1636">
        <v>3</v>
      </c>
      <c r="E1636" t="s">
        <v>7</v>
      </c>
      <c r="F1636">
        <v>267</v>
      </c>
      <c r="G1636" s="3">
        <v>4445.17</v>
      </c>
      <c r="H1636" s="3">
        <f>Miami_Retail[[#This Row],[sales_usd]] / Miami_Retail[[#This Row],[customers]]</f>
        <v>16.648576779026218</v>
      </c>
      <c r="I1636">
        <v>78.7</v>
      </c>
      <c r="J1636">
        <f>(Miami_Retail[[#This Row],[avg_temp_f]]-32) * (5/9)</f>
        <v>25.944444444444446</v>
      </c>
      <c r="K1636">
        <v>0</v>
      </c>
      <c r="L1636">
        <v>0</v>
      </c>
      <c r="M1636">
        <v>48.7</v>
      </c>
      <c r="N1636">
        <v>51.2</v>
      </c>
      <c r="O1636">
        <v>48.8</v>
      </c>
      <c r="P1636">
        <v>47.2</v>
      </c>
      <c r="Q1636">
        <v>52.8</v>
      </c>
    </row>
    <row r="1637" spans="1:17" x14ac:dyDescent="0.25">
      <c r="A1637" s="2">
        <v>45100</v>
      </c>
      <c r="B1637" s="2" t="str">
        <f t="shared" si="50"/>
        <v>Friday</v>
      </c>
      <c r="C1637" s="2" t="b">
        <f t="shared" si="51"/>
        <v>0</v>
      </c>
      <c r="D1637">
        <v>3</v>
      </c>
      <c r="E1637" t="s">
        <v>7</v>
      </c>
      <c r="F1637">
        <v>265</v>
      </c>
      <c r="G1637" s="3">
        <v>3718.18</v>
      </c>
      <c r="H1637" s="3">
        <f>Miami_Retail[[#This Row],[sales_usd]] / Miami_Retail[[#This Row],[customers]]</f>
        <v>14.030867924528302</v>
      </c>
      <c r="I1637">
        <v>81.400000000000006</v>
      </c>
      <c r="J1637">
        <f>(Miami_Retail[[#This Row],[avg_temp_f]]-32) * (5/9)</f>
        <v>27.44444444444445</v>
      </c>
      <c r="K1637">
        <v>1.02</v>
      </c>
      <c r="L1637">
        <v>1</v>
      </c>
      <c r="M1637">
        <v>60.4</v>
      </c>
      <c r="N1637">
        <v>48.2</v>
      </c>
      <c r="O1637">
        <v>51.8</v>
      </c>
      <c r="P1637">
        <v>48.1</v>
      </c>
      <c r="Q1637">
        <v>51.9</v>
      </c>
    </row>
    <row r="1638" spans="1:17" x14ac:dyDescent="0.25">
      <c r="A1638" s="2">
        <v>45101</v>
      </c>
      <c r="B1638" s="2" t="str">
        <f t="shared" si="50"/>
        <v>Saturday</v>
      </c>
      <c r="C1638" s="2" t="b">
        <f t="shared" si="51"/>
        <v>1</v>
      </c>
      <c r="D1638">
        <v>3</v>
      </c>
      <c r="E1638" t="s">
        <v>7</v>
      </c>
      <c r="F1638">
        <v>288</v>
      </c>
      <c r="G1638" s="3">
        <v>4722.63</v>
      </c>
      <c r="H1638" s="3">
        <f>Miami_Retail[[#This Row],[sales_usd]] / Miami_Retail[[#This Row],[customers]]</f>
        <v>16.398020833333334</v>
      </c>
      <c r="I1638">
        <v>86.1</v>
      </c>
      <c r="J1638">
        <f>(Miami_Retail[[#This Row],[avg_temp_f]]-32) * (5/9)</f>
        <v>30.055555555555554</v>
      </c>
      <c r="K1638">
        <v>1.04</v>
      </c>
      <c r="L1638">
        <v>1</v>
      </c>
      <c r="M1638">
        <v>56.7</v>
      </c>
      <c r="N1638">
        <v>49.4</v>
      </c>
      <c r="O1638">
        <v>50.6</v>
      </c>
      <c r="P1638">
        <v>53.2</v>
      </c>
      <c r="Q1638">
        <v>46.8</v>
      </c>
    </row>
    <row r="1639" spans="1:17" x14ac:dyDescent="0.25">
      <c r="A1639" s="2">
        <v>45102</v>
      </c>
      <c r="B1639" s="2" t="str">
        <f t="shared" si="50"/>
        <v>Sunday</v>
      </c>
      <c r="C1639" s="2" t="b">
        <f t="shared" si="51"/>
        <v>1</v>
      </c>
      <c r="D1639">
        <v>3</v>
      </c>
      <c r="E1639" t="s">
        <v>7</v>
      </c>
      <c r="F1639">
        <v>205</v>
      </c>
      <c r="G1639" s="3">
        <v>3602.56</v>
      </c>
      <c r="H1639" s="3">
        <f>Miami_Retail[[#This Row],[sales_usd]] / Miami_Retail[[#This Row],[customers]]</f>
        <v>17.573463414634148</v>
      </c>
      <c r="I1639">
        <v>73.900000000000006</v>
      </c>
      <c r="J1639">
        <f>(Miami_Retail[[#This Row],[avg_temp_f]]-32) * (5/9)</f>
        <v>23.277777777777782</v>
      </c>
      <c r="K1639">
        <v>0</v>
      </c>
      <c r="L1639">
        <v>0</v>
      </c>
      <c r="M1639">
        <v>50.8</v>
      </c>
      <c r="N1639">
        <v>48.3</v>
      </c>
      <c r="O1639">
        <v>51.7</v>
      </c>
      <c r="P1639">
        <v>52.3</v>
      </c>
      <c r="Q1639">
        <v>47.7</v>
      </c>
    </row>
    <row r="1640" spans="1:17" x14ac:dyDescent="0.25">
      <c r="A1640" s="2">
        <v>45103</v>
      </c>
      <c r="B1640" s="2" t="str">
        <f t="shared" si="50"/>
        <v>Monday</v>
      </c>
      <c r="C1640" s="2" t="b">
        <f t="shared" si="51"/>
        <v>0</v>
      </c>
      <c r="D1640">
        <v>3</v>
      </c>
      <c r="E1640" t="s">
        <v>7</v>
      </c>
      <c r="F1640">
        <v>256</v>
      </c>
      <c r="G1640" s="3">
        <v>3900.16</v>
      </c>
      <c r="H1640" s="3">
        <f>Miami_Retail[[#This Row],[sales_usd]] / Miami_Retail[[#This Row],[customers]]</f>
        <v>15.234999999999999</v>
      </c>
      <c r="I1640">
        <v>85.7</v>
      </c>
      <c r="J1640">
        <f>(Miami_Retail[[#This Row],[avg_temp_f]]-32) * (5/9)</f>
        <v>29.833333333333336</v>
      </c>
      <c r="K1640">
        <v>0</v>
      </c>
      <c r="L1640">
        <v>0</v>
      </c>
      <c r="M1640">
        <v>63.4</v>
      </c>
      <c r="N1640">
        <v>50.5</v>
      </c>
      <c r="O1640">
        <v>49.5</v>
      </c>
      <c r="P1640">
        <v>47.4</v>
      </c>
      <c r="Q1640">
        <v>52.6</v>
      </c>
    </row>
    <row r="1641" spans="1:17" x14ac:dyDescent="0.25">
      <c r="A1641" s="2">
        <v>45104</v>
      </c>
      <c r="B1641" s="2" t="str">
        <f t="shared" si="50"/>
        <v>Tuesday</v>
      </c>
      <c r="C1641" s="2" t="b">
        <f t="shared" si="51"/>
        <v>0</v>
      </c>
      <c r="D1641">
        <v>3</v>
      </c>
      <c r="E1641" t="s">
        <v>7</v>
      </c>
      <c r="F1641">
        <v>238</v>
      </c>
      <c r="G1641" s="3">
        <v>4099.07</v>
      </c>
      <c r="H1641" s="3">
        <f>Miami_Retail[[#This Row],[sales_usd]] / Miami_Retail[[#This Row],[customers]]</f>
        <v>17.222983193277308</v>
      </c>
      <c r="I1641">
        <v>80.3</v>
      </c>
      <c r="J1641">
        <f>(Miami_Retail[[#This Row],[avg_temp_f]]-32) * (5/9)</f>
        <v>26.833333333333332</v>
      </c>
      <c r="K1641">
        <v>2.4500000000000002</v>
      </c>
      <c r="L1641">
        <v>1</v>
      </c>
      <c r="M1641">
        <v>56.4</v>
      </c>
      <c r="N1641">
        <v>48.9</v>
      </c>
      <c r="O1641">
        <v>51.1</v>
      </c>
      <c r="P1641">
        <v>47.8</v>
      </c>
      <c r="Q1641">
        <v>52.2</v>
      </c>
    </row>
    <row r="1642" spans="1:17" x14ac:dyDescent="0.25">
      <c r="A1642" s="2">
        <v>45105</v>
      </c>
      <c r="B1642" s="2" t="str">
        <f t="shared" si="50"/>
        <v>Wednesday</v>
      </c>
      <c r="C1642" s="2" t="b">
        <f t="shared" si="51"/>
        <v>0</v>
      </c>
      <c r="D1642">
        <v>3</v>
      </c>
      <c r="E1642" t="s">
        <v>7</v>
      </c>
      <c r="F1642">
        <v>241</v>
      </c>
      <c r="G1642" s="3">
        <v>3981.02</v>
      </c>
      <c r="H1642" s="3">
        <f>Miami_Retail[[#This Row],[sales_usd]] / Miami_Retail[[#This Row],[customers]]</f>
        <v>16.518755186721993</v>
      </c>
      <c r="I1642">
        <v>79.3</v>
      </c>
      <c r="J1642">
        <f>(Miami_Retail[[#This Row],[avg_temp_f]]-32) * (5/9)</f>
        <v>26.277777777777779</v>
      </c>
      <c r="K1642">
        <v>0</v>
      </c>
      <c r="L1642">
        <v>0</v>
      </c>
      <c r="M1642">
        <v>65.5</v>
      </c>
      <c r="N1642">
        <v>49.2</v>
      </c>
      <c r="O1642">
        <v>50.8</v>
      </c>
      <c r="P1642">
        <v>46.8</v>
      </c>
      <c r="Q1642">
        <v>53.2</v>
      </c>
    </row>
    <row r="1643" spans="1:17" x14ac:dyDescent="0.25">
      <c r="A1643" s="2">
        <v>45106</v>
      </c>
      <c r="B1643" s="2" t="str">
        <f t="shared" si="50"/>
        <v>Thursday</v>
      </c>
      <c r="C1643" s="2" t="b">
        <f t="shared" si="51"/>
        <v>0</v>
      </c>
      <c r="D1643">
        <v>3</v>
      </c>
      <c r="E1643" t="s">
        <v>7</v>
      </c>
      <c r="F1643">
        <v>227</v>
      </c>
      <c r="G1643" s="3">
        <v>3786.74</v>
      </c>
      <c r="H1643" s="3">
        <f>Miami_Retail[[#This Row],[sales_usd]] / Miami_Retail[[#This Row],[customers]]</f>
        <v>16.681674008810571</v>
      </c>
      <c r="I1643">
        <v>83.2</v>
      </c>
      <c r="J1643">
        <f>(Miami_Retail[[#This Row],[avg_temp_f]]-32) * (5/9)</f>
        <v>28.444444444444446</v>
      </c>
      <c r="K1643">
        <v>0.11</v>
      </c>
      <c r="L1643">
        <v>1</v>
      </c>
      <c r="M1643">
        <v>75.7</v>
      </c>
      <c r="N1643">
        <v>48.5</v>
      </c>
      <c r="O1643">
        <v>51.5</v>
      </c>
      <c r="P1643">
        <v>47.5</v>
      </c>
      <c r="Q1643">
        <v>52.5</v>
      </c>
    </row>
    <row r="1644" spans="1:17" x14ac:dyDescent="0.25">
      <c r="A1644" s="2">
        <v>45107</v>
      </c>
      <c r="B1644" s="2" t="str">
        <f t="shared" si="50"/>
        <v>Friday</v>
      </c>
      <c r="C1644" s="2" t="b">
        <f t="shared" si="51"/>
        <v>0</v>
      </c>
      <c r="D1644">
        <v>3</v>
      </c>
      <c r="E1644" t="s">
        <v>7</v>
      </c>
      <c r="F1644">
        <v>262</v>
      </c>
      <c r="G1644" s="3">
        <v>4062.51</v>
      </c>
      <c r="H1644" s="3">
        <f>Miami_Retail[[#This Row],[sales_usd]] / Miami_Retail[[#This Row],[customers]]</f>
        <v>15.505763358778626</v>
      </c>
      <c r="I1644">
        <v>78.099999999999994</v>
      </c>
      <c r="J1644">
        <f>(Miami_Retail[[#This Row],[avg_temp_f]]-32) * (5/9)</f>
        <v>25.611111111111111</v>
      </c>
      <c r="K1644">
        <v>0.96</v>
      </c>
      <c r="L1644">
        <v>1</v>
      </c>
      <c r="M1644">
        <v>58.9</v>
      </c>
      <c r="N1644">
        <v>48.7</v>
      </c>
      <c r="O1644">
        <v>51.3</v>
      </c>
      <c r="P1644">
        <v>46.4</v>
      </c>
      <c r="Q1644">
        <v>53.6</v>
      </c>
    </row>
    <row r="1645" spans="1:17" x14ac:dyDescent="0.25">
      <c r="A1645" s="2">
        <v>45108</v>
      </c>
      <c r="B1645" s="2" t="str">
        <f t="shared" si="50"/>
        <v>Saturday</v>
      </c>
      <c r="C1645" s="2" t="b">
        <f t="shared" si="51"/>
        <v>1</v>
      </c>
      <c r="D1645">
        <v>3</v>
      </c>
      <c r="E1645" t="s">
        <v>7</v>
      </c>
      <c r="F1645">
        <v>307</v>
      </c>
      <c r="G1645" s="3">
        <v>5342.18</v>
      </c>
      <c r="H1645" s="3">
        <f>Miami_Retail[[#This Row],[sales_usd]] / Miami_Retail[[#This Row],[customers]]</f>
        <v>17.401237785016288</v>
      </c>
      <c r="I1645">
        <v>83.5</v>
      </c>
      <c r="J1645">
        <f>(Miami_Retail[[#This Row],[avg_temp_f]]-32) * (5/9)</f>
        <v>28.611111111111111</v>
      </c>
      <c r="K1645">
        <v>0</v>
      </c>
      <c r="L1645">
        <v>0</v>
      </c>
      <c r="M1645">
        <v>65.099999999999994</v>
      </c>
      <c r="N1645">
        <v>48.9</v>
      </c>
      <c r="O1645">
        <v>51.1</v>
      </c>
      <c r="P1645">
        <v>53.6</v>
      </c>
      <c r="Q1645">
        <v>46.4</v>
      </c>
    </row>
    <row r="1646" spans="1:17" x14ac:dyDescent="0.25">
      <c r="A1646" s="2">
        <v>45109</v>
      </c>
      <c r="B1646" s="2" t="str">
        <f t="shared" si="50"/>
        <v>Sunday</v>
      </c>
      <c r="C1646" s="2" t="b">
        <f t="shared" si="51"/>
        <v>1</v>
      </c>
      <c r="D1646">
        <v>3</v>
      </c>
      <c r="E1646" t="s">
        <v>7</v>
      </c>
      <c r="F1646">
        <v>204</v>
      </c>
      <c r="G1646" s="3">
        <v>3733.59</v>
      </c>
      <c r="H1646" s="3">
        <f>Miami_Retail[[#This Row],[sales_usd]] / Miami_Retail[[#This Row],[customers]]</f>
        <v>18.301911764705881</v>
      </c>
      <c r="I1646">
        <v>77</v>
      </c>
      <c r="J1646">
        <f>(Miami_Retail[[#This Row],[avg_temp_f]]-32) * (5/9)</f>
        <v>25</v>
      </c>
      <c r="K1646">
        <v>2.08</v>
      </c>
      <c r="L1646">
        <v>1</v>
      </c>
      <c r="M1646">
        <v>61.3</v>
      </c>
      <c r="N1646">
        <v>48.3</v>
      </c>
      <c r="O1646">
        <v>51.7</v>
      </c>
      <c r="P1646">
        <v>53.1</v>
      </c>
      <c r="Q1646">
        <v>46.9</v>
      </c>
    </row>
    <row r="1647" spans="1:17" x14ac:dyDescent="0.25">
      <c r="A1647" s="2">
        <v>45110</v>
      </c>
      <c r="B1647" s="2" t="str">
        <f t="shared" si="50"/>
        <v>Monday</v>
      </c>
      <c r="C1647" s="2" t="b">
        <f t="shared" si="51"/>
        <v>0</v>
      </c>
      <c r="D1647">
        <v>3</v>
      </c>
      <c r="E1647" t="s">
        <v>7</v>
      </c>
      <c r="F1647">
        <v>247</v>
      </c>
      <c r="G1647" s="3">
        <v>3784.26</v>
      </c>
      <c r="H1647" s="3">
        <f>Miami_Retail[[#This Row],[sales_usd]] / Miami_Retail[[#This Row],[customers]]</f>
        <v>15.32089068825911</v>
      </c>
      <c r="I1647">
        <v>82.9</v>
      </c>
      <c r="J1647">
        <f>(Miami_Retail[[#This Row],[avg_temp_f]]-32) * (5/9)</f>
        <v>28.277777777777782</v>
      </c>
      <c r="K1647">
        <v>1.27</v>
      </c>
      <c r="L1647">
        <v>1</v>
      </c>
      <c r="M1647">
        <v>69.5</v>
      </c>
      <c r="N1647">
        <v>50.9</v>
      </c>
      <c r="O1647">
        <v>49.1</v>
      </c>
      <c r="P1647">
        <v>48.8</v>
      </c>
      <c r="Q1647">
        <v>51.2</v>
      </c>
    </row>
    <row r="1648" spans="1:17" x14ac:dyDescent="0.25">
      <c r="A1648" s="2">
        <v>45111</v>
      </c>
      <c r="B1648" s="2" t="str">
        <f t="shared" si="50"/>
        <v>Tuesday</v>
      </c>
      <c r="C1648" s="2" t="b">
        <f t="shared" si="51"/>
        <v>0</v>
      </c>
      <c r="D1648">
        <v>3</v>
      </c>
      <c r="E1648" t="s">
        <v>7</v>
      </c>
      <c r="F1648">
        <v>264</v>
      </c>
      <c r="G1648" s="3">
        <v>4603.45</v>
      </c>
      <c r="H1648" s="3">
        <f>Miami_Retail[[#This Row],[sales_usd]] / Miami_Retail[[#This Row],[customers]]</f>
        <v>17.437310606060606</v>
      </c>
      <c r="I1648">
        <v>82.7</v>
      </c>
      <c r="J1648">
        <f>(Miami_Retail[[#This Row],[avg_temp_f]]-32) * (5/9)</f>
        <v>28.166666666666668</v>
      </c>
      <c r="K1648">
        <v>0.51</v>
      </c>
      <c r="L1648">
        <v>1</v>
      </c>
      <c r="M1648">
        <v>56.7</v>
      </c>
      <c r="N1648">
        <v>48.9</v>
      </c>
      <c r="O1648">
        <v>51.1</v>
      </c>
      <c r="P1648">
        <v>47</v>
      </c>
      <c r="Q1648">
        <v>53</v>
      </c>
    </row>
    <row r="1649" spans="1:17" x14ac:dyDescent="0.25">
      <c r="A1649" s="2">
        <v>45112</v>
      </c>
      <c r="B1649" s="2" t="str">
        <f t="shared" si="50"/>
        <v>Wednesday</v>
      </c>
      <c r="C1649" s="2" t="b">
        <f t="shared" si="51"/>
        <v>0</v>
      </c>
      <c r="D1649">
        <v>3</v>
      </c>
      <c r="E1649" t="s">
        <v>7</v>
      </c>
      <c r="F1649">
        <v>278</v>
      </c>
      <c r="G1649" s="3">
        <v>3908.05</v>
      </c>
      <c r="H1649" s="3">
        <f>Miami_Retail[[#This Row],[sales_usd]] / Miami_Retail[[#This Row],[customers]]</f>
        <v>14.057733812949641</v>
      </c>
      <c r="I1649">
        <v>77.599999999999994</v>
      </c>
      <c r="J1649">
        <f>(Miami_Retail[[#This Row],[avg_temp_f]]-32) * (5/9)</f>
        <v>25.333333333333332</v>
      </c>
      <c r="K1649">
        <v>0</v>
      </c>
      <c r="L1649">
        <v>0</v>
      </c>
      <c r="M1649">
        <v>64.3</v>
      </c>
      <c r="N1649">
        <v>48.3</v>
      </c>
      <c r="O1649">
        <v>51.7</v>
      </c>
      <c r="P1649">
        <v>46.7</v>
      </c>
      <c r="Q1649">
        <v>53.3</v>
      </c>
    </row>
    <row r="1650" spans="1:17" x14ac:dyDescent="0.25">
      <c r="A1650" s="2">
        <v>45113</v>
      </c>
      <c r="B1650" s="2" t="str">
        <f t="shared" si="50"/>
        <v>Thursday</v>
      </c>
      <c r="C1650" s="2" t="b">
        <f t="shared" si="51"/>
        <v>0</v>
      </c>
      <c r="D1650">
        <v>3</v>
      </c>
      <c r="E1650" t="s">
        <v>7</v>
      </c>
      <c r="F1650">
        <v>235</v>
      </c>
      <c r="G1650" s="3">
        <v>3793.59</v>
      </c>
      <c r="H1650" s="3">
        <f>Miami_Retail[[#This Row],[sales_usd]] / Miami_Retail[[#This Row],[customers]]</f>
        <v>16.142936170212767</v>
      </c>
      <c r="I1650">
        <v>79.900000000000006</v>
      </c>
      <c r="J1650">
        <f>(Miami_Retail[[#This Row],[avg_temp_f]]-32) * (5/9)</f>
        <v>26.611111111111114</v>
      </c>
      <c r="K1650">
        <v>0.95</v>
      </c>
      <c r="L1650">
        <v>1</v>
      </c>
      <c r="M1650">
        <v>68.8</v>
      </c>
      <c r="N1650">
        <v>48.6</v>
      </c>
      <c r="O1650">
        <v>51.4</v>
      </c>
      <c r="P1650">
        <v>46.3</v>
      </c>
      <c r="Q1650">
        <v>53.7</v>
      </c>
    </row>
    <row r="1651" spans="1:17" x14ac:dyDescent="0.25">
      <c r="A1651" s="2">
        <v>45114</v>
      </c>
      <c r="B1651" s="2" t="str">
        <f t="shared" si="50"/>
        <v>Friday</v>
      </c>
      <c r="C1651" s="2" t="b">
        <f t="shared" si="51"/>
        <v>0</v>
      </c>
      <c r="D1651">
        <v>3</v>
      </c>
      <c r="E1651" t="s">
        <v>7</v>
      </c>
      <c r="F1651">
        <v>240</v>
      </c>
      <c r="G1651" s="3">
        <v>3812.3</v>
      </c>
      <c r="H1651" s="3">
        <f>Miami_Retail[[#This Row],[sales_usd]] / Miami_Retail[[#This Row],[customers]]</f>
        <v>15.884583333333333</v>
      </c>
      <c r="I1651">
        <v>77.3</v>
      </c>
      <c r="J1651">
        <f>(Miami_Retail[[#This Row],[avg_temp_f]]-32) * (5/9)</f>
        <v>25.166666666666668</v>
      </c>
      <c r="K1651">
        <v>0</v>
      </c>
      <c r="L1651">
        <v>0</v>
      </c>
      <c r="M1651">
        <v>61</v>
      </c>
      <c r="N1651">
        <v>48.9</v>
      </c>
      <c r="O1651">
        <v>51.1</v>
      </c>
      <c r="P1651">
        <v>45.4</v>
      </c>
      <c r="Q1651">
        <v>54.6</v>
      </c>
    </row>
    <row r="1652" spans="1:17" x14ac:dyDescent="0.25">
      <c r="A1652" s="2">
        <v>45115</v>
      </c>
      <c r="B1652" s="2" t="str">
        <f t="shared" si="50"/>
        <v>Saturday</v>
      </c>
      <c r="C1652" s="2" t="b">
        <f t="shared" si="51"/>
        <v>1</v>
      </c>
      <c r="D1652">
        <v>3</v>
      </c>
      <c r="E1652" t="s">
        <v>7</v>
      </c>
      <c r="F1652">
        <v>278</v>
      </c>
      <c r="G1652" s="3">
        <v>4527.58</v>
      </c>
      <c r="H1652" s="3">
        <f>Miami_Retail[[#This Row],[sales_usd]] / Miami_Retail[[#This Row],[customers]]</f>
        <v>16.286258992805756</v>
      </c>
      <c r="I1652">
        <v>82</v>
      </c>
      <c r="J1652">
        <f>(Miami_Retail[[#This Row],[avg_temp_f]]-32) * (5/9)</f>
        <v>27.777777777777779</v>
      </c>
      <c r="K1652">
        <v>0.56999999999999995</v>
      </c>
      <c r="L1652">
        <v>1</v>
      </c>
      <c r="M1652">
        <v>63.8</v>
      </c>
      <c r="N1652">
        <v>49.2</v>
      </c>
      <c r="O1652">
        <v>50.8</v>
      </c>
      <c r="P1652">
        <v>51.9</v>
      </c>
      <c r="Q1652">
        <v>48.1</v>
      </c>
    </row>
    <row r="1653" spans="1:17" x14ac:dyDescent="0.25">
      <c r="A1653" s="2">
        <v>45116</v>
      </c>
      <c r="B1653" s="2" t="str">
        <f t="shared" si="50"/>
        <v>Sunday</v>
      </c>
      <c r="C1653" s="2" t="b">
        <f t="shared" si="51"/>
        <v>1</v>
      </c>
      <c r="D1653">
        <v>3</v>
      </c>
      <c r="E1653" t="s">
        <v>7</v>
      </c>
      <c r="F1653">
        <v>248</v>
      </c>
      <c r="G1653" s="3">
        <v>3702.15</v>
      </c>
      <c r="H1653" s="3">
        <f>Miami_Retail[[#This Row],[sales_usd]] / Miami_Retail[[#This Row],[customers]]</f>
        <v>14.928024193548387</v>
      </c>
      <c r="I1653">
        <v>79.099999999999994</v>
      </c>
      <c r="J1653">
        <f>(Miami_Retail[[#This Row],[avg_temp_f]]-32) * (5/9)</f>
        <v>26.166666666666664</v>
      </c>
      <c r="K1653">
        <v>0</v>
      </c>
      <c r="L1653">
        <v>0</v>
      </c>
      <c r="M1653">
        <v>61.1</v>
      </c>
      <c r="N1653">
        <v>49.3</v>
      </c>
      <c r="O1653">
        <v>50.7</v>
      </c>
      <c r="P1653">
        <v>52.4</v>
      </c>
      <c r="Q1653">
        <v>47.6</v>
      </c>
    </row>
    <row r="1654" spans="1:17" x14ac:dyDescent="0.25">
      <c r="A1654" s="2">
        <v>45117</v>
      </c>
      <c r="B1654" s="2" t="str">
        <f t="shared" si="50"/>
        <v>Monday</v>
      </c>
      <c r="C1654" s="2" t="b">
        <f t="shared" si="51"/>
        <v>0</v>
      </c>
      <c r="D1654">
        <v>3</v>
      </c>
      <c r="E1654" t="s">
        <v>7</v>
      </c>
      <c r="F1654">
        <v>256</v>
      </c>
      <c r="G1654" s="3">
        <v>4024.24</v>
      </c>
      <c r="H1654" s="3">
        <f>Miami_Retail[[#This Row],[sales_usd]] / Miami_Retail[[#This Row],[customers]]</f>
        <v>15.719687499999999</v>
      </c>
      <c r="I1654">
        <v>80.7</v>
      </c>
      <c r="J1654">
        <f>(Miami_Retail[[#This Row],[avg_temp_f]]-32) * (5/9)</f>
        <v>27.055555555555557</v>
      </c>
      <c r="K1654">
        <v>1</v>
      </c>
      <c r="L1654">
        <v>1</v>
      </c>
      <c r="M1654">
        <v>69.599999999999994</v>
      </c>
      <c r="N1654">
        <v>47.3</v>
      </c>
      <c r="O1654">
        <v>52.7</v>
      </c>
      <c r="P1654">
        <v>46.3</v>
      </c>
      <c r="Q1654">
        <v>53.7</v>
      </c>
    </row>
    <row r="1655" spans="1:17" x14ac:dyDescent="0.25">
      <c r="A1655" s="2">
        <v>45118</v>
      </c>
      <c r="B1655" s="2" t="str">
        <f t="shared" si="50"/>
        <v>Tuesday</v>
      </c>
      <c r="C1655" s="2" t="b">
        <f t="shared" si="51"/>
        <v>0</v>
      </c>
      <c r="D1655">
        <v>3</v>
      </c>
      <c r="E1655" t="s">
        <v>7</v>
      </c>
      <c r="F1655">
        <v>260</v>
      </c>
      <c r="G1655" s="3">
        <v>4291.7299999999996</v>
      </c>
      <c r="H1655" s="3">
        <f>Miami_Retail[[#This Row],[sales_usd]] / Miami_Retail[[#This Row],[customers]]</f>
        <v>16.506653846153846</v>
      </c>
      <c r="I1655">
        <v>83.3</v>
      </c>
      <c r="J1655">
        <f>(Miami_Retail[[#This Row],[avg_temp_f]]-32) * (5/9)</f>
        <v>28.5</v>
      </c>
      <c r="K1655">
        <v>0</v>
      </c>
      <c r="L1655">
        <v>0</v>
      </c>
      <c r="M1655">
        <v>68.5</v>
      </c>
      <c r="N1655">
        <v>49.4</v>
      </c>
      <c r="O1655">
        <v>50.6</v>
      </c>
      <c r="P1655">
        <v>48.2</v>
      </c>
      <c r="Q1655">
        <v>51.8</v>
      </c>
    </row>
    <row r="1656" spans="1:17" x14ac:dyDescent="0.25">
      <c r="A1656" s="2">
        <v>45119</v>
      </c>
      <c r="B1656" s="2" t="str">
        <f t="shared" si="50"/>
        <v>Wednesday</v>
      </c>
      <c r="C1656" s="2" t="b">
        <f t="shared" si="51"/>
        <v>0</v>
      </c>
      <c r="D1656">
        <v>3</v>
      </c>
      <c r="E1656" t="s">
        <v>7</v>
      </c>
      <c r="F1656">
        <v>217</v>
      </c>
      <c r="G1656" s="3">
        <v>3564.23</v>
      </c>
      <c r="H1656" s="3">
        <f>Miami_Retail[[#This Row],[sales_usd]] / Miami_Retail[[#This Row],[customers]]</f>
        <v>16.425023041474656</v>
      </c>
      <c r="I1656">
        <v>82.7</v>
      </c>
      <c r="J1656">
        <f>(Miami_Retail[[#This Row],[avg_temp_f]]-32) * (5/9)</f>
        <v>28.166666666666668</v>
      </c>
      <c r="K1656">
        <v>0</v>
      </c>
      <c r="L1656">
        <v>0</v>
      </c>
      <c r="M1656">
        <v>70.099999999999994</v>
      </c>
      <c r="N1656">
        <v>48.8</v>
      </c>
      <c r="O1656">
        <v>51.2</v>
      </c>
      <c r="P1656">
        <v>46.7</v>
      </c>
      <c r="Q1656">
        <v>53.3</v>
      </c>
    </row>
    <row r="1657" spans="1:17" x14ac:dyDescent="0.25">
      <c r="A1657" s="2">
        <v>45120</v>
      </c>
      <c r="B1657" s="2" t="str">
        <f t="shared" si="50"/>
        <v>Thursday</v>
      </c>
      <c r="C1657" s="2" t="b">
        <f t="shared" si="51"/>
        <v>0</v>
      </c>
      <c r="D1657">
        <v>3</v>
      </c>
      <c r="E1657" t="s">
        <v>7</v>
      </c>
      <c r="F1657">
        <v>268</v>
      </c>
      <c r="G1657" s="3">
        <v>4410.75</v>
      </c>
      <c r="H1657" s="3">
        <f>Miami_Retail[[#This Row],[sales_usd]] / Miami_Retail[[#This Row],[customers]]</f>
        <v>16.458022388059703</v>
      </c>
      <c r="I1657">
        <v>84.7</v>
      </c>
      <c r="J1657">
        <f>(Miami_Retail[[#This Row],[avg_temp_f]]-32) * (5/9)</f>
        <v>29.277777777777782</v>
      </c>
      <c r="K1657">
        <v>1.2</v>
      </c>
      <c r="L1657">
        <v>1</v>
      </c>
      <c r="M1657">
        <v>68.900000000000006</v>
      </c>
      <c r="N1657">
        <v>49</v>
      </c>
      <c r="O1657">
        <v>51</v>
      </c>
      <c r="P1657">
        <v>45.6</v>
      </c>
      <c r="Q1657">
        <v>54.4</v>
      </c>
    </row>
    <row r="1658" spans="1:17" x14ac:dyDescent="0.25">
      <c r="A1658" s="2">
        <v>45121</v>
      </c>
      <c r="B1658" s="2" t="str">
        <f t="shared" si="50"/>
        <v>Friday</v>
      </c>
      <c r="C1658" s="2" t="b">
        <f t="shared" si="51"/>
        <v>0</v>
      </c>
      <c r="D1658">
        <v>3</v>
      </c>
      <c r="E1658" t="s">
        <v>7</v>
      </c>
      <c r="F1658">
        <v>290</v>
      </c>
      <c r="G1658" s="3">
        <v>5179.6400000000003</v>
      </c>
      <c r="H1658" s="3">
        <f>Miami_Retail[[#This Row],[sales_usd]] / Miami_Retail[[#This Row],[customers]]</f>
        <v>17.860827586206899</v>
      </c>
      <c r="I1658">
        <v>89</v>
      </c>
      <c r="J1658">
        <f>(Miami_Retail[[#This Row],[avg_temp_f]]-32) * (5/9)</f>
        <v>31.666666666666668</v>
      </c>
      <c r="K1658">
        <v>1.1100000000000001</v>
      </c>
      <c r="L1658">
        <v>1</v>
      </c>
      <c r="M1658">
        <v>68.8</v>
      </c>
      <c r="N1658">
        <v>49.4</v>
      </c>
      <c r="O1658">
        <v>50.6</v>
      </c>
      <c r="P1658">
        <v>47</v>
      </c>
      <c r="Q1658">
        <v>53</v>
      </c>
    </row>
    <row r="1659" spans="1:17" x14ac:dyDescent="0.25">
      <c r="A1659" s="2">
        <v>45122</v>
      </c>
      <c r="B1659" s="2" t="str">
        <f t="shared" si="50"/>
        <v>Saturday</v>
      </c>
      <c r="C1659" s="2" t="b">
        <f t="shared" si="51"/>
        <v>1</v>
      </c>
      <c r="D1659">
        <v>3</v>
      </c>
      <c r="E1659" t="s">
        <v>7</v>
      </c>
      <c r="F1659">
        <v>282</v>
      </c>
      <c r="G1659" s="3">
        <v>4434.33</v>
      </c>
      <c r="H1659" s="3">
        <f>Miami_Retail[[#This Row],[sales_usd]] / Miami_Retail[[#This Row],[customers]]</f>
        <v>15.724574468085105</v>
      </c>
      <c r="I1659">
        <v>81.3</v>
      </c>
      <c r="J1659">
        <f>(Miami_Retail[[#This Row],[avg_temp_f]]-32) * (5/9)</f>
        <v>27.388888888888889</v>
      </c>
      <c r="K1659">
        <v>0</v>
      </c>
      <c r="L1659">
        <v>0</v>
      </c>
      <c r="M1659">
        <v>72.400000000000006</v>
      </c>
      <c r="N1659">
        <v>47.9</v>
      </c>
      <c r="O1659">
        <v>52.1</v>
      </c>
      <c r="P1659">
        <v>52.7</v>
      </c>
      <c r="Q1659">
        <v>47.3</v>
      </c>
    </row>
    <row r="1660" spans="1:17" x14ac:dyDescent="0.25">
      <c r="A1660" s="2">
        <v>45123</v>
      </c>
      <c r="B1660" s="2" t="str">
        <f t="shared" si="50"/>
        <v>Sunday</v>
      </c>
      <c r="C1660" s="2" t="b">
        <f t="shared" si="51"/>
        <v>1</v>
      </c>
      <c r="D1660">
        <v>3</v>
      </c>
      <c r="E1660" t="s">
        <v>7</v>
      </c>
      <c r="F1660">
        <v>270</v>
      </c>
      <c r="G1660" s="3">
        <v>4569.46</v>
      </c>
      <c r="H1660" s="3">
        <f>Miami_Retail[[#This Row],[sales_usd]] / Miami_Retail[[#This Row],[customers]]</f>
        <v>16.923925925925925</v>
      </c>
      <c r="I1660">
        <v>80.7</v>
      </c>
      <c r="J1660">
        <f>(Miami_Retail[[#This Row],[avg_temp_f]]-32) * (5/9)</f>
        <v>27.055555555555557</v>
      </c>
      <c r="K1660">
        <v>0.31</v>
      </c>
      <c r="L1660">
        <v>1</v>
      </c>
      <c r="M1660">
        <v>73.599999999999994</v>
      </c>
      <c r="N1660">
        <v>48.3</v>
      </c>
      <c r="O1660">
        <v>51.7</v>
      </c>
      <c r="P1660">
        <v>55.4</v>
      </c>
      <c r="Q1660">
        <v>44.6</v>
      </c>
    </row>
    <row r="1661" spans="1:17" x14ac:dyDescent="0.25">
      <c r="A1661" s="2">
        <v>45124</v>
      </c>
      <c r="B1661" s="2" t="str">
        <f t="shared" si="50"/>
        <v>Monday</v>
      </c>
      <c r="C1661" s="2" t="b">
        <f t="shared" si="51"/>
        <v>0</v>
      </c>
      <c r="D1661">
        <v>3</v>
      </c>
      <c r="E1661" t="s">
        <v>7</v>
      </c>
      <c r="F1661">
        <v>267</v>
      </c>
      <c r="G1661" s="3">
        <v>4142.22</v>
      </c>
      <c r="H1661" s="3">
        <f>Miami_Retail[[#This Row],[sales_usd]] / Miami_Retail[[#This Row],[customers]]</f>
        <v>15.513932584269664</v>
      </c>
      <c r="I1661">
        <v>87.8</v>
      </c>
      <c r="J1661">
        <f>(Miami_Retail[[#This Row],[avg_temp_f]]-32) * (5/9)</f>
        <v>31</v>
      </c>
      <c r="K1661">
        <v>0</v>
      </c>
      <c r="L1661">
        <v>0</v>
      </c>
      <c r="M1661">
        <v>62.5</v>
      </c>
      <c r="N1661">
        <v>45.7</v>
      </c>
      <c r="O1661">
        <v>54.3</v>
      </c>
      <c r="P1661">
        <v>47</v>
      </c>
      <c r="Q1661">
        <v>53</v>
      </c>
    </row>
    <row r="1662" spans="1:17" x14ac:dyDescent="0.25">
      <c r="A1662" s="2">
        <v>45125</v>
      </c>
      <c r="B1662" s="2" t="str">
        <f t="shared" si="50"/>
        <v>Tuesday</v>
      </c>
      <c r="C1662" s="2" t="b">
        <f t="shared" si="51"/>
        <v>0</v>
      </c>
      <c r="D1662">
        <v>3</v>
      </c>
      <c r="E1662" t="s">
        <v>7</v>
      </c>
      <c r="F1662">
        <v>297</v>
      </c>
      <c r="G1662" s="3">
        <v>4532.13</v>
      </c>
      <c r="H1662" s="3">
        <f>Miami_Retail[[#This Row],[sales_usd]] / Miami_Retail[[#This Row],[customers]]</f>
        <v>15.25969696969697</v>
      </c>
      <c r="I1662">
        <v>85</v>
      </c>
      <c r="J1662">
        <f>(Miami_Retail[[#This Row],[avg_temp_f]]-32) * (5/9)</f>
        <v>29.444444444444446</v>
      </c>
      <c r="K1662">
        <v>0</v>
      </c>
      <c r="L1662">
        <v>0</v>
      </c>
      <c r="M1662">
        <v>70.3</v>
      </c>
      <c r="N1662">
        <v>48</v>
      </c>
      <c r="O1662">
        <v>52</v>
      </c>
      <c r="P1662">
        <v>47.1</v>
      </c>
      <c r="Q1662">
        <v>52.9</v>
      </c>
    </row>
    <row r="1663" spans="1:17" x14ac:dyDescent="0.25">
      <c r="A1663" s="2">
        <v>45126</v>
      </c>
      <c r="B1663" s="2" t="str">
        <f t="shared" si="50"/>
        <v>Wednesday</v>
      </c>
      <c r="C1663" s="2" t="b">
        <f t="shared" si="51"/>
        <v>0</v>
      </c>
      <c r="D1663">
        <v>3</v>
      </c>
      <c r="E1663" t="s">
        <v>7</v>
      </c>
      <c r="F1663">
        <v>254</v>
      </c>
      <c r="G1663" s="3">
        <v>4163.26</v>
      </c>
      <c r="H1663" s="3">
        <f>Miami_Retail[[#This Row],[sales_usd]] / Miami_Retail[[#This Row],[customers]]</f>
        <v>16.390787401574805</v>
      </c>
      <c r="I1663">
        <v>84.6</v>
      </c>
      <c r="J1663">
        <f>(Miami_Retail[[#This Row],[avg_temp_f]]-32) * (5/9)</f>
        <v>29.222222222222221</v>
      </c>
      <c r="K1663">
        <v>0</v>
      </c>
      <c r="L1663">
        <v>0</v>
      </c>
      <c r="M1663">
        <v>72.900000000000006</v>
      </c>
      <c r="N1663">
        <v>48.3</v>
      </c>
      <c r="O1663">
        <v>51.7</v>
      </c>
      <c r="P1663">
        <v>45.9</v>
      </c>
      <c r="Q1663">
        <v>54.1</v>
      </c>
    </row>
    <row r="1664" spans="1:17" x14ac:dyDescent="0.25">
      <c r="A1664" s="2">
        <v>45127</v>
      </c>
      <c r="B1664" s="2" t="str">
        <f t="shared" si="50"/>
        <v>Thursday</v>
      </c>
      <c r="C1664" s="2" t="b">
        <f t="shared" si="51"/>
        <v>0</v>
      </c>
      <c r="D1664">
        <v>3</v>
      </c>
      <c r="E1664" t="s">
        <v>7</v>
      </c>
      <c r="F1664">
        <v>208</v>
      </c>
      <c r="G1664" s="3">
        <v>3489.33</v>
      </c>
      <c r="H1664" s="3">
        <f>Miami_Retail[[#This Row],[sales_usd]] / Miami_Retail[[#This Row],[customers]]</f>
        <v>16.775624999999998</v>
      </c>
      <c r="I1664">
        <v>85.7</v>
      </c>
      <c r="J1664">
        <f>(Miami_Retail[[#This Row],[avg_temp_f]]-32) * (5/9)</f>
        <v>29.833333333333336</v>
      </c>
      <c r="K1664">
        <v>0</v>
      </c>
      <c r="L1664">
        <v>0</v>
      </c>
      <c r="M1664">
        <v>68.3</v>
      </c>
      <c r="N1664">
        <v>48.2</v>
      </c>
      <c r="O1664">
        <v>51.8</v>
      </c>
      <c r="P1664">
        <v>47.6</v>
      </c>
      <c r="Q1664">
        <v>52.4</v>
      </c>
    </row>
    <row r="1665" spans="1:17" x14ac:dyDescent="0.25">
      <c r="A1665" s="2">
        <v>45128</v>
      </c>
      <c r="B1665" s="2" t="str">
        <f t="shared" si="50"/>
        <v>Friday</v>
      </c>
      <c r="C1665" s="2" t="b">
        <f t="shared" si="51"/>
        <v>0</v>
      </c>
      <c r="D1665">
        <v>3</v>
      </c>
      <c r="E1665" t="s">
        <v>7</v>
      </c>
      <c r="F1665">
        <v>226</v>
      </c>
      <c r="G1665" s="3">
        <v>3905.15</v>
      </c>
      <c r="H1665" s="3">
        <f>Miami_Retail[[#This Row],[sales_usd]] / Miami_Retail[[#This Row],[customers]]</f>
        <v>17.279424778761062</v>
      </c>
      <c r="I1665">
        <v>83.4</v>
      </c>
      <c r="J1665">
        <f>(Miami_Retail[[#This Row],[avg_temp_f]]-32) * (5/9)</f>
        <v>28.555555555555561</v>
      </c>
      <c r="K1665">
        <v>0</v>
      </c>
      <c r="L1665">
        <v>0</v>
      </c>
      <c r="M1665">
        <v>68.099999999999994</v>
      </c>
      <c r="N1665">
        <v>47.7</v>
      </c>
      <c r="O1665">
        <v>52.3</v>
      </c>
      <c r="P1665">
        <v>45.6</v>
      </c>
      <c r="Q1665">
        <v>54.4</v>
      </c>
    </row>
    <row r="1666" spans="1:17" x14ac:dyDescent="0.25">
      <c r="A1666" s="2">
        <v>45129</v>
      </c>
      <c r="B1666" s="2" t="str">
        <f t="shared" ref="B1666:B1729" si="52">TEXT(A1666, "dddd")</f>
        <v>Saturday</v>
      </c>
      <c r="C1666" s="2" t="b">
        <f t="shared" ref="C1666:C1729" si="53">IF(WEEKDAY(A1666,2)&gt;5,TRUE,FALSE)</f>
        <v>1</v>
      </c>
      <c r="D1666">
        <v>3</v>
      </c>
      <c r="E1666" t="s">
        <v>7</v>
      </c>
      <c r="F1666">
        <v>270</v>
      </c>
      <c r="G1666" s="3">
        <v>4905.63</v>
      </c>
      <c r="H1666" s="3">
        <f>Miami_Retail[[#This Row],[sales_usd]] / Miami_Retail[[#This Row],[customers]]</f>
        <v>18.169</v>
      </c>
      <c r="I1666">
        <v>83</v>
      </c>
      <c r="J1666">
        <f>(Miami_Retail[[#This Row],[avg_temp_f]]-32) * (5/9)</f>
        <v>28.333333333333336</v>
      </c>
      <c r="K1666">
        <v>0.49</v>
      </c>
      <c r="L1666">
        <v>1</v>
      </c>
      <c r="M1666">
        <v>61.9</v>
      </c>
      <c r="N1666">
        <v>47.6</v>
      </c>
      <c r="O1666">
        <v>52.4</v>
      </c>
      <c r="P1666">
        <v>53.7</v>
      </c>
      <c r="Q1666">
        <v>46.3</v>
      </c>
    </row>
    <row r="1667" spans="1:17" x14ac:dyDescent="0.25">
      <c r="A1667" s="2">
        <v>45130</v>
      </c>
      <c r="B1667" s="2" t="str">
        <f t="shared" si="52"/>
        <v>Sunday</v>
      </c>
      <c r="C1667" s="2" t="b">
        <f t="shared" si="53"/>
        <v>1</v>
      </c>
      <c r="D1667">
        <v>3</v>
      </c>
      <c r="E1667" t="s">
        <v>7</v>
      </c>
      <c r="F1667">
        <v>291</v>
      </c>
      <c r="G1667" s="3">
        <v>4717.09</v>
      </c>
      <c r="H1667" s="3">
        <f>Miami_Retail[[#This Row],[sales_usd]] / Miami_Retail[[#This Row],[customers]]</f>
        <v>16.209931271477664</v>
      </c>
      <c r="I1667">
        <v>84.9</v>
      </c>
      <c r="J1667">
        <f>(Miami_Retail[[#This Row],[avg_temp_f]]-32) * (5/9)</f>
        <v>29.388888888888893</v>
      </c>
      <c r="K1667">
        <v>0.01</v>
      </c>
      <c r="L1667">
        <v>1</v>
      </c>
      <c r="M1667">
        <v>70.7</v>
      </c>
      <c r="N1667">
        <v>47.1</v>
      </c>
      <c r="O1667">
        <v>52.9</v>
      </c>
      <c r="P1667">
        <v>54.1</v>
      </c>
      <c r="Q1667">
        <v>45.9</v>
      </c>
    </row>
    <row r="1668" spans="1:17" x14ac:dyDescent="0.25">
      <c r="A1668" s="2">
        <v>45131</v>
      </c>
      <c r="B1668" s="2" t="str">
        <f t="shared" si="52"/>
        <v>Monday</v>
      </c>
      <c r="C1668" s="2" t="b">
        <f t="shared" si="53"/>
        <v>0</v>
      </c>
      <c r="D1668">
        <v>3</v>
      </c>
      <c r="E1668" t="s">
        <v>7</v>
      </c>
      <c r="F1668">
        <v>295</v>
      </c>
      <c r="G1668" s="3">
        <v>4651.5</v>
      </c>
      <c r="H1668" s="3">
        <f>Miami_Retail[[#This Row],[sales_usd]] / Miami_Retail[[#This Row],[customers]]</f>
        <v>15.767796610169492</v>
      </c>
      <c r="I1668">
        <v>88.9</v>
      </c>
      <c r="J1668">
        <f>(Miami_Retail[[#This Row],[avg_temp_f]]-32) * (5/9)</f>
        <v>31.611111111111114</v>
      </c>
      <c r="K1668">
        <v>0.48</v>
      </c>
      <c r="L1668">
        <v>1</v>
      </c>
      <c r="M1668">
        <v>58.4</v>
      </c>
      <c r="N1668">
        <v>47.2</v>
      </c>
      <c r="O1668">
        <v>52.8</v>
      </c>
      <c r="P1668">
        <v>47.1</v>
      </c>
      <c r="Q1668">
        <v>52.9</v>
      </c>
    </row>
    <row r="1669" spans="1:17" x14ac:dyDescent="0.25">
      <c r="A1669" s="2">
        <v>45132</v>
      </c>
      <c r="B1669" s="2" t="str">
        <f t="shared" si="52"/>
        <v>Tuesday</v>
      </c>
      <c r="C1669" s="2" t="b">
        <f t="shared" si="53"/>
        <v>0</v>
      </c>
      <c r="D1669">
        <v>3</v>
      </c>
      <c r="E1669" t="s">
        <v>7</v>
      </c>
      <c r="F1669">
        <v>256</v>
      </c>
      <c r="G1669" s="3">
        <v>4374.92</v>
      </c>
      <c r="H1669" s="3">
        <f>Miami_Retail[[#This Row],[sales_usd]] / Miami_Retail[[#This Row],[customers]]</f>
        <v>17.08953125</v>
      </c>
      <c r="I1669">
        <v>82.1</v>
      </c>
      <c r="J1669">
        <f>(Miami_Retail[[#This Row],[avg_temp_f]]-32) * (5/9)</f>
        <v>27.833333333333332</v>
      </c>
      <c r="K1669">
        <v>0</v>
      </c>
      <c r="L1669">
        <v>0</v>
      </c>
      <c r="M1669">
        <v>78.7</v>
      </c>
      <c r="N1669">
        <v>48.6</v>
      </c>
      <c r="O1669">
        <v>51.4</v>
      </c>
      <c r="P1669">
        <v>46.3</v>
      </c>
      <c r="Q1669">
        <v>53.7</v>
      </c>
    </row>
    <row r="1670" spans="1:17" x14ac:dyDescent="0.25">
      <c r="A1670" s="2">
        <v>45133</v>
      </c>
      <c r="B1670" s="2" t="str">
        <f t="shared" si="52"/>
        <v>Wednesday</v>
      </c>
      <c r="C1670" s="2" t="b">
        <f t="shared" si="53"/>
        <v>0</v>
      </c>
      <c r="D1670">
        <v>3</v>
      </c>
      <c r="E1670" t="s">
        <v>7</v>
      </c>
      <c r="F1670">
        <v>270</v>
      </c>
      <c r="G1670" s="3">
        <v>4851.1000000000004</v>
      </c>
      <c r="H1670" s="3">
        <f>Miami_Retail[[#This Row],[sales_usd]] / Miami_Retail[[#This Row],[customers]]</f>
        <v>17.967037037037038</v>
      </c>
      <c r="I1670">
        <v>88.4</v>
      </c>
      <c r="J1670">
        <f>(Miami_Retail[[#This Row],[avg_temp_f]]-32) * (5/9)</f>
        <v>31.333333333333339</v>
      </c>
      <c r="K1670">
        <v>1.02</v>
      </c>
      <c r="L1670">
        <v>1</v>
      </c>
      <c r="M1670">
        <v>69.8</v>
      </c>
      <c r="N1670">
        <v>47.3</v>
      </c>
      <c r="O1670">
        <v>52.7</v>
      </c>
      <c r="P1670">
        <v>48.6</v>
      </c>
      <c r="Q1670">
        <v>51.4</v>
      </c>
    </row>
    <row r="1671" spans="1:17" x14ac:dyDescent="0.25">
      <c r="A1671" s="2">
        <v>45134</v>
      </c>
      <c r="B1671" s="2" t="str">
        <f t="shared" si="52"/>
        <v>Thursday</v>
      </c>
      <c r="C1671" s="2" t="b">
        <f t="shared" si="53"/>
        <v>0</v>
      </c>
      <c r="D1671">
        <v>3</v>
      </c>
      <c r="E1671" t="s">
        <v>7</v>
      </c>
      <c r="F1671">
        <v>283</v>
      </c>
      <c r="G1671" s="3">
        <v>4458.4399999999996</v>
      </c>
      <c r="H1671" s="3">
        <f>Miami_Retail[[#This Row],[sales_usd]] / Miami_Retail[[#This Row],[customers]]</f>
        <v>15.754204946996465</v>
      </c>
      <c r="I1671">
        <v>85.4</v>
      </c>
      <c r="J1671">
        <f>(Miami_Retail[[#This Row],[avg_temp_f]]-32) * (5/9)</f>
        <v>29.666666666666671</v>
      </c>
      <c r="K1671">
        <v>0</v>
      </c>
      <c r="L1671">
        <v>0</v>
      </c>
      <c r="M1671">
        <v>78.3</v>
      </c>
      <c r="N1671">
        <v>47</v>
      </c>
      <c r="O1671">
        <v>53</v>
      </c>
      <c r="P1671">
        <v>45.7</v>
      </c>
      <c r="Q1671">
        <v>54.3</v>
      </c>
    </row>
    <row r="1672" spans="1:17" x14ac:dyDescent="0.25">
      <c r="A1672" s="2">
        <v>45135</v>
      </c>
      <c r="B1672" s="2" t="str">
        <f t="shared" si="52"/>
        <v>Friday</v>
      </c>
      <c r="C1672" s="2" t="b">
        <f t="shared" si="53"/>
        <v>0</v>
      </c>
      <c r="D1672">
        <v>3</v>
      </c>
      <c r="E1672" t="s">
        <v>7</v>
      </c>
      <c r="F1672">
        <v>259</v>
      </c>
      <c r="G1672" s="3">
        <v>4353.17</v>
      </c>
      <c r="H1672" s="3">
        <f>Miami_Retail[[#This Row],[sales_usd]] / Miami_Retail[[#This Row],[customers]]</f>
        <v>16.807606177606178</v>
      </c>
      <c r="I1672">
        <v>86.2</v>
      </c>
      <c r="J1672">
        <f>(Miami_Retail[[#This Row],[avg_temp_f]]-32) * (5/9)</f>
        <v>30.111111111111114</v>
      </c>
      <c r="K1672">
        <v>0</v>
      </c>
      <c r="L1672">
        <v>0</v>
      </c>
      <c r="M1672">
        <v>62.3</v>
      </c>
      <c r="N1672">
        <v>48.7</v>
      </c>
      <c r="O1672">
        <v>51.3</v>
      </c>
      <c r="P1672">
        <v>47.4</v>
      </c>
      <c r="Q1672">
        <v>52.6</v>
      </c>
    </row>
    <row r="1673" spans="1:17" x14ac:dyDescent="0.25">
      <c r="A1673" s="2">
        <v>45136</v>
      </c>
      <c r="B1673" s="2" t="str">
        <f t="shared" si="52"/>
        <v>Saturday</v>
      </c>
      <c r="C1673" s="2" t="b">
        <f t="shared" si="53"/>
        <v>1</v>
      </c>
      <c r="D1673">
        <v>3</v>
      </c>
      <c r="E1673" t="s">
        <v>7</v>
      </c>
      <c r="F1673">
        <v>296</v>
      </c>
      <c r="G1673" s="3">
        <v>4751.67</v>
      </c>
      <c r="H1673" s="3">
        <f>Miami_Retail[[#This Row],[sales_usd]] / Miami_Retail[[#This Row],[customers]]</f>
        <v>16.052939189189189</v>
      </c>
      <c r="I1673">
        <v>84.5</v>
      </c>
      <c r="J1673">
        <f>(Miami_Retail[[#This Row],[avg_temp_f]]-32) * (5/9)</f>
        <v>29.166666666666668</v>
      </c>
      <c r="K1673">
        <v>0</v>
      </c>
      <c r="L1673">
        <v>0</v>
      </c>
      <c r="M1673">
        <v>63.8</v>
      </c>
      <c r="N1673">
        <v>47.9</v>
      </c>
      <c r="O1673">
        <v>52.1</v>
      </c>
      <c r="P1673">
        <v>52.2</v>
      </c>
      <c r="Q1673">
        <v>47.8</v>
      </c>
    </row>
    <row r="1674" spans="1:17" x14ac:dyDescent="0.25">
      <c r="A1674" s="2">
        <v>45137</v>
      </c>
      <c r="B1674" s="2" t="str">
        <f t="shared" si="52"/>
        <v>Sunday</v>
      </c>
      <c r="C1674" s="2" t="b">
        <f t="shared" si="53"/>
        <v>1</v>
      </c>
      <c r="D1674">
        <v>3</v>
      </c>
      <c r="E1674" t="s">
        <v>7</v>
      </c>
      <c r="F1674">
        <v>297</v>
      </c>
      <c r="G1674" s="3">
        <v>4788.38</v>
      </c>
      <c r="H1674" s="3">
        <f>Miami_Retail[[#This Row],[sales_usd]] / Miami_Retail[[#This Row],[customers]]</f>
        <v>16.122491582491584</v>
      </c>
      <c r="I1674">
        <v>87.4</v>
      </c>
      <c r="J1674">
        <f>(Miami_Retail[[#This Row],[avg_temp_f]]-32) * (5/9)</f>
        <v>30.777777777777782</v>
      </c>
      <c r="K1674">
        <v>0</v>
      </c>
      <c r="L1674">
        <v>0</v>
      </c>
      <c r="M1674">
        <v>72.900000000000006</v>
      </c>
      <c r="N1674">
        <v>46.9</v>
      </c>
      <c r="O1674">
        <v>53.1</v>
      </c>
      <c r="P1674">
        <v>52.3</v>
      </c>
      <c r="Q1674">
        <v>47.7</v>
      </c>
    </row>
    <row r="1675" spans="1:17" x14ac:dyDescent="0.25">
      <c r="A1675" s="2">
        <v>45138</v>
      </c>
      <c r="B1675" s="2" t="str">
        <f t="shared" si="52"/>
        <v>Monday</v>
      </c>
      <c r="C1675" s="2" t="b">
        <f t="shared" si="53"/>
        <v>0</v>
      </c>
      <c r="D1675">
        <v>3</v>
      </c>
      <c r="E1675" t="s">
        <v>7</v>
      </c>
      <c r="F1675">
        <v>239</v>
      </c>
      <c r="G1675" s="3">
        <v>3679.91</v>
      </c>
      <c r="H1675" s="3">
        <f>Miami_Retail[[#This Row],[sales_usd]] / Miami_Retail[[#This Row],[customers]]</f>
        <v>15.397112970711296</v>
      </c>
      <c r="I1675">
        <v>89.8</v>
      </c>
      <c r="J1675">
        <f>(Miami_Retail[[#This Row],[avg_temp_f]]-32) * (5/9)</f>
        <v>32.111111111111114</v>
      </c>
      <c r="K1675">
        <v>0.71</v>
      </c>
      <c r="L1675">
        <v>1</v>
      </c>
      <c r="M1675">
        <v>69</v>
      </c>
      <c r="N1675">
        <v>48.1</v>
      </c>
      <c r="O1675">
        <v>51.9</v>
      </c>
      <c r="P1675">
        <v>45.4</v>
      </c>
      <c r="Q1675">
        <v>54.6</v>
      </c>
    </row>
    <row r="1676" spans="1:17" x14ac:dyDescent="0.25">
      <c r="A1676" s="2">
        <v>45139</v>
      </c>
      <c r="B1676" s="2" t="str">
        <f t="shared" si="52"/>
        <v>Tuesday</v>
      </c>
      <c r="C1676" s="2" t="b">
        <f t="shared" si="53"/>
        <v>0</v>
      </c>
      <c r="D1676">
        <v>3</v>
      </c>
      <c r="E1676" t="s">
        <v>7</v>
      </c>
      <c r="F1676">
        <v>293</v>
      </c>
      <c r="G1676" s="3">
        <v>5055.51</v>
      </c>
      <c r="H1676" s="3">
        <f>Miami_Retail[[#This Row],[sales_usd]] / Miami_Retail[[#This Row],[customers]]</f>
        <v>17.254300341296929</v>
      </c>
      <c r="I1676">
        <v>86.3</v>
      </c>
      <c r="J1676">
        <f>(Miami_Retail[[#This Row],[avg_temp_f]]-32) * (5/9)</f>
        <v>30.166666666666668</v>
      </c>
      <c r="K1676">
        <v>0</v>
      </c>
      <c r="L1676">
        <v>0</v>
      </c>
      <c r="M1676">
        <v>71.599999999999994</v>
      </c>
      <c r="N1676">
        <v>48.6</v>
      </c>
      <c r="O1676">
        <v>51.4</v>
      </c>
      <c r="P1676">
        <v>46.8</v>
      </c>
      <c r="Q1676">
        <v>53.2</v>
      </c>
    </row>
    <row r="1677" spans="1:17" x14ac:dyDescent="0.25">
      <c r="A1677" s="2">
        <v>45140</v>
      </c>
      <c r="B1677" s="2" t="str">
        <f t="shared" si="52"/>
        <v>Wednesday</v>
      </c>
      <c r="C1677" s="2" t="b">
        <f t="shared" si="53"/>
        <v>0</v>
      </c>
      <c r="D1677">
        <v>3</v>
      </c>
      <c r="E1677" t="s">
        <v>7</v>
      </c>
      <c r="F1677">
        <v>278</v>
      </c>
      <c r="G1677" s="3">
        <v>4456.55</v>
      </c>
      <c r="H1677" s="3">
        <f>Miami_Retail[[#This Row],[sales_usd]] / Miami_Retail[[#This Row],[customers]]</f>
        <v>16.030755395683453</v>
      </c>
      <c r="I1677">
        <v>88</v>
      </c>
      <c r="J1677">
        <f>(Miami_Retail[[#This Row],[avg_temp_f]]-32) * (5/9)</f>
        <v>31.111111111111114</v>
      </c>
      <c r="K1677">
        <v>0</v>
      </c>
      <c r="L1677">
        <v>0</v>
      </c>
      <c r="M1677">
        <v>77.2</v>
      </c>
      <c r="N1677">
        <v>46.6</v>
      </c>
      <c r="O1677">
        <v>53.4</v>
      </c>
      <c r="P1677">
        <v>46.8</v>
      </c>
      <c r="Q1677">
        <v>53.2</v>
      </c>
    </row>
    <row r="1678" spans="1:17" x14ac:dyDescent="0.25">
      <c r="A1678" s="2">
        <v>45141</v>
      </c>
      <c r="B1678" s="2" t="str">
        <f t="shared" si="52"/>
        <v>Thursday</v>
      </c>
      <c r="C1678" s="2" t="b">
        <f t="shared" si="53"/>
        <v>0</v>
      </c>
      <c r="D1678">
        <v>3</v>
      </c>
      <c r="E1678" t="s">
        <v>7</v>
      </c>
      <c r="F1678">
        <v>225</v>
      </c>
      <c r="G1678" s="3">
        <v>3674.2</v>
      </c>
      <c r="H1678" s="3">
        <f>Miami_Retail[[#This Row],[sales_usd]] / Miami_Retail[[#This Row],[customers]]</f>
        <v>16.329777777777778</v>
      </c>
      <c r="I1678">
        <v>84.8</v>
      </c>
      <c r="J1678">
        <f>(Miami_Retail[[#This Row],[avg_temp_f]]-32) * (5/9)</f>
        <v>29.333333333333332</v>
      </c>
      <c r="K1678">
        <v>2.21</v>
      </c>
      <c r="L1678">
        <v>1</v>
      </c>
      <c r="M1678">
        <v>61.5</v>
      </c>
      <c r="N1678">
        <v>46.1</v>
      </c>
      <c r="O1678">
        <v>53.9</v>
      </c>
      <c r="P1678">
        <v>46.7</v>
      </c>
      <c r="Q1678">
        <v>53.3</v>
      </c>
    </row>
    <row r="1679" spans="1:17" x14ac:dyDescent="0.25">
      <c r="A1679" s="2">
        <v>45142</v>
      </c>
      <c r="B1679" s="2" t="str">
        <f t="shared" si="52"/>
        <v>Friday</v>
      </c>
      <c r="C1679" s="2" t="b">
        <f t="shared" si="53"/>
        <v>0</v>
      </c>
      <c r="D1679">
        <v>3</v>
      </c>
      <c r="E1679" t="s">
        <v>7</v>
      </c>
      <c r="F1679">
        <v>306</v>
      </c>
      <c r="G1679" s="3">
        <v>5672.63</v>
      </c>
      <c r="H1679" s="3">
        <f>Miami_Retail[[#This Row],[sales_usd]] / Miami_Retail[[#This Row],[customers]]</f>
        <v>18.538006535947712</v>
      </c>
      <c r="I1679">
        <v>84.1</v>
      </c>
      <c r="J1679">
        <f>(Miami_Retail[[#This Row],[avg_temp_f]]-32) * (5/9)</f>
        <v>28.944444444444443</v>
      </c>
      <c r="K1679">
        <v>0.42</v>
      </c>
      <c r="L1679">
        <v>1</v>
      </c>
      <c r="M1679">
        <v>64.7</v>
      </c>
      <c r="N1679">
        <v>48.7</v>
      </c>
      <c r="O1679">
        <v>51.3</v>
      </c>
      <c r="P1679">
        <v>47</v>
      </c>
      <c r="Q1679">
        <v>53</v>
      </c>
    </row>
    <row r="1680" spans="1:17" x14ac:dyDescent="0.25">
      <c r="A1680" s="2">
        <v>45143</v>
      </c>
      <c r="B1680" s="2" t="str">
        <f t="shared" si="52"/>
        <v>Saturday</v>
      </c>
      <c r="C1680" s="2" t="b">
        <f t="shared" si="53"/>
        <v>1</v>
      </c>
      <c r="D1680">
        <v>3</v>
      </c>
      <c r="E1680" t="s">
        <v>7</v>
      </c>
      <c r="F1680">
        <v>314</v>
      </c>
      <c r="G1680" s="3">
        <v>5511.95</v>
      </c>
      <c r="H1680" s="3">
        <f>Miami_Retail[[#This Row],[sales_usd]] / Miami_Retail[[#This Row],[customers]]</f>
        <v>17.553980891719746</v>
      </c>
      <c r="I1680">
        <v>88.9</v>
      </c>
      <c r="J1680">
        <f>(Miami_Retail[[#This Row],[avg_temp_f]]-32) * (5/9)</f>
        <v>31.611111111111114</v>
      </c>
      <c r="K1680">
        <v>0</v>
      </c>
      <c r="L1680">
        <v>0</v>
      </c>
      <c r="M1680">
        <v>67.7</v>
      </c>
      <c r="N1680">
        <v>45.7</v>
      </c>
      <c r="O1680">
        <v>54.3</v>
      </c>
      <c r="P1680">
        <v>53.3</v>
      </c>
      <c r="Q1680">
        <v>46.7</v>
      </c>
    </row>
    <row r="1681" spans="1:17" x14ac:dyDescent="0.25">
      <c r="A1681" s="2">
        <v>45144</v>
      </c>
      <c r="B1681" s="2" t="str">
        <f t="shared" si="52"/>
        <v>Sunday</v>
      </c>
      <c r="C1681" s="2" t="b">
        <f t="shared" si="53"/>
        <v>1</v>
      </c>
      <c r="D1681">
        <v>3</v>
      </c>
      <c r="E1681" t="s">
        <v>7</v>
      </c>
      <c r="F1681">
        <v>300</v>
      </c>
      <c r="G1681" s="3">
        <v>4467.01</v>
      </c>
      <c r="H1681" s="3">
        <f>Miami_Retail[[#This Row],[sales_usd]] / Miami_Retail[[#This Row],[customers]]</f>
        <v>14.890033333333333</v>
      </c>
      <c r="I1681">
        <v>90.9</v>
      </c>
      <c r="J1681">
        <f>(Miami_Retail[[#This Row],[avg_temp_f]]-32) * (5/9)</f>
        <v>32.722222222222229</v>
      </c>
      <c r="K1681">
        <v>1.5</v>
      </c>
      <c r="L1681">
        <v>1</v>
      </c>
      <c r="M1681">
        <v>68.099999999999994</v>
      </c>
      <c r="N1681">
        <v>45.5</v>
      </c>
      <c r="O1681">
        <v>54.5</v>
      </c>
      <c r="P1681">
        <v>51.4</v>
      </c>
      <c r="Q1681">
        <v>48.6</v>
      </c>
    </row>
    <row r="1682" spans="1:17" x14ac:dyDescent="0.25">
      <c r="A1682" s="2">
        <v>45145</v>
      </c>
      <c r="B1682" s="2" t="str">
        <f t="shared" si="52"/>
        <v>Monday</v>
      </c>
      <c r="C1682" s="2" t="b">
        <f t="shared" si="53"/>
        <v>0</v>
      </c>
      <c r="D1682">
        <v>3</v>
      </c>
      <c r="E1682" t="s">
        <v>7</v>
      </c>
      <c r="F1682">
        <v>263</v>
      </c>
      <c r="G1682" s="3">
        <v>3856.56</v>
      </c>
      <c r="H1682" s="3">
        <f>Miami_Retail[[#This Row],[sales_usd]] / Miami_Retail[[#This Row],[customers]]</f>
        <v>14.663726235741445</v>
      </c>
      <c r="I1682">
        <v>87.4</v>
      </c>
      <c r="J1682">
        <f>(Miami_Retail[[#This Row],[avg_temp_f]]-32) * (5/9)</f>
        <v>30.777777777777782</v>
      </c>
      <c r="K1682">
        <v>0</v>
      </c>
      <c r="L1682">
        <v>0</v>
      </c>
      <c r="M1682">
        <v>75.900000000000006</v>
      </c>
      <c r="N1682">
        <v>47</v>
      </c>
      <c r="O1682">
        <v>53</v>
      </c>
      <c r="P1682">
        <v>45.1</v>
      </c>
      <c r="Q1682">
        <v>54.9</v>
      </c>
    </row>
    <row r="1683" spans="1:17" x14ac:dyDescent="0.25">
      <c r="A1683" s="2">
        <v>45146</v>
      </c>
      <c r="B1683" s="2" t="str">
        <f t="shared" si="52"/>
        <v>Tuesday</v>
      </c>
      <c r="C1683" s="2" t="b">
        <f t="shared" si="53"/>
        <v>0</v>
      </c>
      <c r="D1683">
        <v>3</v>
      </c>
      <c r="E1683" t="s">
        <v>7</v>
      </c>
      <c r="F1683">
        <v>266</v>
      </c>
      <c r="G1683" s="3">
        <v>4576.26</v>
      </c>
      <c r="H1683" s="3">
        <f>Miami_Retail[[#This Row],[sales_usd]] / Miami_Retail[[#This Row],[customers]]</f>
        <v>17.203984962406015</v>
      </c>
      <c r="I1683">
        <v>86.4</v>
      </c>
      <c r="J1683">
        <f>(Miami_Retail[[#This Row],[avg_temp_f]]-32) * (5/9)</f>
        <v>30.222222222222225</v>
      </c>
      <c r="K1683">
        <v>0.5</v>
      </c>
      <c r="L1683">
        <v>1</v>
      </c>
      <c r="M1683">
        <v>69.099999999999994</v>
      </c>
      <c r="N1683">
        <v>47.6</v>
      </c>
      <c r="O1683">
        <v>52.4</v>
      </c>
      <c r="P1683">
        <v>46.2</v>
      </c>
      <c r="Q1683">
        <v>53.8</v>
      </c>
    </row>
    <row r="1684" spans="1:17" x14ac:dyDescent="0.25">
      <c r="A1684" s="2">
        <v>45147</v>
      </c>
      <c r="B1684" s="2" t="str">
        <f t="shared" si="52"/>
        <v>Wednesday</v>
      </c>
      <c r="C1684" s="2" t="b">
        <f t="shared" si="53"/>
        <v>0</v>
      </c>
      <c r="D1684">
        <v>3</v>
      </c>
      <c r="E1684" t="s">
        <v>7</v>
      </c>
      <c r="F1684">
        <v>261</v>
      </c>
      <c r="G1684" s="3">
        <v>4296.2299999999996</v>
      </c>
      <c r="H1684" s="3">
        <f>Miami_Retail[[#This Row],[sales_usd]] / Miami_Retail[[#This Row],[customers]]</f>
        <v>16.460651340996169</v>
      </c>
      <c r="I1684">
        <v>83.5</v>
      </c>
      <c r="J1684">
        <f>(Miami_Retail[[#This Row],[avg_temp_f]]-32) * (5/9)</f>
        <v>28.611111111111111</v>
      </c>
      <c r="K1684">
        <v>0</v>
      </c>
      <c r="L1684">
        <v>0</v>
      </c>
      <c r="M1684">
        <v>78.2</v>
      </c>
      <c r="N1684">
        <v>47.4</v>
      </c>
      <c r="O1684">
        <v>52.6</v>
      </c>
      <c r="P1684">
        <v>47.4</v>
      </c>
      <c r="Q1684">
        <v>52.6</v>
      </c>
    </row>
    <row r="1685" spans="1:17" x14ac:dyDescent="0.25">
      <c r="A1685" s="2">
        <v>45148</v>
      </c>
      <c r="B1685" s="2" t="str">
        <f t="shared" si="52"/>
        <v>Thursday</v>
      </c>
      <c r="C1685" s="2" t="b">
        <f t="shared" si="53"/>
        <v>0</v>
      </c>
      <c r="D1685">
        <v>3</v>
      </c>
      <c r="E1685" t="s">
        <v>7</v>
      </c>
      <c r="F1685">
        <v>251</v>
      </c>
      <c r="G1685" s="3">
        <v>4216.1899999999996</v>
      </c>
      <c r="H1685" s="3">
        <f>Miami_Retail[[#This Row],[sales_usd]] / Miami_Retail[[#This Row],[customers]]</f>
        <v>16.797569721115536</v>
      </c>
      <c r="I1685">
        <v>86.5</v>
      </c>
      <c r="J1685">
        <f>(Miami_Retail[[#This Row],[avg_temp_f]]-32) * (5/9)</f>
        <v>30.277777777777779</v>
      </c>
      <c r="K1685">
        <v>0.86</v>
      </c>
      <c r="L1685">
        <v>1</v>
      </c>
      <c r="M1685">
        <v>71.099999999999994</v>
      </c>
      <c r="N1685">
        <v>47</v>
      </c>
      <c r="O1685">
        <v>53</v>
      </c>
      <c r="P1685">
        <v>45.5</v>
      </c>
      <c r="Q1685">
        <v>54.5</v>
      </c>
    </row>
    <row r="1686" spans="1:17" x14ac:dyDescent="0.25">
      <c r="A1686" s="2">
        <v>45149</v>
      </c>
      <c r="B1686" s="2" t="str">
        <f t="shared" si="52"/>
        <v>Friday</v>
      </c>
      <c r="C1686" s="2" t="b">
        <f t="shared" si="53"/>
        <v>0</v>
      </c>
      <c r="D1686">
        <v>3</v>
      </c>
      <c r="E1686" t="s">
        <v>7</v>
      </c>
      <c r="F1686">
        <v>250</v>
      </c>
      <c r="G1686" s="3">
        <v>4154.88</v>
      </c>
      <c r="H1686" s="3">
        <f>Miami_Retail[[#This Row],[sales_usd]] / Miami_Retail[[#This Row],[customers]]</f>
        <v>16.619520000000001</v>
      </c>
      <c r="I1686">
        <v>81.3</v>
      </c>
      <c r="J1686">
        <f>(Miami_Retail[[#This Row],[avg_temp_f]]-32) * (5/9)</f>
        <v>27.388888888888889</v>
      </c>
      <c r="K1686">
        <v>0</v>
      </c>
      <c r="L1686">
        <v>0</v>
      </c>
      <c r="M1686">
        <v>76.900000000000006</v>
      </c>
      <c r="N1686">
        <v>49.6</v>
      </c>
      <c r="O1686">
        <v>50.4</v>
      </c>
      <c r="P1686">
        <v>45.9</v>
      </c>
      <c r="Q1686">
        <v>54.1</v>
      </c>
    </row>
    <row r="1687" spans="1:17" x14ac:dyDescent="0.25">
      <c r="A1687" s="2">
        <v>45150</v>
      </c>
      <c r="B1687" s="2" t="str">
        <f t="shared" si="52"/>
        <v>Saturday</v>
      </c>
      <c r="C1687" s="2" t="b">
        <f t="shared" si="53"/>
        <v>1</v>
      </c>
      <c r="D1687">
        <v>3</v>
      </c>
      <c r="E1687" t="s">
        <v>7</v>
      </c>
      <c r="F1687">
        <v>219</v>
      </c>
      <c r="G1687" s="3">
        <v>3915.07</v>
      </c>
      <c r="H1687" s="3">
        <f>Miami_Retail[[#This Row],[sales_usd]] / Miami_Retail[[#This Row],[customers]]</f>
        <v>17.877031963470319</v>
      </c>
      <c r="I1687">
        <v>82.7</v>
      </c>
      <c r="J1687">
        <f>(Miami_Retail[[#This Row],[avg_temp_f]]-32) * (5/9)</f>
        <v>28.166666666666668</v>
      </c>
      <c r="K1687">
        <v>5.72</v>
      </c>
      <c r="L1687">
        <v>1</v>
      </c>
      <c r="M1687">
        <v>79.400000000000006</v>
      </c>
      <c r="N1687">
        <v>46.8</v>
      </c>
      <c r="O1687">
        <v>53.2</v>
      </c>
      <c r="P1687">
        <v>51.9</v>
      </c>
      <c r="Q1687">
        <v>48.1</v>
      </c>
    </row>
    <row r="1688" spans="1:17" x14ac:dyDescent="0.25">
      <c r="A1688" s="2">
        <v>45151</v>
      </c>
      <c r="B1688" s="2" t="str">
        <f t="shared" si="52"/>
        <v>Sunday</v>
      </c>
      <c r="C1688" s="2" t="b">
        <f t="shared" si="53"/>
        <v>1</v>
      </c>
      <c r="D1688">
        <v>3</v>
      </c>
      <c r="E1688" t="s">
        <v>7</v>
      </c>
      <c r="F1688">
        <v>304</v>
      </c>
      <c r="G1688" s="3">
        <v>5206.04</v>
      </c>
      <c r="H1688" s="3">
        <f>Miami_Retail[[#This Row],[sales_usd]] / Miami_Retail[[#This Row],[customers]]</f>
        <v>17.125131578947368</v>
      </c>
      <c r="I1688">
        <v>87.2</v>
      </c>
      <c r="J1688">
        <f>(Miami_Retail[[#This Row],[avg_temp_f]]-32) * (5/9)</f>
        <v>30.666666666666668</v>
      </c>
      <c r="K1688">
        <v>0</v>
      </c>
      <c r="L1688">
        <v>0</v>
      </c>
      <c r="M1688">
        <v>75.099999999999994</v>
      </c>
      <c r="N1688">
        <v>46</v>
      </c>
      <c r="O1688">
        <v>54</v>
      </c>
      <c r="P1688">
        <v>49.7</v>
      </c>
      <c r="Q1688">
        <v>50.3</v>
      </c>
    </row>
    <row r="1689" spans="1:17" x14ac:dyDescent="0.25">
      <c r="A1689" s="2">
        <v>45152</v>
      </c>
      <c r="B1689" s="2" t="str">
        <f t="shared" si="52"/>
        <v>Monday</v>
      </c>
      <c r="C1689" s="2" t="b">
        <f t="shared" si="53"/>
        <v>0</v>
      </c>
      <c r="D1689">
        <v>3</v>
      </c>
      <c r="E1689" t="s">
        <v>7</v>
      </c>
      <c r="F1689">
        <v>279</v>
      </c>
      <c r="G1689" s="3">
        <v>4651.99</v>
      </c>
      <c r="H1689" s="3">
        <f>Miami_Retail[[#This Row],[sales_usd]] / Miami_Retail[[#This Row],[customers]]</f>
        <v>16.673799283154121</v>
      </c>
      <c r="I1689">
        <v>85.6</v>
      </c>
      <c r="J1689">
        <f>(Miami_Retail[[#This Row],[avg_temp_f]]-32) * (5/9)</f>
        <v>29.777777777777775</v>
      </c>
      <c r="K1689">
        <v>0</v>
      </c>
      <c r="L1689">
        <v>0</v>
      </c>
      <c r="M1689">
        <v>76.2</v>
      </c>
      <c r="N1689">
        <v>46.4</v>
      </c>
      <c r="O1689">
        <v>53.6</v>
      </c>
      <c r="P1689">
        <v>45.3</v>
      </c>
      <c r="Q1689">
        <v>54.7</v>
      </c>
    </row>
    <row r="1690" spans="1:17" x14ac:dyDescent="0.25">
      <c r="A1690" s="2">
        <v>45153</v>
      </c>
      <c r="B1690" s="2" t="str">
        <f t="shared" si="52"/>
        <v>Tuesday</v>
      </c>
      <c r="C1690" s="2" t="b">
        <f t="shared" si="53"/>
        <v>0</v>
      </c>
      <c r="D1690">
        <v>3</v>
      </c>
      <c r="E1690" t="s">
        <v>7</v>
      </c>
      <c r="F1690">
        <v>262</v>
      </c>
      <c r="G1690" s="3">
        <v>4366.47</v>
      </c>
      <c r="H1690" s="3">
        <f>Miami_Retail[[#This Row],[sales_usd]] / Miami_Retail[[#This Row],[customers]]</f>
        <v>16.665916030534351</v>
      </c>
      <c r="I1690">
        <v>82.9</v>
      </c>
      <c r="J1690">
        <f>(Miami_Retail[[#This Row],[avg_temp_f]]-32) * (5/9)</f>
        <v>28.277777777777782</v>
      </c>
      <c r="K1690">
        <v>0</v>
      </c>
      <c r="L1690">
        <v>0</v>
      </c>
      <c r="M1690">
        <v>65.900000000000006</v>
      </c>
      <c r="N1690">
        <v>47.1</v>
      </c>
      <c r="O1690">
        <v>52.9</v>
      </c>
      <c r="P1690">
        <v>44.4</v>
      </c>
      <c r="Q1690">
        <v>55.6</v>
      </c>
    </row>
    <row r="1691" spans="1:17" x14ac:dyDescent="0.25">
      <c r="A1691" s="2">
        <v>45154</v>
      </c>
      <c r="B1691" s="2" t="str">
        <f t="shared" si="52"/>
        <v>Wednesday</v>
      </c>
      <c r="C1691" s="2" t="b">
        <f t="shared" si="53"/>
        <v>0</v>
      </c>
      <c r="D1691">
        <v>3</v>
      </c>
      <c r="E1691" t="s">
        <v>7</v>
      </c>
      <c r="F1691">
        <v>243</v>
      </c>
      <c r="G1691" s="3">
        <v>3962.28</v>
      </c>
      <c r="H1691" s="3">
        <f>Miami_Retail[[#This Row],[sales_usd]] / Miami_Retail[[#This Row],[customers]]</f>
        <v>16.305679012345681</v>
      </c>
      <c r="I1691">
        <v>87.1</v>
      </c>
      <c r="J1691">
        <f>(Miami_Retail[[#This Row],[avg_temp_f]]-32) * (5/9)</f>
        <v>30.611111111111111</v>
      </c>
      <c r="K1691">
        <v>0.69</v>
      </c>
      <c r="L1691">
        <v>1</v>
      </c>
      <c r="M1691">
        <v>72.3</v>
      </c>
      <c r="N1691">
        <v>47.4</v>
      </c>
      <c r="O1691">
        <v>52.6</v>
      </c>
      <c r="P1691">
        <v>46</v>
      </c>
      <c r="Q1691">
        <v>54</v>
      </c>
    </row>
    <row r="1692" spans="1:17" x14ac:dyDescent="0.25">
      <c r="A1692" s="2">
        <v>45155</v>
      </c>
      <c r="B1692" s="2" t="str">
        <f t="shared" si="52"/>
        <v>Thursday</v>
      </c>
      <c r="C1692" s="2" t="b">
        <f t="shared" si="53"/>
        <v>0</v>
      </c>
      <c r="D1692">
        <v>3</v>
      </c>
      <c r="E1692" t="s">
        <v>7</v>
      </c>
      <c r="F1692">
        <v>277</v>
      </c>
      <c r="G1692" s="3">
        <v>4729.3900000000003</v>
      </c>
      <c r="H1692" s="3">
        <f>Miami_Retail[[#This Row],[sales_usd]] / Miami_Retail[[#This Row],[customers]]</f>
        <v>17.073610108303249</v>
      </c>
      <c r="I1692">
        <v>89</v>
      </c>
      <c r="J1692">
        <f>(Miami_Retail[[#This Row],[avg_temp_f]]-32) * (5/9)</f>
        <v>31.666666666666668</v>
      </c>
      <c r="K1692">
        <v>1.3</v>
      </c>
      <c r="L1692">
        <v>1</v>
      </c>
      <c r="M1692">
        <v>75.599999999999994</v>
      </c>
      <c r="N1692">
        <v>46.5</v>
      </c>
      <c r="O1692">
        <v>53.5</v>
      </c>
      <c r="P1692">
        <v>46.4</v>
      </c>
      <c r="Q1692">
        <v>53.6</v>
      </c>
    </row>
    <row r="1693" spans="1:17" x14ac:dyDescent="0.25">
      <c r="A1693" s="2">
        <v>45156</v>
      </c>
      <c r="B1693" s="2" t="str">
        <f t="shared" si="52"/>
        <v>Friday</v>
      </c>
      <c r="C1693" s="2" t="b">
        <f t="shared" si="53"/>
        <v>0</v>
      </c>
      <c r="D1693">
        <v>3</v>
      </c>
      <c r="E1693" t="s">
        <v>7</v>
      </c>
      <c r="F1693">
        <v>272</v>
      </c>
      <c r="G1693" s="3">
        <v>3975.59</v>
      </c>
      <c r="H1693" s="3">
        <f>Miami_Retail[[#This Row],[sales_usd]] / Miami_Retail[[#This Row],[customers]]</f>
        <v>14.616139705882354</v>
      </c>
      <c r="I1693">
        <v>84.7</v>
      </c>
      <c r="J1693">
        <f>(Miami_Retail[[#This Row],[avg_temp_f]]-32) * (5/9)</f>
        <v>29.277777777777782</v>
      </c>
      <c r="K1693">
        <v>0.61</v>
      </c>
      <c r="L1693">
        <v>1</v>
      </c>
      <c r="M1693">
        <v>77.5</v>
      </c>
      <c r="N1693">
        <v>46.2</v>
      </c>
      <c r="O1693">
        <v>53.8</v>
      </c>
      <c r="P1693">
        <v>45.6</v>
      </c>
      <c r="Q1693">
        <v>54.4</v>
      </c>
    </row>
    <row r="1694" spans="1:17" x14ac:dyDescent="0.25">
      <c r="A1694" s="2">
        <v>45157</v>
      </c>
      <c r="B1694" s="2" t="str">
        <f t="shared" si="52"/>
        <v>Saturday</v>
      </c>
      <c r="C1694" s="2" t="b">
        <f t="shared" si="53"/>
        <v>1</v>
      </c>
      <c r="D1694">
        <v>3</v>
      </c>
      <c r="E1694" t="s">
        <v>7</v>
      </c>
      <c r="F1694">
        <v>302</v>
      </c>
      <c r="G1694" s="3">
        <v>4933.3599999999997</v>
      </c>
      <c r="H1694" s="3">
        <f>Miami_Retail[[#This Row],[sales_usd]] / Miami_Retail[[#This Row],[customers]]</f>
        <v>16.335629139072847</v>
      </c>
      <c r="I1694">
        <v>87.2</v>
      </c>
      <c r="J1694">
        <f>(Miami_Retail[[#This Row],[avg_temp_f]]-32) * (5/9)</f>
        <v>30.666666666666668</v>
      </c>
      <c r="K1694">
        <v>0.76</v>
      </c>
      <c r="L1694">
        <v>1</v>
      </c>
      <c r="M1694">
        <v>76</v>
      </c>
      <c r="N1694">
        <v>46</v>
      </c>
      <c r="O1694">
        <v>54</v>
      </c>
      <c r="P1694">
        <v>50.7</v>
      </c>
      <c r="Q1694">
        <v>49.3</v>
      </c>
    </row>
    <row r="1695" spans="1:17" x14ac:dyDescent="0.25">
      <c r="A1695" s="2">
        <v>45158</v>
      </c>
      <c r="B1695" s="2" t="str">
        <f t="shared" si="52"/>
        <v>Sunday</v>
      </c>
      <c r="C1695" s="2" t="b">
        <f t="shared" si="53"/>
        <v>1</v>
      </c>
      <c r="D1695">
        <v>3</v>
      </c>
      <c r="E1695" t="s">
        <v>7</v>
      </c>
      <c r="F1695">
        <v>330</v>
      </c>
      <c r="G1695" s="3">
        <v>5538.21</v>
      </c>
      <c r="H1695" s="3">
        <f>Miami_Retail[[#This Row],[sales_usd]] / Miami_Retail[[#This Row],[customers]]</f>
        <v>16.782454545454545</v>
      </c>
      <c r="I1695">
        <v>89</v>
      </c>
      <c r="J1695">
        <f>(Miami_Retail[[#This Row],[avg_temp_f]]-32) * (5/9)</f>
        <v>31.666666666666668</v>
      </c>
      <c r="K1695">
        <v>0.62</v>
      </c>
      <c r="L1695">
        <v>1</v>
      </c>
      <c r="M1695">
        <v>75.599999999999994</v>
      </c>
      <c r="N1695">
        <v>46.6</v>
      </c>
      <c r="O1695">
        <v>53.4</v>
      </c>
      <c r="P1695">
        <v>52.4</v>
      </c>
      <c r="Q1695">
        <v>47.6</v>
      </c>
    </row>
    <row r="1696" spans="1:17" x14ac:dyDescent="0.25">
      <c r="A1696" s="2">
        <v>45159</v>
      </c>
      <c r="B1696" s="2" t="str">
        <f t="shared" si="52"/>
        <v>Monday</v>
      </c>
      <c r="C1696" s="2" t="b">
        <f t="shared" si="53"/>
        <v>0</v>
      </c>
      <c r="D1696">
        <v>3</v>
      </c>
      <c r="E1696" t="s">
        <v>7</v>
      </c>
      <c r="F1696">
        <v>288</v>
      </c>
      <c r="G1696" s="3">
        <v>4660.93</v>
      </c>
      <c r="H1696" s="3">
        <f>Miami_Retail[[#This Row],[sales_usd]] / Miami_Retail[[#This Row],[customers]]</f>
        <v>16.183784722222224</v>
      </c>
      <c r="I1696">
        <v>87.1</v>
      </c>
      <c r="J1696">
        <f>(Miami_Retail[[#This Row],[avg_temp_f]]-32) * (5/9)</f>
        <v>30.611111111111111</v>
      </c>
      <c r="K1696">
        <v>0</v>
      </c>
      <c r="L1696">
        <v>0</v>
      </c>
      <c r="M1696">
        <v>67.3</v>
      </c>
      <c r="N1696">
        <v>47</v>
      </c>
      <c r="O1696">
        <v>53</v>
      </c>
      <c r="P1696">
        <v>46</v>
      </c>
      <c r="Q1696">
        <v>54</v>
      </c>
    </row>
    <row r="1697" spans="1:17" x14ac:dyDescent="0.25">
      <c r="A1697" s="2">
        <v>45160</v>
      </c>
      <c r="B1697" s="2" t="str">
        <f t="shared" si="52"/>
        <v>Tuesday</v>
      </c>
      <c r="C1697" s="2" t="b">
        <f t="shared" si="53"/>
        <v>0</v>
      </c>
      <c r="D1697">
        <v>3</v>
      </c>
      <c r="E1697" t="s">
        <v>7</v>
      </c>
      <c r="F1697">
        <v>274</v>
      </c>
      <c r="G1697" s="3">
        <v>4287.21</v>
      </c>
      <c r="H1697" s="3">
        <f>Miami_Retail[[#This Row],[sales_usd]] / Miami_Retail[[#This Row],[customers]]</f>
        <v>15.646751824817519</v>
      </c>
      <c r="I1697">
        <v>86.2</v>
      </c>
      <c r="J1697">
        <f>(Miami_Retail[[#This Row],[avg_temp_f]]-32) * (5/9)</f>
        <v>30.111111111111114</v>
      </c>
      <c r="K1697">
        <v>0</v>
      </c>
      <c r="L1697">
        <v>0</v>
      </c>
      <c r="M1697">
        <v>66.5</v>
      </c>
      <c r="N1697">
        <v>46.2</v>
      </c>
      <c r="O1697">
        <v>53.8</v>
      </c>
      <c r="P1697">
        <v>45.5</v>
      </c>
      <c r="Q1697">
        <v>54.5</v>
      </c>
    </row>
    <row r="1698" spans="1:17" x14ac:dyDescent="0.25">
      <c r="A1698" s="2">
        <v>45161</v>
      </c>
      <c r="B1698" s="2" t="str">
        <f t="shared" si="52"/>
        <v>Wednesday</v>
      </c>
      <c r="C1698" s="2" t="b">
        <f t="shared" si="53"/>
        <v>0</v>
      </c>
      <c r="D1698">
        <v>3</v>
      </c>
      <c r="E1698" t="s">
        <v>7</v>
      </c>
      <c r="F1698">
        <v>271</v>
      </c>
      <c r="G1698" s="3">
        <v>4337.2299999999996</v>
      </c>
      <c r="H1698" s="3">
        <f>Miami_Retail[[#This Row],[sales_usd]] / Miami_Retail[[#This Row],[customers]]</f>
        <v>16.004538745387453</v>
      </c>
      <c r="I1698">
        <v>84.8</v>
      </c>
      <c r="J1698">
        <f>(Miami_Retail[[#This Row],[avg_temp_f]]-32) * (5/9)</f>
        <v>29.333333333333332</v>
      </c>
      <c r="K1698">
        <v>0</v>
      </c>
      <c r="L1698">
        <v>0</v>
      </c>
      <c r="M1698">
        <v>80.2</v>
      </c>
      <c r="N1698">
        <v>47.8</v>
      </c>
      <c r="O1698">
        <v>52.2</v>
      </c>
      <c r="P1698">
        <v>45.9</v>
      </c>
      <c r="Q1698">
        <v>54.1</v>
      </c>
    </row>
    <row r="1699" spans="1:17" x14ac:dyDescent="0.25">
      <c r="A1699" s="2">
        <v>45162</v>
      </c>
      <c r="B1699" s="2" t="str">
        <f t="shared" si="52"/>
        <v>Thursday</v>
      </c>
      <c r="C1699" s="2" t="b">
        <f t="shared" si="53"/>
        <v>0</v>
      </c>
      <c r="D1699">
        <v>3</v>
      </c>
      <c r="E1699" t="s">
        <v>7</v>
      </c>
      <c r="F1699">
        <v>273</v>
      </c>
      <c r="G1699" s="3">
        <v>4445.84</v>
      </c>
      <c r="H1699" s="3">
        <f>Miami_Retail[[#This Row],[sales_usd]] / Miami_Retail[[#This Row],[customers]]</f>
        <v>16.285128205128206</v>
      </c>
      <c r="I1699">
        <v>89</v>
      </c>
      <c r="J1699">
        <f>(Miami_Retail[[#This Row],[avg_temp_f]]-32) * (5/9)</f>
        <v>31.666666666666668</v>
      </c>
      <c r="K1699">
        <v>0</v>
      </c>
      <c r="L1699">
        <v>0</v>
      </c>
      <c r="M1699">
        <v>70.5</v>
      </c>
      <c r="N1699">
        <v>46.7</v>
      </c>
      <c r="O1699">
        <v>53.3</v>
      </c>
      <c r="P1699">
        <v>47.6</v>
      </c>
      <c r="Q1699">
        <v>52.4</v>
      </c>
    </row>
    <row r="1700" spans="1:17" x14ac:dyDescent="0.25">
      <c r="A1700" s="2">
        <v>45163</v>
      </c>
      <c r="B1700" s="2" t="str">
        <f t="shared" si="52"/>
        <v>Friday</v>
      </c>
      <c r="C1700" s="2" t="b">
        <f t="shared" si="53"/>
        <v>0</v>
      </c>
      <c r="D1700">
        <v>3</v>
      </c>
      <c r="E1700" t="s">
        <v>7</v>
      </c>
      <c r="F1700">
        <v>262</v>
      </c>
      <c r="G1700" s="3">
        <v>4190.1099999999997</v>
      </c>
      <c r="H1700" s="3">
        <f>Miami_Retail[[#This Row],[sales_usd]] / Miami_Retail[[#This Row],[customers]]</f>
        <v>15.992786259541983</v>
      </c>
      <c r="I1700">
        <v>88</v>
      </c>
      <c r="J1700">
        <f>(Miami_Retail[[#This Row],[avg_temp_f]]-32) * (5/9)</f>
        <v>31.111111111111114</v>
      </c>
      <c r="K1700">
        <v>0</v>
      </c>
      <c r="L1700">
        <v>0</v>
      </c>
      <c r="M1700">
        <v>73.900000000000006</v>
      </c>
      <c r="N1700">
        <v>46.2</v>
      </c>
      <c r="O1700">
        <v>53.8</v>
      </c>
      <c r="P1700">
        <v>45.6</v>
      </c>
      <c r="Q1700">
        <v>54.4</v>
      </c>
    </row>
    <row r="1701" spans="1:17" x14ac:dyDescent="0.25">
      <c r="A1701" s="2">
        <v>45164</v>
      </c>
      <c r="B1701" s="2" t="str">
        <f t="shared" si="52"/>
        <v>Saturday</v>
      </c>
      <c r="C1701" s="2" t="b">
        <f t="shared" si="53"/>
        <v>1</v>
      </c>
      <c r="D1701">
        <v>3</v>
      </c>
      <c r="E1701" t="s">
        <v>7</v>
      </c>
      <c r="F1701">
        <v>305</v>
      </c>
      <c r="G1701" s="3">
        <v>4585.24</v>
      </c>
      <c r="H1701" s="3">
        <f>Miami_Retail[[#This Row],[sales_usd]] / Miami_Retail[[#This Row],[customers]]</f>
        <v>15.033573770491802</v>
      </c>
      <c r="I1701">
        <v>88.1</v>
      </c>
      <c r="J1701">
        <f>(Miami_Retail[[#This Row],[avg_temp_f]]-32) * (5/9)</f>
        <v>31.166666666666664</v>
      </c>
      <c r="K1701">
        <v>0</v>
      </c>
      <c r="L1701">
        <v>0</v>
      </c>
      <c r="M1701">
        <v>63.4</v>
      </c>
      <c r="N1701">
        <v>47.1</v>
      </c>
      <c r="O1701">
        <v>52.9</v>
      </c>
      <c r="P1701">
        <v>51.5</v>
      </c>
      <c r="Q1701">
        <v>48.5</v>
      </c>
    </row>
    <row r="1702" spans="1:17" x14ac:dyDescent="0.25">
      <c r="A1702" s="2">
        <v>45165</v>
      </c>
      <c r="B1702" s="2" t="str">
        <f t="shared" si="52"/>
        <v>Sunday</v>
      </c>
      <c r="C1702" s="2" t="b">
        <f t="shared" si="53"/>
        <v>1</v>
      </c>
      <c r="D1702">
        <v>3</v>
      </c>
      <c r="E1702" t="s">
        <v>7</v>
      </c>
      <c r="F1702">
        <v>291</v>
      </c>
      <c r="G1702" s="3">
        <v>4840.38</v>
      </c>
      <c r="H1702" s="3">
        <f>Miami_Retail[[#This Row],[sales_usd]] / Miami_Retail[[#This Row],[customers]]</f>
        <v>16.633608247422682</v>
      </c>
      <c r="I1702">
        <v>89.7</v>
      </c>
      <c r="J1702">
        <f>(Miami_Retail[[#This Row],[avg_temp_f]]-32) * (5/9)</f>
        <v>32.055555555555557</v>
      </c>
      <c r="K1702">
        <v>0.44</v>
      </c>
      <c r="L1702">
        <v>1</v>
      </c>
      <c r="M1702">
        <v>77.099999999999994</v>
      </c>
      <c r="N1702">
        <v>45.9</v>
      </c>
      <c r="O1702">
        <v>54.1</v>
      </c>
      <c r="P1702">
        <v>50.4</v>
      </c>
      <c r="Q1702">
        <v>49.6</v>
      </c>
    </row>
    <row r="1703" spans="1:17" x14ac:dyDescent="0.25">
      <c r="A1703" s="2">
        <v>45166</v>
      </c>
      <c r="B1703" s="2" t="str">
        <f t="shared" si="52"/>
        <v>Monday</v>
      </c>
      <c r="C1703" s="2" t="b">
        <f t="shared" si="53"/>
        <v>0</v>
      </c>
      <c r="D1703">
        <v>3</v>
      </c>
      <c r="E1703" t="s">
        <v>7</v>
      </c>
      <c r="F1703">
        <v>279</v>
      </c>
      <c r="G1703" s="3">
        <v>4700.42</v>
      </c>
      <c r="H1703" s="3">
        <f>Miami_Retail[[#This Row],[sales_usd]] / Miami_Retail[[#This Row],[customers]]</f>
        <v>16.847383512544802</v>
      </c>
      <c r="I1703">
        <v>90.1</v>
      </c>
      <c r="J1703">
        <f>(Miami_Retail[[#This Row],[avg_temp_f]]-32) * (5/9)</f>
        <v>32.277777777777779</v>
      </c>
      <c r="K1703">
        <v>0</v>
      </c>
      <c r="L1703">
        <v>0</v>
      </c>
      <c r="M1703">
        <v>77.2</v>
      </c>
      <c r="N1703">
        <v>47.4</v>
      </c>
      <c r="O1703">
        <v>52.6</v>
      </c>
      <c r="P1703">
        <v>44.7</v>
      </c>
      <c r="Q1703">
        <v>55.3</v>
      </c>
    </row>
    <row r="1704" spans="1:17" x14ac:dyDescent="0.25">
      <c r="A1704" s="2">
        <v>45167</v>
      </c>
      <c r="B1704" s="2" t="str">
        <f t="shared" si="52"/>
        <v>Tuesday</v>
      </c>
      <c r="C1704" s="2" t="b">
        <f t="shared" si="53"/>
        <v>0</v>
      </c>
      <c r="D1704">
        <v>3</v>
      </c>
      <c r="E1704" t="s">
        <v>7</v>
      </c>
      <c r="F1704">
        <v>292</v>
      </c>
      <c r="G1704" s="3">
        <v>5069.71</v>
      </c>
      <c r="H1704" s="3">
        <f>Miami_Retail[[#This Row],[sales_usd]] / Miami_Retail[[#This Row],[customers]]</f>
        <v>17.362020547945207</v>
      </c>
      <c r="I1704">
        <v>89.2</v>
      </c>
      <c r="J1704">
        <f>(Miami_Retail[[#This Row],[avg_temp_f]]-32) * (5/9)</f>
        <v>31.777777777777782</v>
      </c>
      <c r="K1704">
        <v>0.08</v>
      </c>
      <c r="L1704">
        <v>1</v>
      </c>
      <c r="M1704">
        <v>71.900000000000006</v>
      </c>
      <c r="N1704">
        <v>45</v>
      </c>
      <c r="O1704">
        <v>55</v>
      </c>
      <c r="P1704">
        <v>46.2</v>
      </c>
      <c r="Q1704">
        <v>53.8</v>
      </c>
    </row>
    <row r="1705" spans="1:17" x14ac:dyDescent="0.25">
      <c r="A1705" s="2">
        <v>45168</v>
      </c>
      <c r="B1705" s="2" t="str">
        <f t="shared" si="52"/>
        <v>Wednesday</v>
      </c>
      <c r="C1705" s="2" t="b">
        <f t="shared" si="53"/>
        <v>0</v>
      </c>
      <c r="D1705">
        <v>3</v>
      </c>
      <c r="E1705" t="s">
        <v>7</v>
      </c>
      <c r="F1705">
        <v>291</v>
      </c>
      <c r="G1705" s="3">
        <v>5012.7700000000004</v>
      </c>
      <c r="H1705" s="3">
        <f>Miami_Retail[[#This Row],[sales_usd]] / Miami_Retail[[#This Row],[customers]]</f>
        <v>17.226013745704467</v>
      </c>
      <c r="I1705">
        <v>92.8</v>
      </c>
      <c r="J1705">
        <f>(Miami_Retail[[#This Row],[avg_temp_f]]-32) * (5/9)</f>
        <v>33.777777777777779</v>
      </c>
      <c r="K1705">
        <v>0</v>
      </c>
      <c r="L1705">
        <v>0</v>
      </c>
      <c r="M1705">
        <v>72.3</v>
      </c>
      <c r="N1705">
        <v>46.5</v>
      </c>
      <c r="O1705">
        <v>53.5</v>
      </c>
      <c r="P1705">
        <v>43.9</v>
      </c>
      <c r="Q1705">
        <v>56.1</v>
      </c>
    </row>
    <row r="1706" spans="1:17" x14ac:dyDescent="0.25">
      <c r="A1706" s="2">
        <v>45169</v>
      </c>
      <c r="B1706" s="2" t="str">
        <f t="shared" si="52"/>
        <v>Thursday</v>
      </c>
      <c r="C1706" s="2" t="b">
        <f t="shared" si="53"/>
        <v>0</v>
      </c>
      <c r="D1706">
        <v>3</v>
      </c>
      <c r="E1706" t="s">
        <v>7</v>
      </c>
      <c r="F1706">
        <v>292</v>
      </c>
      <c r="G1706" s="3">
        <v>4873.4399999999996</v>
      </c>
      <c r="H1706" s="3">
        <f>Miami_Retail[[#This Row],[sales_usd]] / Miami_Retail[[#This Row],[customers]]</f>
        <v>16.689863013698627</v>
      </c>
      <c r="I1706">
        <v>85.6</v>
      </c>
      <c r="J1706">
        <f>(Miami_Retail[[#This Row],[avg_temp_f]]-32) * (5/9)</f>
        <v>29.777777777777775</v>
      </c>
      <c r="K1706">
        <v>0</v>
      </c>
      <c r="L1706">
        <v>0</v>
      </c>
      <c r="M1706">
        <v>75.400000000000006</v>
      </c>
      <c r="N1706">
        <v>45.3</v>
      </c>
      <c r="O1706">
        <v>54.7</v>
      </c>
      <c r="P1706">
        <v>47.5</v>
      </c>
      <c r="Q1706">
        <v>52.5</v>
      </c>
    </row>
    <row r="1707" spans="1:17" x14ac:dyDescent="0.25">
      <c r="A1707" s="2">
        <v>45170</v>
      </c>
      <c r="B1707" s="2" t="str">
        <f t="shared" si="52"/>
        <v>Friday</v>
      </c>
      <c r="C1707" s="2" t="b">
        <f t="shared" si="53"/>
        <v>0</v>
      </c>
      <c r="D1707">
        <v>3</v>
      </c>
      <c r="E1707" t="s">
        <v>7</v>
      </c>
      <c r="F1707">
        <v>290</v>
      </c>
      <c r="G1707" s="3">
        <v>4666.49</v>
      </c>
      <c r="H1707" s="3">
        <f>Miami_Retail[[#This Row],[sales_usd]] / Miami_Retail[[#This Row],[customers]]</f>
        <v>16.091344827586205</v>
      </c>
      <c r="I1707">
        <v>94.1</v>
      </c>
      <c r="J1707">
        <f>(Miami_Retail[[#This Row],[avg_temp_f]]-32) * (5/9)</f>
        <v>34.5</v>
      </c>
      <c r="K1707">
        <v>0</v>
      </c>
      <c r="L1707">
        <v>0</v>
      </c>
      <c r="M1707">
        <v>71.5</v>
      </c>
      <c r="N1707">
        <v>46</v>
      </c>
      <c r="O1707">
        <v>54</v>
      </c>
      <c r="P1707">
        <v>45.1</v>
      </c>
      <c r="Q1707">
        <v>54.9</v>
      </c>
    </row>
    <row r="1708" spans="1:17" x14ac:dyDescent="0.25">
      <c r="A1708" s="2">
        <v>45171</v>
      </c>
      <c r="B1708" s="2" t="str">
        <f t="shared" si="52"/>
        <v>Saturday</v>
      </c>
      <c r="C1708" s="2" t="b">
        <f t="shared" si="53"/>
        <v>1</v>
      </c>
      <c r="D1708">
        <v>3</v>
      </c>
      <c r="E1708" t="s">
        <v>7</v>
      </c>
      <c r="F1708">
        <v>263</v>
      </c>
      <c r="G1708" s="3">
        <v>4237.05</v>
      </c>
      <c r="H1708" s="3">
        <f>Miami_Retail[[#This Row],[sales_usd]] / Miami_Retail[[#This Row],[customers]]</f>
        <v>16.11045627376426</v>
      </c>
      <c r="I1708">
        <v>87.3</v>
      </c>
      <c r="J1708">
        <f>(Miami_Retail[[#This Row],[avg_temp_f]]-32) * (5/9)</f>
        <v>30.722222222222221</v>
      </c>
      <c r="K1708">
        <v>0</v>
      </c>
      <c r="L1708">
        <v>0</v>
      </c>
      <c r="M1708">
        <v>73.599999999999994</v>
      </c>
      <c r="N1708">
        <v>46.9</v>
      </c>
      <c r="O1708">
        <v>53.1</v>
      </c>
      <c r="P1708">
        <v>50.7</v>
      </c>
      <c r="Q1708">
        <v>49.3</v>
      </c>
    </row>
    <row r="1709" spans="1:17" x14ac:dyDescent="0.25">
      <c r="A1709" s="2">
        <v>45172</v>
      </c>
      <c r="B1709" s="2" t="str">
        <f t="shared" si="52"/>
        <v>Sunday</v>
      </c>
      <c r="C1709" s="2" t="b">
        <f t="shared" si="53"/>
        <v>1</v>
      </c>
      <c r="D1709">
        <v>3</v>
      </c>
      <c r="E1709" t="s">
        <v>7</v>
      </c>
      <c r="F1709">
        <v>308</v>
      </c>
      <c r="G1709" s="3">
        <v>5243.07</v>
      </c>
      <c r="H1709" s="3">
        <f>Miami_Retail[[#This Row],[sales_usd]] / Miami_Retail[[#This Row],[customers]]</f>
        <v>17.022954545454546</v>
      </c>
      <c r="I1709">
        <v>87.3</v>
      </c>
      <c r="J1709">
        <f>(Miami_Retail[[#This Row],[avg_temp_f]]-32) * (5/9)</f>
        <v>30.722222222222221</v>
      </c>
      <c r="K1709">
        <v>0</v>
      </c>
      <c r="L1709">
        <v>0</v>
      </c>
      <c r="M1709">
        <v>74.8</v>
      </c>
      <c r="N1709">
        <v>47.1</v>
      </c>
      <c r="O1709">
        <v>52.9</v>
      </c>
      <c r="P1709">
        <v>50.9</v>
      </c>
      <c r="Q1709">
        <v>49.1</v>
      </c>
    </row>
    <row r="1710" spans="1:17" x14ac:dyDescent="0.25">
      <c r="A1710" s="2">
        <v>45173</v>
      </c>
      <c r="B1710" s="2" t="str">
        <f t="shared" si="52"/>
        <v>Monday</v>
      </c>
      <c r="C1710" s="2" t="b">
        <f t="shared" si="53"/>
        <v>0</v>
      </c>
      <c r="D1710">
        <v>3</v>
      </c>
      <c r="E1710" t="s">
        <v>7</v>
      </c>
      <c r="F1710">
        <v>245</v>
      </c>
      <c r="G1710" s="3">
        <v>3540.08</v>
      </c>
      <c r="H1710" s="3">
        <f>Miami_Retail[[#This Row],[sales_usd]] / Miami_Retail[[#This Row],[customers]]</f>
        <v>14.449306122448979</v>
      </c>
      <c r="I1710">
        <v>86.8</v>
      </c>
      <c r="J1710">
        <f>(Miami_Retail[[#This Row],[avg_temp_f]]-32) * (5/9)</f>
        <v>30.444444444444443</v>
      </c>
      <c r="K1710">
        <v>0.68</v>
      </c>
      <c r="L1710">
        <v>1</v>
      </c>
      <c r="M1710">
        <v>81.3</v>
      </c>
      <c r="N1710">
        <v>46</v>
      </c>
      <c r="O1710">
        <v>54</v>
      </c>
      <c r="P1710">
        <v>46</v>
      </c>
      <c r="Q1710">
        <v>54</v>
      </c>
    </row>
    <row r="1711" spans="1:17" x14ac:dyDescent="0.25">
      <c r="A1711" s="2">
        <v>45174</v>
      </c>
      <c r="B1711" s="2" t="str">
        <f t="shared" si="52"/>
        <v>Tuesday</v>
      </c>
      <c r="C1711" s="2" t="b">
        <f t="shared" si="53"/>
        <v>0</v>
      </c>
      <c r="D1711">
        <v>3</v>
      </c>
      <c r="E1711" t="s">
        <v>7</v>
      </c>
      <c r="F1711">
        <v>226</v>
      </c>
      <c r="G1711" s="3">
        <v>3918.23</v>
      </c>
      <c r="H1711" s="3">
        <f>Miami_Retail[[#This Row],[sales_usd]] / Miami_Retail[[#This Row],[customers]]</f>
        <v>17.337300884955752</v>
      </c>
      <c r="I1711">
        <v>86.2</v>
      </c>
      <c r="J1711">
        <f>(Miami_Retail[[#This Row],[avg_temp_f]]-32) * (5/9)</f>
        <v>30.111111111111114</v>
      </c>
      <c r="K1711">
        <v>0</v>
      </c>
      <c r="L1711">
        <v>0</v>
      </c>
      <c r="M1711">
        <v>72.2</v>
      </c>
      <c r="N1711">
        <v>45.5</v>
      </c>
      <c r="O1711">
        <v>54.5</v>
      </c>
      <c r="P1711">
        <v>45.3</v>
      </c>
      <c r="Q1711">
        <v>54.7</v>
      </c>
    </row>
    <row r="1712" spans="1:17" x14ac:dyDescent="0.25">
      <c r="A1712" s="2">
        <v>45175</v>
      </c>
      <c r="B1712" s="2" t="str">
        <f t="shared" si="52"/>
        <v>Wednesday</v>
      </c>
      <c r="C1712" s="2" t="b">
        <f t="shared" si="53"/>
        <v>0</v>
      </c>
      <c r="D1712">
        <v>3</v>
      </c>
      <c r="E1712" t="s">
        <v>7</v>
      </c>
      <c r="F1712">
        <v>267</v>
      </c>
      <c r="G1712" s="3">
        <v>4459.3999999999996</v>
      </c>
      <c r="H1712" s="3">
        <f>Miami_Retail[[#This Row],[sales_usd]] / Miami_Retail[[#This Row],[customers]]</f>
        <v>16.701872659176029</v>
      </c>
      <c r="I1712">
        <v>95.7</v>
      </c>
      <c r="J1712">
        <f>(Miami_Retail[[#This Row],[avg_temp_f]]-32) * (5/9)</f>
        <v>35.388888888888893</v>
      </c>
      <c r="K1712">
        <v>0.45</v>
      </c>
      <c r="L1712">
        <v>1</v>
      </c>
      <c r="M1712">
        <v>78.400000000000006</v>
      </c>
      <c r="N1712">
        <v>45.8</v>
      </c>
      <c r="O1712">
        <v>54.2</v>
      </c>
      <c r="P1712">
        <v>44.9</v>
      </c>
      <c r="Q1712">
        <v>55.1</v>
      </c>
    </row>
    <row r="1713" spans="1:17" x14ac:dyDescent="0.25">
      <c r="A1713" s="2">
        <v>45176</v>
      </c>
      <c r="B1713" s="2" t="str">
        <f t="shared" si="52"/>
        <v>Thursday</v>
      </c>
      <c r="C1713" s="2" t="b">
        <f t="shared" si="53"/>
        <v>0</v>
      </c>
      <c r="D1713">
        <v>3</v>
      </c>
      <c r="E1713" t="s">
        <v>7</v>
      </c>
      <c r="F1713">
        <v>229</v>
      </c>
      <c r="G1713" s="3">
        <v>3611.54</v>
      </c>
      <c r="H1713" s="3">
        <f>Miami_Retail[[#This Row],[sales_usd]] / Miami_Retail[[#This Row],[customers]]</f>
        <v>15.770917030567686</v>
      </c>
      <c r="I1713">
        <v>87.6</v>
      </c>
      <c r="J1713">
        <f>(Miami_Retail[[#This Row],[avg_temp_f]]-32) * (5/9)</f>
        <v>30.888888888888886</v>
      </c>
      <c r="K1713">
        <v>0</v>
      </c>
      <c r="L1713">
        <v>0</v>
      </c>
      <c r="M1713">
        <v>74.900000000000006</v>
      </c>
      <c r="N1713">
        <v>46.3</v>
      </c>
      <c r="O1713">
        <v>53.7</v>
      </c>
      <c r="P1713">
        <v>43.7</v>
      </c>
      <c r="Q1713">
        <v>56.3</v>
      </c>
    </row>
    <row r="1714" spans="1:17" x14ac:dyDescent="0.25">
      <c r="A1714" s="2">
        <v>45177</v>
      </c>
      <c r="B1714" s="2" t="str">
        <f t="shared" si="52"/>
        <v>Friday</v>
      </c>
      <c r="C1714" s="2" t="b">
        <f t="shared" si="53"/>
        <v>0</v>
      </c>
      <c r="D1714">
        <v>3</v>
      </c>
      <c r="E1714" t="s">
        <v>7</v>
      </c>
      <c r="F1714">
        <v>228</v>
      </c>
      <c r="G1714" s="3">
        <v>3725.33</v>
      </c>
      <c r="H1714" s="3">
        <f>Miami_Retail[[#This Row],[sales_usd]] / Miami_Retail[[#This Row],[customers]]</f>
        <v>16.339166666666667</v>
      </c>
      <c r="I1714">
        <v>88.8</v>
      </c>
      <c r="J1714">
        <f>(Miami_Retail[[#This Row],[avg_temp_f]]-32) * (5/9)</f>
        <v>31.555555555555557</v>
      </c>
      <c r="K1714">
        <v>1.94</v>
      </c>
      <c r="L1714">
        <v>1</v>
      </c>
      <c r="M1714">
        <v>75.3</v>
      </c>
      <c r="N1714">
        <v>46.7</v>
      </c>
      <c r="O1714">
        <v>53.3</v>
      </c>
      <c r="P1714">
        <v>44.7</v>
      </c>
      <c r="Q1714">
        <v>55.3</v>
      </c>
    </row>
    <row r="1715" spans="1:17" x14ac:dyDescent="0.25">
      <c r="A1715" s="2">
        <v>45178</v>
      </c>
      <c r="B1715" s="2" t="str">
        <f t="shared" si="52"/>
        <v>Saturday</v>
      </c>
      <c r="C1715" s="2" t="b">
        <f t="shared" si="53"/>
        <v>1</v>
      </c>
      <c r="D1715">
        <v>3</v>
      </c>
      <c r="E1715" t="s">
        <v>7</v>
      </c>
      <c r="F1715">
        <v>260</v>
      </c>
      <c r="G1715" s="3">
        <v>4576.71</v>
      </c>
      <c r="H1715" s="3">
        <f>Miami_Retail[[#This Row],[sales_usd]] / Miami_Retail[[#This Row],[customers]]</f>
        <v>17.602730769230771</v>
      </c>
      <c r="I1715">
        <v>91.3</v>
      </c>
      <c r="J1715">
        <f>(Miami_Retail[[#This Row],[avg_temp_f]]-32) * (5/9)</f>
        <v>32.944444444444443</v>
      </c>
      <c r="K1715">
        <v>0.68</v>
      </c>
      <c r="L1715">
        <v>1</v>
      </c>
      <c r="M1715">
        <v>80.599999999999994</v>
      </c>
      <c r="N1715">
        <v>47.2</v>
      </c>
      <c r="O1715">
        <v>52.8</v>
      </c>
      <c r="P1715">
        <v>51</v>
      </c>
      <c r="Q1715">
        <v>49</v>
      </c>
    </row>
    <row r="1716" spans="1:17" x14ac:dyDescent="0.25">
      <c r="A1716" s="2">
        <v>45179</v>
      </c>
      <c r="B1716" s="2" t="str">
        <f t="shared" si="52"/>
        <v>Sunday</v>
      </c>
      <c r="C1716" s="2" t="b">
        <f t="shared" si="53"/>
        <v>1</v>
      </c>
      <c r="D1716">
        <v>3</v>
      </c>
      <c r="E1716" t="s">
        <v>7</v>
      </c>
      <c r="F1716">
        <v>254</v>
      </c>
      <c r="G1716" s="3">
        <v>4196.12</v>
      </c>
      <c r="H1716" s="3">
        <f>Miami_Retail[[#This Row],[sales_usd]] / Miami_Retail[[#This Row],[customers]]</f>
        <v>16.52015748031496</v>
      </c>
      <c r="I1716">
        <v>88.8</v>
      </c>
      <c r="J1716">
        <f>(Miami_Retail[[#This Row],[avg_temp_f]]-32) * (5/9)</f>
        <v>31.555555555555557</v>
      </c>
      <c r="K1716">
        <v>0</v>
      </c>
      <c r="L1716">
        <v>0</v>
      </c>
      <c r="M1716">
        <v>67.400000000000006</v>
      </c>
      <c r="N1716">
        <v>47.2</v>
      </c>
      <c r="O1716">
        <v>52.8</v>
      </c>
      <c r="P1716">
        <v>52.6</v>
      </c>
      <c r="Q1716">
        <v>47.4</v>
      </c>
    </row>
    <row r="1717" spans="1:17" x14ac:dyDescent="0.25">
      <c r="A1717" s="2">
        <v>45180</v>
      </c>
      <c r="B1717" s="2" t="str">
        <f t="shared" si="52"/>
        <v>Monday</v>
      </c>
      <c r="C1717" s="2" t="b">
        <f t="shared" si="53"/>
        <v>0</v>
      </c>
      <c r="D1717">
        <v>3</v>
      </c>
      <c r="E1717" t="s">
        <v>7</v>
      </c>
      <c r="F1717">
        <v>257</v>
      </c>
      <c r="G1717" s="3">
        <v>4146.7</v>
      </c>
      <c r="H1717" s="3">
        <f>Miami_Retail[[#This Row],[sales_usd]] / Miami_Retail[[#This Row],[customers]]</f>
        <v>16.135019455252916</v>
      </c>
      <c r="I1717">
        <v>89.6</v>
      </c>
      <c r="J1717">
        <f>(Miami_Retail[[#This Row],[avg_temp_f]]-32) * (5/9)</f>
        <v>32</v>
      </c>
      <c r="K1717">
        <v>0</v>
      </c>
      <c r="L1717">
        <v>0</v>
      </c>
      <c r="M1717">
        <v>81.2</v>
      </c>
      <c r="N1717">
        <v>47.1</v>
      </c>
      <c r="O1717">
        <v>52.9</v>
      </c>
      <c r="P1717">
        <v>44.1</v>
      </c>
      <c r="Q1717">
        <v>55.9</v>
      </c>
    </row>
    <row r="1718" spans="1:17" x14ac:dyDescent="0.25">
      <c r="A1718" s="2">
        <v>45181</v>
      </c>
      <c r="B1718" s="2" t="str">
        <f t="shared" si="52"/>
        <v>Tuesday</v>
      </c>
      <c r="C1718" s="2" t="b">
        <f t="shared" si="53"/>
        <v>0</v>
      </c>
      <c r="D1718">
        <v>3</v>
      </c>
      <c r="E1718" t="s">
        <v>7</v>
      </c>
      <c r="F1718">
        <v>303</v>
      </c>
      <c r="G1718" s="3">
        <v>4682.09</v>
      </c>
      <c r="H1718" s="3">
        <f>Miami_Retail[[#This Row],[sales_usd]] / Miami_Retail[[#This Row],[customers]]</f>
        <v>15.452442244224423</v>
      </c>
      <c r="I1718">
        <v>96.6</v>
      </c>
      <c r="J1718">
        <f>(Miami_Retail[[#This Row],[avg_temp_f]]-32) * (5/9)</f>
        <v>35.888888888888886</v>
      </c>
      <c r="K1718">
        <v>0</v>
      </c>
      <c r="L1718">
        <v>0</v>
      </c>
      <c r="M1718">
        <v>78.5</v>
      </c>
      <c r="N1718">
        <v>45.9</v>
      </c>
      <c r="O1718">
        <v>54.1</v>
      </c>
      <c r="P1718">
        <v>44</v>
      </c>
      <c r="Q1718">
        <v>56</v>
      </c>
    </row>
    <row r="1719" spans="1:17" x14ac:dyDescent="0.25">
      <c r="A1719" s="2">
        <v>45182</v>
      </c>
      <c r="B1719" s="2" t="str">
        <f t="shared" si="52"/>
        <v>Wednesday</v>
      </c>
      <c r="C1719" s="2" t="b">
        <f t="shared" si="53"/>
        <v>0</v>
      </c>
      <c r="D1719">
        <v>3</v>
      </c>
      <c r="E1719" t="s">
        <v>7</v>
      </c>
      <c r="F1719">
        <v>229</v>
      </c>
      <c r="G1719" s="3">
        <v>3919.07</v>
      </c>
      <c r="H1719" s="3">
        <f>Miami_Retail[[#This Row],[sales_usd]] / Miami_Retail[[#This Row],[customers]]</f>
        <v>17.113842794759826</v>
      </c>
      <c r="I1719">
        <v>88</v>
      </c>
      <c r="J1719">
        <f>(Miami_Retail[[#This Row],[avg_temp_f]]-32) * (5/9)</f>
        <v>31.111111111111114</v>
      </c>
      <c r="K1719">
        <v>1.95</v>
      </c>
      <c r="L1719">
        <v>1</v>
      </c>
      <c r="M1719">
        <v>84.5</v>
      </c>
      <c r="N1719">
        <v>46.5</v>
      </c>
      <c r="O1719">
        <v>53.5</v>
      </c>
      <c r="P1719">
        <v>45.4</v>
      </c>
      <c r="Q1719">
        <v>54.6</v>
      </c>
    </row>
    <row r="1720" spans="1:17" x14ac:dyDescent="0.25">
      <c r="A1720" s="2">
        <v>45183</v>
      </c>
      <c r="B1720" s="2" t="str">
        <f t="shared" si="52"/>
        <v>Thursday</v>
      </c>
      <c r="C1720" s="2" t="b">
        <f t="shared" si="53"/>
        <v>0</v>
      </c>
      <c r="D1720">
        <v>3</v>
      </c>
      <c r="E1720" t="s">
        <v>7</v>
      </c>
      <c r="F1720">
        <v>237</v>
      </c>
      <c r="G1720" s="3">
        <v>3953</v>
      </c>
      <c r="H1720" s="3">
        <f>Miami_Retail[[#This Row],[sales_usd]] / Miami_Retail[[#This Row],[customers]]</f>
        <v>16.679324894514767</v>
      </c>
      <c r="I1720">
        <v>87</v>
      </c>
      <c r="J1720">
        <f>(Miami_Retail[[#This Row],[avg_temp_f]]-32) * (5/9)</f>
        <v>30.555555555555557</v>
      </c>
      <c r="K1720">
        <v>0</v>
      </c>
      <c r="L1720">
        <v>0</v>
      </c>
      <c r="M1720">
        <v>71.7</v>
      </c>
      <c r="N1720">
        <v>47.1</v>
      </c>
      <c r="O1720">
        <v>52.9</v>
      </c>
      <c r="P1720">
        <v>44.6</v>
      </c>
      <c r="Q1720">
        <v>55.4</v>
      </c>
    </row>
    <row r="1721" spans="1:17" x14ac:dyDescent="0.25">
      <c r="A1721" s="2">
        <v>45184</v>
      </c>
      <c r="B1721" s="2" t="str">
        <f t="shared" si="52"/>
        <v>Friday</v>
      </c>
      <c r="C1721" s="2" t="b">
        <f t="shared" si="53"/>
        <v>0</v>
      </c>
      <c r="D1721">
        <v>3</v>
      </c>
      <c r="E1721" t="s">
        <v>7</v>
      </c>
      <c r="F1721">
        <v>273</v>
      </c>
      <c r="G1721" s="3">
        <v>4489.17</v>
      </c>
      <c r="H1721" s="3">
        <f>Miami_Retail[[#This Row],[sales_usd]] / Miami_Retail[[#This Row],[customers]]</f>
        <v>16.443846153846152</v>
      </c>
      <c r="I1721">
        <v>91.3</v>
      </c>
      <c r="J1721">
        <f>(Miami_Retail[[#This Row],[avg_temp_f]]-32) * (5/9)</f>
        <v>32.944444444444443</v>
      </c>
      <c r="K1721">
        <v>0.56999999999999995</v>
      </c>
      <c r="L1721">
        <v>1</v>
      </c>
      <c r="M1721">
        <v>75.2</v>
      </c>
      <c r="N1721">
        <v>46.8</v>
      </c>
      <c r="O1721">
        <v>53.2</v>
      </c>
      <c r="P1721">
        <v>45.5</v>
      </c>
      <c r="Q1721">
        <v>54.5</v>
      </c>
    </row>
    <row r="1722" spans="1:17" x14ac:dyDescent="0.25">
      <c r="A1722" s="2">
        <v>45185</v>
      </c>
      <c r="B1722" s="2" t="str">
        <f t="shared" si="52"/>
        <v>Saturday</v>
      </c>
      <c r="C1722" s="2" t="b">
        <f t="shared" si="53"/>
        <v>1</v>
      </c>
      <c r="D1722">
        <v>3</v>
      </c>
      <c r="E1722" t="s">
        <v>7</v>
      </c>
      <c r="F1722">
        <v>269</v>
      </c>
      <c r="G1722" s="3">
        <v>4731.57</v>
      </c>
      <c r="H1722" s="3">
        <f>Miami_Retail[[#This Row],[sales_usd]] / Miami_Retail[[#This Row],[customers]]</f>
        <v>17.589479553903345</v>
      </c>
      <c r="I1722">
        <v>86.5</v>
      </c>
      <c r="J1722">
        <f>(Miami_Retail[[#This Row],[avg_temp_f]]-32) * (5/9)</f>
        <v>30.277777777777779</v>
      </c>
      <c r="K1722">
        <v>0</v>
      </c>
      <c r="L1722">
        <v>0</v>
      </c>
      <c r="M1722">
        <v>68.7</v>
      </c>
      <c r="N1722">
        <v>45.4</v>
      </c>
      <c r="O1722">
        <v>54.6</v>
      </c>
      <c r="P1722">
        <v>50.6</v>
      </c>
      <c r="Q1722">
        <v>49.4</v>
      </c>
    </row>
    <row r="1723" spans="1:17" x14ac:dyDescent="0.25">
      <c r="A1723" s="2">
        <v>45186</v>
      </c>
      <c r="B1723" s="2" t="str">
        <f t="shared" si="52"/>
        <v>Sunday</v>
      </c>
      <c r="C1723" s="2" t="b">
        <f t="shared" si="53"/>
        <v>1</v>
      </c>
      <c r="D1723">
        <v>3</v>
      </c>
      <c r="E1723" t="s">
        <v>7</v>
      </c>
      <c r="F1723">
        <v>283</v>
      </c>
      <c r="G1723" s="3">
        <v>4956.7700000000004</v>
      </c>
      <c r="H1723" s="3">
        <f>Miami_Retail[[#This Row],[sales_usd]] / Miami_Retail[[#This Row],[customers]]</f>
        <v>17.515088339222615</v>
      </c>
      <c r="I1723">
        <v>84.5</v>
      </c>
      <c r="J1723">
        <f>(Miami_Retail[[#This Row],[avg_temp_f]]-32) * (5/9)</f>
        <v>29.166666666666668</v>
      </c>
      <c r="K1723">
        <v>0.36</v>
      </c>
      <c r="L1723">
        <v>1</v>
      </c>
      <c r="M1723">
        <v>77.400000000000006</v>
      </c>
      <c r="N1723">
        <v>45.8</v>
      </c>
      <c r="O1723">
        <v>54.2</v>
      </c>
      <c r="P1723">
        <v>51.8</v>
      </c>
      <c r="Q1723">
        <v>48.2</v>
      </c>
    </row>
    <row r="1724" spans="1:17" x14ac:dyDescent="0.25">
      <c r="A1724" s="2">
        <v>45187</v>
      </c>
      <c r="B1724" s="2" t="str">
        <f t="shared" si="52"/>
        <v>Monday</v>
      </c>
      <c r="C1724" s="2" t="b">
        <f t="shared" si="53"/>
        <v>0</v>
      </c>
      <c r="D1724">
        <v>3</v>
      </c>
      <c r="E1724" t="s">
        <v>7</v>
      </c>
      <c r="F1724">
        <v>274</v>
      </c>
      <c r="G1724" s="3">
        <v>4421.55</v>
      </c>
      <c r="H1724" s="3">
        <f>Miami_Retail[[#This Row],[sales_usd]] / Miami_Retail[[#This Row],[customers]]</f>
        <v>16.137043795620439</v>
      </c>
      <c r="I1724">
        <v>90.7</v>
      </c>
      <c r="J1724">
        <f>(Miami_Retail[[#This Row],[avg_temp_f]]-32) * (5/9)</f>
        <v>32.611111111111114</v>
      </c>
      <c r="K1724">
        <v>0.83</v>
      </c>
      <c r="L1724">
        <v>1</v>
      </c>
      <c r="M1724">
        <v>72.5</v>
      </c>
      <c r="N1724">
        <v>45.3</v>
      </c>
      <c r="O1724">
        <v>54.7</v>
      </c>
      <c r="P1724">
        <v>45.3</v>
      </c>
      <c r="Q1724">
        <v>54.7</v>
      </c>
    </row>
    <row r="1725" spans="1:17" x14ac:dyDescent="0.25">
      <c r="A1725" s="2">
        <v>45188</v>
      </c>
      <c r="B1725" s="2" t="str">
        <f t="shared" si="52"/>
        <v>Tuesday</v>
      </c>
      <c r="C1725" s="2" t="b">
        <f t="shared" si="53"/>
        <v>0</v>
      </c>
      <c r="D1725">
        <v>3</v>
      </c>
      <c r="E1725" t="s">
        <v>7</v>
      </c>
      <c r="F1725">
        <v>228</v>
      </c>
      <c r="G1725" s="3">
        <v>3544.11</v>
      </c>
      <c r="H1725" s="3">
        <f>Miami_Retail[[#This Row],[sales_usd]] / Miami_Retail[[#This Row],[customers]]</f>
        <v>15.544342105263159</v>
      </c>
      <c r="I1725">
        <v>86.7</v>
      </c>
      <c r="J1725">
        <f>(Miami_Retail[[#This Row],[avg_temp_f]]-32) * (5/9)</f>
        <v>30.388888888888893</v>
      </c>
      <c r="K1725">
        <v>0.27</v>
      </c>
      <c r="L1725">
        <v>1</v>
      </c>
      <c r="M1725">
        <v>74.099999999999994</v>
      </c>
      <c r="N1725">
        <v>46.8</v>
      </c>
      <c r="O1725">
        <v>53.2</v>
      </c>
      <c r="P1725">
        <v>44.3</v>
      </c>
      <c r="Q1725">
        <v>55.7</v>
      </c>
    </row>
    <row r="1726" spans="1:17" x14ac:dyDescent="0.25">
      <c r="A1726" s="2">
        <v>45189</v>
      </c>
      <c r="B1726" s="2" t="str">
        <f t="shared" si="52"/>
        <v>Wednesday</v>
      </c>
      <c r="C1726" s="2" t="b">
        <f t="shared" si="53"/>
        <v>0</v>
      </c>
      <c r="D1726">
        <v>3</v>
      </c>
      <c r="E1726" t="s">
        <v>7</v>
      </c>
      <c r="F1726">
        <v>258</v>
      </c>
      <c r="G1726" s="3">
        <v>4257.54</v>
      </c>
      <c r="H1726" s="3">
        <f>Miami_Retail[[#This Row],[sales_usd]] / Miami_Retail[[#This Row],[customers]]</f>
        <v>16.502093023255814</v>
      </c>
      <c r="I1726">
        <v>89.9</v>
      </c>
      <c r="J1726">
        <f>(Miami_Retail[[#This Row],[avg_temp_f]]-32) * (5/9)</f>
        <v>32.166666666666671</v>
      </c>
      <c r="K1726">
        <v>1.5</v>
      </c>
      <c r="L1726">
        <v>1</v>
      </c>
      <c r="M1726">
        <v>67.099999999999994</v>
      </c>
      <c r="N1726">
        <v>44.9</v>
      </c>
      <c r="O1726">
        <v>55.1</v>
      </c>
      <c r="P1726">
        <v>44.5</v>
      </c>
      <c r="Q1726">
        <v>55.5</v>
      </c>
    </row>
    <row r="1727" spans="1:17" x14ac:dyDescent="0.25">
      <c r="A1727" s="2">
        <v>45190</v>
      </c>
      <c r="B1727" s="2" t="str">
        <f t="shared" si="52"/>
        <v>Thursday</v>
      </c>
      <c r="C1727" s="2" t="b">
        <f t="shared" si="53"/>
        <v>0</v>
      </c>
      <c r="D1727">
        <v>3</v>
      </c>
      <c r="E1727" t="s">
        <v>7</v>
      </c>
      <c r="F1727">
        <v>265</v>
      </c>
      <c r="G1727" s="3">
        <v>4427.43</v>
      </c>
      <c r="H1727" s="3">
        <f>Miami_Retail[[#This Row],[sales_usd]] / Miami_Retail[[#This Row],[customers]]</f>
        <v>16.707283018867926</v>
      </c>
      <c r="I1727">
        <v>86.3</v>
      </c>
      <c r="J1727">
        <f>(Miami_Retail[[#This Row],[avg_temp_f]]-32) * (5/9)</f>
        <v>30.166666666666668</v>
      </c>
      <c r="K1727">
        <v>0.11</v>
      </c>
      <c r="L1727">
        <v>1</v>
      </c>
      <c r="M1727">
        <v>78.900000000000006</v>
      </c>
      <c r="N1727">
        <v>46.1</v>
      </c>
      <c r="O1727">
        <v>53.9</v>
      </c>
      <c r="P1727">
        <v>44.9</v>
      </c>
      <c r="Q1727">
        <v>55.1</v>
      </c>
    </row>
    <row r="1728" spans="1:17" x14ac:dyDescent="0.25">
      <c r="A1728" s="2">
        <v>45191</v>
      </c>
      <c r="B1728" s="2" t="str">
        <f t="shared" si="52"/>
        <v>Friday</v>
      </c>
      <c r="C1728" s="2" t="b">
        <f t="shared" si="53"/>
        <v>0</v>
      </c>
      <c r="D1728">
        <v>3</v>
      </c>
      <c r="E1728" t="s">
        <v>7</v>
      </c>
      <c r="F1728">
        <v>258</v>
      </c>
      <c r="G1728" s="3">
        <v>4425.8</v>
      </c>
      <c r="H1728" s="3">
        <f>Miami_Retail[[#This Row],[sales_usd]] / Miami_Retail[[#This Row],[customers]]</f>
        <v>17.154263565891473</v>
      </c>
      <c r="I1728">
        <v>91.6</v>
      </c>
      <c r="J1728">
        <f>(Miami_Retail[[#This Row],[avg_temp_f]]-32) * (5/9)</f>
        <v>33.111111111111107</v>
      </c>
      <c r="K1728">
        <v>1.31</v>
      </c>
      <c r="L1728">
        <v>1</v>
      </c>
      <c r="M1728">
        <v>81.2</v>
      </c>
      <c r="N1728">
        <v>44.9</v>
      </c>
      <c r="O1728">
        <v>55.1</v>
      </c>
      <c r="P1728">
        <v>44.5</v>
      </c>
      <c r="Q1728">
        <v>55.5</v>
      </c>
    </row>
    <row r="1729" spans="1:17" x14ac:dyDescent="0.25">
      <c r="A1729" s="2">
        <v>45192</v>
      </c>
      <c r="B1729" s="2" t="str">
        <f t="shared" si="52"/>
        <v>Saturday</v>
      </c>
      <c r="C1729" s="2" t="b">
        <f t="shared" si="53"/>
        <v>1</v>
      </c>
      <c r="D1729">
        <v>3</v>
      </c>
      <c r="E1729" t="s">
        <v>7</v>
      </c>
      <c r="F1729">
        <v>283</v>
      </c>
      <c r="G1729" s="3">
        <v>4807.91</v>
      </c>
      <c r="H1729" s="3">
        <f>Miami_Retail[[#This Row],[sales_usd]] / Miami_Retail[[#This Row],[customers]]</f>
        <v>16.989081272084807</v>
      </c>
      <c r="I1729">
        <v>84.8</v>
      </c>
      <c r="J1729">
        <f>(Miami_Retail[[#This Row],[avg_temp_f]]-32) * (5/9)</f>
        <v>29.333333333333332</v>
      </c>
      <c r="K1729">
        <v>0.5</v>
      </c>
      <c r="L1729">
        <v>1</v>
      </c>
      <c r="M1729">
        <v>71.400000000000006</v>
      </c>
      <c r="N1729">
        <v>46.1</v>
      </c>
      <c r="O1729">
        <v>53.9</v>
      </c>
      <c r="P1729">
        <v>48.4</v>
      </c>
      <c r="Q1729">
        <v>51.6</v>
      </c>
    </row>
    <row r="1730" spans="1:17" x14ac:dyDescent="0.25">
      <c r="A1730" s="2">
        <v>45193</v>
      </c>
      <c r="B1730" s="2" t="str">
        <f t="shared" ref="B1730:B1793" si="54">TEXT(A1730, "dddd")</f>
        <v>Sunday</v>
      </c>
      <c r="C1730" s="2" t="b">
        <f t="shared" ref="C1730:C1793" si="55">IF(WEEKDAY(A1730,2)&gt;5,TRUE,FALSE)</f>
        <v>1</v>
      </c>
      <c r="D1730">
        <v>3</v>
      </c>
      <c r="E1730" t="s">
        <v>7</v>
      </c>
      <c r="F1730">
        <v>286</v>
      </c>
      <c r="G1730" s="3">
        <v>4655.3999999999996</v>
      </c>
      <c r="H1730" s="3">
        <f>Miami_Retail[[#This Row],[sales_usd]] / Miami_Retail[[#This Row],[customers]]</f>
        <v>16.277622377622375</v>
      </c>
      <c r="I1730">
        <v>87</v>
      </c>
      <c r="J1730">
        <f>(Miami_Retail[[#This Row],[avg_temp_f]]-32) * (5/9)</f>
        <v>30.555555555555557</v>
      </c>
      <c r="K1730">
        <v>0</v>
      </c>
      <c r="L1730">
        <v>0</v>
      </c>
      <c r="M1730">
        <v>62.2</v>
      </c>
      <c r="N1730">
        <v>46.9</v>
      </c>
      <c r="O1730">
        <v>53.1</v>
      </c>
      <c r="P1730">
        <v>51.5</v>
      </c>
      <c r="Q1730">
        <v>48.5</v>
      </c>
    </row>
    <row r="1731" spans="1:17" x14ac:dyDescent="0.25">
      <c r="A1731" s="2">
        <v>45194</v>
      </c>
      <c r="B1731" s="2" t="str">
        <f t="shared" si="54"/>
        <v>Monday</v>
      </c>
      <c r="C1731" s="2" t="b">
        <f t="shared" si="55"/>
        <v>0</v>
      </c>
      <c r="D1731">
        <v>3</v>
      </c>
      <c r="E1731" t="s">
        <v>7</v>
      </c>
      <c r="F1731">
        <v>246</v>
      </c>
      <c r="G1731" s="3">
        <v>3889.11</v>
      </c>
      <c r="H1731" s="3">
        <f>Miami_Retail[[#This Row],[sales_usd]] / Miami_Retail[[#This Row],[customers]]</f>
        <v>15.80939024390244</v>
      </c>
      <c r="I1731">
        <v>91</v>
      </c>
      <c r="J1731">
        <f>(Miami_Retail[[#This Row],[avg_temp_f]]-32) * (5/9)</f>
        <v>32.777777777777779</v>
      </c>
      <c r="K1731">
        <v>0.8</v>
      </c>
      <c r="L1731">
        <v>1</v>
      </c>
      <c r="M1731">
        <v>81.599999999999994</v>
      </c>
      <c r="N1731">
        <v>47.3</v>
      </c>
      <c r="O1731">
        <v>52.7</v>
      </c>
      <c r="P1731">
        <v>44.6</v>
      </c>
      <c r="Q1731">
        <v>55.4</v>
      </c>
    </row>
    <row r="1732" spans="1:17" x14ac:dyDescent="0.25">
      <c r="A1732" s="2">
        <v>45195</v>
      </c>
      <c r="B1732" s="2" t="str">
        <f t="shared" si="54"/>
        <v>Tuesday</v>
      </c>
      <c r="C1732" s="2" t="b">
        <f t="shared" si="55"/>
        <v>0</v>
      </c>
      <c r="D1732">
        <v>3</v>
      </c>
      <c r="E1732" t="s">
        <v>7</v>
      </c>
      <c r="F1732">
        <v>249</v>
      </c>
      <c r="G1732" s="3">
        <v>4505.1899999999996</v>
      </c>
      <c r="H1732" s="3">
        <f>Miami_Retail[[#This Row],[sales_usd]] / Miami_Retail[[#This Row],[customers]]</f>
        <v>18.093132530120482</v>
      </c>
      <c r="I1732">
        <v>94.3</v>
      </c>
      <c r="J1732">
        <f>(Miami_Retail[[#This Row],[avg_temp_f]]-32) * (5/9)</f>
        <v>34.611111111111114</v>
      </c>
      <c r="K1732">
        <v>0.34</v>
      </c>
      <c r="L1732">
        <v>1</v>
      </c>
      <c r="M1732">
        <v>65</v>
      </c>
      <c r="N1732">
        <v>44.8</v>
      </c>
      <c r="O1732">
        <v>55.2</v>
      </c>
      <c r="P1732">
        <v>45.4</v>
      </c>
      <c r="Q1732">
        <v>54.6</v>
      </c>
    </row>
    <row r="1733" spans="1:17" x14ac:dyDescent="0.25">
      <c r="A1733" s="2">
        <v>45196</v>
      </c>
      <c r="B1733" s="2" t="str">
        <f t="shared" si="54"/>
        <v>Wednesday</v>
      </c>
      <c r="C1733" s="2" t="b">
        <f t="shared" si="55"/>
        <v>0</v>
      </c>
      <c r="D1733">
        <v>3</v>
      </c>
      <c r="E1733" t="s">
        <v>7</v>
      </c>
      <c r="F1733">
        <v>239</v>
      </c>
      <c r="G1733" s="3">
        <v>3794.97</v>
      </c>
      <c r="H1733" s="3">
        <f>Miami_Retail[[#This Row],[sales_usd]] / Miami_Retail[[#This Row],[customers]]</f>
        <v>15.878535564853555</v>
      </c>
      <c r="I1733">
        <v>86</v>
      </c>
      <c r="J1733">
        <f>(Miami_Retail[[#This Row],[avg_temp_f]]-32) * (5/9)</f>
        <v>30</v>
      </c>
      <c r="K1733">
        <v>0.28999999999999998</v>
      </c>
      <c r="L1733">
        <v>1</v>
      </c>
      <c r="M1733">
        <v>70</v>
      </c>
      <c r="N1733">
        <v>47.1</v>
      </c>
      <c r="O1733">
        <v>52.9</v>
      </c>
      <c r="P1733">
        <v>44.4</v>
      </c>
      <c r="Q1733">
        <v>55.6</v>
      </c>
    </row>
    <row r="1734" spans="1:17" x14ac:dyDescent="0.25">
      <c r="A1734" s="2">
        <v>45197</v>
      </c>
      <c r="B1734" s="2" t="str">
        <f t="shared" si="54"/>
        <v>Thursday</v>
      </c>
      <c r="C1734" s="2" t="b">
        <f t="shared" si="55"/>
        <v>0</v>
      </c>
      <c r="D1734">
        <v>3</v>
      </c>
      <c r="E1734" t="s">
        <v>7</v>
      </c>
      <c r="F1734">
        <v>252</v>
      </c>
      <c r="G1734" s="3">
        <v>4227.92</v>
      </c>
      <c r="H1734" s="3">
        <f>Miami_Retail[[#This Row],[sales_usd]] / Miami_Retail[[#This Row],[customers]]</f>
        <v>16.777460317460317</v>
      </c>
      <c r="I1734">
        <v>86.6</v>
      </c>
      <c r="J1734">
        <f>(Miami_Retail[[#This Row],[avg_temp_f]]-32) * (5/9)</f>
        <v>30.333333333333332</v>
      </c>
      <c r="K1734">
        <v>0.23</v>
      </c>
      <c r="L1734">
        <v>1</v>
      </c>
      <c r="M1734">
        <v>73.599999999999994</v>
      </c>
      <c r="N1734">
        <v>45.2</v>
      </c>
      <c r="O1734">
        <v>54.8</v>
      </c>
      <c r="P1734">
        <v>45.7</v>
      </c>
      <c r="Q1734">
        <v>54.3</v>
      </c>
    </row>
    <row r="1735" spans="1:17" x14ac:dyDescent="0.25">
      <c r="A1735" s="2">
        <v>45198</v>
      </c>
      <c r="B1735" s="2" t="str">
        <f t="shared" si="54"/>
        <v>Friday</v>
      </c>
      <c r="C1735" s="2" t="b">
        <f t="shared" si="55"/>
        <v>0</v>
      </c>
      <c r="D1735">
        <v>3</v>
      </c>
      <c r="E1735" t="s">
        <v>7</v>
      </c>
      <c r="F1735">
        <v>260</v>
      </c>
      <c r="G1735" s="3">
        <v>4387.8</v>
      </c>
      <c r="H1735" s="3">
        <f>Miami_Retail[[#This Row],[sales_usd]] / Miami_Retail[[#This Row],[customers]]</f>
        <v>16.876153846153848</v>
      </c>
      <c r="I1735">
        <v>87.9</v>
      </c>
      <c r="J1735">
        <f>(Miami_Retail[[#This Row],[avg_temp_f]]-32) * (5/9)</f>
        <v>31.055555555555561</v>
      </c>
      <c r="K1735">
        <v>0</v>
      </c>
      <c r="L1735">
        <v>0</v>
      </c>
      <c r="M1735">
        <v>74.7</v>
      </c>
      <c r="N1735">
        <v>45.5</v>
      </c>
      <c r="O1735">
        <v>54.5</v>
      </c>
      <c r="P1735">
        <v>43.8</v>
      </c>
      <c r="Q1735">
        <v>56.2</v>
      </c>
    </row>
    <row r="1736" spans="1:17" x14ac:dyDescent="0.25">
      <c r="A1736" s="2">
        <v>45199</v>
      </c>
      <c r="B1736" s="2" t="str">
        <f t="shared" si="54"/>
        <v>Saturday</v>
      </c>
      <c r="C1736" s="2" t="b">
        <f t="shared" si="55"/>
        <v>1</v>
      </c>
      <c r="D1736">
        <v>3</v>
      </c>
      <c r="E1736" t="s">
        <v>7</v>
      </c>
      <c r="F1736">
        <v>309</v>
      </c>
      <c r="G1736" s="3">
        <v>4856.01</v>
      </c>
      <c r="H1736" s="3">
        <f>Miami_Retail[[#This Row],[sales_usd]] / Miami_Retail[[#This Row],[customers]]</f>
        <v>15.715242718446603</v>
      </c>
      <c r="I1736">
        <v>91.9</v>
      </c>
      <c r="J1736">
        <f>(Miami_Retail[[#This Row],[avg_temp_f]]-32) * (5/9)</f>
        <v>33.277777777777786</v>
      </c>
      <c r="K1736">
        <v>0.64</v>
      </c>
      <c r="L1736">
        <v>1</v>
      </c>
      <c r="M1736">
        <v>69.099999999999994</v>
      </c>
      <c r="N1736">
        <v>45.9</v>
      </c>
      <c r="O1736">
        <v>54.1</v>
      </c>
      <c r="P1736">
        <v>49.9</v>
      </c>
      <c r="Q1736">
        <v>50.1</v>
      </c>
    </row>
    <row r="1737" spans="1:17" x14ac:dyDescent="0.25">
      <c r="A1737" s="2">
        <v>45200</v>
      </c>
      <c r="B1737" s="2" t="str">
        <f t="shared" si="54"/>
        <v>Sunday</v>
      </c>
      <c r="C1737" s="2" t="b">
        <f t="shared" si="55"/>
        <v>1</v>
      </c>
      <c r="D1737">
        <v>3</v>
      </c>
      <c r="E1737" t="s">
        <v>7</v>
      </c>
      <c r="F1737">
        <v>295</v>
      </c>
      <c r="G1737" s="3">
        <v>5136.6499999999996</v>
      </c>
      <c r="H1737" s="3">
        <f>Miami_Retail[[#This Row],[sales_usd]] / Miami_Retail[[#This Row],[customers]]</f>
        <v>17.412372881355932</v>
      </c>
      <c r="I1737">
        <v>89.5</v>
      </c>
      <c r="J1737">
        <f>(Miami_Retail[[#This Row],[avg_temp_f]]-32) * (5/9)</f>
        <v>31.944444444444446</v>
      </c>
      <c r="K1737">
        <v>0</v>
      </c>
      <c r="L1737">
        <v>0</v>
      </c>
      <c r="M1737">
        <v>68.599999999999994</v>
      </c>
      <c r="N1737">
        <v>47</v>
      </c>
      <c r="O1737">
        <v>53</v>
      </c>
      <c r="P1737">
        <v>48.8</v>
      </c>
      <c r="Q1737">
        <v>51.2</v>
      </c>
    </row>
    <row r="1738" spans="1:17" x14ac:dyDescent="0.25">
      <c r="A1738" s="2">
        <v>45201</v>
      </c>
      <c r="B1738" s="2" t="str">
        <f t="shared" si="54"/>
        <v>Monday</v>
      </c>
      <c r="C1738" s="2" t="b">
        <f t="shared" si="55"/>
        <v>0</v>
      </c>
      <c r="D1738">
        <v>3</v>
      </c>
      <c r="E1738" t="s">
        <v>7</v>
      </c>
      <c r="F1738">
        <v>277</v>
      </c>
      <c r="G1738" s="3">
        <v>4600.38</v>
      </c>
      <c r="H1738" s="3">
        <f>Miami_Retail[[#This Row],[sales_usd]] / Miami_Retail[[#This Row],[customers]]</f>
        <v>16.607870036101083</v>
      </c>
      <c r="I1738">
        <v>88.6</v>
      </c>
      <c r="J1738">
        <f>(Miami_Retail[[#This Row],[avg_temp_f]]-32) * (5/9)</f>
        <v>31.444444444444443</v>
      </c>
      <c r="K1738">
        <v>0.23</v>
      </c>
      <c r="L1738">
        <v>1</v>
      </c>
      <c r="M1738">
        <v>80.5</v>
      </c>
      <c r="N1738">
        <v>45</v>
      </c>
      <c r="O1738">
        <v>55</v>
      </c>
      <c r="P1738">
        <v>44.7</v>
      </c>
      <c r="Q1738">
        <v>55.3</v>
      </c>
    </row>
    <row r="1739" spans="1:17" x14ac:dyDescent="0.25">
      <c r="A1739" s="2">
        <v>45202</v>
      </c>
      <c r="B1739" s="2" t="str">
        <f t="shared" si="54"/>
        <v>Tuesday</v>
      </c>
      <c r="C1739" s="2" t="b">
        <f t="shared" si="55"/>
        <v>0</v>
      </c>
      <c r="D1739">
        <v>3</v>
      </c>
      <c r="E1739" t="s">
        <v>7</v>
      </c>
      <c r="F1739">
        <v>248</v>
      </c>
      <c r="G1739" s="3">
        <v>3948.44</v>
      </c>
      <c r="H1739" s="3">
        <f>Miami_Retail[[#This Row],[sales_usd]] / Miami_Retail[[#This Row],[customers]]</f>
        <v>15.921129032258065</v>
      </c>
      <c r="I1739">
        <v>87.2</v>
      </c>
      <c r="J1739">
        <f>(Miami_Retail[[#This Row],[avg_temp_f]]-32) * (5/9)</f>
        <v>30.666666666666668</v>
      </c>
      <c r="K1739">
        <v>0</v>
      </c>
      <c r="L1739">
        <v>0</v>
      </c>
      <c r="M1739">
        <v>70.900000000000006</v>
      </c>
      <c r="N1739">
        <v>45.5</v>
      </c>
      <c r="O1739">
        <v>54.5</v>
      </c>
      <c r="P1739">
        <v>43.8</v>
      </c>
      <c r="Q1739">
        <v>56.2</v>
      </c>
    </row>
    <row r="1740" spans="1:17" x14ac:dyDescent="0.25">
      <c r="A1740" s="2">
        <v>45203</v>
      </c>
      <c r="B1740" s="2" t="str">
        <f t="shared" si="54"/>
        <v>Wednesday</v>
      </c>
      <c r="C1740" s="2" t="b">
        <f t="shared" si="55"/>
        <v>0</v>
      </c>
      <c r="D1740">
        <v>3</v>
      </c>
      <c r="E1740" t="s">
        <v>7</v>
      </c>
      <c r="F1740">
        <v>266</v>
      </c>
      <c r="G1740" s="3">
        <v>4168.6499999999996</v>
      </c>
      <c r="H1740" s="3">
        <f>Miami_Retail[[#This Row],[sales_usd]] / Miami_Retail[[#This Row],[customers]]</f>
        <v>15.671616541353382</v>
      </c>
      <c r="I1740">
        <v>89.7</v>
      </c>
      <c r="J1740">
        <f>(Miami_Retail[[#This Row],[avg_temp_f]]-32) * (5/9)</f>
        <v>32.055555555555557</v>
      </c>
      <c r="K1740">
        <v>0</v>
      </c>
      <c r="L1740">
        <v>0</v>
      </c>
      <c r="M1740">
        <v>79.2</v>
      </c>
      <c r="N1740">
        <v>45.2</v>
      </c>
      <c r="O1740">
        <v>54.8</v>
      </c>
      <c r="P1740">
        <v>43.6</v>
      </c>
      <c r="Q1740">
        <v>56.4</v>
      </c>
    </row>
    <row r="1741" spans="1:17" x14ac:dyDescent="0.25">
      <c r="A1741" s="2">
        <v>45204</v>
      </c>
      <c r="B1741" s="2" t="str">
        <f t="shared" si="54"/>
        <v>Thursday</v>
      </c>
      <c r="C1741" s="2" t="b">
        <f t="shared" si="55"/>
        <v>0</v>
      </c>
      <c r="D1741">
        <v>3</v>
      </c>
      <c r="E1741" t="s">
        <v>7</v>
      </c>
      <c r="F1741">
        <v>188</v>
      </c>
      <c r="G1741" s="3">
        <v>2875.97</v>
      </c>
      <c r="H1741" s="3">
        <f>Miami_Retail[[#This Row],[sales_usd]] / Miami_Retail[[#This Row],[customers]]</f>
        <v>15.297712765957446</v>
      </c>
      <c r="I1741">
        <v>85.4</v>
      </c>
      <c r="J1741">
        <f>(Miami_Retail[[#This Row],[avg_temp_f]]-32) * (5/9)</f>
        <v>29.666666666666671</v>
      </c>
      <c r="K1741">
        <v>0</v>
      </c>
      <c r="L1741">
        <v>0</v>
      </c>
      <c r="M1741">
        <v>75.2</v>
      </c>
      <c r="N1741">
        <v>45.1</v>
      </c>
      <c r="O1741">
        <v>54.9</v>
      </c>
      <c r="P1741">
        <v>44.7</v>
      </c>
      <c r="Q1741">
        <v>55.3</v>
      </c>
    </row>
    <row r="1742" spans="1:17" x14ac:dyDescent="0.25">
      <c r="A1742" s="2">
        <v>45205</v>
      </c>
      <c r="B1742" s="2" t="str">
        <f t="shared" si="54"/>
        <v>Friday</v>
      </c>
      <c r="C1742" s="2" t="b">
        <f t="shared" si="55"/>
        <v>0</v>
      </c>
      <c r="D1742">
        <v>3</v>
      </c>
      <c r="E1742" t="s">
        <v>7</v>
      </c>
      <c r="F1742">
        <v>259</v>
      </c>
      <c r="G1742" s="3">
        <v>3757.83</v>
      </c>
      <c r="H1742" s="3">
        <f>Miami_Retail[[#This Row],[sales_usd]] / Miami_Retail[[#This Row],[customers]]</f>
        <v>14.508996138996139</v>
      </c>
      <c r="I1742">
        <v>89.5</v>
      </c>
      <c r="J1742">
        <f>(Miami_Retail[[#This Row],[avg_temp_f]]-32) * (5/9)</f>
        <v>31.944444444444446</v>
      </c>
      <c r="K1742">
        <v>0</v>
      </c>
      <c r="L1742">
        <v>0</v>
      </c>
      <c r="M1742">
        <v>79.599999999999994</v>
      </c>
      <c r="N1742">
        <v>45.2</v>
      </c>
      <c r="O1742">
        <v>54.8</v>
      </c>
      <c r="P1742">
        <v>45</v>
      </c>
      <c r="Q1742">
        <v>55</v>
      </c>
    </row>
    <row r="1743" spans="1:17" x14ac:dyDescent="0.25">
      <c r="A1743" s="2">
        <v>45206</v>
      </c>
      <c r="B1743" s="2" t="str">
        <f t="shared" si="54"/>
        <v>Saturday</v>
      </c>
      <c r="C1743" s="2" t="b">
        <f t="shared" si="55"/>
        <v>1</v>
      </c>
      <c r="D1743">
        <v>3</v>
      </c>
      <c r="E1743" t="s">
        <v>7</v>
      </c>
      <c r="F1743">
        <v>264</v>
      </c>
      <c r="G1743" s="3">
        <v>4465.08</v>
      </c>
      <c r="H1743" s="3">
        <f>Miami_Retail[[#This Row],[sales_usd]] / Miami_Retail[[#This Row],[customers]]</f>
        <v>16.913181818181819</v>
      </c>
      <c r="I1743">
        <v>87</v>
      </c>
      <c r="J1743">
        <f>(Miami_Retail[[#This Row],[avg_temp_f]]-32) * (5/9)</f>
        <v>30.555555555555557</v>
      </c>
      <c r="K1743">
        <v>1.33</v>
      </c>
      <c r="L1743">
        <v>1</v>
      </c>
      <c r="M1743">
        <v>71.400000000000006</v>
      </c>
      <c r="N1743">
        <v>47.3</v>
      </c>
      <c r="O1743">
        <v>52.7</v>
      </c>
      <c r="P1743">
        <v>51</v>
      </c>
      <c r="Q1743">
        <v>49</v>
      </c>
    </row>
    <row r="1744" spans="1:17" x14ac:dyDescent="0.25">
      <c r="A1744" s="2">
        <v>45207</v>
      </c>
      <c r="B1744" s="2" t="str">
        <f t="shared" si="54"/>
        <v>Sunday</v>
      </c>
      <c r="C1744" s="2" t="b">
        <f t="shared" si="55"/>
        <v>1</v>
      </c>
      <c r="D1744">
        <v>3</v>
      </c>
      <c r="E1744" t="s">
        <v>7</v>
      </c>
      <c r="F1744">
        <v>279</v>
      </c>
      <c r="G1744" s="3">
        <v>5276.35</v>
      </c>
      <c r="H1744" s="3">
        <f>Miami_Retail[[#This Row],[sales_usd]] / Miami_Retail[[#This Row],[customers]]</f>
        <v>18.911648745519713</v>
      </c>
      <c r="I1744">
        <v>86.3</v>
      </c>
      <c r="J1744">
        <f>(Miami_Retail[[#This Row],[avg_temp_f]]-32) * (5/9)</f>
        <v>30.166666666666668</v>
      </c>
      <c r="K1744">
        <v>0.33</v>
      </c>
      <c r="L1744">
        <v>1</v>
      </c>
      <c r="M1744">
        <v>74.3</v>
      </c>
      <c r="N1744">
        <v>47</v>
      </c>
      <c r="O1744">
        <v>53</v>
      </c>
      <c r="P1744">
        <v>50.7</v>
      </c>
      <c r="Q1744">
        <v>49.3</v>
      </c>
    </row>
    <row r="1745" spans="1:17" x14ac:dyDescent="0.25">
      <c r="A1745" s="2">
        <v>45208</v>
      </c>
      <c r="B1745" s="2" t="str">
        <f t="shared" si="54"/>
        <v>Monday</v>
      </c>
      <c r="C1745" s="2" t="b">
        <f t="shared" si="55"/>
        <v>0</v>
      </c>
      <c r="D1745">
        <v>3</v>
      </c>
      <c r="E1745" t="s">
        <v>7</v>
      </c>
      <c r="F1745">
        <v>255</v>
      </c>
      <c r="G1745" s="3">
        <v>4145.96</v>
      </c>
      <c r="H1745" s="3">
        <f>Miami_Retail[[#This Row],[sales_usd]] / Miami_Retail[[#This Row],[customers]]</f>
        <v>16.258666666666667</v>
      </c>
      <c r="I1745">
        <v>91.5</v>
      </c>
      <c r="J1745">
        <f>(Miami_Retail[[#This Row],[avg_temp_f]]-32) * (5/9)</f>
        <v>33.055555555555557</v>
      </c>
      <c r="K1745">
        <v>0</v>
      </c>
      <c r="L1745">
        <v>0</v>
      </c>
      <c r="M1745">
        <v>70.7</v>
      </c>
      <c r="N1745">
        <v>44.8</v>
      </c>
      <c r="O1745">
        <v>55.2</v>
      </c>
      <c r="P1745">
        <v>42.6</v>
      </c>
      <c r="Q1745">
        <v>57.4</v>
      </c>
    </row>
    <row r="1746" spans="1:17" x14ac:dyDescent="0.25">
      <c r="A1746" s="2">
        <v>45209</v>
      </c>
      <c r="B1746" s="2" t="str">
        <f t="shared" si="54"/>
        <v>Tuesday</v>
      </c>
      <c r="C1746" s="2" t="b">
        <f t="shared" si="55"/>
        <v>0</v>
      </c>
      <c r="D1746">
        <v>3</v>
      </c>
      <c r="E1746" t="s">
        <v>7</v>
      </c>
      <c r="F1746">
        <v>267</v>
      </c>
      <c r="G1746" s="3">
        <v>4541.8100000000004</v>
      </c>
      <c r="H1746" s="3">
        <f>Miami_Retail[[#This Row],[sales_usd]] / Miami_Retail[[#This Row],[customers]]</f>
        <v>17.010524344569291</v>
      </c>
      <c r="I1746">
        <v>89.8</v>
      </c>
      <c r="J1746">
        <f>(Miami_Retail[[#This Row],[avg_temp_f]]-32) * (5/9)</f>
        <v>32.111111111111114</v>
      </c>
      <c r="K1746">
        <v>0</v>
      </c>
      <c r="L1746">
        <v>0</v>
      </c>
      <c r="M1746">
        <v>75.2</v>
      </c>
      <c r="N1746">
        <v>45.6</v>
      </c>
      <c r="O1746">
        <v>54.4</v>
      </c>
      <c r="P1746">
        <v>44.5</v>
      </c>
      <c r="Q1746">
        <v>55.5</v>
      </c>
    </row>
    <row r="1747" spans="1:17" x14ac:dyDescent="0.25">
      <c r="A1747" s="2">
        <v>45210</v>
      </c>
      <c r="B1747" s="2" t="str">
        <f t="shared" si="54"/>
        <v>Wednesday</v>
      </c>
      <c r="C1747" s="2" t="b">
        <f t="shared" si="55"/>
        <v>0</v>
      </c>
      <c r="D1747">
        <v>3</v>
      </c>
      <c r="E1747" t="s">
        <v>7</v>
      </c>
      <c r="F1747">
        <v>243</v>
      </c>
      <c r="G1747" s="3">
        <v>4135.5600000000004</v>
      </c>
      <c r="H1747" s="3">
        <f>Miami_Retail[[#This Row],[sales_usd]] / Miami_Retail[[#This Row],[customers]]</f>
        <v>17.018765432098768</v>
      </c>
      <c r="I1747">
        <v>87.4</v>
      </c>
      <c r="J1747">
        <f>(Miami_Retail[[#This Row],[avg_temp_f]]-32) * (5/9)</f>
        <v>30.777777777777782</v>
      </c>
      <c r="K1747">
        <v>0</v>
      </c>
      <c r="L1747">
        <v>0</v>
      </c>
      <c r="M1747">
        <v>78.599999999999994</v>
      </c>
      <c r="N1747">
        <v>45.9</v>
      </c>
      <c r="O1747">
        <v>54.1</v>
      </c>
      <c r="P1747">
        <v>44.1</v>
      </c>
      <c r="Q1747">
        <v>55.9</v>
      </c>
    </row>
    <row r="1748" spans="1:17" x14ac:dyDescent="0.25">
      <c r="A1748" s="2">
        <v>45211</v>
      </c>
      <c r="B1748" s="2" t="str">
        <f t="shared" si="54"/>
        <v>Thursday</v>
      </c>
      <c r="C1748" s="2" t="b">
        <f t="shared" si="55"/>
        <v>0</v>
      </c>
      <c r="D1748">
        <v>3</v>
      </c>
      <c r="E1748" t="s">
        <v>7</v>
      </c>
      <c r="F1748">
        <v>261</v>
      </c>
      <c r="G1748" s="3">
        <v>4498.7</v>
      </c>
      <c r="H1748" s="3">
        <f>Miami_Retail[[#This Row],[sales_usd]] / Miami_Retail[[#This Row],[customers]]</f>
        <v>17.236398467432949</v>
      </c>
      <c r="I1748">
        <v>88.1</v>
      </c>
      <c r="J1748">
        <f>(Miami_Retail[[#This Row],[avg_temp_f]]-32) * (5/9)</f>
        <v>31.166666666666664</v>
      </c>
      <c r="K1748">
        <v>0</v>
      </c>
      <c r="L1748">
        <v>0</v>
      </c>
      <c r="M1748">
        <v>68.5</v>
      </c>
      <c r="N1748">
        <v>46.2</v>
      </c>
      <c r="O1748">
        <v>53.8</v>
      </c>
      <c r="P1748">
        <v>43.9</v>
      </c>
      <c r="Q1748">
        <v>56.1</v>
      </c>
    </row>
    <row r="1749" spans="1:17" x14ac:dyDescent="0.25">
      <c r="A1749" s="2">
        <v>45212</v>
      </c>
      <c r="B1749" s="2" t="str">
        <f t="shared" si="54"/>
        <v>Friday</v>
      </c>
      <c r="C1749" s="2" t="b">
        <f t="shared" si="55"/>
        <v>0</v>
      </c>
      <c r="D1749">
        <v>3</v>
      </c>
      <c r="E1749" t="s">
        <v>7</v>
      </c>
      <c r="F1749">
        <v>247</v>
      </c>
      <c r="G1749" s="3">
        <v>3729.23</v>
      </c>
      <c r="H1749" s="3">
        <f>Miami_Retail[[#This Row],[sales_usd]] / Miami_Retail[[#This Row],[customers]]</f>
        <v>15.098097165991902</v>
      </c>
      <c r="I1749">
        <v>90.8</v>
      </c>
      <c r="J1749">
        <f>(Miami_Retail[[#This Row],[avg_temp_f]]-32) * (5/9)</f>
        <v>32.666666666666664</v>
      </c>
      <c r="K1749">
        <v>0.78</v>
      </c>
      <c r="L1749">
        <v>1</v>
      </c>
      <c r="M1749">
        <v>72.599999999999994</v>
      </c>
      <c r="N1749">
        <v>47.4</v>
      </c>
      <c r="O1749">
        <v>52.6</v>
      </c>
      <c r="P1749">
        <v>43.6</v>
      </c>
      <c r="Q1749">
        <v>56.4</v>
      </c>
    </row>
    <row r="1750" spans="1:17" x14ac:dyDescent="0.25">
      <c r="A1750" s="2">
        <v>45213</v>
      </c>
      <c r="B1750" s="2" t="str">
        <f t="shared" si="54"/>
        <v>Saturday</v>
      </c>
      <c r="C1750" s="2" t="b">
        <f t="shared" si="55"/>
        <v>1</v>
      </c>
      <c r="D1750">
        <v>3</v>
      </c>
      <c r="E1750" t="s">
        <v>7</v>
      </c>
      <c r="F1750">
        <v>305</v>
      </c>
      <c r="G1750" s="3">
        <v>5109.3599999999997</v>
      </c>
      <c r="H1750" s="3">
        <f>Miami_Retail[[#This Row],[sales_usd]] / Miami_Retail[[#This Row],[customers]]</f>
        <v>16.751999999999999</v>
      </c>
      <c r="I1750">
        <v>90.5</v>
      </c>
      <c r="J1750">
        <f>(Miami_Retail[[#This Row],[avg_temp_f]]-32) * (5/9)</f>
        <v>32.5</v>
      </c>
      <c r="K1750">
        <v>0</v>
      </c>
      <c r="L1750">
        <v>0</v>
      </c>
      <c r="M1750">
        <v>71.2</v>
      </c>
      <c r="N1750">
        <v>41.9</v>
      </c>
      <c r="O1750">
        <v>58.1</v>
      </c>
      <c r="P1750">
        <v>48.9</v>
      </c>
      <c r="Q1750">
        <v>51.1</v>
      </c>
    </row>
    <row r="1751" spans="1:17" x14ac:dyDescent="0.25">
      <c r="A1751" s="2">
        <v>45214</v>
      </c>
      <c r="B1751" s="2" t="str">
        <f t="shared" si="54"/>
        <v>Sunday</v>
      </c>
      <c r="C1751" s="2" t="b">
        <f t="shared" si="55"/>
        <v>1</v>
      </c>
      <c r="D1751">
        <v>3</v>
      </c>
      <c r="E1751" t="s">
        <v>7</v>
      </c>
      <c r="F1751">
        <v>286</v>
      </c>
      <c r="G1751" s="3">
        <v>4305.47</v>
      </c>
      <c r="H1751" s="3">
        <f>Miami_Retail[[#This Row],[sales_usd]] / Miami_Retail[[#This Row],[customers]]</f>
        <v>15.05409090909091</v>
      </c>
      <c r="I1751">
        <v>91.6</v>
      </c>
      <c r="J1751">
        <f>(Miami_Retail[[#This Row],[avg_temp_f]]-32) * (5/9)</f>
        <v>33.111111111111107</v>
      </c>
      <c r="K1751">
        <v>0.99</v>
      </c>
      <c r="L1751">
        <v>1</v>
      </c>
      <c r="M1751">
        <v>71.3</v>
      </c>
      <c r="N1751">
        <v>47.4</v>
      </c>
      <c r="O1751">
        <v>52.6</v>
      </c>
      <c r="P1751">
        <v>52.5</v>
      </c>
      <c r="Q1751">
        <v>47.5</v>
      </c>
    </row>
    <row r="1752" spans="1:17" x14ac:dyDescent="0.25">
      <c r="A1752" s="2">
        <v>45215</v>
      </c>
      <c r="B1752" s="2" t="str">
        <f t="shared" si="54"/>
        <v>Monday</v>
      </c>
      <c r="C1752" s="2" t="b">
        <f t="shared" si="55"/>
        <v>0</v>
      </c>
      <c r="D1752">
        <v>3</v>
      </c>
      <c r="E1752" t="s">
        <v>7</v>
      </c>
      <c r="F1752">
        <v>262</v>
      </c>
      <c r="G1752" s="3">
        <v>4735.12</v>
      </c>
      <c r="H1752" s="3">
        <f>Miami_Retail[[#This Row],[sales_usd]] / Miami_Retail[[#This Row],[customers]]</f>
        <v>18.072977099236642</v>
      </c>
      <c r="I1752">
        <v>88.2</v>
      </c>
      <c r="J1752">
        <f>(Miami_Retail[[#This Row],[avg_temp_f]]-32) * (5/9)</f>
        <v>31.222222222222225</v>
      </c>
      <c r="K1752">
        <v>0</v>
      </c>
      <c r="L1752">
        <v>0</v>
      </c>
      <c r="M1752">
        <v>71.3</v>
      </c>
      <c r="N1752">
        <v>47</v>
      </c>
      <c r="O1752">
        <v>53</v>
      </c>
      <c r="P1752">
        <v>44.8</v>
      </c>
      <c r="Q1752">
        <v>55.2</v>
      </c>
    </row>
    <row r="1753" spans="1:17" x14ac:dyDescent="0.25">
      <c r="A1753" s="2">
        <v>45216</v>
      </c>
      <c r="B1753" s="2" t="str">
        <f t="shared" si="54"/>
        <v>Tuesday</v>
      </c>
      <c r="C1753" s="2" t="b">
        <f t="shared" si="55"/>
        <v>0</v>
      </c>
      <c r="D1753">
        <v>3</v>
      </c>
      <c r="E1753" t="s">
        <v>7</v>
      </c>
      <c r="F1753">
        <v>271</v>
      </c>
      <c r="G1753" s="3">
        <v>4317.8999999999996</v>
      </c>
      <c r="H1753" s="3">
        <f>Miami_Retail[[#This Row],[sales_usd]] / Miami_Retail[[#This Row],[customers]]</f>
        <v>15.93321033210332</v>
      </c>
      <c r="I1753">
        <v>89.1</v>
      </c>
      <c r="J1753">
        <f>(Miami_Retail[[#This Row],[avg_temp_f]]-32) * (5/9)</f>
        <v>31.722222222222221</v>
      </c>
      <c r="K1753">
        <v>0</v>
      </c>
      <c r="L1753">
        <v>0</v>
      </c>
      <c r="M1753">
        <v>71.3</v>
      </c>
      <c r="N1753">
        <v>46.7</v>
      </c>
      <c r="O1753">
        <v>53.3</v>
      </c>
      <c r="P1753">
        <v>43</v>
      </c>
      <c r="Q1753">
        <v>57</v>
      </c>
    </row>
    <row r="1754" spans="1:17" x14ac:dyDescent="0.25">
      <c r="A1754" s="2">
        <v>45217</v>
      </c>
      <c r="B1754" s="2" t="str">
        <f t="shared" si="54"/>
        <v>Wednesday</v>
      </c>
      <c r="C1754" s="2" t="b">
        <f t="shared" si="55"/>
        <v>0</v>
      </c>
      <c r="D1754">
        <v>3</v>
      </c>
      <c r="E1754" t="s">
        <v>7</v>
      </c>
      <c r="F1754">
        <v>244</v>
      </c>
      <c r="G1754" s="3">
        <v>3997.06</v>
      </c>
      <c r="H1754" s="3">
        <f>Miami_Retail[[#This Row],[sales_usd]] / Miami_Retail[[#This Row],[customers]]</f>
        <v>16.381393442622951</v>
      </c>
      <c r="I1754">
        <v>91.5</v>
      </c>
      <c r="J1754">
        <f>(Miami_Retail[[#This Row],[avg_temp_f]]-32) * (5/9)</f>
        <v>33.055555555555557</v>
      </c>
      <c r="K1754">
        <v>0.61</v>
      </c>
      <c r="L1754">
        <v>1</v>
      </c>
      <c r="M1754">
        <v>74.8</v>
      </c>
      <c r="N1754">
        <v>46.4</v>
      </c>
      <c r="O1754">
        <v>53.6</v>
      </c>
      <c r="P1754">
        <v>45.5</v>
      </c>
      <c r="Q1754">
        <v>54.5</v>
      </c>
    </row>
    <row r="1755" spans="1:17" x14ac:dyDescent="0.25">
      <c r="A1755" s="2">
        <v>45218</v>
      </c>
      <c r="B1755" s="2" t="str">
        <f t="shared" si="54"/>
        <v>Thursday</v>
      </c>
      <c r="C1755" s="2" t="b">
        <f t="shared" si="55"/>
        <v>0</v>
      </c>
      <c r="D1755">
        <v>3</v>
      </c>
      <c r="E1755" t="s">
        <v>7</v>
      </c>
      <c r="F1755">
        <v>238</v>
      </c>
      <c r="G1755" s="3">
        <v>4235.45</v>
      </c>
      <c r="H1755" s="3">
        <f>Miami_Retail[[#This Row],[sales_usd]] / Miami_Retail[[#This Row],[customers]]</f>
        <v>17.796008403361345</v>
      </c>
      <c r="I1755">
        <v>85.9</v>
      </c>
      <c r="J1755">
        <f>(Miami_Retail[[#This Row],[avg_temp_f]]-32) * (5/9)</f>
        <v>29.94444444444445</v>
      </c>
      <c r="K1755">
        <v>0</v>
      </c>
      <c r="L1755">
        <v>0</v>
      </c>
      <c r="M1755">
        <v>60.1</v>
      </c>
      <c r="N1755">
        <v>46.1</v>
      </c>
      <c r="O1755">
        <v>53.9</v>
      </c>
      <c r="P1755">
        <v>45.7</v>
      </c>
      <c r="Q1755">
        <v>54.3</v>
      </c>
    </row>
    <row r="1756" spans="1:17" x14ac:dyDescent="0.25">
      <c r="A1756" s="2">
        <v>45219</v>
      </c>
      <c r="B1756" s="2" t="str">
        <f t="shared" si="54"/>
        <v>Friday</v>
      </c>
      <c r="C1756" s="2" t="b">
        <f t="shared" si="55"/>
        <v>0</v>
      </c>
      <c r="D1756">
        <v>3</v>
      </c>
      <c r="E1756" t="s">
        <v>7</v>
      </c>
      <c r="F1756">
        <v>227</v>
      </c>
      <c r="G1756" s="3">
        <v>3796.06</v>
      </c>
      <c r="H1756" s="3">
        <f>Miami_Retail[[#This Row],[sales_usd]] / Miami_Retail[[#This Row],[customers]]</f>
        <v>16.72273127753304</v>
      </c>
      <c r="I1756">
        <v>89.3</v>
      </c>
      <c r="J1756">
        <f>(Miami_Retail[[#This Row],[avg_temp_f]]-32) * (5/9)</f>
        <v>31.833333333333332</v>
      </c>
      <c r="K1756">
        <v>0</v>
      </c>
      <c r="L1756">
        <v>0</v>
      </c>
      <c r="M1756">
        <v>74.8</v>
      </c>
      <c r="N1756">
        <v>47.3</v>
      </c>
      <c r="O1756">
        <v>52.7</v>
      </c>
      <c r="P1756">
        <v>43.7</v>
      </c>
      <c r="Q1756">
        <v>56.3</v>
      </c>
    </row>
    <row r="1757" spans="1:17" x14ac:dyDescent="0.25">
      <c r="A1757" s="2">
        <v>45220</v>
      </c>
      <c r="B1757" s="2" t="str">
        <f t="shared" si="54"/>
        <v>Saturday</v>
      </c>
      <c r="C1757" s="2" t="b">
        <f t="shared" si="55"/>
        <v>1</v>
      </c>
      <c r="D1757">
        <v>3</v>
      </c>
      <c r="E1757" t="s">
        <v>7</v>
      </c>
      <c r="F1757">
        <v>280</v>
      </c>
      <c r="G1757" s="3">
        <v>4266.13</v>
      </c>
      <c r="H1757" s="3">
        <f>Miami_Retail[[#This Row],[sales_usd]] / Miami_Retail[[#This Row],[customers]]</f>
        <v>15.236178571428573</v>
      </c>
      <c r="I1757">
        <v>86</v>
      </c>
      <c r="J1757">
        <f>(Miami_Retail[[#This Row],[avg_temp_f]]-32) * (5/9)</f>
        <v>30</v>
      </c>
      <c r="K1757">
        <v>0</v>
      </c>
      <c r="L1757">
        <v>0</v>
      </c>
      <c r="M1757">
        <v>73.599999999999994</v>
      </c>
      <c r="N1757">
        <v>46</v>
      </c>
      <c r="O1757">
        <v>54</v>
      </c>
      <c r="P1757">
        <v>50.6</v>
      </c>
      <c r="Q1757">
        <v>49.4</v>
      </c>
    </row>
    <row r="1758" spans="1:17" x14ac:dyDescent="0.25">
      <c r="A1758" s="2">
        <v>45221</v>
      </c>
      <c r="B1758" s="2" t="str">
        <f t="shared" si="54"/>
        <v>Sunday</v>
      </c>
      <c r="C1758" s="2" t="b">
        <f t="shared" si="55"/>
        <v>1</v>
      </c>
      <c r="D1758">
        <v>3</v>
      </c>
      <c r="E1758" t="s">
        <v>7</v>
      </c>
      <c r="F1758">
        <v>274</v>
      </c>
      <c r="G1758" s="3">
        <v>4530.63</v>
      </c>
      <c r="H1758" s="3">
        <f>Miami_Retail[[#This Row],[sales_usd]] / Miami_Retail[[#This Row],[customers]]</f>
        <v>16.53514598540146</v>
      </c>
      <c r="I1758">
        <v>88.1</v>
      </c>
      <c r="J1758">
        <f>(Miami_Retail[[#This Row],[avg_temp_f]]-32) * (5/9)</f>
        <v>31.166666666666664</v>
      </c>
      <c r="K1758">
        <v>0</v>
      </c>
      <c r="L1758">
        <v>0</v>
      </c>
      <c r="M1758">
        <v>72.3</v>
      </c>
      <c r="N1758">
        <v>47.1</v>
      </c>
      <c r="O1758">
        <v>52.9</v>
      </c>
      <c r="P1758">
        <v>48.5</v>
      </c>
      <c r="Q1758">
        <v>51.5</v>
      </c>
    </row>
    <row r="1759" spans="1:17" x14ac:dyDescent="0.25">
      <c r="A1759" s="2">
        <v>45222</v>
      </c>
      <c r="B1759" s="2" t="str">
        <f t="shared" si="54"/>
        <v>Monday</v>
      </c>
      <c r="C1759" s="2" t="b">
        <f t="shared" si="55"/>
        <v>0</v>
      </c>
      <c r="D1759">
        <v>3</v>
      </c>
      <c r="E1759" t="s">
        <v>7</v>
      </c>
      <c r="F1759">
        <v>239</v>
      </c>
      <c r="G1759" s="3">
        <v>4063.62</v>
      </c>
      <c r="H1759" s="3">
        <f>Miami_Retail[[#This Row],[sales_usd]] / Miami_Retail[[#This Row],[customers]]</f>
        <v>17.002594142259415</v>
      </c>
      <c r="I1759">
        <v>88.7</v>
      </c>
      <c r="J1759">
        <f>(Miami_Retail[[#This Row],[avg_temp_f]]-32) * (5/9)</f>
        <v>31.500000000000004</v>
      </c>
      <c r="K1759">
        <v>0</v>
      </c>
      <c r="L1759">
        <v>0</v>
      </c>
      <c r="M1759">
        <v>61.6</v>
      </c>
      <c r="N1759">
        <v>44.1</v>
      </c>
      <c r="O1759">
        <v>55.9</v>
      </c>
      <c r="P1759">
        <v>44.5</v>
      </c>
      <c r="Q1759">
        <v>55.5</v>
      </c>
    </row>
    <row r="1760" spans="1:17" x14ac:dyDescent="0.25">
      <c r="A1760" s="2">
        <v>45223</v>
      </c>
      <c r="B1760" s="2" t="str">
        <f t="shared" si="54"/>
        <v>Tuesday</v>
      </c>
      <c r="C1760" s="2" t="b">
        <f t="shared" si="55"/>
        <v>0</v>
      </c>
      <c r="D1760">
        <v>3</v>
      </c>
      <c r="E1760" t="s">
        <v>7</v>
      </c>
      <c r="F1760">
        <v>265</v>
      </c>
      <c r="G1760" s="3">
        <v>4531.3599999999997</v>
      </c>
      <c r="H1760" s="3">
        <f>Miami_Retail[[#This Row],[sales_usd]] / Miami_Retail[[#This Row],[customers]]</f>
        <v>17.099471698113206</v>
      </c>
      <c r="I1760">
        <v>84.1</v>
      </c>
      <c r="J1760">
        <f>(Miami_Retail[[#This Row],[avg_temp_f]]-32) * (5/9)</f>
        <v>28.944444444444443</v>
      </c>
      <c r="K1760">
        <v>0</v>
      </c>
      <c r="L1760">
        <v>0</v>
      </c>
      <c r="M1760">
        <v>72.099999999999994</v>
      </c>
      <c r="N1760">
        <v>47.5</v>
      </c>
      <c r="O1760">
        <v>52.5</v>
      </c>
      <c r="P1760">
        <v>45.2</v>
      </c>
      <c r="Q1760">
        <v>54.8</v>
      </c>
    </row>
    <row r="1761" spans="1:17" x14ac:dyDescent="0.25">
      <c r="A1761" s="2">
        <v>45224</v>
      </c>
      <c r="B1761" s="2" t="str">
        <f t="shared" si="54"/>
        <v>Wednesday</v>
      </c>
      <c r="C1761" s="2" t="b">
        <f t="shared" si="55"/>
        <v>0</v>
      </c>
      <c r="D1761">
        <v>3</v>
      </c>
      <c r="E1761" t="s">
        <v>7</v>
      </c>
      <c r="F1761">
        <v>225</v>
      </c>
      <c r="G1761" s="3">
        <v>4000.8</v>
      </c>
      <c r="H1761" s="3">
        <f>Miami_Retail[[#This Row],[sales_usd]] / Miami_Retail[[#This Row],[customers]]</f>
        <v>17.781333333333333</v>
      </c>
      <c r="I1761">
        <v>84.2</v>
      </c>
      <c r="J1761">
        <f>(Miami_Retail[[#This Row],[avg_temp_f]]-32) * (5/9)</f>
        <v>29.000000000000004</v>
      </c>
      <c r="K1761">
        <v>0</v>
      </c>
      <c r="L1761">
        <v>0</v>
      </c>
      <c r="M1761">
        <v>68.3</v>
      </c>
      <c r="N1761">
        <v>45.2</v>
      </c>
      <c r="O1761">
        <v>54.8</v>
      </c>
      <c r="P1761">
        <v>43.9</v>
      </c>
      <c r="Q1761">
        <v>56.1</v>
      </c>
    </row>
    <row r="1762" spans="1:17" x14ac:dyDescent="0.25">
      <c r="A1762" s="2">
        <v>45225</v>
      </c>
      <c r="B1762" s="2" t="str">
        <f t="shared" si="54"/>
        <v>Thursday</v>
      </c>
      <c r="C1762" s="2" t="b">
        <f t="shared" si="55"/>
        <v>0</v>
      </c>
      <c r="D1762">
        <v>3</v>
      </c>
      <c r="E1762" t="s">
        <v>7</v>
      </c>
      <c r="F1762">
        <v>219</v>
      </c>
      <c r="G1762" s="3">
        <v>3747.62</v>
      </c>
      <c r="H1762" s="3">
        <f>Miami_Retail[[#This Row],[sales_usd]] / Miami_Retail[[#This Row],[customers]]</f>
        <v>17.1124200913242</v>
      </c>
      <c r="I1762">
        <v>81.8</v>
      </c>
      <c r="J1762">
        <f>(Miami_Retail[[#This Row],[avg_temp_f]]-32) * (5/9)</f>
        <v>27.666666666666668</v>
      </c>
      <c r="K1762">
        <v>0</v>
      </c>
      <c r="L1762">
        <v>0</v>
      </c>
      <c r="M1762">
        <v>75.8</v>
      </c>
      <c r="N1762">
        <v>47.2</v>
      </c>
      <c r="O1762">
        <v>52.8</v>
      </c>
      <c r="P1762">
        <v>45.3</v>
      </c>
      <c r="Q1762">
        <v>54.7</v>
      </c>
    </row>
    <row r="1763" spans="1:17" x14ac:dyDescent="0.25">
      <c r="A1763" s="2">
        <v>45226</v>
      </c>
      <c r="B1763" s="2" t="str">
        <f t="shared" si="54"/>
        <v>Friday</v>
      </c>
      <c r="C1763" s="2" t="b">
        <f t="shared" si="55"/>
        <v>0</v>
      </c>
      <c r="D1763">
        <v>3</v>
      </c>
      <c r="E1763" t="s">
        <v>7</v>
      </c>
      <c r="F1763">
        <v>250</v>
      </c>
      <c r="G1763" s="3">
        <v>3562.58</v>
      </c>
      <c r="H1763" s="3">
        <f>Miami_Retail[[#This Row],[sales_usd]] / Miami_Retail[[#This Row],[customers]]</f>
        <v>14.25032</v>
      </c>
      <c r="I1763">
        <v>85.6</v>
      </c>
      <c r="J1763">
        <f>(Miami_Retail[[#This Row],[avg_temp_f]]-32) * (5/9)</f>
        <v>29.777777777777775</v>
      </c>
      <c r="K1763">
        <v>0</v>
      </c>
      <c r="L1763">
        <v>0</v>
      </c>
      <c r="M1763">
        <v>66.8</v>
      </c>
      <c r="N1763">
        <v>47.2</v>
      </c>
      <c r="O1763">
        <v>52.8</v>
      </c>
      <c r="P1763">
        <v>43.7</v>
      </c>
      <c r="Q1763">
        <v>56.3</v>
      </c>
    </row>
    <row r="1764" spans="1:17" x14ac:dyDescent="0.25">
      <c r="A1764" s="2">
        <v>45227</v>
      </c>
      <c r="B1764" s="2" t="str">
        <f t="shared" si="54"/>
        <v>Saturday</v>
      </c>
      <c r="C1764" s="2" t="b">
        <f t="shared" si="55"/>
        <v>1</v>
      </c>
      <c r="D1764">
        <v>3</v>
      </c>
      <c r="E1764" t="s">
        <v>7</v>
      </c>
      <c r="F1764">
        <v>276</v>
      </c>
      <c r="G1764" s="3">
        <v>4717.83</v>
      </c>
      <c r="H1764" s="3">
        <f>Miami_Retail[[#This Row],[sales_usd]] / Miami_Retail[[#This Row],[customers]]</f>
        <v>17.09358695652174</v>
      </c>
      <c r="I1764">
        <v>86.6</v>
      </c>
      <c r="J1764">
        <f>(Miami_Retail[[#This Row],[avg_temp_f]]-32) * (5/9)</f>
        <v>30.333333333333332</v>
      </c>
      <c r="K1764">
        <v>0</v>
      </c>
      <c r="L1764">
        <v>0</v>
      </c>
      <c r="M1764">
        <v>73.7</v>
      </c>
      <c r="N1764">
        <v>46.6</v>
      </c>
      <c r="O1764">
        <v>53.4</v>
      </c>
      <c r="P1764">
        <v>48.6</v>
      </c>
      <c r="Q1764">
        <v>51.4</v>
      </c>
    </row>
    <row r="1765" spans="1:17" x14ac:dyDescent="0.25">
      <c r="A1765" s="2">
        <v>45228</v>
      </c>
      <c r="B1765" s="2" t="str">
        <f t="shared" si="54"/>
        <v>Sunday</v>
      </c>
      <c r="C1765" s="2" t="b">
        <f t="shared" si="55"/>
        <v>1</v>
      </c>
      <c r="D1765">
        <v>3</v>
      </c>
      <c r="E1765" t="s">
        <v>7</v>
      </c>
      <c r="F1765">
        <v>273</v>
      </c>
      <c r="G1765" s="3">
        <v>4450.2</v>
      </c>
      <c r="H1765" s="3">
        <f>Miami_Retail[[#This Row],[sales_usd]] / Miami_Retail[[#This Row],[customers]]</f>
        <v>16.3010989010989</v>
      </c>
      <c r="I1765">
        <v>83.4</v>
      </c>
      <c r="J1765">
        <f>(Miami_Retail[[#This Row],[avg_temp_f]]-32) * (5/9)</f>
        <v>28.555555555555561</v>
      </c>
      <c r="K1765">
        <v>0.4</v>
      </c>
      <c r="L1765">
        <v>1</v>
      </c>
      <c r="M1765">
        <v>73.8</v>
      </c>
      <c r="N1765">
        <v>45.7</v>
      </c>
      <c r="O1765">
        <v>54.3</v>
      </c>
      <c r="P1765">
        <v>49.1</v>
      </c>
      <c r="Q1765">
        <v>50.9</v>
      </c>
    </row>
    <row r="1766" spans="1:17" x14ac:dyDescent="0.25">
      <c r="A1766" s="2">
        <v>45229</v>
      </c>
      <c r="B1766" s="2" t="str">
        <f t="shared" si="54"/>
        <v>Monday</v>
      </c>
      <c r="C1766" s="2" t="b">
        <f t="shared" si="55"/>
        <v>0</v>
      </c>
      <c r="D1766">
        <v>3</v>
      </c>
      <c r="E1766" t="s">
        <v>7</v>
      </c>
      <c r="F1766">
        <v>262</v>
      </c>
      <c r="G1766" s="3">
        <v>4279.99</v>
      </c>
      <c r="H1766" s="3">
        <f>Miami_Retail[[#This Row],[sales_usd]] / Miami_Retail[[#This Row],[customers]]</f>
        <v>16.335839694656489</v>
      </c>
      <c r="I1766">
        <v>85.5</v>
      </c>
      <c r="J1766">
        <f>(Miami_Retail[[#This Row],[avg_temp_f]]-32) * (5/9)</f>
        <v>29.722222222222225</v>
      </c>
      <c r="K1766">
        <v>0</v>
      </c>
      <c r="L1766">
        <v>0</v>
      </c>
      <c r="M1766">
        <v>66.7</v>
      </c>
      <c r="N1766">
        <v>45.6</v>
      </c>
      <c r="O1766">
        <v>54.4</v>
      </c>
      <c r="P1766">
        <v>44</v>
      </c>
      <c r="Q1766">
        <v>56</v>
      </c>
    </row>
    <row r="1767" spans="1:17" x14ac:dyDescent="0.25">
      <c r="A1767" s="2">
        <v>45230</v>
      </c>
      <c r="B1767" s="2" t="str">
        <f t="shared" si="54"/>
        <v>Tuesday</v>
      </c>
      <c r="C1767" s="2" t="b">
        <f t="shared" si="55"/>
        <v>0</v>
      </c>
      <c r="D1767">
        <v>3</v>
      </c>
      <c r="E1767" t="s">
        <v>7</v>
      </c>
      <c r="F1767">
        <v>226</v>
      </c>
      <c r="G1767" s="3">
        <v>3804.06</v>
      </c>
      <c r="H1767" s="3">
        <f>Miami_Retail[[#This Row],[sales_usd]] / Miami_Retail[[#This Row],[customers]]</f>
        <v>16.83212389380531</v>
      </c>
      <c r="I1767">
        <v>86.3</v>
      </c>
      <c r="J1767">
        <f>(Miami_Retail[[#This Row],[avg_temp_f]]-32) * (5/9)</f>
        <v>30.166666666666668</v>
      </c>
      <c r="K1767">
        <v>0</v>
      </c>
      <c r="L1767">
        <v>0</v>
      </c>
      <c r="M1767">
        <v>64.900000000000006</v>
      </c>
      <c r="N1767">
        <v>47.1</v>
      </c>
      <c r="O1767">
        <v>52.9</v>
      </c>
      <c r="P1767">
        <v>44</v>
      </c>
      <c r="Q1767">
        <v>56</v>
      </c>
    </row>
    <row r="1768" spans="1:17" x14ac:dyDescent="0.25">
      <c r="A1768" s="2">
        <v>45231</v>
      </c>
      <c r="B1768" s="2" t="str">
        <f t="shared" si="54"/>
        <v>Wednesday</v>
      </c>
      <c r="C1768" s="2" t="b">
        <f t="shared" si="55"/>
        <v>0</v>
      </c>
      <c r="D1768">
        <v>3</v>
      </c>
      <c r="E1768" t="s">
        <v>7</v>
      </c>
      <c r="F1768">
        <v>271</v>
      </c>
      <c r="G1768" s="3">
        <v>4572.05</v>
      </c>
      <c r="H1768" s="3">
        <f>Miami_Retail[[#This Row],[sales_usd]] / Miami_Retail[[#This Row],[customers]]</f>
        <v>16.871033210332104</v>
      </c>
      <c r="I1768">
        <v>89.3</v>
      </c>
      <c r="J1768">
        <f>(Miami_Retail[[#This Row],[avg_temp_f]]-32) * (5/9)</f>
        <v>31.833333333333332</v>
      </c>
      <c r="K1768">
        <v>0</v>
      </c>
      <c r="L1768">
        <v>0</v>
      </c>
      <c r="M1768">
        <v>75.5</v>
      </c>
      <c r="N1768">
        <v>45.8</v>
      </c>
      <c r="O1768">
        <v>54.2</v>
      </c>
      <c r="P1768">
        <v>44.6</v>
      </c>
      <c r="Q1768">
        <v>55.4</v>
      </c>
    </row>
    <row r="1769" spans="1:17" x14ac:dyDescent="0.25">
      <c r="A1769" s="2">
        <v>45232</v>
      </c>
      <c r="B1769" s="2" t="str">
        <f t="shared" si="54"/>
        <v>Thursday</v>
      </c>
      <c r="C1769" s="2" t="b">
        <f t="shared" si="55"/>
        <v>0</v>
      </c>
      <c r="D1769">
        <v>3</v>
      </c>
      <c r="E1769" t="s">
        <v>7</v>
      </c>
      <c r="F1769">
        <v>195</v>
      </c>
      <c r="G1769" s="3">
        <v>3198.97</v>
      </c>
      <c r="H1769" s="3">
        <f>Miami_Retail[[#This Row],[sales_usd]] / Miami_Retail[[#This Row],[customers]]</f>
        <v>16.404974358974357</v>
      </c>
      <c r="I1769">
        <v>81.8</v>
      </c>
      <c r="J1769">
        <f>(Miami_Retail[[#This Row],[avg_temp_f]]-32) * (5/9)</f>
        <v>27.666666666666668</v>
      </c>
      <c r="K1769">
        <v>2.65</v>
      </c>
      <c r="L1769">
        <v>1</v>
      </c>
      <c r="M1769">
        <v>60.3</v>
      </c>
      <c r="N1769">
        <v>44.7</v>
      </c>
      <c r="O1769">
        <v>55.3</v>
      </c>
      <c r="P1769">
        <v>44.1</v>
      </c>
      <c r="Q1769">
        <v>55.9</v>
      </c>
    </row>
    <row r="1770" spans="1:17" x14ac:dyDescent="0.25">
      <c r="A1770" s="2">
        <v>45233</v>
      </c>
      <c r="B1770" s="2" t="str">
        <f t="shared" si="54"/>
        <v>Friday</v>
      </c>
      <c r="C1770" s="2" t="b">
        <f t="shared" si="55"/>
        <v>0</v>
      </c>
      <c r="D1770">
        <v>3</v>
      </c>
      <c r="E1770" t="s">
        <v>7</v>
      </c>
      <c r="F1770">
        <v>259</v>
      </c>
      <c r="G1770" s="3">
        <v>4505.3999999999996</v>
      </c>
      <c r="H1770" s="3">
        <f>Miami_Retail[[#This Row],[sales_usd]] / Miami_Retail[[#This Row],[customers]]</f>
        <v>17.395366795366794</v>
      </c>
      <c r="I1770">
        <v>92.2</v>
      </c>
      <c r="J1770">
        <f>(Miami_Retail[[#This Row],[avg_temp_f]]-32) * (5/9)</f>
        <v>33.44444444444445</v>
      </c>
      <c r="K1770">
        <v>0.94</v>
      </c>
      <c r="L1770">
        <v>1</v>
      </c>
      <c r="M1770">
        <v>74.400000000000006</v>
      </c>
      <c r="N1770">
        <v>46.1</v>
      </c>
      <c r="O1770">
        <v>53.9</v>
      </c>
      <c r="P1770">
        <v>44.6</v>
      </c>
      <c r="Q1770">
        <v>55.4</v>
      </c>
    </row>
    <row r="1771" spans="1:17" x14ac:dyDescent="0.25">
      <c r="A1771" s="2">
        <v>45234</v>
      </c>
      <c r="B1771" s="2" t="str">
        <f t="shared" si="54"/>
        <v>Saturday</v>
      </c>
      <c r="C1771" s="2" t="b">
        <f t="shared" si="55"/>
        <v>1</v>
      </c>
      <c r="D1771">
        <v>3</v>
      </c>
      <c r="E1771" t="s">
        <v>7</v>
      </c>
      <c r="F1771">
        <v>283</v>
      </c>
      <c r="G1771" s="3">
        <v>4633.74</v>
      </c>
      <c r="H1771" s="3">
        <f>Miami_Retail[[#This Row],[sales_usd]] / Miami_Retail[[#This Row],[customers]]</f>
        <v>16.37363957597173</v>
      </c>
      <c r="I1771">
        <v>82.8</v>
      </c>
      <c r="J1771">
        <f>(Miami_Retail[[#This Row],[avg_temp_f]]-32) * (5/9)</f>
        <v>28.222222222222221</v>
      </c>
      <c r="K1771">
        <v>0.64</v>
      </c>
      <c r="L1771">
        <v>1</v>
      </c>
      <c r="M1771">
        <v>68.599999999999994</v>
      </c>
      <c r="N1771">
        <v>46.1</v>
      </c>
      <c r="O1771">
        <v>53.9</v>
      </c>
      <c r="P1771">
        <v>52.4</v>
      </c>
      <c r="Q1771">
        <v>47.6</v>
      </c>
    </row>
    <row r="1772" spans="1:17" x14ac:dyDescent="0.25">
      <c r="A1772" s="2">
        <v>45235</v>
      </c>
      <c r="B1772" s="2" t="str">
        <f t="shared" si="54"/>
        <v>Sunday</v>
      </c>
      <c r="C1772" s="2" t="b">
        <f t="shared" si="55"/>
        <v>1</v>
      </c>
      <c r="D1772">
        <v>3</v>
      </c>
      <c r="E1772" t="s">
        <v>7</v>
      </c>
      <c r="F1772">
        <v>253</v>
      </c>
      <c r="G1772" s="3">
        <v>4355.83</v>
      </c>
      <c r="H1772" s="3">
        <f>Miami_Retail[[#This Row],[sales_usd]] / Miami_Retail[[#This Row],[customers]]</f>
        <v>17.216719367588933</v>
      </c>
      <c r="I1772">
        <v>83</v>
      </c>
      <c r="J1772">
        <f>(Miami_Retail[[#This Row],[avg_temp_f]]-32) * (5/9)</f>
        <v>28.333333333333336</v>
      </c>
      <c r="K1772">
        <v>0</v>
      </c>
      <c r="L1772">
        <v>0</v>
      </c>
      <c r="M1772">
        <v>54.7</v>
      </c>
      <c r="N1772">
        <v>46.8</v>
      </c>
      <c r="O1772">
        <v>53.2</v>
      </c>
      <c r="P1772">
        <v>49</v>
      </c>
      <c r="Q1772">
        <v>51</v>
      </c>
    </row>
    <row r="1773" spans="1:17" x14ac:dyDescent="0.25">
      <c r="A1773" s="2">
        <v>45236</v>
      </c>
      <c r="B1773" s="2" t="str">
        <f t="shared" si="54"/>
        <v>Monday</v>
      </c>
      <c r="C1773" s="2" t="b">
        <f t="shared" si="55"/>
        <v>0</v>
      </c>
      <c r="D1773">
        <v>3</v>
      </c>
      <c r="E1773" t="s">
        <v>7</v>
      </c>
      <c r="F1773">
        <v>226</v>
      </c>
      <c r="G1773" s="3">
        <v>3601.87</v>
      </c>
      <c r="H1773" s="3">
        <f>Miami_Retail[[#This Row],[sales_usd]] / Miami_Retail[[#This Row],[customers]]</f>
        <v>15.937477876106195</v>
      </c>
      <c r="I1773">
        <v>80.2</v>
      </c>
      <c r="J1773">
        <f>(Miami_Retail[[#This Row],[avg_temp_f]]-32) * (5/9)</f>
        <v>26.777777777777782</v>
      </c>
      <c r="K1773">
        <v>0</v>
      </c>
      <c r="L1773">
        <v>0</v>
      </c>
      <c r="M1773">
        <v>67.099999999999994</v>
      </c>
      <c r="N1773">
        <v>45.6</v>
      </c>
      <c r="O1773">
        <v>54.4</v>
      </c>
      <c r="P1773">
        <v>44.3</v>
      </c>
      <c r="Q1773">
        <v>55.7</v>
      </c>
    </row>
    <row r="1774" spans="1:17" x14ac:dyDescent="0.25">
      <c r="A1774" s="2">
        <v>45237</v>
      </c>
      <c r="B1774" s="2" t="str">
        <f t="shared" si="54"/>
        <v>Tuesday</v>
      </c>
      <c r="C1774" s="2" t="b">
        <f t="shared" si="55"/>
        <v>0</v>
      </c>
      <c r="D1774">
        <v>3</v>
      </c>
      <c r="E1774" t="s">
        <v>7</v>
      </c>
      <c r="F1774">
        <v>266</v>
      </c>
      <c r="G1774" s="3">
        <v>4305.51</v>
      </c>
      <c r="H1774" s="3">
        <f>Miami_Retail[[#This Row],[sales_usd]] / Miami_Retail[[#This Row],[customers]]</f>
        <v>16.186127819548872</v>
      </c>
      <c r="I1774">
        <v>85.4</v>
      </c>
      <c r="J1774">
        <f>(Miami_Retail[[#This Row],[avg_temp_f]]-32) * (5/9)</f>
        <v>29.666666666666671</v>
      </c>
      <c r="K1774">
        <v>0</v>
      </c>
      <c r="L1774">
        <v>0</v>
      </c>
      <c r="M1774">
        <v>70.3</v>
      </c>
      <c r="N1774">
        <v>46.3</v>
      </c>
      <c r="O1774">
        <v>53.7</v>
      </c>
      <c r="P1774">
        <v>41.9</v>
      </c>
      <c r="Q1774">
        <v>58.1</v>
      </c>
    </row>
    <row r="1775" spans="1:17" x14ac:dyDescent="0.25">
      <c r="A1775" s="2">
        <v>45238</v>
      </c>
      <c r="B1775" s="2" t="str">
        <f t="shared" si="54"/>
        <v>Wednesday</v>
      </c>
      <c r="C1775" s="2" t="b">
        <f t="shared" si="55"/>
        <v>0</v>
      </c>
      <c r="D1775">
        <v>3</v>
      </c>
      <c r="E1775" t="s">
        <v>7</v>
      </c>
      <c r="F1775">
        <v>224</v>
      </c>
      <c r="G1775" s="3">
        <v>3632.71</v>
      </c>
      <c r="H1775" s="3">
        <f>Miami_Retail[[#This Row],[sales_usd]] / Miami_Retail[[#This Row],[customers]]</f>
        <v>16.217455357142857</v>
      </c>
      <c r="I1775">
        <v>78.900000000000006</v>
      </c>
      <c r="J1775">
        <f>(Miami_Retail[[#This Row],[avg_temp_f]]-32) * (5/9)</f>
        <v>26.055555555555561</v>
      </c>
      <c r="K1775">
        <v>0.46</v>
      </c>
      <c r="L1775">
        <v>1</v>
      </c>
      <c r="M1775">
        <v>66.3</v>
      </c>
      <c r="N1775">
        <v>46.1</v>
      </c>
      <c r="O1775">
        <v>53.9</v>
      </c>
      <c r="P1775">
        <v>45</v>
      </c>
      <c r="Q1775">
        <v>55</v>
      </c>
    </row>
    <row r="1776" spans="1:17" x14ac:dyDescent="0.25">
      <c r="A1776" s="2">
        <v>45239</v>
      </c>
      <c r="B1776" s="2" t="str">
        <f t="shared" si="54"/>
        <v>Thursday</v>
      </c>
      <c r="C1776" s="2" t="b">
        <f t="shared" si="55"/>
        <v>0</v>
      </c>
      <c r="D1776">
        <v>3</v>
      </c>
      <c r="E1776" t="s">
        <v>7</v>
      </c>
      <c r="F1776">
        <v>289</v>
      </c>
      <c r="G1776" s="3">
        <v>4986.9399999999996</v>
      </c>
      <c r="H1776" s="3">
        <f>Miami_Retail[[#This Row],[sales_usd]] / Miami_Retail[[#This Row],[customers]]</f>
        <v>17.255847750865051</v>
      </c>
      <c r="I1776">
        <v>89.1</v>
      </c>
      <c r="J1776">
        <f>(Miami_Retail[[#This Row],[avg_temp_f]]-32) * (5/9)</f>
        <v>31.722222222222221</v>
      </c>
      <c r="K1776">
        <v>0.28000000000000003</v>
      </c>
      <c r="L1776">
        <v>1</v>
      </c>
      <c r="M1776">
        <v>53</v>
      </c>
      <c r="N1776">
        <v>48</v>
      </c>
      <c r="O1776">
        <v>52</v>
      </c>
      <c r="P1776">
        <v>43.5</v>
      </c>
      <c r="Q1776">
        <v>56.5</v>
      </c>
    </row>
    <row r="1777" spans="1:17" x14ac:dyDescent="0.25">
      <c r="A1777" s="2">
        <v>45240</v>
      </c>
      <c r="B1777" s="2" t="str">
        <f t="shared" si="54"/>
        <v>Friday</v>
      </c>
      <c r="C1777" s="2" t="b">
        <f t="shared" si="55"/>
        <v>0</v>
      </c>
      <c r="D1777">
        <v>3</v>
      </c>
      <c r="E1777" t="s">
        <v>7</v>
      </c>
      <c r="F1777">
        <v>197</v>
      </c>
      <c r="G1777" s="3">
        <v>3176.58</v>
      </c>
      <c r="H1777" s="3">
        <f>Miami_Retail[[#This Row],[sales_usd]] / Miami_Retail[[#This Row],[customers]]</f>
        <v>16.124771573604061</v>
      </c>
      <c r="I1777">
        <v>77.400000000000006</v>
      </c>
      <c r="J1777">
        <f>(Miami_Retail[[#This Row],[avg_temp_f]]-32) * (5/9)</f>
        <v>25.222222222222225</v>
      </c>
      <c r="K1777">
        <v>0</v>
      </c>
      <c r="L1777">
        <v>0</v>
      </c>
      <c r="M1777">
        <v>70.5</v>
      </c>
      <c r="N1777">
        <v>47.5</v>
      </c>
      <c r="O1777">
        <v>52.5</v>
      </c>
      <c r="P1777">
        <v>42.3</v>
      </c>
      <c r="Q1777">
        <v>57.7</v>
      </c>
    </row>
    <row r="1778" spans="1:17" x14ac:dyDescent="0.25">
      <c r="A1778" s="2">
        <v>45241</v>
      </c>
      <c r="B1778" s="2" t="str">
        <f t="shared" si="54"/>
        <v>Saturday</v>
      </c>
      <c r="C1778" s="2" t="b">
        <f t="shared" si="55"/>
        <v>1</v>
      </c>
      <c r="D1778">
        <v>3</v>
      </c>
      <c r="E1778" t="s">
        <v>7</v>
      </c>
      <c r="F1778">
        <v>305</v>
      </c>
      <c r="G1778" s="3">
        <v>5000.6000000000004</v>
      </c>
      <c r="H1778" s="3">
        <f>Miami_Retail[[#This Row],[sales_usd]] / Miami_Retail[[#This Row],[customers]]</f>
        <v>16.395409836065575</v>
      </c>
      <c r="I1778">
        <v>86.7</v>
      </c>
      <c r="J1778">
        <f>(Miami_Retail[[#This Row],[avg_temp_f]]-32) * (5/9)</f>
        <v>30.388888888888893</v>
      </c>
      <c r="K1778">
        <v>0.41</v>
      </c>
      <c r="L1778">
        <v>1</v>
      </c>
      <c r="M1778">
        <v>59.4</v>
      </c>
      <c r="N1778">
        <v>46.7</v>
      </c>
      <c r="O1778">
        <v>53.3</v>
      </c>
      <c r="P1778">
        <v>50.6</v>
      </c>
      <c r="Q1778">
        <v>49.4</v>
      </c>
    </row>
    <row r="1779" spans="1:17" x14ac:dyDescent="0.25">
      <c r="A1779" s="2">
        <v>45242</v>
      </c>
      <c r="B1779" s="2" t="str">
        <f t="shared" si="54"/>
        <v>Sunday</v>
      </c>
      <c r="C1779" s="2" t="b">
        <f t="shared" si="55"/>
        <v>1</v>
      </c>
      <c r="D1779">
        <v>3</v>
      </c>
      <c r="E1779" t="s">
        <v>7</v>
      </c>
      <c r="F1779">
        <v>285</v>
      </c>
      <c r="G1779" s="3">
        <v>4721.0600000000004</v>
      </c>
      <c r="H1779" s="3">
        <f>Miami_Retail[[#This Row],[sales_usd]] / Miami_Retail[[#This Row],[customers]]</f>
        <v>16.565122807017545</v>
      </c>
      <c r="I1779">
        <v>83.5</v>
      </c>
      <c r="J1779">
        <f>(Miami_Retail[[#This Row],[avg_temp_f]]-32) * (5/9)</f>
        <v>28.611111111111111</v>
      </c>
      <c r="K1779">
        <v>0.61</v>
      </c>
      <c r="L1779">
        <v>1</v>
      </c>
      <c r="M1779">
        <v>54.8</v>
      </c>
      <c r="N1779">
        <v>45</v>
      </c>
      <c r="O1779">
        <v>55</v>
      </c>
      <c r="P1779">
        <v>48.6</v>
      </c>
      <c r="Q1779">
        <v>51.4</v>
      </c>
    </row>
    <row r="1780" spans="1:17" x14ac:dyDescent="0.25">
      <c r="A1780" s="2">
        <v>45243</v>
      </c>
      <c r="B1780" s="2" t="str">
        <f t="shared" si="54"/>
        <v>Monday</v>
      </c>
      <c r="C1780" s="2" t="b">
        <f t="shared" si="55"/>
        <v>0</v>
      </c>
      <c r="D1780">
        <v>3</v>
      </c>
      <c r="E1780" t="s">
        <v>7</v>
      </c>
      <c r="F1780">
        <v>207</v>
      </c>
      <c r="G1780" s="3">
        <v>3595.66</v>
      </c>
      <c r="H1780" s="3">
        <f>Miami_Retail[[#This Row],[sales_usd]] / Miami_Retail[[#This Row],[customers]]</f>
        <v>17.370338164251208</v>
      </c>
      <c r="I1780">
        <v>79.400000000000006</v>
      </c>
      <c r="J1780">
        <f>(Miami_Retail[[#This Row],[avg_temp_f]]-32) * (5/9)</f>
        <v>26.333333333333339</v>
      </c>
      <c r="K1780">
        <v>0</v>
      </c>
      <c r="L1780">
        <v>0</v>
      </c>
      <c r="M1780">
        <v>57</v>
      </c>
      <c r="N1780">
        <v>48</v>
      </c>
      <c r="O1780">
        <v>52</v>
      </c>
      <c r="P1780">
        <v>44.1</v>
      </c>
      <c r="Q1780">
        <v>55.9</v>
      </c>
    </row>
    <row r="1781" spans="1:17" x14ac:dyDescent="0.25">
      <c r="A1781" s="2">
        <v>45244</v>
      </c>
      <c r="B1781" s="2" t="str">
        <f t="shared" si="54"/>
        <v>Tuesday</v>
      </c>
      <c r="C1781" s="2" t="b">
        <f t="shared" si="55"/>
        <v>0</v>
      </c>
      <c r="D1781">
        <v>3</v>
      </c>
      <c r="E1781" t="s">
        <v>7</v>
      </c>
      <c r="F1781">
        <v>241</v>
      </c>
      <c r="G1781" s="3">
        <v>3819.67</v>
      </c>
      <c r="H1781" s="3">
        <f>Miami_Retail[[#This Row],[sales_usd]] / Miami_Retail[[#This Row],[customers]]</f>
        <v>15.849253112033196</v>
      </c>
      <c r="I1781">
        <v>86.2</v>
      </c>
      <c r="J1781">
        <f>(Miami_Retail[[#This Row],[avg_temp_f]]-32) * (5/9)</f>
        <v>30.111111111111114</v>
      </c>
      <c r="K1781">
        <v>0</v>
      </c>
      <c r="L1781">
        <v>0</v>
      </c>
      <c r="M1781">
        <v>63.9</v>
      </c>
      <c r="N1781">
        <v>47.8</v>
      </c>
      <c r="O1781">
        <v>52.2</v>
      </c>
      <c r="P1781">
        <v>43.5</v>
      </c>
      <c r="Q1781">
        <v>56.5</v>
      </c>
    </row>
    <row r="1782" spans="1:17" x14ac:dyDescent="0.25">
      <c r="A1782" s="2">
        <v>45245</v>
      </c>
      <c r="B1782" s="2" t="str">
        <f t="shared" si="54"/>
        <v>Wednesday</v>
      </c>
      <c r="C1782" s="2" t="b">
        <f t="shared" si="55"/>
        <v>0</v>
      </c>
      <c r="D1782">
        <v>3</v>
      </c>
      <c r="E1782" t="s">
        <v>7</v>
      </c>
      <c r="F1782">
        <v>258</v>
      </c>
      <c r="G1782" s="3">
        <v>4092.94</v>
      </c>
      <c r="H1782" s="3">
        <f>Miami_Retail[[#This Row],[sales_usd]] / Miami_Retail[[#This Row],[customers]]</f>
        <v>15.864108527131783</v>
      </c>
      <c r="I1782">
        <v>80.8</v>
      </c>
      <c r="J1782">
        <f>(Miami_Retail[[#This Row],[avg_temp_f]]-32) * (5/9)</f>
        <v>27.111111111111111</v>
      </c>
      <c r="K1782">
        <v>0</v>
      </c>
      <c r="L1782">
        <v>0</v>
      </c>
      <c r="M1782">
        <v>63.6</v>
      </c>
      <c r="N1782">
        <v>47.7</v>
      </c>
      <c r="O1782">
        <v>52.3</v>
      </c>
      <c r="P1782">
        <v>45.6</v>
      </c>
      <c r="Q1782">
        <v>54.4</v>
      </c>
    </row>
    <row r="1783" spans="1:17" x14ac:dyDescent="0.25">
      <c r="A1783" s="2">
        <v>45246</v>
      </c>
      <c r="B1783" s="2" t="str">
        <f t="shared" si="54"/>
        <v>Thursday</v>
      </c>
      <c r="C1783" s="2" t="b">
        <f t="shared" si="55"/>
        <v>0</v>
      </c>
      <c r="D1783">
        <v>3</v>
      </c>
      <c r="E1783" t="s">
        <v>7</v>
      </c>
      <c r="F1783">
        <v>211</v>
      </c>
      <c r="G1783" s="3">
        <v>3735.26</v>
      </c>
      <c r="H1783" s="3">
        <f>Miami_Retail[[#This Row],[sales_usd]] / Miami_Retail[[#This Row],[customers]]</f>
        <v>17.702654028436019</v>
      </c>
      <c r="I1783">
        <v>81.2</v>
      </c>
      <c r="J1783">
        <f>(Miami_Retail[[#This Row],[avg_temp_f]]-32) * (5/9)</f>
        <v>27.333333333333336</v>
      </c>
      <c r="K1783">
        <v>0</v>
      </c>
      <c r="L1783">
        <v>0</v>
      </c>
      <c r="M1783">
        <v>58.5</v>
      </c>
      <c r="N1783">
        <v>47.1</v>
      </c>
      <c r="O1783">
        <v>52.9</v>
      </c>
      <c r="P1783">
        <v>44.6</v>
      </c>
      <c r="Q1783">
        <v>55.4</v>
      </c>
    </row>
    <row r="1784" spans="1:17" x14ac:dyDescent="0.25">
      <c r="A1784" s="2">
        <v>45247</v>
      </c>
      <c r="B1784" s="2" t="str">
        <f t="shared" si="54"/>
        <v>Friday</v>
      </c>
      <c r="C1784" s="2" t="b">
        <f t="shared" si="55"/>
        <v>0</v>
      </c>
      <c r="D1784">
        <v>3</v>
      </c>
      <c r="E1784" t="s">
        <v>7</v>
      </c>
      <c r="F1784">
        <v>208</v>
      </c>
      <c r="G1784" s="3">
        <v>3570.57</v>
      </c>
      <c r="H1784" s="3">
        <f>Miami_Retail[[#This Row],[sales_usd]] / Miami_Retail[[#This Row],[customers]]</f>
        <v>17.166201923076922</v>
      </c>
      <c r="I1784">
        <v>79.2</v>
      </c>
      <c r="J1784">
        <f>(Miami_Retail[[#This Row],[avg_temp_f]]-32) * (5/9)</f>
        <v>26.222222222222225</v>
      </c>
      <c r="K1784">
        <v>1.1599999999999999</v>
      </c>
      <c r="L1784">
        <v>1</v>
      </c>
      <c r="M1784">
        <v>61.4</v>
      </c>
      <c r="N1784">
        <v>46.2</v>
      </c>
      <c r="O1784">
        <v>53.8</v>
      </c>
      <c r="P1784">
        <v>46</v>
      </c>
      <c r="Q1784">
        <v>54</v>
      </c>
    </row>
    <row r="1785" spans="1:17" x14ac:dyDescent="0.25">
      <c r="A1785" s="2">
        <v>45248</v>
      </c>
      <c r="B1785" s="2" t="str">
        <f t="shared" si="54"/>
        <v>Saturday</v>
      </c>
      <c r="C1785" s="2" t="b">
        <f t="shared" si="55"/>
        <v>1</v>
      </c>
      <c r="D1785">
        <v>3</v>
      </c>
      <c r="E1785" t="s">
        <v>7</v>
      </c>
      <c r="F1785">
        <v>278</v>
      </c>
      <c r="G1785" s="3">
        <v>4919.38</v>
      </c>
      <c r="H1785" s="3">
        <f>Miami_Retail[[#This Row],[sales_usd]] / Miami_Retail[[#This Row],[customers]]</f>
        <v>17.695611510791366</v>
      </c>
      <c r="I1785">
        <v>86.7</v>
      </c>
      <c r="J1785">
        <f>(Miami_Retail[[#This Row],[avg_temp_f]]-32) * (5/9)</f>
        <v>30.388888888888893</v>
      </c>
      <c r="K1785">
        <v>0</v>
      </c>
      <c r="L1785">
        <v>0</v>
      </c>
      <c r="M1785">
        <v>68.8</v>
      </c>
      <c r="N1785">
        <v>45</v>
      </c>
      <c r="O1785">
        <v>55</v>
      </c>
      <c r="P1785">
        <v>50.4</v>
      </c>
      <c r="Q1785">
        <v>49.6</v>
      </c>
    </row>
    <row r="1786" spans="1:17" x14ac:dyDescent="0.25">
      <c r="A1786" s="2">
        <v>45249</v>
      </c>
      <c r="B1786" s="2" t="str">
        <f t="shared" si="54"/>
        <v>Sunday</v>
      </c>
      <c r="C1786" s="2" t="b">
        <f t="shared" si="55"/>
        <v>1</v>
      </c>
      <c r="D1786">
        <v>3</v>
      </c>
      <c r="E1786" t="s">
        <v>7</v>
      </c>
      <c r="F1786">
        <v>232</v>
      </c>
      <c r="G1786" s="3">
        <v>3829.86</v>
      </c>
      <c r="H1786" s="3">
        <f>Miami_Retail[[#This Row],[sales_usd]] / Miami_Retail[[#This Row],[customers]]</f>
        <v>16.50801724137931</v>
      </c>
      <c r="I1786">
        <v>83.7</v>
      </c>
      <c r="J1786">
        <f>(Miami_Retail[[#This Row],[avg_temp_f]]-32) * (5/9)</f>
        <v>28.722222222222225</v>
      </c>
      <c r="K1786">
        <v>1.03</v>
      </c>
      <c r="L1786">
        <v>1</v>
      </c>
      <c r="M1786">
        <v>55</v>
      </c>
      <c r="N1786">
        <v>47</v>
      </c>
      <c r="O1786">
        <v>53</v>
      </c>
      <c r="P1786">
        <v>48</v>
      </c>
      <c r="Q1786">
        <v>52</v>
      </c>
    </row>
    <row r="1787" spans="1:17" x14ac:dyDescent="0.25">
      <c r="A1787" s="2">
        <v>45250</v>
      </c>
      <c r="B1787" s="2" t="str">
        <f t="shared" si="54"/>
        <v>Monday</v>
      </c>
      <c r="C1787" s="2" t="b">
        <f t="shared" si="55"/>
        <v>0</v>
      </c>
      <c r="D1787">
        <v>3</v>
      </c>
      <c r="E1787" t="s">
        <v>7</v>
      </c>
      <c r="F1787">
        <v>220</v>
      </c>
      <c r="G1787" s="3">
        <v>3831.36</v>
      </c>
      <c r="H1787" s="3">
        <f>Miami_Retail[[#This Row],[sales_usd]] / Miami_Retail[[#This Row],[customers]]</f>
        <v>17.415272727272729</v>
      </c>
      <c r="I1787">
        <v>78.8</v>
      </c>
      <c r="J1787">
        <f>(Miami_Retail[[#This Row],[avg_temp_f]]-32) * (5/9)</f>
        <v>26</v>
      </c>
      <c r="K1787">
        <v>0</v>
      </c>
      <c r="L1787">
        <v>0</v>
      </c>
      <c r="M1787">
        <v>59.8</v>
      </c>
      <c r="N1787">
        <v>48</v>
      </c>
      <c r="O1787">
        <v>52</v>
      </c>
      <c r="P1787">
        <v>44.9</v>
      </c>
      <c r="Q1787">
        <v>55.1</v>
      </c>
    </row>
    <row r="1788" spans="1:17" x14ac:dyDescent="0.25">
      <c r="A1788" s="2">
        <v>45251</v>
      </c>
      <c r="B1788" s="2" t="str">
        <f t="shared" si="54"/>
        <v>Tuesday</v>
      </c>
      <c r="C1788" s="2" t="b">
        <f t="shared" si="55"/>
        <v>0</v>
      </c>
      <c r="D1788">
        <v>3</v>
      </c>
      <c r="E1788" t="s">
        <v>7</v>
      </c>
      <c r="F1788">
        <v>204</v>
      </c>
      <c r="G1788" s="3">
        <v>3502.27</v>
      </c>
      <c r="H1788" s="3">
        <f>Miami_Retail[[#This Row],[sales_usd]] / Miami_Retail[[#This Row],[customers]]</f>
        <v>17.167990196078431</v>
      </c>
      <c r="I1788">
        <v>80.5</v>
      </c>
      <c r="J1788">
        <f>(Miami_Retail[[#This Row],[avg_temp_f]]-32) * (5/9)</f>
        <v>26.944444444444446</v>
      </c>
      <c r="K1788">
        <v>0</v>
      </c>
      <c r="L1788">
        <v>0</v>
      </c>
      <c r="M1788">
        <v>68.3</v>
      </c>
      <c r="N1788">
        <v>45.7</v>
      </c>
      <c r="O1788">
        <v>54.3</v>
      </c>
      <c r="P1788">
        <v>44.8</v>
      </c>
      <c r="Q1788">
        <v>55.2</v>
      </c>
    </row>
    <row r="1789" spans="1:17" x14ac:dyDescent="0.25">
      <c r="A1789" s="2">
        <v>45252</v>
      </c>
      <c r="B1789" s="2" t="str">
        <f t="shared" si="54"/>
        <v>Wednesday</v>
      </c>
      <c r="C1789" s="2" t="b">
        <f t="shared" si="55"/>
        <v>0</v>
      </c>
      <c r="D1789">
        <v>3</v>
      </c>
      <c r="E1789" t="s">
        <v>7</v>
      </c>
      <c r="F1789">
        <v>241</v>
      </c>
      <c r="G1789" s="3">
        <v>3875.1</v>
      </c>
      <c r="H1789" s="3">
        <f>Miami_Retail[[#This Row],[sales_usd]] / Miami_Retail[[#This Row],[customers]]</f>
        <v>16.079253112033193</v>
      </c>
      <c r="I1789">
        <v>83</v>
      </c>
      <c r="J1789">
        <f>(Miami_Retail[[#This Row],[avg_temp_f]]-32) * (5/9)</f>
        <v>28.333333333333336</v>
      </c>
      <c r="K1789">
        <v>0</v>
      </c>
      <c r="L1789">
        <v>0</v>
      </c>
      <c r="M1789">
        <v>58.6</v>
      </c>
      <c r="N1789">
        <v>45.2</v>
      </c>
      <c r="O1789">
        <v>54.8</v>
      </c>
      <c r="P1789">
        <v>43.3</v>
      </c>
      <c r="Q1789">
        <v>56.7</v>
      </c>
    </row>
    <row r="1790" spans="1:17" x14ac:dyDescent="0.25">
      <c r="A1790" s="2">
        <v>45253</v>
      </c>
      <c r="B1790" s="2" t="str">
        <f t="shared" si="54"/>
        <v>Thursday</v>
      </c>
      <c r="C1790" s="2" t="b">
        <f t="shared" si="55"/>
        <v>0</v>
      </c>
      <c r="D1790">
        <v>3</v>
      </c>
      <c r="E1790" t="s">
        <v>7</v>
      </c>
      <c r="F1790">
        <v>204</v>
      </c>
      <c r="G1790" s="3">
        <v>3427.87</v>
      </c>
      <c r="H1790" s="3">
        <f>Miami_Retail[[#This Row],[sales_usd]] / Miami_Retail[[#This Row],[customers]]</f>
        <v>16.803284313725488</v>
      </c>
      <c r="I1790">
        <v>80.3</v>
      </c>
      <c r="J1790">
        <f>(Miami_Retail[[#This Row],[avg_temp_f]]-32) * (5/9)</f>
        <v>26.833333333333332</v>
      </c>
      <c r="K1790">
        <v>0.1</v>
      </c>
      <c r="L1790">
        <v>1</v>
      </c>
      <c r="M1790">
        <v>69.2</v>
      </c>
      <c r="N1790">
        <v>46.7</v>
      </c>
      <c r="O1790">
        <v>53.3</v>
      </c>
      <c r="P1790">
        <v>43.5</v>
      </c>
      <c r="Q1790">
        <v>56.5</v>
      </c>
    </row>
    <row r="1791" spans="1:17" x14ac:dyDescent="0.25">
      <c r="A1791" s="2">
        <v>45254</v>
      </c>
      <c r="B1791" s="2" t="str">
        <f t="shared" si="54"/>
        <v>Friday</v>
      </c>
      <c r="C1791" s="2" t="b">
        <f t="shared" si="55"/>
        <v>0</v>
      </c>
      <c r="D1791">
        <v>3</v>
      </c>
      <c r="E1791" t="s">
        <v>7</v>
      </c>
      <c r="F1791">
        <v>200</v>
      </c>
      <c r="G1791" s="3">
        <v>3285.95</v>
      </c>
      <c r="H1791" s="3">
        <f>Miami_Retail[[#This Row],[sales_usd]] / Miami_Retail[[#This Row],[customers]]</f>
        <v>16.429749999999999</v>
      </c>
      <c r="I1791">
        <v>78.8</v>
      </c>
      <c r="J1791">
        <f>(Miami_Retail[[#This Row],[avg_temp_f]]-32) * (5/9)</f>
        <v>26</v>
      </c>
      <c r="K1791">
        <v>0</v>
      </c>
      <c r="L1791">
        <v>0</v>
      </c>
      <c r="M1791">
        <v>57.8</v>
      </c>
      <c r="N1791">
        <v>46.2</v>
      </c>
      <c r="O1791">
        <v>53.8</v>
      </c>
      <c r="P1791">
        <v>43.2</v>
      </c>
      <c r="Q1791">
        <v>56.8</v>
      </c>
    </row>
    <row r="1792" spans="1:17" x14ac:dyDescent="0.25">
      <c r="A1792" s="2">
        <v>45255</v>
      </c>
      <c r="B1792" s="2" t="str">
        <f t="shared" si="54"/>
        <v>Saturday</v>
      </c>
      <c r="C1792" s="2" t="b">
        <f t="shared" si="55"/>
        <v>1</v>
      </c>
      <c r="D1792">
        <v>3</v>
      </c>
      <c r="E1792" t="s">
        <v>7</v>
      </c>
      <c r="F1792">
        <v>252</v>
      </c>
      <c r="G1792" s="3">
        <v>4025.4</v>
      </c>
      <c r="H1792" s="3">
        <f>Miami_Retail[[#This Row],[sales_usd]] / Miami_Retail[[#This Row],[customers]]</f>
        <v>15.973809523809525</v>
      </c>
      <c r="I1792">
        <v>86.1</v>
      </c>
      <c r="J1792">
        <f>(Miami_Retail[[#This Row],[avg_temp_f]]-32) * (5/9)</f>
        <v>30.055555555555554</v>
      </c>
      <c r="K1792">
        <v>0</v>
      </c>
      <c r="L1792">
        <v>0</v>
      </c>
      <c r="M1792">
        <v>59.5</v>
      </c>
      <c r="N1792">
        <v>47.4</v>
      </c>
      <c r="O1792">
        <v>52.6</v>
      </c>
      <c r="P1792">
        <v>51.9</v>
      </c>
      <c r="Q1792">
        <v>48.1</v>
      </c>
    </row>
    <row r="1793" spans="1:17" x14ac:dyDescent="0.25">
      <c r="A1793" s="2">
        <v>45256</v>
      </c>
      <c r="B1793" s="2" t="str">
        <f t="shared" si="54"/>
        <v>Sunday</v>
      </c>
      <c r="C1793" s="2" t="b">
        <f t="shared" si="55"/>
        <v>1</v>
      </c>
      <c r="D1793">
        <v>3</v>
      </c>
      <c r="E1793" t="s">
        <v>7</v>
      </c>
      <c r="F1793">
        <v>248</v>
      </c>
      <c r="G1793" s="3">
        <v>3953.5</v>
      </c>
      <c r="H1793" s="3">
        <f>Miami_Retail[[#This Row],[sales_usd]] / Miami_Retail[[#This Row],[customers]]</f>
        <v>15.941532258064516</v>
      </c>
      <c r="I1793">
        <v>88.3</v>
      </c>
      <c r="J1793">
        <f>(Miami_Retail[[#This Row],[avg_temp_f]]-32) * (5/9)</f>
        <v>31.277777777777779</v>
      </c>
      <c r="K1793">
        <v>0</v>
      </c>
      <c r="L1793">
        <v>0</v>
      </c>
      <c r="M1793">
        <v>62.9</v>
      </c>
      <c r="N1793">
        <v>47.8</v>
      </c>
      <c r="O1793">
        <v>52.2</v>
      </c>
      <c r="P1793">
        <v>49.8</v>
      </c>
      <c r="Q1793">
        <v>50.2</v>
      </c>
    </row>
    <row r="1794" spans="1:17" x14ac:dyDescent="0.25">
      <c r="A1794" s="2">
        <v>45257</v>
      </c>
      <c r="B1794" s="2" t="str">
        <f t="shared" ref="B1794:B1857" si="56">TEXT(A1794, "dddd")</f>
        <v>Monday</v>
      </c>
      <c r="C1794" s="2" t="b">
        <f t="shared" ref="C1794:C1857" si="57">IF(WEEKDAY(A1794,2)&gt;5,TRUE,FALSE)</f>
        <v>0</v>
      </c>
      <c r="D1794">
        <v>3</v>
      </c>
      <c r="E1794" t="s">
        <v>7</v>
      </c>
      <c r="F1794">
        <v>258</v>
      </c>
      <c r="G1794" s="3">
        <v>4397.0600000000004</v>
      </c>
      <c r="H1794" s="3">
        <f>Miami_Retail[[#This Row],[sales_usd]] / Miami_Retail[[#This Row],[customers]]</f>
        <v>17.042868217054266</v>
      </c>
      <c r="I1794">
        <v>85.7</v>
      </c>
      <c r="J1794">
        <f>(Miami_Retail[[#This Row],[avg_temp_f]]-32) * (5/9)</f>
        <v>29.833333333333336</v>
      </c>
      <c r="K1794">
        <v>0</v>
      </c>
      <c r="L1794">
        <v>0</v>
      </c>
      <c r="M1794">
        <v>48.7</v>
      </c>
      <c r="N1794">
        <v>47</v>
      </c>
      <c r="O1794">
        <v>53</v>
      </c>
      <c r="P1794">
        <v>43.1</v>
      </c>
      <c r="Q1794">
        <v>56.9</v>
      </c>
    </row>
    <row r="1795" spans="1:17" x14ac:dyDescent="0.25">
      <c r="A1795" s="2">
        <v>45258</v>
      </c>
      <c r="B1795" s="2" t="str">
        <f t="shared" si="56"/>
        <v>Tuesday</v>
      </c>
      <c r="C1795" s="2" t="b">
        <f t="shared" si="57"/>
        <v>0</v>
      </c>
      <c r="D1795">
        <v>3</v>
      </c>
      <c r="E1795" t="s">
        <v>7</v>
      </c>
      <c r="F1795">
        <v>235</v>
      </c>
      <c r="G1795" s="3">
        <v>4023.28</v>
      </c>
      <c r="H1795" s="3">
        <f>Miami_Retail[[#This Row],[sales_usd]] / Miami_Retail[[#This Row],[customers]]</f>
        <v>17.120340425531914</v>
      </c>
      <c r="I1795">
        <v>82.8</v>
      </c>
      <c r="J1795">
        <f>(Miami_Retail[[#This Row],[avg_temp_f]]-32) * (5/9)</f>
        <v>28.222222222222221</v>
      </c>
      <c r="K1795">
        <v>0</v>
      </c>
      <c r="L1795">
        <v>0</v>
      </c>
      <c r="M1795">
        <v>52.6</v>
      </c>
      <c r="N1795">
        <v>48</v>
      </c>
      <c r="O1795">
        <v>52</v>
      </c>
      <c r="P1795">
        <v>43.5</v>
      </c>
      <c r="Q1795">
        <v>56.5</v>
      </c>
    </row>
    <row r="1796" spans="1:17" x14ac:dyDescent="0.25">
      <c r="A1796" s="2">
        <v>45259</v>
      </c>
      <c r="B1796" s="2" t="str">
        <f t="shared" si="56"/>
        <v>Wednesday</v>
      </c>
      <c r="C1796" s="2" t="b">
        <f t="shared" si="57"/>
        <v>0</v>
      </c>
      <c r="D1796">
        <v>3</v>
      </c>
      <c r="E1796" t="s">
        <v>7</v>
      </c>
      <c r="F1796">
        <v>197</v>
      </c>
      <c r="G1796" s="3">
        <v>3002.09</v>
      </c>
      <c r="H1796" s="3">
        <f>Miami_Retail[[#This Row],[sales_usd]] / Miami_Retail[[#This Row],[customers]]</f>
        <v>15.239035532994924</v>
      </c>
      <c r="I1796">
        <v>81.099999999999994</v>
      </c>
      <c r="J1796">
        <f>(Miami_Retail[[#This Row],[avg_temp_f]]-32) * (5/9)</f>
        <v>27.277777777777775</v>
      </c>
      <c r="K1796">
        <v>0</v>
      </c>
      <c r="L1796">
        <v>0</v>
      </c>
      <c r="M1796">
        <v>59.2</v>
      </c>
      <c r="N1796">
        <v>47.5</v>
      </c>
      <c r="O1796">
        <v>52.5</v>
      </c>
      <c r="P1796">
        <v>43.8</v>
      </c>
      <c r="Q1796">
        <v>56.2</v>
      </c>
    </row>
    <row r="1797" spans="1:17" x14ac:dyDescent="0.25">
      <c r="A1797" s="2">
        <v>45260</v>
      </c>
      <c r="B1797" s="2" t="str">
        <f t="shared" si="56"/>
        <v>Thursday</v>
      </c>
      <c r="C1797" s="2" t="b">
        <f t="shared" si="57"/>
        <v>0</v>
      </c>
      <c r="D1797">
        <v>3</v>
      </c>
      <c r="E1797" t="s">
        <v>7</v>
      </c>
      <c r="F1797">
        <v>232</v>
      </c>
      <c r="G1797" s="3">
        <v>4027.31</v>
      </c>
      <c r="H1797" s="3">
        <f>Miami_Retail[[#This Row],[sales_usd]] / Miami_Retail[[#This Row],[customers]]</f>
        <v>17.359094827586208</v>
      </c>
      <c r="I1797">
        <v>78.099999999999994</v>
      </c>
      <c r="J1797">
        <f>(Miami_Retail[[#This Row],[avg_temp_f]]-32) * (5/9)</f>
        <v>25.611111111111111</v>
      </c>
      <c r="K1797">
        <v>0</v>
      </c>
      <c r="L1797">
        <v>0</v>
      </c>
      <c r="M1797">
        <v>57.1</v>
      </c>
      <c r="N1797">
        <v>47.7</v>
      </c>
      <c r="O1797">
        <v>52.3</v>
      </c>
      <c r="P1797">
        <v>42.9</v>
      </c>
      <c r="Q1797">
        <v>57.1</v>
      </c>
    </row>
    <row r="1798" spans="1:17" x14ac:dyDescent="0.25">
      <c r="A1798" s="2">
        <v>45261</v>
      </c>
      <c r="B1798" s="2" t="str">
        <f t="shared" si="56"/>
        <v>Friday</v>
      </c>
      <c r="C1798" s="2" t="b">
        <f t="shared" si="57"/>
        <v>0</v>
      </c>
      <c r="D1798">
        <v>3</v>
      </c>
      <c r="E1798" t="s">
        <v>7</v>
      </c>
      <c r="F1798">
        <v>254</v>
      </c>
      <c r="G1798" s="3">
        <v>4141.17</v>
      </c>
      <c r="H1798" s="3">
        <f>Miami_Retail[[#This Row],[sales_usd]] / Miami_Retail[[#This Row],[customers]]</f>
        <v>16.303818897637797</v>
      </c>
      <c r="I1798">
        <v>79</v>
      </c>
      <c r="J1798">
        <f>(Miami_Retail[[#This Row],[avg_temp_f]]-32) * (5/9)</f>
        <v>26.111111111111111</v>
      </c>
      <c r="K1798">
        <v>0</v>
      </c>
      <c r="L1798">
        <v>0</v>
      </c>
      <c r="M1798">
        <v>60.5</v>
      </c>
      <c r="N1798">
        <v>47.1</v>
      </c>
      <c r="O1798">
        <v>52.9</v>
      </c>
      <c r="P1798">
        <v>44.2</v>
      </c>
      <c r="Q1798">
        <v>55.8</v>
      </c>
    </row>
    <row r="1799" spans="1:17" x14ac:dyDescent="0.25">
      <c r="A1799" s="2">
        <v>45262</v>
      </c>
      <c r="B1799" s="2" t="str">
        <f t="shared" si="56"/>
        <v>Saturday</v>
      </c>
      <c r="C1799" s="2" t="b">
        <f t="shared" si="57"/>
        <v>1</v>
      </c>
      <c r="D1799">
        <v>3</v>
      </c>
      <c r="E1799" t="s">
        <v>7</v>
      </c>
      <c r="F1799">
        <v>245</v>
      </c>
      <c r="G1799" s="3">
        <v>4216.47</v>
      </c>
      <c r="H1799" s="3">
        <f>Miami_Retail[[#This Row],[sales_usd]] / Miami_Retail[[#This Row],[customers]]</f>
        <v>17.210081632653061</v>
      </c>
      <c r="I1799">
        <v>78.8</v>
      </c>
      <c r="J1799">
        <f>(Miami_Retail[[#This Row],[avg_temp_f]]-32) * (5/9)</f>
        <v>26</v>
      </c>
      <c r="K1799">
        <v>0</v>
      </c>
      <c r="L1799">
        <v>0</v>
      </c>
      <c r="M1799">
        <v>55.3</v>
      </c>
      <c r="N1799">
        <v>48.4</v>
      </c>
      <c r="O1799">
        <v>51.6</v>
      </c>
      <c r="P1799">
        <v>48.4</v>
      </c>
      <c r="Q1799">
        <v>51.6</v>
      </c>
    </row>
    <row r="1800" spans="1:17" x14ac:dyDescent="0.25">
      <c r="A1800" s="2">
        <v>45263</v>
      </c>
      <c r="B1800" s="2" t="str">
        <f t="shared" si="56"/>
        <v>Sunday</v>
      </c>
      <c r="C1800" s="2" t="b">
        <f t="shared" si="57"/>
        <v>1</v>
      </c>
      <c r="D1800">
        <v>3</v>
      </c>
      <c r="E1800" t="s">
        <v>7</v>
      </c>
      <c r="F1800">
        <v>252</v>
      </c>
      <c r="G1800" s="3">
        <v>4186.63</v>
      </c>
      <c r="H1800" s="3">
        <f>Miami_Retail[[#This Row],[sales_usd]] / Miami_Retail[[#This Row],[customers]]</f>
        <v>16.613611111111112</v>
      </c>
      <c r="I1800">
        <v>79.099999999999994</v>
      </c>
      <c r="J1800">
        <f>(Miami_Retail[[#This Row],[avg_temp_f]]-32) * (5/9)</f>
        <v>26.166666666666664</v>
      </c>
      <c r="K1800">
        <v>0</v>
      </c>
      <c r="L1800">
        <v>0</v>
      </c>
      <c r="M1800">
        <v>57.2</v>
      </c>
      <c r="N1800">
        <v>46.5</v>
      </c>
      <c r="O1800">
        <v>53.5</v>
      </c>
      <c r="P1800">
        <v>50.8</v>
      </c>
      <c r="Q1800">
        <v>49.2</v>
      </c>
    </row>
    <row r="1801" spans="1:17" x14ac:dyDescent="0.25">
      <c r="A1801" s="2">
        <v>45264</v>
      </c>
      <c r="B1801" s="2" t="str">
        <f t="shared" si="56"/>
        <v>Monday</v>
      </c>
      <c r="C1801" s="2" t="b">
        <f t="shared" si="57"/>
        <v>0</v>
      </c>
      <c r="D1801">
        <v>3</v>
      </c>
      <c r="E1801" t="s">
        <v>7</v>
      </c>
      <c r="F1801">
        <v>213</v>
      </c>
      <c r="G1801" s="3">
        <v>3760.66</v>
      </c>
      <c r="H1801" s="3">
        <f>Miami_Retail[[#This Row],[sales_usd]] / Miami_Retail[[#This Row],[customers]]</f>
        <v>17.655680751173708</v>
      </c>
      <c r="I1801">
        <v>76.099999999999994</v>
      </c>
      <c r="J1801">
        <f>(Miami_Retail[[#This Row],[avg_temp_f]]-32) * (5/9)</f>
        <v>24.499999999999996</v>
      </c>
      <c r="K1801">
        <v>0</v>
      </c>
      <c r="L1801">
        <v>0</v>
      </c>
      <c r="M1801">
        <v>56.2</v>
      </c>
      <c r="N1801">
        <v>46.5</v>
      </c>
      <c r="O1801">
        <v>53.5</v>
      </c>
      <c r="P1801">
        <v>46.4</v>
      </c>
      <c r="Q1801">
        <v>53.6</v>
      </c>
    </row>
    <row r="1802" spans="1:17" x14ac:dyDescent="0.25">
      <c r="A1802" s="2">
        <v>45265</v>
      </c>
      <c r="B1802" s="2" t="str">
        <f t="shared" si="56"/>
        <v>Tuesday</v>
      </c>
      <c r="C1802" s="2" t="b">
        <f t="shared" si="57"/>
        <v>0</v>
      </c>
      <c r="D1802">
        <v>3</v>
      </c>
      <c r="E1802" t="s">
        <v>7</v>
      </c>
      <c r="F1802">
        <v>231</v>
      </c>
      <c r="G1802" s="3">
        <v>3911.45</v>
      </c>
      <c r="H1802" s="3">
        <f>Miami_Retail[[#This Row],[sales_usd]] / Miami_Retail[[#This Row],[customers]]</f>
        <v>16.932683982683983</v>
      </c>
      <c r="I1802">
        <v>80.599999999999994</v>
      </c>
      <c r="J1802">
        <f>(Miami_Retail[[#This Row],[avg_temp_f]]-32) * (5/9)</f>
        <v>26.999999999999996</v>
      </c>
      <c r="K1802">
        <v>0</v>
      </c>
      <c r="L1802">
        <v>0</v>
      </c>
      <c r="M1802">
        <v>59.9</v>
      </c>
      <c r="N1802">
        <v>47.6</v>
      </c>
      <c r="O1802">
        <v>52.4</v>
      </c>
      <c r="P1802">
        <v>41.8</v>
      </c>
      <c r="Q1802">
        <v>58.2</v>
      </c>
    </row>
    <row r="1803" spans="1:17" x14ac:dyDescent="0.25">
      <c r="A1803" s="2">
        <v>45266</v>
      </c>
      <c r="B1803" s="2" t="str">
        <f t="shared" si="56"/>
        <v>Wednesday</v>
      </c>
      <c r="C1803" s="2" t="b">
        <f t="shared" si="57"/>
        <v>0</v>
      </c>
      <c r="D1803">
        <v>3</v>
      </c>
      <c r="E1803" t="s">
        <v>7</v>
      </c>
      <c r="F1803">
        <v>265</v>
      </c>
      <c r="G1803" s="3">
        <v>4123.07</v>
      </c>
      <c r="H1803" s="3">
        <f>Miami_Retail[[#This Row],[sales_usd]] / Miami_Retail[[#This Row],[customers]]</f>
        <v>15.558754716981131</v>
      </c>
      <c r="I1803">
        <v>86</v>
      </c>
      <c r="J1803">
        <f>(Miami_Retail[[#This Row],[avg_temp_f]]-32) * (5/9)</f>
        <v>30</v>
      </c>
      <c r="K1803">
        <v>0</v>
      </c>
      <c r="L1803">
        <v>0</v>
      </c>
      <c r="M1803">
        <v>48.1</v>
      </c>
      <c r="N1803">
        <v>48.1</v>
      </c>
      <c r="O1803">
        <v>51.9</v>
      </c>
      <c r="P1803">
        <v>46.4</v>
      </c>
      <c r="Q1803">
        <v>53.6</v>
      </c>
    </row>
    <row r="1804" spans="1:17" x14ac:dyDescent="0.25">
      <c r="A1804" s="2">
        <v>45267</v>
      </c>
      <c r="B1804" s="2" t="str">
        <f t="shared" si="56"/>
        <v>Thursday</v>
      </c>
      <c r="C1804" s="2" t="b">
        <f t="shared" si="57"/>
        <v>0</v>
      </c>
      <c r="D1804">
        <v>3</v>
      </c>
      <c r="E1804" t="s">
        <v>7</v>
      </c>
      <c r="F1804">
        <v>211</v>
      </c>
      <c r="G1804" s="3">
        <v>3702.98</v>
      </c>
      <c r="H1804" s="3">
        <f>Miami_Retail[[#This Row],[sales_usd]] / Miami_Retail[[#This Row],[customers]]</f>
        <v>17.549668246445499</v>
      </c>
      <c r="I1804">
        <v>78.5</v>
      </c>
      <c r="J1804">
        <f>(Miami_Retail[[#This Row],[avg_temp_f]]-32) * (5/9)</f>
        <v>25.833333333333336</v>
      </c>
      <c r="K1804">
        <v>0</v>
      </c>
      <c r="L1804">
        <v>0</v>
      </c>
      <c r="M1804">
        <v>60.7</v>
      </c>
      <c r="N1804">
        <v>46</v>
      </c>
      <c r="O1804">
        <v>54</v>
      </c>
      <c r="P1804">
        <v>42.5</v>
      </c>
      <c r="Q1804">
        <v>57.5</v>
      </c>
    </row>
    <row r="1805" spans="1:17" x14ac:dyDescent="0.25">
      <c r="A1805" s="2">
        <v>45268</v>
      </c>
      <c r="B1805" s="2" t="str">
        <f t="shared" si="56"/>
        <v>Friday</v>
      </c>
      <c r="C1805" s="2" t="b">
        <f t="shared" si="57"/>
        <v>0</v>
      </c>
      <c r="D1805">
        <v>3</v>
      </c>
      <c r="E1805" t="s">
        <v>7</v>
      </c>
      <c r="F1805">
        <v>231</v>
      </c>
      <c r="G1805" s="3">
        <v>3870.67</v>
      </c>
      <c r="H1805" s="3">
        <f>Miami_Retail[[#This Row],[sales_usd]] / Miami_Retail[[#This Row],[customers]]</f>
        <v>16.756147186147185</v>
      </c>
      <c r="I1805">
        <v>79.2</v>
      </c>
      <c r="J1805">
        <f>(Miami_Retail[[#This Row],[avg_temp_f]]-32) * (5/9)</f>
        <v>26.222222222222225</v>
      </c>
      <c r="K1805">
        <v>0</v>
      </c>
      <c r="L1805">
        <v>0</v>
      </c>
      <c r="M1805">
        <v>56.3</v>
      </c>
      <c r="N1805">
        <v>48.1</v>
      </c>
      <c r="O1805">
        <v>51.9</v>
      </c>
      <c r="P1805">
        <v>44.9</v>
      </c>
      <c r="Q1805">
        <v>55.1</v>
      </c>
    </row>
    <row r="1806" spans="1:17" x14ac:dyDescent="0.25">
      <c r="A1806" s="2">
        <v>45269</v>
      </c>
      <c r="B1806" s="2" t="str">
        <f t="shared" si="56"/>
        <v>Saturday</v>
      </c>
      <c r="C1806" s="2" t="b">
        <f t="shared" si="57"/>
        <v>1</v>
      </c>
      <c r="D1806">
        <v>3</v>
      </c>
      <c r="E1806" t="s">
        <v>7</v>
      </c>
      <c r="F1806">
        <v>266</v>
      </c>
      <c r="G1806" s="3">
        <v>4207.4799999999996</v>
      </c>
      <c r="H1806" s="3">
        <f>Miami_Retail[[#This Row],[sales_usd]] / Miami_Retail[[#This Row],[customers]]</f>
        <v>15.817593984962404</v>
      </c>
      <c r="I1806">
        <v>78.400000000000006</v>
      </c>
      <c r="J1806">
        <f>(Miami_Retail[[#This Row],[avg_temp_f]]-32) * (5/9)</f>
        <v>25.777777777777782</v>
      </c>
      <c r="K1806">
        <v>0</v>
      </c>
      <c r="L1806">
        <v>0</v>
      </c>
      <c r="M1806">
        <v>50.6</v>
      </c>
      <c r="N1806">
        <v>47.7</v>
      </c>
      <c r="O1806">
        <v>52.3</v>
      </c>
      <c r="P1806">
        <v>48.6</v>
      </c>
      <c r="Q1806">
        <v>51.4</v>
      </c>
    </row>
    <row r="1807" spans="1:17" x14ac:dyDescent="0.25">
      <c r="A1807" s="2">
        <v>45270</v>
      </c>
      <c r="B1807" s="2" t="str">
        <f t="shared" si="56"/>
        <v>Sunday</v>
      </c>
      <c r="C1807" s="2" t="b">
        <f t="shared" si="57"/>
        <v>1</v>
      </c>
      <c r="D1807">
        <v>3</v>
      </c>
      <c r="E1807" t="s">
        <v>7</v>
      </c>
      <c r="F1807">
        <v>284</v>
      </c>
      <c r="G1807" s="3">
        <v>4279.63</v>
      </c>
      <c r="H1807" s="3">
        <f>Miami_Retail[[#This Row],[sales_usd]] / Miami_Retail[[#This Row],[customers]]</f>
        <v>15.06911971830986</v>
      </c>
      <c r="I1807">
        <v>83.7</v>
      </c>
      <c r="J1807">
        <f>(Miami_Retail[[#This Row],[avg_temp_f]]-32) * (5/9)</f>
        <v>28.722222222222225</v>
      </c>
      <c r="K1807">
        <v>0</v>
      </c>
      <c r="L1807">
        <v>0</v>
      </c>
      <c r="M1807">
        <v>59.3</v>
      </c>
      <c r="N1807">
        <v>48.2</v>
      </c>
      <c r="O1807">
        <v>51.8</v>
      </c>
      <c r="P1807">
        <v>50.7</v>
      </c>
      <c r="Q1807">
        <v>49.3</v>
      </c>
    </row>
    <row r="1808" spans="1:17" x14ac:dyDescent="0.25">
      <c r="A1808" s="2">
        <v>45271</v>
      </c>
      <c r="B1808" s="2" t="str">
        <f t="shared" si="56"/>
        <v>Monday</v>
      </c>
      <c r="C1808" s="2" t="b">
        <f t="shared" si="57"/>
        <v>0</v>
      </c>
      <c r="D1808">
        <v>3</v>
      </c>
      <c r="E1808" t="s">
        <v>7</v>
      </c>
      <c r="F1808">
        <v>163</v>
      </c>
      <c r="G1808" s="3">
        <v>2876.68</v>
      </c>
      <c r="H1808" s="3">
        <f>Miami_Retail[[#This Row],[sales_usd]] / Miami_Retail[[#This Row],[customers]]</f>
        <v>17.648343558282207</v>
      </c>
      <c r="I1808">
        <v>72.8</v>
      </c>
      <c r="J1808">
        <f>(Miami_Retail[[#This Row],[avg_temp_f]]-32) * (5/9)</f>
        <v>22.666666666666668</v>
      </c>
      <c r="K1808">
        <v>0</v>
      </c>
      <c r="L1808">
        <v>0</v>
      </c>
      <c r="M1808">
        <v>52.5</v>
      </c>
      <c r="N1808">
        <v>47.1</v>
      </c>
      <c r="O1808">
        <v>52.9</v>
      </c>
      <c r="P1808">
        <v>45.1</v>
      </c>
      <c r="Q1808">
        <v>54.9</v>
      </c>
    </row>
    <row r="1809" spans="1:17" x14ac:dyDescent="0.25">
      <c r="A1809" s="2">
        <v>45272</v>
      </c>
      <c r="B1809" s="2" t="str">
        <f t="shared" si="56"/>
        <v>Tuesday</v>
      </c>
      <c r="C1809" s="2" t="b">
        <f t="shared" si="57"/>
        <v>0</v>
      </c>
      <c r="D1809">
        <v>3</v>
      </c>
      <c r="E1809" t="s">
        <v>7</v>
      </c>
      <c r="F1809">
        <v>213</v>
      </c>
      <c r="G1809" s="3">
        <v>3796.49</v>
      </c>
      <c r="H1809" s="3">
        <f>Miami_Retail[[#This Row],[sales_usd]] / Miami_Retail[[#This Row],[customers]]</f>
        <v>17.823896713615021</v>
      </c>
      <c r="I1809">
        <v>83.6</v>
      </c>
      <c r="J1809">
        <f>(Miami_Retail[[#This Row],[avg_temp_f]]-32) * (5/9)</f>
        <v>28.666666666666664</v>
      </c>
      <c r="K1809">
        <v>0</v>
      </c>
      <c r="L1809">
        <v>0</v>
      </c>
      <c r="M1809">
        <v>49.9</v>
      </c>
      <c r="N1809">
        <v>49.5</v>
      </c>
      <c r="O1809">
        <v>50.5</v>
      </c>
      <c r="P1809">
        <v>42.7</v>
      </c>
      <c r="Q1809">
        <v>57.3</v>
      </c>
    </row>
    <row r="1810" spans="1:17" x14ac:dyDescent="0.25">
      <c r="A1810" s="2">
        <v>45273</v>
      </c>
      <c r="B1810" s="2" t="str">
        <f t="shared" si="56"/>
        <v>Wednesday</v>
      </c>
      <c r="C1810" s="2" t="b">
        <f t="shared" si="57"/>
        <v>0</v>
      </c>
      <c r="D1810">
        <v>3</v>
      </c>
      <c r="E1810" t="s">
        <v>7</v>
      </c>
      <c r="F1810">
        <v>208</v>
      </c>
      <c r="G1810" s="3">
        <v>3749.99</v>
      </c>
      <c r="H1810" s="3">
        <f>Miami_Retail[[#This Row],[sales_usd]] / Miami_Retail[[#This Row],[customers]]</f>
        <v>18.028798076923074</v>
      </c>
      <c r="I1810">
        <v>78.400000000000006</v>
      </c>
      <c r="J1810">
        <f>(Miami_Retail[[#This Row],[avg_temp_f]]-32) * (5/9)</f>
        <v>25.777777777777782</v>
      </c>
      <c r="K1810">
        <v>0</v>
      </c>
      <c r="L1810">
        <v>0</v>
      </c>
      <c r="M1810">
        <v>57</v>
      </c>
      <c r="N1810">
        <v>47.9</v>
      </c>
      <c r="O1810">
        <v>52.1</v>
      </c>
      <c r="P1810">
        <v>43.7</v>
      </c>
      <c r="Q1810">
        <v>56.3</v>
      </c>
    </row>
    <row r="1811" spans="1:17" x14ac:dyDescent="0.25">
      <c r="A1811" s="2">
        <v>45274</v>
      </c>
      <c r="B1811" s="2" t="str">
        <f t="shared" si="56"/>
        <v>Thursday</v>
      </c>
      <c r="C1811" s="2" t="b">
        <f t="shared" si="57"/>
        <v>0</v>
      </c>
      <c r="D1811">
        <v>3</v>
      </c>
      <c r="E1811" t="s">
        <v>7</v>
      </c>
      <c r="F1811">
        <v>194</v>
      </c>
      <c r="G1811" s="3">
        <v>3303.24</v>
      </c>
      <c r="H1811" s="3">
        <f>Miami_Retail[[#This Row],[sales_usd]] / Miami_Retail[[#This Row],[customers]]</f>
        <v>17.027010309278349</v>
      </c>
      <c r="I1811">
        <v>78.2</v>
      </c>
      <c r="J1811">
        <f>(Miami_Retail[[#This Row],[avg_temp_f]]-32) * (5/9)</f>
        <v>25.666666666666668</v>
      </c>
      <c r="K1811">
        <v>0</v>
      </c>
      <c r="L1811">
        <v>0</v>
      </c>
      <c r="M1811">
        <v>49.2</v>
      </c>
      <c r="N1811">
        <v>48.5</v>
      </c>
      <c r="O1811">
        <v>51.5</v>
      </c>
      <c r="P1811">
        <v>44.5</v>
      </c>
      <c r="Q1811">
        <v>55.5</v>
      </c>
    </row>
    <row r="1812" spans="1:17" x14ac:dyDescent="0.25">
      <c r="A1812" s="2">
        <v>45275</v>
      </c>
      <c r="B1812" s="2" t="str">
        <f t="shared" si="56"/>
        <v>Friday</v>
      </c>
      <c r="C1812" s="2" t="b">
        <f t="shared" si="57"/>
        <v>0</v>
      </c>
      <c r="D1812">
        <v>3</v>
      </c>
      <c r="E1812" t="s">
        <v>7</v>
      </c>
      <c r="F1812">
        <v>201</v>
      </c>
      <c r="G1812" s="3">
        <v>3313.34</v>
      </c>
      <c r="H1812" s="3">
        <f>Miami_Retail[[#This Row],[sales_usd]] / Miami_Retail[[#This Row],[customers]]</f>
        <v>16.484278606965177</v>
      </c>
      <c r="I1812">
        <v>73.3</v>
      </c>
      <c r="J1812">
        <f>(Miami_Retail[[#This Row],[avg_temp_f]]-32) * (5/9)</f>
        <v>22.944444444444443</v>
      </c>
      <c r="K1812">
        <v>0</v>
      </c>
      <c r="L1812">
        <v>0</v>
      </c>
      <c r="M1812">
        <v>45</v>
      </c>
      <c r="N1812">
        <v>47.2</v>
      </c>
      <c r="O1812">
        <v>52.8</v>
      </c>
      <c r="P1812">
        <v>44.4</v>
      </c>
      <c r="Q1812">
        <v>55.6</v>
      </c>
    </row>
    <row r="1813" spans="1:17" x14ac:dyDescent="0.25">
      <c r="A1813" s="2">
        <v>45276</v>
      </c>
      <c r="B1813" s="2" t="str">
        <f t="shared" si="56"/>
        <v>Saturday</v>
      </c>
      <c r="C1813" s="2" t="b">
        <f t="shared" si="57"/>
        <v>1</v>
      </c>
      <c r="D1813">
        <v>3</v>
      </c>
      <c r="E1813" t="s">
        <v>7</v>
      </c>
      <c r="F1813">
        <v>254</v>
      </c>
      <c r="G1813" s="3">
        <v>4338.0600000000004</v>
      </c>
      <c r="H1813" s="3">
        <f>Miami_Retail[[#This Row],[sales_usd]] / Miami_Retail[[#This Row],[customers]]</f>
        <v>17.078976377952756</v>
      </c>
      <c r="I1813">
        <v>78.3</v>
      </c>
      <c r="J1813">
        <f>(Miami_Retail[[#This Row],[avg_temp_f]]-32) * (5/9)</f>
        <v>25.722222222222221</v>
      </c>
      <c r="K1813">
        <v>0</v>
      </c>
      <c r="L1813">
        <v>0</v>
      </c>
      <c r="M1813">
        <v>54.7</v>
      </c>
      <c r="N1813">
        <v>50.4</v>
      </c>
      <c r="O1813">
        <v>49.6</v>
      </c>
      <c r="P1813">
        <v>51.4</v>
      </c>
      <c r="Q1813">
        <v>48.6</v>
      </c>
    </row>
    <row r="1814" spans="1:17" x14ac:dyDescent="0.25">
      <c r="A1814" s="2">
        <v>45277</v>
      </c>
      <c r="B1814" s="2" t="str">
        <f t="shared" si="56"/>
        <v>Sunday</v>
      </c>
      <c r="C1814" s="2" t="b">
        <f t="shared" si="57"/>
        <v>1</v>
      </c>
      <c r="D1814">
        <v>3</v>
      </c>
      <c r="E1814" t="s">
        <v>7</v>
      </c>
      <c r="F1814">
        <v>236</v>
      </c>
      <c r="G1814" s="3">
        <v>3478.49</v>
      </c>
      <c r="H1814" s="3">
        <f>Miami_Retail[[#This Row],[sales_usd]] / Miami_Retail[[#This Row],[customers]]</f>
        <v>14.739364406779661</v>
      </c>
      <c r="I1814">
        <v>74.900000000000006</v>
      </c>
      <c r="J1814">
        <f>(Miami_Retail[[#This Row],[avg_temp_f]]-32) * (5/9)</f>
        <v>23.833333333333339</v>
      </c>
      <c r="K1814">
        <v>0.45</v>
      </c>
      <c r="L1814">
        <v>1</v>
      </c>
      <c r="M1814">
        <v>53.7</v>
      </c>
      <c r="N1814">
        <v>47.2</v>
      </c>
      <c r="O1814">
        <v>52.8</v>
      </c>
      <c r="P1814">
        <v>51.1</v>
      </c>
      <c r="Q1814">
        <v>48.9</v>
      </c>
    </row>
    <row r="1815" spans="1:17" x14ac:dyDescent="0.25">
      <c r="A1815" s="2">
        <v>45278</v>
      </c>
      <c r="B1815" s="2" t="str">
        <f t="shared" si="56"/>
        <v>Monday</v>
      </c>
      <c r="C1815" s="2" t="b">
        <f t="shared" si="57"/>
        <v>0</v>
      </c>
      <c r="D1815">
        <v>3</v>
      </c>
      <c r="E1815" t="s">
        <v>7</v>
      </c>
      <c r="F1815">
        <v>188</v>
      </c>
      <c r="G1815" s="3">
        <v>3133.76</v>
      </c>
      <c r="H1815" s="3">
        <f>Miami_Retail[[#This Row],[sales_usd]] / Miami_Retail[[#This Row],[customers]]</f>
        <v>16.668936170212767</v>
      </c>
      <c r="I1815">
        <v>69.900000000000006</v>
      </c>
      <c r="J1815">
        <f>(Miami_Retail[[#This Row],[avg_temp_f]]-32) * (5/9)</f>
        <v>21.055555555555561</v>
      </c>
      <c r="K1815">
        <v>0</v>
      </c>
      <c r="L1815">
        <v>0</v>
      </c>
      <c r="M1815">
        <v>44</v>
      </c>
      <c r="N1815">
        <v>47.4</v>
      </c>
      <c r="O1815">
        <v>52.6</v>
      </c>
      <c r="P1815">
        <v>45.5</v>
      </c>
      <c r="Q1815">
        <v>54.5</v>
      </c>
    </row>
    <row r="1816" spans="1:17" x14ac:dyDescent="0.25">
      <c r="A1816" s="2">
        <v>45279</v>
      </c>
      <c r="B1816" s="2" t="str">
        <f t="shared" si="56"/>
        <v>Tuesday</v>
      </c>
      <c r="C1816" s="2" t="b">
        <f t="shared" si="57"/>
        <v>0</v>
      </c>
      <c r="D1816">
        <v>3</v>
      </c>
      <c r="E1816" t="s">
        <v>7</v>
      </c>
      <c r="F1816">
        <v>214</v>
      </c>
      <c r="G1816" s="3">
        <v>3264.71</v>
      </c>
      <c r="H1816" s="3">
        <f>Miami_Retail[[#This Row],[sales_usd]] / Miami_Retail[[#This Row],[customers]]</f>
        <v>15.255654205607478</v>
      </c>
      <c r="I1816">
        <v>76</v>
      </c>
      <c r="J1816">
        <f>(Miami_Retail[[#This Row],[avg_temp_f]]-32) * (5/9)</f>
        <v>24.444444444444446</v>
      </c>
      <c r="K1816">
        <v>0</v>
      </c>
      <c r="L1816">
        <v>0</v>
      </c>
      <c r="M1816">
        <v>54.3</v>
      </c>
      <c r="N1816">
        <v>48.2</v>
      </c>
      <c r="O1816">
        <v>51.8</v>
      </c>
      <c r="P1816">
        <v>43.5</v>
      </c>
      <c r="Q1816">
        <v>56.5</v>
      </c>
    </row>
    <row r="1817" spans="1:17" x14ac:dyDescent="0.25">
      <c r="A1817" s="2">
        <v>45280</v>
      </c>
      <c r="B1817" s="2" t="str">
        <f t="shared" si="56"/>
        <v>Wednesday</v>
      </c>
      <c r="C1817" s="2" t="b">
        <f t="shared" si="57"/>
        <v>0</v>
      </c>
      <c r="D1817">
        <v>3</v>
      </c>
      <c r="E1817" t="s">
        <v>7</v>
      </c>
      <c r="F1817">
        <v>196</v>
      </c>
      <c r="G1817" s="3">
        <v>3349.32</v>
      </c>
      <c r="H1817" s="3">
        <f>Miami_Retail[[#This Row],[sales_usd]] / Miami_Retail[[#This Row],[customers]]</f>
        <v>17.088367346938778</v>
      </c>
      <c r="I1817">
        <v>76.900000000000006</v>
      </c>
      <c r="J1817">
        <f>(Miami_Retail[[#This Row],[avg_temp_f]]-32) * (5/9)</f>
        <v>24.94444444444445</v>
      </c>
      <c r="K1817">
        <v>0</v>
      </c>
      <c r="L1817">
        <v>0</v>
      </c>
      <c r="M1817">
        <v>52</v>
      </c>
      <c r="N1817">
        <v>48.7</v>
      </c>
      <c r="O1817">
        <v>51.3</v>
      </c>
      <c r="P1817">
        <v>43.2</v>
      </c>
      <c r="Q1817">
        <v>56.8</v>
      </c>
    </row>
    <row r="1818" spans="1:17" x14ac:dyDescent="0.25">
      <c r="A1818" s="2">
        <v>45281</v>
      </c>
      <c r="B1818" s="2" t="str">
        <f t="shared" si="56"/>
        <v>Thursday</v>
      </c>
      <c r="C1818" s="2" t="b">
        <f t="shared" si="57"/>
        <v>0</v>
      </c>
      <c r="D1818">
        <v>3</v>
      </c>
      <c r="E1818" t="s">
        <v>7</v>
      </c>
      <c r="F1818">
        <v>207</v>
      </c>
      <c r="G1818" s="3">
        <v>3320.35</v>
      </c>
      <c r="H1818" s="3">
        <f>Miami_Retail[[#This Row],[sales_usd]] / Miami_Retail[[#This Row],[customers]]</f>
        <v>16.040338164251207</v>
      </c>
      <c r="I1818">
        <v>79.2</v>
      </c>
      <c r="J1818">
        <f>(Miami_Retail[[#This Row],[avg_temp_f]]-32) * (5/9)</f>
        <v>26.222222222222225</v>
      </c>
      <c r="K1818">
        <v>2.35</v>
      </c>
      <c r="L1818">
        <v>1</v>
      </c>
      <c r="M1818">
        <v>47.7</v>
      </c>
      <c r="N1818">
        <v>48.9</v>
      </c>
      <c r="O1818">
        <v>51.1</v>
      </c>
      <c r="P1818">
        <v>43</v>
      </c>
      <c r="Q1818">
        <v>57</v>
      </c>
    </row>
    <row r="1819" spans="1:17" x14ac:dyDescent="0.25">
      <c r="A1819" s="2">
        <v>45282</v>
      </c>
      <c r="B1819" s="2" t="str">
        <f t="shared" si="56"/>
        <v>Friday</v>
      </c>
      <c r="C1819" s="2" t="b">
        <f t="shared" si="57"/>
        <v>0</v>
      </c>
      <c r="D1819">
        <v>3</v>
      </c>
      <c r="E1819" t="s">
        <v>7</v>
      </c>
      <c r="F1819">
        <v>205</v>
      </c>
      <c r="G1819" s="3">
        <v>3518.11</v>
      </c>
      <c r="H1819" s="3">
        <f>Miami_Retail[[#This Row],[sales_usd]] / Miami_Retail[[#This Row],[customers]]</f>
        <v>17.161512195121951</v>
      </c>
      <c r="I1819">
        <v>75.400000000000006</v>
      </c>
      <c r="J1819">
        <f>(Miami_Retail[[#This Row],[avg_temp_f]]-32) * (5/9)</f>
        <v>24.111111111111114</v>
      </c>
      <c r="K1819">
        <v>0</v>
      </c>
      <c r="L1819">
        <v>0</v>
      </c>
      <c r="M1819">
        <v>35</v>
      </c>
      <c r="N1819">
        <v>48.2</v>
      </c>
      <c r="O1819">
        <v>51.8</v>
      </c>
      <c r="P1819">
        <v>45.2</v>
      </c>
      <c r="Q1819">
        <v>54.8</v>
      </c>
    </row>
    <row r="1820" spans="1:17" x14ac:dyDescent="0.25">
      <c r="A1820" s="2">
        <v>45283</v>
      </c>
      <c r="B1820" s="2" t="str">
        <f t="shared" si="56"/>
        <v>Saturday</v>
      </c>
      <c r="C1820" s="2" t="b">
        <f t="shared" si="57"/>
        <v>1</v>
      </c>
      <c r="D1820">
        <v>3</v>
      </c>
      <c r="E1820" t="s">
        <v>7</v>
      </c>
      <c r="F1820">
        <v>237</v>
      </c>
      <c r="G1820" s="3">
        <v>3740.23</v>
      </c>
      <c r="H1820" s="3">
        <f>Miami_Retail[[#This Row],[sales_usd]] / Miami_Retail[[#This Row],[customers]]</f>
        <v>15.781561181434599</v>
      </c>
      <c r="I1820">
        <v>77.3</v>
      </c>
      <c r="J1820">
        <f>(Miami_Retail[[#This Row],[avg_temp_f]]-32) * (5/9)</f>
        <v>25.166666666666668</v>
      </c>
      <c r="K1820">
        <v>0</v>
      </c>
      <c r="L1820">
        <v>0</v>
      </c>
      <c r="M1820">
        <v>51</v>
      </c>
      <c r="N1820">
        <v>50.3</v>
      </c>
      <c r="O1820">
        <v>49.7</v>
      </c>
      <c r="P1820">
        <v>50.7</v>
      </c>
      <c r="Q1820">
        <v>49.3</v>
      </c>
    </row>
    <row r="1821" spans="1:17" x14ac:dyDescent="0.25">
      <c r="A1821" s="2">
        <v>45284</v>
      </c>
      <c r="B1821" s="2" t="str">
        <f t="shared" si="56"/>
        <v>Sunday</v>
      </c>
      <c r="C1821" s="2" t="b">
        <f t="shared" si="57"/>
        <v>1</v>
      </c>
      <c r="D1821">
        <v>3</v>
      </c>
      <c r="E1821" t="s">
        <v>7</v>
      </c>
      <c r="F1821">
        <v>216</v>
      </c>
      <c r="G1821" s="3">
        <v>3474.38</v>
      </c>
      <c r="H1821" s="3">
        <f>Miami_Retail[[#This Row],[sales_usd]] / Miami_Retail[[#This Row],[customers]]</f>
        <v>16.085092592592591</v>
      </c>
      <c r="I1821">
        <v>70.8</v>
      </c>
      <c r="J1821">
        <f>(Miami_Retail[[#This Row],[avg_temp_f]]-32) * (5/9)</f>
        <v>21.555555555555554</v>
      </c>
      <c r="K1821">
        <v>0</v>
      </c>
      <c r="L1821">
        <v>0</v>
      </c>
      <c r="M1821">
        <v>49</v>
      </c>
      <c r="N1821">
        <v>49.6</v>
      </c>
      <c r="O1821">
        <v>50.4</v>
      </c>
      <c r="P1821">
        <v>49.6</v>
      </c>
      <c r="Q1821">
        <v>50.4</v>
      </c>
    </row>
    <row r="1822" spans="1:17" x14ac:dyDescent="0.25">
      <c r="A1822" s="2">
        <v>45285</v>
      </c>
      <c r="B1822" s="2" t="str">
        <f t="shared" si="56"/>
        <v>Monday</v>
      </c>
      <c r="C1822" s="2" t="b">
        <f t="shared" si="57"/>
        <v>0</v>
      </c>
      <c r="D1822">
        <v>3</v>
      </c>
      <c r="E1822" t="s">
        <v>7</v>
      </c>
      <c r="F1822">
        <v>224</v>
      </c>
      <c r="G1822" s="3">
        <v>3707.48</v>
      </c>
      <c r="H1822" s="3">
        <f>Miami_Retail[[#This Row],[sales_usd]] / Miami_Retail[[#This Row],[customers]]</f>
        <v>16.55125</v>
      </c>
      <c r="I1822">
        <v>80.8</v>
      </c>
      <c r="J1822">
        <f>(Miami_Retail[[#This Row],[avg_temp_f]]-32) * (5/9)</f>
        <v>27.111111111111111</v>
      </c>
      <c r="K1822">
        <v>0</v>
      </c>
      <c r="L1822">
        <v>0</v>
      </c>
      <c r="M1822">
        <v>50.1</v>
      </c>
      <c r="N1822">
        <v>47.7</v>
      </c>
      <c r="O1822">
        <v>52.3</v>
      </c>
      <c r="P1822">
        <v>44.9</v>
      </c>
      <c r="Q1822">
        <v>55.1</v>
      </c>
    </row>
    <row r="1823" spans="1:17" x14ac:dyDescent="0.25">
      <c r="A1823" s="2">
        <v>45286</v>
      </c>
      <c r="B1823" s="2" t="str">
        <f t="shared" si="56"/>
        <v>Tuesday</v>
      </c>
      <c r="C1823" s="2" t="b">
        <f t="shared" si="57"/>
        <v>0</v>
      </c>
      <c r="D1823">
        <v>3</v>
      </c>
      <c r="E1823" t="s">
        <v>7</v>
      </c>
      <c r="F1823">
        <v>188</v>
      </c>
      <c r="G1823" s="3">
        <v>2989.34</v>
      </c>
      <c r="H1823" s="3">
        <f>Miami_Retail[[#This Row],[sales_usd]] / Miami_Retail[[#This Row],[customers]]</f>
        <v>15.900744680851064</v>
      </c>
      <c r="I1823">
        <v>69.8</v>
      </c>
      <c r="J1823">
        <f>(Miami_Retail[[#This Row],[avg_temp_f]]-32) * (5/9)</f>
        <v>21</v>
      </c>
      <c r="K1823">
        <v>0</v>
      </c>
      <c r="L1823">
        <v>0</v>
      </c>
      <c r="M1823">
        <v>48.9</v>
      </c>
      <c r="N1823">
        <v>47.2</v>
      </c>
      <c r="O1823">
        <v>52.8</v>
      </c>
      <c r="P1823">
        <v>43.5</v>
      </c>
      <c r="Q1823">
        <v>56.5</v>
      </c>
    </row>
    <row r="1824" spans="1:17" x14ac:dyDescent="0.25">
      <c r="A1824" s="2">
        <v>45287</v>
      </c>
      <c r="B1824" s="2" t="str">
        <f t="shared" si="56"/>
        <v>Wednesday</v>
      </c>
      <c r="C1824" s="2" t="b">
        <f t="shared" si="57"/>
        <v>0</v>
      </c>
      <c r="D1824">
        <v>3</v>
      </c>
      <c r="E1824" t="s">
        <v>7</v>
      </c>
      <c r="F1824">
        <v>223</v>
      </c>
      <c r="G1824" s="3">
        <v>3783.89</v>
      </c>
      <c r="H1824" s="3">
        <f>Miami_Retail[[#This Row],[sales_usd]] / Miami_Retail[[#This Row],[customers]]</f>
        <v>16.968116591928251</v>
      </c>
      <c r="I1824">
        <v>80.099999999999994</v>
      </c>
      <c r="J1824">
        <f>(Miami_Retail[[#This Row],[avg_temp_f]]-32) * (5/9)</f>
        <v>26.722222222222221</v>
      </c>
      <c r="K1824">
        <v>0</v>
      </c>
      <c r="L1824">
        <v>0</v>
      </c>
      <c r="M1824">
        <v>53.3</v>
      </c>
      <c r="N1824">
        <v>49.1</v>
      </c>
      <c r="O1824">
        <v>50.9</v>
      </c>
      <c r="P1824">
        <v>45</v>
      </c>
      <c r="Q1824">
        <v>55</v>
      </c>
    </row>
    <row r="1825" spans="1:17" x14ac:dyDescent="0.25">
      <c r="A1825" s="2">
        <v>45288</v>
      </c>
      <c r="B1825" s="2" t="str">
        <f t="shared" si="56"/>
        <v>Thursday</v>
      </c>
      <c r="C1825" s="2" t="b">
        <f t="shared" si="57"/>
        <v>0</v>
      </c>
      <c r="D1825">
        <v>3</v>
      </c>
      <c r="E1825" t="s">
        <v>7</v>
      </c>
      <c r="F1825">
        <v>198</v>
      </c>
      <c r="G1825" s="3">
        <v>3517.82</v>
      </c>
      <c r="H1825" s="3">
        <f>Miami_Retail[[#This Row],[sales_usd]] / Miami_Retail[[#This Row],[customers]]</f>
        <v>17.766767676767678</v>
      </c>
      <c r="I1825">
        <v>75.099999999999994</v>
      </c>
      <c r="J1825">
        <f>(Miami_Retail[[#This Row],[avg_temp_f]]-32) * (5/9)</f>
        <v>23.944444444444443</v>
      </c>
      <c r="K1825">
        <v>0</v>
      </c>
      <c r="L1825">
        <v>0</v>
      </c>
      <c r="M1825">
        <v>53.3</v>
      </c>
      <c r="N1825">
        <v>48.8</v>
      </c>
      <c r="O1825">
        <v>51.2</v>
      </c>
      <c r="P1825">
        <v>44.5</v>
      </c>
      <c r="Q1825">
        <v>55.5</v>
      </c>
    </row>
    <row r="1826" spans="1:17" x14ac:dyDescent="0.25">
      <c r="A1826" s="2">
        <v>45289</v>
      </c>
      <c r="B1826" s="2" t="str">
        <f t="shared" si="56"/>
        <v>Friday</v>
      </c>
      <c r="C1826" s="2" t="b">
        <f t="shared" si="57"/>
        <v>0</v>
      </c>
      <c r="D1826">
        <v>3</v>
      </c>
      <c r="E1826" t="s">
        <v>7</v>
      </c>
      <c r="F1826">
        <v>170</v>
      </c>
      <c r="G1826" s="3">
        <v>2922.97</v>
      </c>
      <c r="H1826" s="3">
        <f>Miami_Retail[[#This Row],[sales_usd]] / Miami_Retail[[#This Row],[customers]]</f>
        <v>17.193941176470588</v>
      </c>
      <c r="I1826">
        <v>72.900000000000006</v>
      </c>
      <c r="J1826">
        <f>(Miami_Retail[[#This Row],[avg_temp_f]]-32) * (5/9)</f>
        <v>22.722222222222225</v>
      </c>
      <c r="K1826">
        <v>0</v>
      </c>
      <c r="L1826">
        <v>0</v>
      </c>
      <c r="M1826">
        <v>47.4</v>
      </c>
      <c r="N1826">
        <v>48.1</v>
      </c>
      <c r="O1826">
        <v>51.9</v>
      </c>
      <c r="P1826">
        <v>43.5</v>
      </c>
      <c r="Q1826">
        <v>56.5</v>
      </c>
    </row>
    <row r="1827" spans="1:17" x14ac:dyDescent="0.25">
      <c r="A1827" s="2">
        <v>45290</v>
      </c>
      <c r="B1827" s="2" t="str">
        <f t="shared" si="56"/>
        <v>Saturday</v>
      </c>
      <c r="C1827" s="2" t="b">
        <f t="shared" si="57"/>
        <v>1</v>
      </c>
      <c r="D1827">
        <v>3</v>
      </c>
      <c r="E1827" t="s">
        <v>7</v>
      </c>
      <c r="F1827">
        <v>230</v>
      </c>
      <c r="G1827" s="3">
        <v>3971.74</v>
      </c>
      <c r="H1827" s="3">
        <f>Miami_Retail[[#This Row],[sales_usd]] / Miami_Retail[[#This Row],[customers]]</f>
        <v>17.268434782608693</v>
      </c>
      <c r="I1827">
        <v>75.099999999999994</v>
      </c>
      <c r="J1827">
        <f>(Miami_Retail[[#This Row],[avg_temp_f]]-32) * (5/9)</f>
        <v>23.944444444444443</v>
      </c>
      <c r="K1827">
        <v>0</v>
      </c>
      <c r="L1827">
        <v>0</v>
      </c>
      <c r="M1827">
        <v>40.5</v>
      </c>
      <c r="N1827">
        <v>50.2</v>
      </c>
      <c r="O1827">
        <v>49.8</v>
      </c>
      <c r="P1827">
        <v>49.9</v>
      </c>
      <c r="Q1827">
        <v>50.1</v>
      </c>
    </row>
    <row r="1828" spans="1:17" x14ac:dyDescent="0.25">
      <c r="A1828" s="2">
        <v>45291</v>
      </c>
      <c r="B1828" s="2" t="str">
        <f t="shared" si="56"/>
        <v>Sunday</v>
      </c>
      <c r="C1828" s="2" t="b">
        <f t="shared" si="57"/>
        <v>1</v>
      </c>
      <c r="D1828">
        <v>3</v>
      </c>
      <c r="E1828" t="s">
        <v>7</v>
      </c>
      <c r="F1828">
        <v>256</v>
      </c>
      <c r="G1828" s="3">
        <v>4256.1099999999997</v>
      </c>
      <c r="H1828" s="3">
        <f>Miami_Retail[[#This Row],[sales_usd]] / Miami_Retail[[#This Row],[customers]]</f>
        <v>16.625429687499999</v>
      </c>
      <c r="I1828">
        <v>77.2</v>
      </c>
      <c r="J1828">
        <f>(Miami_Retail[[#This Row],[avg_temp_f]]-32) * (5/9)</f>
        <v>25.111111111111114</v>
      </c>
      <c r="K1828">
        <v>0</v>
      </c>
      <c r="L1828">
        <v>0</v>
      </c>
      <c r="M1828">
        <v>37.799999999999997</v>
      </c>
      <c r="N1828">
        <v>49</v>
      </c>
      <c r="O1828">
        <v>51</v>
      </c>
      <c r="P1828">
        <v>49.5</v>
      </c>
      <c r="Q1828">
        <v>50.5</v>
      </c>
    </row>
    <row r="1829" spans="1:17" x14ac:dyDescent="0.25">
      <c r="A1829" s="2">
        <v>45292</v>
      </c>
      <c r="B1829" s="2" t="str">
        <f t="shared" si="56"/>
        <v>Monday</v>
      </c>
      <c r="C1829" s="2" t="b">
        <f t="shared" si="57"/>
        <v>0</v>
      </c>
      <c r="D1829">
        <v>3</v>
      </c>
      <c r="E1829" t="s">
        <v>7</v>
      </c>
      <c r="F1829">
        <v>191</v>
      </c>
      <c r="G1829" s="3">
        <v>2838.86</v>
      </c>
      <c r="H1829" s="3">
        <f>Miami_Retail[[#This Row],[sales_usd]] / Miami_Retail[[#This Row],[customers]]</f>
        <v>14.863141361256545</v>
      </c>
      <c r="I1829">
        <v>74.400000000000006</v>
      </c>
      <c r="J1829">
        <f>(Miami_Retail[[#This Row],[avg_temp_f]]-32) * (5/9)</f>
        <v>23.555555555555561</v>
      </c>
      <c r="K1829">
        <v>0.67</v>
      </c>
      <c r="L1829">
        <v>1</v>
      </c>
      <c r="M1829">
        <v>49.5</v>
      </c>
      <c r="N1829">
        <v>46.7</v>
      </c>
      <c r="O1829">
        <v>53.3</v>
      </c>
      <c r="P1829">
        <v>45.3</v>
      </c>
      <c r="Q1829">
        <v>54.7</v>
      </c>
    </row>
    <row r="1830" spans="1:17" x14ac:dyDescent="0.25">
      <c r="A1830" s="2">
        <v>45293</v>
      </c>
      <c r="B1830" s="2" t="str">
        <f t="shared" si="56"/>
        <v>Tuesday</v>
      </c>
      <c r="C1830" s="2" t="b">
        <f t="shared" si="57"/>
        <v>0</v>
      </c>
      <c r="D1830">
        <v>3</v>
      </c>
      <c r="E1830" t="s">
        <v>7</v>
      </c>
      <c r="F1830">
        <v>229</v>
      </c>
      <c r="G1830" s="3">
        <v>3793.85</v>
      </c>
      <c r="H1830" s="3">
        <f>Miami_Retail[[#This Row],[sales_usd]] / Miami_Retail[[#This Row],[customers]]</f>
        <v>16.567030567685588</v>
      </c>
      <c r="I1830">
        <v>73.900000000000006</v>
      </c>
      <c r="J1830">
        <f>(Miami_Retail[[#This Row],[avg_temp_f]]-32) * (5/9)</f>
        <v>23.277777777777782</v>
      </c>
      <c r="K1830">
        <v>0</v>
      </c>
      <c r="L1830">
        <v>0</v>
      </c>
      <c r="M1830">
        <v>45.8</v>
      </c>
      <c r="N1830">
        <v>47.2</v>
      </c>
      <c r="O1830">
        <v>52.8</v>
      </c>
      <c r="P1830">
        <v>45.2</v>
      </c>
      <c r="Q1830">
        <v>54.8</v>
      </c>
    </row>
    <row r="1831" spans="1:17" x14ac:dyDescent="0.25">
      <c r="A1831" s="2">
        <v>45294</v>
      </c>
      <c r="B1831" s="2" t="str">
        <f t="shared" si="56"/>
        <v>Wednesday</v>
      </c>
      <c r="C1831" s="2" t="b">
        <f t="shared" si="57"/>
        <v>0</v>
      </c>
      <c r="D1831">
        <v>3</v>
      </c>
      <c r="E1831" t="s">
        <v>7</v>
      </c>
      <c r="F1831">
        <v>207</v>
      </c>
      <c r="G1831" s="3">
        <v>3321.64</v>
      </c>
      <c r="H1831" s="3">
        <f>Miami_Retail[[#This Row],[sales_usd]] / Miami_Retail[[#This Row],[customers]]</f>
        <v>16.046570048309178</v>
      </c>
      <c r="I1831">
        <v>72.5</v>
      </c>
      <c r="J1831">
        <f>(Miami_Retail[[#This Row],[avg_temp_f]]-32) * (5/9)</f>
        <v>22.5</v>
      </c>
      <c r="K1831">
        <v>0.04</v>
      </c>
      <c r="L1831">
        <v>1</v>
      </c>
      <c r="M1831">
        <v>38.299999999999997</v>
      </c>
      <c r="N1831">
        <v>48.8</v>
      </c>
      <c r="O1831">
        <v>51.2</v>
      </c>
      <c r="P1831">
        <v>44.3</v>
      </c>
      <c r="Q1831">
        <v>55.7</v>
      </c>
    </row>
    <row r="1832" spans="1:17" x14ac:dyDescent="0.25">
      <c r="A1832" s="2">
        <v>45295</v>
      </c>
      <c r="B1832" s="2" t="str">
        <f t="shared" si="56"/>
        <v>Thursday</v>
      </c>
      <c r="C1832" s="2" t="b">
        <f t="shared" si="57"/>
        <v>0</v>
      </c>
      <c r="D1832">
        <v>3</v>
      </c>
      <c r="E1832" t="s">
        <v>7</v>
      </c>
      <c r="F1832">
        <v>190</v>
      </c>
      <c r="G1832" s="3">
        <v>3275.8</v>
      </c>
      <c r="H1832" s="3">
        <f>Miami_Retail[[#This Row],[sales_usd]] / Miami_Retail[[#This Row],[customers]]</f>
        <v>17.241052631578949</v>
      </c>
      <c r="I1832">
        <v>73.8</v>
      </c>
      <c r="J1832">
        <f>(Miami_Retail[[#This Row],[avg_temp_f]]-32) * (5/9)</f>
        <v>23.222222222222221</v>
      </c>
      <c r="K1832">
        <v>1.57</v>
      </c>
      <c r="L1832">
        <v>1</v>
      </c>
      <c r="M1832">
        <v>43.7</v>
      </c>
      <c r="N1832">
        <v>50.4</v>
      </c>
      <c r="O1832">
        <v>49.6</v>
      </c>
      <c r="P1832">
        <v>45.4</v>
      </c>
      <c r="Q1832">
        <v>54.6</v>
      </c>
    </row>
    <row r="1833" spans="1:17" x14ac:dyDescent="0.25">
      <c r="A1833" s="2">
        <v>45296</v>
      </c>
      <c r="B1833" s="2" t="str">
        <f t="shared" si="56"/>
        <v>Friday</v>
      </c>
      <c r="C1833" s="2" t="b">
        <f t="shared" si="57"/>
        <v>0</v>
      </c>
      <c r="D1833">
        <v>3</v>
      </c>
      <c r="E1833" t="s">
        <v>7</v>
      </c>
      <c r="F1833">
        <v>207</v>
      </c>
      <c r="G1833" s="3">
        <v>3469.27</v>
      </c>
      <c r="H1833" s="3">
        <f>Miami_Retail[[#This Row],[sales_usd]] / Miami_Retail[[#This Row],[customers]]</f>
        <v>16.759758454106279</v>
      </c>
      <c r="I1833">
        <v>69</v>
      </c>
      <c r="J1833">
        <f>(Miami_Retail[[#This Row],[avg_temp_f]]-32) * (5/9)</f>
        <v>20.555555555555557</v>
      </c>
      <c r="K1833">
        <v>0</v>
      </c>
      <c r="L1833">
        <v>0</v>
      </c>
      <c r="M1833">
        <v>46.6</v>
      </c>
      <c r="N1833">
        <v>49.6</v>
      </c>
      <c r="O1833">
        <v>50.4</v>
      </c>
      <c r="P1833">
        <v>44.2</v>
      </c>
      <c r="Q1833">
        <v>55.8</v>
      </c>
    </row>
    <row r="1834" spans="1:17" x14ac:dyDescent="0.25">
      <c r="A1834" s="2">
        <v>45297</v>
      </c>
      <c r="B1834" s="2" t="str">
        <f t="shared" si="56"/>
        <v>Saturday</v>
      </c>
      <c r="C1834" s="2" t="b">
        <f t="shared" si="57"/>
        <v>1</v>
      </c>
      <c r="D1834">
        <v>3</v>
      </c>
      <c r="E1834" t="s">
        <v>7</v>
      </c>
      <c r="F1834">
        <v>229</v>
      </c>
      <c r="G1834" s="3">
        <v>3559.96</v>
      </c>
      <c r="H1834" s="3">
        <f>Miami_Retail[[#This Row],[sales_usd]] / Miami_Retail[[#This Row],[customers]]</f>
        <v>15.545676855895197</v>
      </c>
      <c r="I1834">
        <v>77.599999999999994</v>
      </c>
      <c r="J1834">
        <f>(Miami_Retail[[#This Row],[avg_temp_f]]-32) * (5/9)</f>
        <v>25.333333333333332</v>
      </c>
      <c r="K1834">
        <v>0</v>
      </c>
      <c r="L1834">
        <v>0</v>
      </c>
      <c r="M1834">
        <v>45.5</v>
      </c>
      <c r="N1834">
        <v>50.2</v>
      </c>
      <c r="O1834">
        <v>49.8</v>
      </c>
      <c r="P1834">
        <v>52.1</v>
      </c>
      <c r="Q1834">
        <v>47.9</v>
      </c>
    </row>
    <row r="1835" spans="1:17" x14ac:dyDescent="0.25">
      <c r="A1835" s="2">
        <v>45298</v>
      </c>
      <c r="B1835" s="2" t="str">
        <f t="shared" si="56"/>
        <v>Sunday</v>
      </c>
      <c r="C1835" s="2" t="b">
        <f t="shared" si="57"/>
        <v>1</v>
      </c>
      <c r="D1835">
        <v>3</v>
      </c>
      <c r="E1835" t="s">
        <v>7</v>
      </c>
      <c r="F1835">
        <v>272</v>
      </c>
      <c r="G1835" s="3">
        <v>4566.4799999999996</v>
      </c>
      <c r="H1835" s="3">
        <f>Miami_Retail[[#This Row],[sales_usd]] / Miami_Retail[[#This Row],[customers]]</f>
        <v>16.788529411764703</v>
      </c>
      <c r="I1835">
        <v>76.099999999999994</v>
      </c>
      <c r="J1835">
        <f>(Miami_Retail[[#This Row],[avg_temp_f]]-32) * (5/9)</f>
        <v>24.499999999999996</v>
      </c>
      <c r="K1835">
        <v>0</v>
      </c>
      <c r="L1835">
        <v>0</v>
      </c>
      <c r="M1835">
        <v>46.8</v>
      </c>
      <c r="N1835">
        <v>49.8</v>
      </c>
      <c r="O1835">
        <v>50.2</v>
      </c>
      <c r="P1835">
        <v>50.3</v>
      </c>
      <c r="Q1835">
        <v>49.7</v>
      </c>
    </row>
    <row r="1836" spans="1:17" x14ac:dyDescent="0.25">
      <c r="A1836" s="2">
        <v>45299</v>
      </c>
      <c r="B1836" s="2" t="str">
        <f t="shared" si="56"/>
        <v>Monday</v>
      </c>
      <c r="C1836" s="2" t="b">
        <f t="shared" si="57"/>
        <v>0</v>
      </c>
      <c r="D1836">
        <v>3</v>
      </c>
      <c r="E1836" t="s">
        <v>7</v>
      </c>
      <c r="F1836">
        <v>173</v>
      </c>
      <c r="G1836" s="3">
        <v>3210.49</v>
      </c>
      <c r="H1836" s="3">
        <f>Miami_Retail[[#This Row],[sales_usd]] / Miami_Retail[[#This Row],[customers]]</f>
        <v>18.557745664739883</v>
      </c>
      <c r="I1836">
        <v>71.8</v>
      </c>
      <c r="J1836">
        <f>(Miami_Retail[[#This Row],[avg_temp_f]]-32) * (5/9)</f>
        <v>22.111111111111111</v>
      </c>
      <c r="K1836">
        <v>0</v>
      </c>
      <c r="L1836">
        <v>0</v>
      </c>
      <c r="M1836">
        <v>41.8</v>
      </c>
      <c r="N1836">
        <v>49.6</v>
      </c>
      <c r="O1836">
        <v>50.4</v>
      </c>
      <c r="P1836">
        <v>45.4</v>
      </c>
      <c r="Q1836">
        <v>54.6</v>
      </c>
    </row>
    <row r="1837" spans="1:17" x14ac:dyDescent="0.25">
      <c r="A1837" s="2">
        <v>45300</v>
      </c>
      <c r="B1837" s="2" t="str">
        <f t="shared" si="56"/>
        <v>Tuesday</v>
      </c>
      <c r="C1837" s="2" t="b">
        <f t="shared" si="57"/>
        <v>0</v>
      </c>
      <c r="D1837">
        <v>3</v>
      </c>
      <c r="E1837" t="s">
        <v>7</v>
      </c>
      <c r="F1837">
        <v>186</v>
      </c>
      <c r="G1837" s="3">
        <v>2898.46</v>
      </c>
      <c r="H1837" s="3">
        <f>Miami_Retail[[#This Row],[sales_usd]] / Miami_Retail[[#This Row],[customers]]</f>
        <v>15.583118279569893</v>
      </c>
      <c r="I1837">
        <v>76.400000000000006</v>
      </c>
      <c r="J1837">
        <f>(Miami_Retail[[#This Row],[avg_temp_f]]-32) * (5/9)</f>
        <v>24.666666666666671</v>
      </c>
      <c r="K1837">
        <v>0</v>
      </c>
      <c r="L1837">
        <v>0</v>
      </c>
      <c r="M1837">
        <v>51.6</v>
      </c>
      <c r="N1837">
        <v>48.8</v>
      </c>
      <c r="O1837">
        <v>51.2</v>
      </c>
      <c r="P1837">
        <v>44.4</v>
      </c>
      <c r="Q1837">
        <v>55.6</v>
      </c>
    </row>
    <row r="1838" spans="1:17" x14ac:dyDescent="0.25">
      <c r="A1838" s="2">
        <v>45301</v>
      </c>
      <c r="B1838" s="2" t="str">
        <f t="shared" si="56"/>
        <v>Wednesday</v>
      </c>
      <c r="C1838" s="2" t="b">
        <f t="shared" si="57"/>
        <v>0</v>
      </c>
      <c r="D1838">
        <v>3</v>
      </c>
      <c r="E1838" t="s">
        <v>7</v>
      </c>
      <c r="F1838">
        <v>218</v>
      </c>
      <c r="G1838" s="3">
        <v>3639.27</v>
      </c>
      <c r="H1838" s="3">
        <f>Miami_Retail[[#This Row],[sales_usd]] / Miami_Retail[[#This Row],[customers]]</f>
        <v>16.693899082568809</v>
      </c>
      <c r="I1838">
        <v>76.099999999999994</v>
      </c>
      <c r="J1838">
        <f>(Miami_Retail[[#This Row],[avg_temp_f]]-32) * (5/9)</f>
        <v>24.499999999999996</v>
      </c>
      <c r="K1838">
        <v>0</v>
      </c>
      <c r="L1838">
        <v>0</v>
      </c>
      <c r="M1838">
        <v>35.1</v>
      </c>
      <c r="N1838">
        <v>48.3</v>
      </c>
      <c r="O1838">
        <v>51.7</v>
      </c>
      <c r="P1838">
        <v>44.8</v>
      </c>
      <c r="Q1838">
        <v>55.2</v>
      </c>
    </row>
    <row r="1839" spans="1:17" x14ac:dyDescent="0.25">
      <c r="A1839" s="2">
        <v>45302</v>
      </c>
      <c r="B1839" s="2" t="str">
        <f t="shared" si="56"/>
        <v>Thursday</v>
      </c>
      <c r="C1839" s="2" t="b">
        <f t="shared" si="57"/>
        <v>0</v>
      </c>
      <c r="D1839">
        <v>3</v>
      </c>
      <c r="E1839" t="s">
        <v>7</v>
      </c>
      <c r="F1839">
        <v>193</v>
      </c>
      <c r="G1839" s="3">
        <v>3363.81</v>
      </c>
      <c r="H1839" s="3">
        <f>Miami_Retail[[#This Row],[sales_usd]] / Miami_Retail[[#This Row],[customers]]</f>
        <v>17.429067357512952</v>
      </c>
      <c r="I1839">
        <v>74.900000000000006</v>
      </c>
      <c r="J1839">
        <f>(Miami_Retail[[#This Row],[avg_temp_f]]-32) * (5/9)</f>
        <v>23.833333333333339</v>
      </c>
      <c r="K1839">
        <v>0.08</v>
      </c>
      <c r="L1839">
        <v>1</v>
      </c>
      <c r="M1839">
        <v>39.200000000000003</v>
      </c>
      <c r="N1839">
        <v>50.5</v>
      </c>
      <c r="O1839">
        <v>49.5</v>
      </c>
      <c r="P1839">
        <v>43</v>
      </c>
      <c r="Q1839">
        <v>57</v>
      </c>
    </row>
    <row r="1840" spans="1:17" x14ac:dyDescent="0.25">
      <c r="A1840" s="2">
        <v>45303</v>
      </c>
      <c r="B1840" s="2" t="str">
        <f t="shared" si="56"/>
        <v>Friday</v>
      </c>
      <c r="C1840" s="2" t="b">
        <f t="shared" si="57"/>
        <v>0</v>
      </c>
      <c r="D1840">
        <v>3</v>
      </c>
      <c r="E1840" t="s">
        <v>7</v>
      </c>
      <c r="F1840">
        <v>208</v>
      </c>
      <c r="G1840" s="3">
        <v>3130.57</v>
      </c>
      <c r="H1840" s="3">
        <f>Miami_Retail[[#This Row],[sales_usd]] / Miami_Retail[[#This Row],[customers]]</f>
        <v>15.050817307692309</v>
      </c>
      <c r="I1840">
        <v>79.2</v>
      </c>
      <c r="J1840">
        <f>(Miami_Retail[[#This Row],[avg_temp_f]]-32) * (5/9)</f>
        <v>26.222222222222225</v>
      </c>
      <c r="K1840">
        <v>0</v>
      </c>
      <c r="L1840">
        <v>0</v>
      </c>
      <c r="M1840">
        <v>44.7</v>
      </c>
      <c r="N1840">
        <v>50.4</v>
      </c>
      <c r="O1840">
        <v>49.6</v>
      </c>
      <c r="P1840">
        <v>45.3</v>
      </c>
      <c r="Q1840">
        <v>54.7</v>
      </c>
    </row>
    <row r="1841" spans="1:17" x14ac:dyDescent="0.25">
      <c r="A1841" s="2">
        <v>45304</v>
      </c>
      <c r="B1841" s="2" t="str">
        <f t="shared" si="56"/>
        <v>Saturday</v>
      </c>
      <c r="C1841" s="2" t="b">
        <f t="shared" si="57"/>
        <v>1</v>
      </c>
      <c r="D1841">
        <v>3</v>
      </c>
      <c r="E1841" t="s">
        <v>7</v>
      </c>
      <c r="F1841">
        <v>227</v>
      </c>
      <c r="G1841" s="3">
        <v>3858.52</v>
      </c>
      <c r="H1841" s="3">
        <f>Miami_Retail[[#This Row],[sales_usd]] / Miami_Retail[[#This Row],[customers]]</f>
        <v>16.997885462555065</v>
      </c>
      <c r="I1841">
        <v>69</v>
      </c>
      <c r="J1841">
        <f>(Miami_Retail[[#This Row],[avg_temp_f]]-32) * (5/9)</f>
        <v>20.555555555555557</v>
      </c>
      <c r="K1841">
        <v>0</v>
      </c>
      <c r="L1841">
        <v>0</v>
      </c>
      <c r="M1841">
        <v>46.4</v>
      </c>
      <c r="N1841">
        <v>47.6</v>
      </c>
      <c r="O1841">
        <v>52.4</v>
      </c>
      <c r="P1841">
        <v>51</v>
      </c>
      <c r="Q1841">
        <v>49</v>
      </c>
    </row>
    <row r="1842" spans="1:17" x14ac:dyDescent="0.25">
      <c r="A1842" s="2">
        <v>45305</v>
      </c>
      <c r="B1842" s="2" t="str">
        <f t="shared" si="56"/>
        <v>Sunday</v>
      </c>
      <c r="C1842" s="2" t="b">
        <f t="shared" si="57"/>
        <v>1</v>
      </c>
      <c r="D1842">
        <v>3</v>
      </c>
      <c r="E1842" t="s">
        <v>7</v>
      </c>
      <c r="F1842">
        <v>195</v>
      </c>
      <c r="G1842" s="3">
        <v>3389</v>
      </c>
      <c r="H1842" s="3">
        <f>Miami_Retail[[#This Row],[sales_usd]] / Miami_Retail[[#This Row],[customers]]</f>
        <v>17.379487179487178</v>
      </c>
      <c r="I1842">
        <v>67.3</v>
      </c>
      <c r="J1842">
        <f>(Miami_Retail[[#This Row],[avg_temp_f]]-32) * (5/9)</f>
        <v>19.611111111111111</v>
      </c>
      <c r="K1842">
        <v>0</v>
      </c>
      <c r="L1842">
        <v>0</v>
      </c>
      <c r="M1842">
        <v>42</v>
      </c>
      <c r="N1842">
        <v>50.5</v>
      </c>
      <c r="O1842">
        <v>49.5</v>
      </c>
      <c r="P1842">
        <v>51.4</v>
      </c>
      <c r="Q1842">
        <v>48.6</v>
      </c>
    </row>
    <row r="1843" spans="1:17" x14ac:dyDescent="0.25">
      <c r="A1843" s="2">
        <v>45306</v>
      </c>
      <c r="B1843" s="2" t="str">
        <f t="shared" si="56"/>
        <v>Monday</v>
      </c>
      <c r="C1843" s="2" t="b">
        <f t="shared" si="57"/>
        <v>0</v>
      </c>
      <c r="D1843">
        <v>3</v>
      </c>
      <c r="E1843" t="s">
        <v>7</v>
      </c>
      <c r="F1843">
        <v>178</v>
      </c>
      <c r="G1843" s="3">
        <v>3053.9</v>
      </c>
      <c r="H1843" s="3">
        <f>Miami_Retail[[#This Row],[sales_usd]] / Miami_Retail[[#This Row],[customers]]</f>
        <v>17.15674157303371</v>
      </c>
      <c r="I1843">
        <v>70.7</v>
      </c>
      <c r="J1843">
        <f>(Miami_Retail[[#This Row],[avg_temp_f]]-32) * (5/9)</f>
        <v>21.500000000000004</v>
      </c>
      <c r="K1843">
        <v>0</v>
      </c>
      <c r="L1843">
        <v>0</v>
      </c>
      <c r="M1843">
        <v>45.2</v>
      </c>
      <c r="N1843">
        <v>50.9</v>
      </c>
      <c r="O1843">
        <v>49.1</v>
      </c>
      <c r="P1843">
        <v>45.6</v>
      </c>
      <c r="Q1843">
        <v>54.4</v>
      </c>
    </row>
    <row r="1844" spans="1:17" x14ac:dyDescent="0.25">
      <c r="A1844" s="2">
        <v>45307</v>
      </c>
      <c r="B1844" s="2" t="str">
        <f t="shared" si="56"/>
        <v>Tuesday</v>
      </c>
      <c r="C1844" s="2" t="b">
        <f t="shared" si="57"/>
        <v>0</v>
      </c>
      <c r="D1844">
        <v>3</v>
      </c>
      <c r="E1844" t="s">
        <v>7</v>
      </c>
      <c r="F1844">
        <v>205</v>
      </c>
      <c r="G1844" s="3">
        <v>3484.63</v>
      </c>
      <c r="H1844" s="3">
        <f>Miami_Retail[[#This Row],[sales_usd]] / Miami_Retail[[#This Row],[customers]]</f>
        <v>16.99819512195122</v>
      </c>
      <c r="I1844">
        <v>77</v>
      </c>
      <c r="J1844">
        <f>(Miami_Retail[[#This Row],[avg_temp_f]]-32) * (5/9)</f>
        <v>25</v>
      </c>
      <c r="K1844">
        <v>0</v>
      </c>
      <c r="L1844">
        <v>0</v>
      </c>
      <c r="M1844">
        <v>43.4</v>
      </c>
      <c r="N1844">
        <v>48.2</v>
      </c>
      <c r="O1844">
        <v>51.8</v>
      </c>
      <c r="P1844">
        <v>45.4</v>
      </c>
      <c r="Q1844">
        <v>54.6</v>
      </c>
    </row>
    <row r="1845" spans="1:17" x14ac:dyDescent="0.25">
      <c r="A1845" s="2">
        <v>45308</v>
      </c>
      <c r="B1845" s="2" t="str">
        <f t="shared" si="56"/>
        <v>Wednesday</v>
      </c>
      <c r="C1845" s="2" t="b">
        <f t="shared" si="57"/>
        <v>0</v>
      </c>
      <c r="D1845">
        <v>3</v>
      </c>
      <c r="E1845" t="s">
        <v>7</v>
      </c>
      <c r="F1845">
        <v>179</v>
      </c>
      <c r="G1845" s="3">
        <v>2796.87</v>
      </c>
      <c r="H1845" s="3">
        <f>Miami_Retail[[#This Row],[sales_usd]] / Miami_Retail[[#This Row],[customers]]</f>
        <v>15.624972067039106</v>
      </c>
      <c r="I1845">
        <v>73.8</v>
      </c>
      <c r="J1845">
        <f>(Miami_Retail[[#This Row],[avg_temp_f]]-32) * (5/9)</f>
        <v>23.222222222222221</v>
      </c>
      <c r="K1845">
        <v>0</v>
      </c>
      <c r="L1845">
        <v>0</v>
      </c>
      <c r="M1845">
        <v>38.799999999999997</v>
      </c>
      <c r="N1845">
        <v>51.2</v>
      </c>
      <c r="O1845">
        <v>48.8</v>
      </c>
      <c r="P1845">
        <v>45.7</v>
      </c>
      <c r="Q1845">
        <v>54.3</v>
      </c>
    </row>
    <row r="1846" spans="1:17" x14ac:dyDescent="0.25">
      <c r="A1846" s="2">
        <v>45309</v>
      </c>
      <c r="B1846" s="2" t="str">
        <f t="shared" si="56"/>
        <v>Thursday</v>
      </c>
      <c r="C1846" s="2" t="b">
        <f t="shared" si="57"/>
        <v>0</v>
      </c>
      <c r="D1846">
        <v>3</v>
      </c>
      <c r="E1846" t="s">
        <v>7</v>
      </c>
      <c r="F1846">
        <v>180</v>
      </c>
      <c r="G1846" s="3">
        <v>3098.03</v>
      </c>
      <c r="H1846" s="3">
        <f>Miami_Retail[[#This Row],[sales_usd]] / Miami_Retail[[#This Row],[customers]]</f>
        <v>17.211277777777777</v>
      </c>
      <c r="I1846">
        <v>70.8</v>
      </c>
      <c r="J1846">
        <f>(Miami_Retail[[#This Row],[avg_temp_f]]-32) * (5/9)</f>
        <v>21.555555555555554</v>
      </c>
      <c r="K1846">
        <v>0</v>
      </c>
      <c r="L1846">
        <v>0</v>
      </c>
      <c r="M1846">
        <v>42.9</v>
      </c>
      <c r="N1846">
        <v>50.2</v>
      </c>
      <c r="O1846">
        <v>49.8</v>
      </c>
      <c r="P1846">
        <v>45.2</v>
      </c>
      <c r="Q1846">
        <v>54.8</v>
      </c>
    </row>
    <row r="1847" spans="1:17" x14ac:dyDescent="0.25">
      <c r="A1847" s="2">
        <v>45310</v>
      </c>
      <c r="B1847" s="2" t="str">
        <f t="shared" si="56"/>
        <v>Friday</v>
      </c>
      <c r="C1847" s="2" t="b">
        <f t="shared" si="57"/>
        <v>0</v>
      </c>
      <c r="D1847">
        <v>3</v>
      </c>
      <c r="E1847" t="s">
        <v>7</v>
      </c>
      <c r="F1847">
        <v>192</v>
      </c>
      <c r="G1847" s="3">
        <v>3555.23</v>
      </c>
      <c r="H1847" s="3">
        <f>Miami_Retail[[#This Row],[sales_usd]] / Miami_Retail[[#This Row],[customers]]</f>
        <v>18.516822916666666</v>
      </c>
      <c r="I1847">
        <v>69</v>
      </c>
      <c r="J1847">
        <f>(Miami_Retail[[#This Row],[avg_temp_f]]-32) * (5/9)</f>
        <v>20.555555555555557</v>
      </c>
      <c r="K1847">
        <v>0</v>
      </c>
      <c r="L1847">
        <v>0</v>
      </c>
      <c r="M1847">
        <v>44.9</v>
      </c>
      <c r="N1847">
        <v>48.6</v>
      </c>
      <c r="O1847">
        <v>51.4</v>
      </c>
      <c r="P1847">
        <v>45.6</v>
      </c>
      <c r="Q1847">
        <v>54.4</v>
      </c>
    </row>
    <row r="1848" spans="1:17" x14ac:dyDescent="0.25">
      <c r="A1848" s="2">
        <v>45311</v>
      </c>
      <c r="B1848" s="2" t="str">
        <f t="shared" si="56"/>
        <v>Saturday</v>
      </c>
      <c r="C1848" s="2" t="b">
        <f t="shared" si="57"/>
        <v>1</v>
      </c>
      <c r="D1848">
        <v>3</v>
      </c>
      <c r="E1848" t="s">
        <v>7</v>
      </c>
      <c r="F1848">
        <v>285</v>
      </c>
      <c r="G1848" s="3">
        <v>4305.62</v>
      </c>
      <c r="H1848" s="3">
        <f>Miami_Retail[[#This Row],[sales_usd]] / Miami_Retail[[#This Row],[customers]]</f>
        <v>15.107438596491228</v>
      </c>
      <c r="I1848">
        <v>84.3</v>
      </c>
      <c r="J1848">
        <f>(Miami_Retail[[#This Row],[avg_temp_f]]-32) * (5/9)</f>
        <v>29.055555555555554</v>
      </c>
      <c r="K1848">
        <v>0</v>
      </c>
      <c r="L1848">
        <v>0</v>
      </c>
      <c r="M1848">
        <v>59.3</v>
      </c>
      <c r="N1848">
        <v>49</v>
      </c>
      <c r="O1848">
        <v>51</v>
      </c>
      <c r="P1848">
        <v>50.2</v>
      </c>
      <c r="Q1848">
        <v>49.8</v>
      </c>
    </row>
    <row r="1849" spans="1:17" x14ac:dyDescent="0.25">
      <c r="A1849" s="2">
        <v>45312</v>
      </c>
      <c r="B1849" s="2" t="str">
        <f t="shared" si="56"/>
        <v>Sunday</v>
      </c>
      <c r="C1849" s="2" t="b">
        <f t="shared" si="57"/>
        <v>1</v>
      </c>
      <c r="D1849">
        <v>3</v>
      </c>
      <c r="E1849" t="s">
        <v>7</v>
      </c>
      <c r="F1849">
        <v>243</v>
      </c>
      <c r="G1849" s="3">
        <v>4429.24</v>
      </c>
      <c r="H1849" s="3">
        <f>Miami_Retail[[#This Row],[sales_usd]] / Miami_Retail[[#This Row],[customers]]</f>
        <v>18.227325102880659</v>
      </c>
      <c r="I1849">
        <v>73.400000000000006</v>
      </c>
      <c r="J1849">
        <f>(Miami_Retail[[#This Row],[avg_temp_f]]-32) * (5/9)</f>
        <v>23.000000000000004</v>
      </c>
      <c r="K1849">
        <v>0</v>
      </c>
      <c r="L1849">
        <v>0</v>
      </c>
      <c r="M1849">
        <v>43.6</v>
      </c>
      <c r="N1849">
        <v>49.2</v>
      </c>
      <c r="O1849">
        <v>50.8</v>
      </c>
      <c r="P1849">
        <v>51</v>
      </c>
      <c r="Q1849">
        <v>49</v>
      </c>
    </row>
    <row r="1850" spans="1:17" x14ac:dyDescent="0.25">
      <c r="A1850" s="2">
        <v>45313</v>
      </c>
      <c r="B1850" s="2" t="str">
        <f t="shared" si="56"/>
        <v>Monday</v>
      </c>
      <c r="C1850" s="2" t="b">
        <f t="shared" si="57"/>
        <v>0</v>
      </c>
      <c r="D1850">
        <v>3</v>
      </c>
      <c r="E1850" t="s">
        <v>7</v>
      </c>
      <c r="F1850">
        <v>156</v>
      </c>
      <c r="G1850" s="3">
        <v>2306.46</v>
      </c>
      <c r="H1850" s="3">
        <f>Miami_Retail[[#This Row],[sales_usd]] / Miami_Retail[[#This Row],[customers]]</f>
        <v>14.785</v>
      </c>
      <c r="I1850">
        <v>69.7</v>
      </c>
      <c r="J1850">
        <f>(Miami_Retail[[#This Row],[avg_temp_f]]-32) * (5/9)</f>
        <v>20.944444444444446</v>
      </c>
      <c r="K1850">
        <v>0.37</v>
      </c>
      <c r="L1850">
        <v>1</v>
      </c>
      <c r="M1850">
        <v>35</v>
      </c>
      <c r="N1850">
        <v>50.2</v>
      </c>
      <c r="O1850">
        <v>49.8</v>
      </c>
      <c r="P1850">
        <v>45.6</v>
      </c>
      <c r="Q1850">
        <v>54.4</v>
      </c>
    </row>
    <row r="1851" spans="1:17" x14ac:dyDescent="0.25">
      <c r="A1851" s="2">
        <v>45314</v>
      </c>
      <c r="B1851" s="2" t="str">
        <f t="shared" si="56"/>
        <v>Tuesday</v>
      </c>
      <c r="C1851" s="2" t="b">
        <f t="shared" si="57"/>
        <v>0</v>
      </c>
      <c r="D1851">
        <v>3</v>
      </c>
      <c r="E1851" t="s">
        <v>7</v>
      </c>
      <c r="F1851">
        <v>204</v>
      </c>
      <c r="G1851" s="3">
        <v>3495.46</v>
      </c>
      <c r="H1851" s="3">
        <f>Miami_Retail[[#This Row],[sales_usd]] / Miami_Retail[[#This Row],[customers]]</f>
        <v>17.134607843137257</v>
      </c>
      <c r="I1851">
        <v>71.5</v>
      </c>
      <c r="J1851">
        <f>(Miami_Retail[[#This Row],[avg_temp_f]]-32) * (5/9)</f>
        <v>21.944444444444446</v>
      </c>
      <c r="K1851">
        <v>0</v>
      </c>
      <c r="L1851">
        <v>0</v>
      </c>
      <c r="M1851">
        <v>35</v>
      </c>
      <c r="N1851">
        <v>49.8</v>
      </c>
      <c r="O1851">
        <v>50.2</v>
      </c>
      <c r="P1851">
        <v>44.4</v>
      </c>
      <c r="Q1851">
        <v>55.6</v>
      </c>
    </row>
    <row r="1852" spans="1:17" x14ac:dyDescent="0.25">
      <c r="A1852" s="2">
        <v>45315</v>
      </c>
      <c r="B1852" s="2" t="str">
        <f t="shared" si="56"/>
        <v>Wednesday</v>
      </c>
      <c r="C1852" s="2" t="b">
        <f t="shared" si="57"/>
        <v>0</v>
      </c>
      <c r="D1852">
        <v>3</v>
      </c>
      <c r="E1852" t="s">
        <v>7</v>
      </c>
      <c r="F1852">
        <v>215</v>
      </c>
      <c r="G1852" s="3">
        <v>3427.25</v>
      </c>
      <c r="H1852" s="3">
        <f>Miami_Retail[[#This Row],[sales_usd]] / Miami_Retail[[#This Row],[customers]]</f>
        <v>15.940697674418605</v>
      </c>
      <c r="I1852">
        <v>72.7</v>
      </c>
      <c r="J1852">
        <f>(Miami_Retail[[#This Row],[avg_temp_f]]-32) * (5/9)</f>
        <v>22.611111111111114</v>
      </c>
      <c r="K1852">
        <v>0</v>
      </c>
      <c r="L1852">
        <v>0</v>
      </c>
      <c r="M1852">
        <v>45.4</v>
      </c>
      <c r="N1852">
        <v>49.5</v>
      </c>
      <c r="O1852">
        <v>50.5</v>
      </c>
      <c r="P1852">
        <v>45.2</v>
      </c>
      <c r="Q1852">
        <v>54.8</v>
      </c>
    </row>
    <row r="1853" spans="1:17" x14ac:dyDescent="0.25">
      <c r="A1853" s="2">
        <v>45316</v>
      </c>
      <c r="B1853" s="2" t="str">
        <f t="shared" si="56"/>
        <v>Thursday</v>
      </c>
      <c r="C1853" s="2" t="b">
        <f t="shared" si="57"/>
        <v>0</v>
      </c>
      <c r="D1853">
        <v>3</v>
      </c>
      <c r="E1853" t="s">
        <v>7</v>
      </c>
      <c r="F1853">
        <v>211</v>
      </c>
      <c r="G1853" s="3">
        <v>3502.95</v>
      </c>
      <c r="H1853" s="3">
        <f>Miami_Retail[[#This Row],[sales_usd]] / Miami_Retail[[#This Row],[customers]]</f>
        <v>16.601658767772513</v>
      </c>
      <c r="I1853">
        <v>75</v>
      </c>
      <c r="J1853">
        <f>(Miami_Retail[[#This Row],[avg_temp_f]]-32) * (5/9)</f>
        <v>23.888888888888889</v>
      </c>
      <c r="K1853">
        <v>0.45</v>
      </c>
      <c r="L1853">
        <v>1</v>
      </c>
      <c r="M1853">
        <v>40.299999999999997</v>
      </c>
      <c r="N1853">
        <v>50.9</v>
      </c>
      <c r="O1853">
        <v>49.1</v>
      </c>
      <c r="P1853">
        <v>45.2</v>
      </c>
      <c r="Q1853">
        <v>54.8</v>
      </c>
    </row>
    <row r="1854" spans="1:17" x14ac:dyDescent="0.25">
      <c r="A1854" s="2">
        <v>45317</v>
      </c>
      <c r="B1854" s="2" t="str">
        <f t="shared" si="56"/>
        <v>Friday</v>
      </c>
      <c r="C1854" s="2" t="b">
        <f t="shared" si="57"/>
        <v>0</v>
      </c>
      <c r="D1854">
        <v>3</v>
      </c>
      <c r="E1854" t="s">
        <v>7</v>
      </c>
      <c r="F1854">
        <v>184</v>
      </c>
      <c r="G1854" s="3">
        <v>3134.87</v>
      </c>
      <c r="H1854" s="3">
        <f>Miami_Retail[[#This Row],[sales_usd]] / Miami_Retail[[#This Row],[customers]]</f>
        <v>17.037336956521738</v>
      </c>
      <c r="I1854">
        <v>70</v>
      </c>
      <c r="J1854">
        <f>(Miami_Retail[[#This Row],[avg_temp_f]]-32) * (5/9)</f>
        <v>21.111111111111111</v>
      </c>
      <c r="K1854">
        <v>0</v>
      </c>
      <c r="L1854">
        <v>0</v>
      </c>
      <c r="M1854">
        <v>35</v>
      </c>
      <c r="N1854">
        <v>50.4</v>
      </c>
      <c r="O1854">
        <v>49.6</v>
      </c>
      <c r="P1854">
        <v>44.6</v>
      </c>
      <c r="Q1854">
        <v>55.4</v>
      </c>
    </row>
    <row r="1855" spans="1:17" x14ac:dyDescent="0.25">
      <c r="A1855" s="2">
        <v>45318</v>
      </c>
      <c r="B1855" s="2" t="str">
        <f t="shared" si="56"/>
        <v>Saturday</v>
      </c>
      <c r="C1855" s="2" t="b">
        <f t="shared" si="57"/>
        <v>1</v>
      </c>
      <c r="D1855">
        <v>3</v>
      </c>
      <c r="E1855" t="s">
        <v>7</v>
      </c>
      <c r="F1855">
        <v>227</v>
      </c>
      <c r="G1855" s="3">
        <v>3615.82</v>
      </c>
      <c r="H1855" s="3">
        <f>Miami_Retail[[#This Row],[sales_usd]] / Miami_Retail[[#This Row],[customers]]</f>
        <v>15.928722466960354</v>
      </c>
      <c r="I1855">
        <v>69.7</v>
      </c>
      <c r="J1855">
        <f>(Miami_Retail[[#This Row],[avg_temp_f]]-32) * (5/9)</f>
        <v>20.944444444444446</v>
      </c>
      <c r="K1855">
        <v>0</v>
      </c>
      <c r="L1855">
        <v>0</v>
      </c>
      <c r="M1855">
        <v>37.1</v>
      </c>
      <c r="N1855">
        <v>51.7</v>
      </c>
      <c r="O1855">
        <v>48.3</v>
      </c>
      <c r="P1855">
        <v>51.7</v>
      </c>
      <c r="Q1855">
        <v>48.3</v>
      </c>
    </row>
    <row r="1856" spans="1:17" x14ac:dyDescent="0.25">
      <c r="A1856" s="2">
        <v>45319</v>
      </c>
      <c r="B1856" s="2" t="str">
        <f t="shared" si="56"/>
        <v>Sunday</v>
      </c>
      <c r="C1856" s="2" t="b">
        <f t="shared" si="57"/>
        <v>1</v>
      </c>
      <c r="D1856">
        <v>3</v>
      </c>
      <c r="E1856" t="s">
        <v>7</v>
      </c>
      <c r="F1856">
        <v>219</v>
      </c>
      <c r="G1856" s="3">
        <v>3488.38</v>
      </c>
      <c r="H1856" s="3">
        <f>Miami_Retail[[#This Row],[sales_usd]] / Miami_Retail[[#This Row],[customers]]</f>
        <v>15.928675799086758</v>
      </c>
      <c r="I1856">
        <v>70.3</v>
      </c>
      <c r="J1856">
        <f>(Miami_Retail[[#This Row],[avg_temp_f]]-32) * (5/9)</f>
        <v>21.277777777777779</v>
      </c>
      <c r="K1856">
        <v>0</v>
      </c>
      <c r="L1856">
        <v>0</v>
      </c>
      <c r="M1856">
        <v>39.200000000000003</v>
      </c>
      <c r="N1856">
        <v>50.9</v>
      </c>
      <c r="O1856">
        <v>49.1</v>
      </c>
      <c r="P1856">
        <v>51.1</v>
      </c>
      <c r="Q1856">
        <v>48.9</v>
      </c>
    </row>
    <row r="1857" spans="1:17" x14ac:dyDescent="0.25">
      <c r="A1857" s="2">
        <v>45320</v>
      </c>
      <c r="B1857" s="2" t="str">
        <f t="shared" si="56"/>
        <v>Monday</v>
      </c>
      <c r="C1857" s="2" t="b">
        <f t="shared" si="57"/>
        <v>0</v>
      </c>
      <c r="D1857">
        <v>3</v>
      </c>
      <c r="E1857" t="s">
        <v>7</v>
      </c>
      <c r="F1857">
        <v>168</v>
      </c>
      <c r="G1857" s="3">
        <v>2748.61</v>
      </c>
      <c r="H1857" s="3">
        <f>Miami_Retail[[#This Row],[sales_usd]] / Miami_Retail[[#This Row],[customers]]</f>
        <v>16.36077380952381</v>
      </c>
      <c r="I1857">
        <v>67.900000000000006</v>
      </c>
      <c r="J1857">
        <f>(Miami_Retail[[#This Row],[avg_temp_f]]-32) * (5/9)</f>
        <v>19.94444444444445</v>
      </c>
      <c r="K1857">
        <v>0</v>
      </c>
      <c r="L1857">
        <v>0</v>
      </c>
      <c r="M1857">
        <v>47.5</v>
      </c>
      <c r="N1857">
        <v>51.1</v>
      </c>
      <c r="O1857">
        <v>48.9</v>
      </c>
      <c r="P1857">
        <v>45.2</v>
      </c>
      <c r="Q1857">
        <v>54.8</v>
      </c>
    </row>
    <row r="1858" spans="1:17" x14ac:dyDescent="0.25">
      <c r="A1858" s="2">
        <v>45321</v>
      </c>
      <c r="B1858" s="2" t="str">
        <f t="shared" ref="B1858:B1921" si="58">TEXT(A1858, "dddd")</f>
        <v>Tuesday</v>
      </c>
      <c r="C1858" s="2" t="b">
        <f t="shared" ref="C1858:C1921" si="59">IF(WEEKDAY(A1858,2)&gt;5,TRUE,FALSE)</f>
        <v>0</v>
      </c>
      <c r="D1858">
        <v>3</v>
      </c>
      <c r="E1858" t="s">
        <v>7</v>
      </c>
      <c r="F1858">
        <v>180</v>
      </c>
      <c r="G1858" s="3">
        <v>2998.5</v>
      </c>
      <c r="H1858" s="3">
        <f>Miami_Retail[[#This Row],[sales_usd]] / Miami_Retail[[#This Row],[customers]]</f>
        <v>16.658333333333335</v>
      </c>
      <c r="I1858">
        <v>69.400000000000006</v>
      </c>
      <c r="J1858">
        <f>(Miami_Retail[[#This Row],[avg_temp_f]]-32) * (5/9)</f>
        <v>20.777777777777782</v>
      </c>
      <c r="K1858">
        <v>1.26</v>
      </c>
      <c r="L1858">
        <v>1</v>
      </c>
      <c r="M1858">
        <v>35</v>
      </c>
      <c r="N1858">
        <v>50.8</v>
      </c>
      <c r="O1858">
        <v>49.2</v>
      </c>
      <c r="P1858">
        <v>45.9</v>
      </c>
      <c r="Q1858">
        <v>54.1</v>
      </c>
    </row>
    <row r="1859" spans="1:17" x14ac:dyDescent="0.25">
      <c r="A1859" s="2">
        <v>45322</v>
      </c>
      <c r="B1859" s="2" t="str">
        <f t="shared" si="58"/>
        <v>Wednesday</v>
      </c>
      <c r="C1859" s="2" t="b">
        <f t="shared" si="59"/>
        <v>0</v>
      </c>
      <c r="D1859">
        <v>3</v>
      </c>
      <c r="E1859" t="s">
        <v>7</v>
      </c>
      <c r="F1859">
        <v>158</v>
      </c>
      <c r="G1859" s="3">
        <v>2741.03</v>
      </c>
      <c r="H1859" s="3">
        <f>Miami_Retail[[#This Row],[sales_usd]] / Miami_Retail[[#This Row],[customers]]</f>
        <v>17.348291139240509</v>
      </c>
      <c r="I1859">
        <v>71.900000000000006</v>
      </c>
      <c r="J1859">
        <f>(Miami_Retail[[#This Row],[avg_temp_f]]-32) * (5/9)</f>
        <v>22.166666666666671</v>
      </c>
      <c r="K1859">
        <v>0.86</v>
      </c>
      <c r="L1859">
        <v>1</v>
      </c>
      <c r="M1859">
        <v>43</v>
      </c>
      <c r="N1859">
        <v>51</v>
      </c>
      <c r="O1859">
        <v>49</v>
      </c>
      <c r="P1859">
        <v>46.5</v>
      </c>
      <c r="Q1859">
        <v>53.5</v>
      </c>
    </row>
    <row r="1860" spans="1:17" x14ac:dyDescent="0.25">
      <c r="A1860" s="2">
        <v>45323</v>
      </c>
      <c r="B1860" s="2" t="str">
        <f t="shared" si="58"/>
        <v>Thursday</v>
      </c>
      <c r="C1860" s="2" t="b">
        <f t="shared" si="59"/>
        <v>0</v>
      </c>
      <c r="D1860">
        <v>3</v>
      </c>
      <c r="E1860" t="s">
        <v>7</v>
      </c>
      <c r="F1860">
        <v>225</v>
      </c>
      <c r="G1860" s="3">
        <v>3477.94</v>
      </c>
      <c r="H1860" s="3">
        <f>Miami_Retail[[#This Row],[sales_usd]] / Miami_Retail[[#This Row],[customers]]</f>
        <v>15.457511111111112</v>
      </c>
      <c r="I1860">
        <v>67</v>
      </c>
      <c r="J1860">
        <f>(Miami_Retail[[#This Row],[avg_temp_f]]-32) * (5/9)</f>
        <v>19.444444444444446</v>
      </c>
      <c r="K1860">
        <v>0</v>
      </c>
      <c r="L1860">
        <v>0</v>
      </c>
      <c r="M1860">
        <v>49.1</v>
      </c>
      <c r="N1860">
        <v>50.5</v>
      </c>
      <c r="O1860">
        <v>49.5</v>
      </c>
      <c r="P1860">
        <v>45.4</v>
      </c>
      <c r="Q1860">
        <v>54.6</v>
      </c>
    </row>
    <row r="1861" spans="1:17" x14ac:dyDescent="0.25">
      <c r="A1861" s="2">
        <v>45324</v>
      </c>
      <c r="B1861" s="2" t="str">
        <f t="shared" si="58"/>
        <v>Friday</v>
      </c>
      <c r="C1861" s="2" t="b">
        <f t="shared" si="59"/>
        <v>0</v>
      </c>
      <c r="D1861">
        <v>3</v>
      </c>
      <c r="E1861" t="s">
        <v>7</v>
      </c>
      <c r="F1861">
        <v>200</v>
      </c>
      <c r="G1861" s="3">
        <v>3383.15</v>
      </c>
      <c r="H1861" s="3">
        <f>Miami_Retail[[#This Row],[sales_usd]] / Miami_Retail[[#This Row],[customers]]</f>
        <v>16.915749999999999</v>
      </c>
      <c r="I1861">
        <v>69</v>
      </c>
      <c r="J1861">
        <f>(Miami_Retail[[#This Row],[avg_temp_f]]-32) * (5/9)</f>
        <v>20.555555555555557</v>
      </c>
      <c r="K1861">
        <v>0</v>
      </c>
      <c r="L1861">
        <v>0</v>
      </c>
      <c r="M1861">
        <v>44.2</v>
      </c>
      <c r="N1861">
        <v>51.2</v>
      </c>
      <c r="O1861">
        <v>48.8</v>
      </c>
      <c r="P1861">
        <v>43.2</v>
      </c>
      <c r="Q1861">
        <v>56.8</v>
      </c>
    </row>
    <row r="1862" spans="1:17" x14ac:dyDescent="0.25">
      <c r="A1862" s="2">
        <v>45325</v>
      </c>
      <c r="B1862" s="2" t="str">
        <f t="shared" si="58"/>
        <v>Saturday</v>
      </c>
      <c r="C1862" s="2" t="b">
        <f t="shared" si="59"/>
        <v>1</v>
      </c>
      <c r="D1862">
        <v>3</v>
      </c>
      <c r="E1862" t="s">
        <v>7</v>
      </c>
      <c r="F1862">
        <v>193</v>
      </c>
      <c r="G1862" s="3">
        <v>3277.44</v>
      </c>
      <c r="H1862" s="3">
        <f>Miami_Retail[[#This Row],[sales_usd]] / Miami_Retail[[#This Row],[customers]]</f>
        <v>16.981554404145079</v>
      </c>
      <c r="I1862">
        <v>67.900000000000006</v>
      </c>
      <c r="J1862">
        <f>(Miami_Retail[[#This Row],[avg_temp_f]]-32) * (5/9)</f>
        <v>19.94444444444445</v>
      </c>
      <c r="K1862">
        <v>0</v>
      </c>
      <c r="L1862">
        <v>0</v>
      </c>
      <c r="M1862">
        <v>37.299999999999997</v>
      </c>
      <c r="N1862">
        <v>50.4</v>
      </c>
      <c r="O1862">
        <v>49.6</v>
      </c>
      <c r="P1862">
        <v>50.7</v>
      </c>
      <c r="Q1862">
        <v>49.3</v>
      </c>
    </row>
    <row r="1863" spans="1:17" x14ac:dyDescent="0.25">
      <c r="A1863" s="2">
        <v>45326</v>
      </c>
      <c r="B1863" s="2" t="str">
        <f t="shared" si="58"/>
        <v>Sunday</v>
      </c>
      <c r="C1863" s="2" t="b">
        <f t="shared" si="59"/>
        <v>1</v>
      </c>
      <c r="D1863">
        <v>3</v>
      </c>
      <c r="E1863" t="s">
        <v>7</v>
      </c>
      <c r="F1863">
        <v>186</v>
      </c>
      <c r="G1863" s="3">
        <v>2956.3</v>
      </c>
      <c r="H1863" s="3">
        <f>Miami_Retail[[#This Row],[sales_usd]] / Miami_Retail[[#This Row],[customers]]</f>
        <v>15.894086021505377</v>
      </c>
      <c r="I1863">
        <v>66.2</v>
      </c>
      <c r="J1863">
        <f>(Miami_Retail[[#This Row],[avg_temp_f]]-32) * (5/9)</f>
        <v>19.000000000000004</v>
      </c>
      <c r="K1863">
        <v>1.5</v>
      </c>
      <c r="L1863">
        <v>1</v>
      </c>
      <c r="M1863">
        <v>35</v>
      </c>
      <c r="N1863">
        <v>50.7</v>
      </c>
      <c r="O1863">
        <v>49.3</v>
      </c>
      <c r="P1863">
        <v>51.6</v>
      </c>
      <c r="Q1863">
        <v>48.4</v>
      </c>
    </row>
    <row r="1864" spans="1:17" x14ac:dyDescent="0.25">
      <c r="A1864" s="2">
        <v>45327</v>
      </c>
      <c r="B1864" s="2" t="str">
        <f t="shared" si="58"/>
        <v>Monday</v>
      </c>
      <c r="C1864" s="2" t="b">
        <f t="shared" si="59"/>
        <v>0</v>
      </c>
      <c r="D1864">
        <v>3</v>
      </c>
      <c r="E1864" t="s">
        <v>7</v>
      </c>
      <c r="F1864">
        <v>185</v>
      </c>
      <c r="G1864" s="3">
        <v>3049.3</v>
      </c>
      <c r="H1864" s="3">
        <f>Miami_Retail[[#This Row],[sales_usd]] / Miami_Retail[[#This Row],[customers]]</f>
        <v>16.482702702702703</v>
      </c>
      <c r="I1864">
        <v>67.599999999999994</v>
      </c>
      <c r="J1864">
        <f>(Miami_Retail[[#This Row],[avg_temp_f]]-32) * (5/9)</f>
        <v>19.777777777777775</v>
      </c>
      <c r="K1864">
        <v>0</v>
      </c>
      <c r="L1864">
        <v>0</v>
      </c>
      <c r="M1864">
        <v>39.9</v>
      </c>
      <c r="N1864">
        <v>51.2</v>
      </c>
      <c r="O1864">
        <v>48.8</v>
      </c>
      <c r="P1864">
        <v>45.5</v>
      </c>
      <c r="Q1864">
        <v>54.5</v>
      </c>
    </row>
    <row r="1865" spans="1:17" x14ac:dyDescent="0.25">
      <c r="A1865" s="2">
        <v>45328</v>
      </c>
      <c r="B1865" s="2" t="str">
        <f t="shared" si="58"/>
        <v>Tuesday</v>
      </c>
      <c r="C1865" s="2" t="b">
        <f t="shared" si="59"/>
        <v>0</v>
      </c>
      <c r="D1865">
        <v>3</v>
      </c>
      <c r="E1865" t="s">
        <v>7</v>
      </c>
      <c r="F1865">
        <v>231</v>
      </c>
      <c r="G1865" s="3">
        <v>3536.66</v>
      </c>
      <c r="H1865" s="3">
        <f>Miami_Retail[[#This Row],[sales_usd]] / Miami_Retail[[#This Row],[customers]]</f>
        <v>15.31021645021645</v>
      </c>
      <c r="I1865">
        <v>71.099999999999994</v>
      </c>
      <c r="J1865">
        <f>(Miami_Retail[[#This Row],[avg_temp_f]]-32) * (5/9)</f>
        <v>21.722222222222221</v>
      </c>
      <c r="K1865">
        <v>0</v>
      </c>
      <c r="L1865">
        <v>0</v>
      </c>
      <c r="M1865">
        <v>45.6</v>
      </c>
      <c r="N1865">
        <v>49.4</v>
      </c>
      <c r="O1865">
        <v>50.6</v>
      </c>
      <c r="P1865">
        <v>44.8</v>
      </c>
      <c r="Q1865">
        <v>55.2</v>
      </c>
    </row>
    <row r="1866" spans="1:17" x14ac:dyDescent="0.25">
      <c r="A1866" s="2">
        <v>45329</v>
      </c>
      <c r="B1866" s="2" t="str">
        <f t="shared" si="58"/>
        <v>Wednesday</v>
      </c>
      <c r="C1866" s="2" t="b">
        <f t="shared" si="59"/>
        <v>0</v>
      </c>
      <c r="D1866">
        <v>3</v>
      </c>
      <c r="E1866" t="s">
        <v>7</v>
      </c>
      <c r="F1866">
        <v>181</v>
      </c>
      <c r="G1866" s="3">
        <v>3013.05</v>
      </c>
      <c r="H1866" s="3">
        <f>Miami_Retail[[#This Row],[sales_usd]] / Miami_Retail[[#This Row],[customers]]</f>
        <v>16.646685082872928</v>
      </c>
      <c r="I1866">
        <v>70.900000000000006</v>
      </c>
      <c r="J1866">
        <f>(Miami_Retail[[#This Row],[avg_temp_f]]-32) * (5/9)</f>
        <v>21.611111111111114</v>
      </c>
      <c r="K1866">
        <v>0</v>
      </c>
      <c r="L1866">
        <v>0</v>
      </c>
      <c r="M1866">
        <v>39.6</v>
      </c>
      <c r="N1866">
        <v>49.7</v>
      </c>
      <c r="O1866">
        <v>50.3</v>
      </c>
      <c r="P1866">
        <v>46</v>
      </c>
      <c r="Q1866">
        <v>54</v>
      </c>
    </row>
    <row r="1867" spans="1:17" x14ac:dyDescent="0.25">
      <c r="A1867" s="2">
        <v>45330</v>
      </c>
      <c r="B1867" s="2" t="str">
        <f t="shared" si="58"/>
        <v>Thursday</v>
      </c>
      <c r="C1867" s="2" t="b">
        <f t="shared" si="59"/>
        <v>0</v>
      </c>
      <c r="D1867">
        <v>3</v>
      </c>
      <c r="E1867" t="s">
        <v>7</v>
      </c>
      <c r="F1867">
        <v>188</v>
      </c>
      <c r="G1867" s="3">
        <v>3049.35</v>
      </c>
      <c r="H1867" s="3">
        <f>Miami_Retail[[#This Row],[sales_usd]] / Miami_Retail[[#This Row],[customers]]</f>
        <v>16.219946808510638</v>
      </c>
      <c r="I1867">
        <v>68.099999999999994</v>
      </c>
      <c r="J1867">
        <f>(Miami_Retail[[#This Row],[avg_temp_f]]-32) * (5/9)</f>
        <v>20.055555555555554</v>
      </c>
      <c r="K1867">
        <v>0</v>
      </c>
      <c r="L1867">
        <v>0</v>
      </c>
      <c r="M1867">
        <v>39.799999999999997</v>
      </c>
      <c r="N1867">
        <v>48.7</v>
      </c>
      <c r="O1867">
        <v>51.3</v>
      </c>
      <c r="P1867">
        <v>46</v>
      </c>
      <c r="Q1867">
        <v>54</v>
      </c>
    </row>
    <row r="1868" spans="1:17" x14ac:dyDescent="0.25">
      <c r="A1868" s="2">
        <v>45331</v>
      </c>
      <c r="B1868" s="2" t="str">
        <f t="shared" si="58"/>
        <v>Friday</v>
      </c>
      <c r="C1868" s="2" t="b">
        <f t="shared" si="59"/>
        <v>0</v>
      </c>
      <c r="D1868">
        <v>3</v>
      </c>
      <c r="E1868" t="s">
        <v>7</v>
      </c>
      <c r="F1868">
        <v>228</v>
      </c>
      <c r="G1868" s="3">
        <v>3655.74</v>
      </c>
      <c r="H1868" s="3">
        <f>Miami_Retail[[#This Row],[sales_usd]] / Miami_Retail[[#This Row],[customers]]</f>
        <v>16.033947368421053</v>
      </c>
      <c r="I1868">
        <v>74.900000000000006</v>
      </c>
      <c r="J1868">
        <f>(Miami_Retail[[#This Row],[avg_temp_f]]-32) * (5/9)</f>
        <v>23.833333333333339</v>
      </c>
      <c r="K1868">
        <v>1.19</v>
      </c>
      <c r="L1868">
        <v>1</v>
      </c>
      <c r="M1868">
        <v>35</v>
      </c>
      <c r="N1868">
        <v>50.9</v>
      </c>
      <c r="O1868">
        <v>49.1</v>
      </c>
      <c r="P1868">
        <v>46.9</v>
      </c>
      <c r="Q1868">
        <v>53.1</v>
      </c>
    </row>
    <row r="1869" spans="1:17" x14ac:dyDescent="0.25">
      <c r="A1869" s="2">
        <v>45332</v>
      </c>
      <c r="B1869" s="2" t="str">
        <f t="shared" si="58"/>
        <v>Saturday</v>
      </c>
      <c r="C1869" s="2" t="b">
        <f t="shared" si="59"/>
        <v>1</v>
      </c>
      <c r="D1869">
        <v>3</v>
      </c>
      <c r="E1869" t="s">
        <v>7</v>
      </c>
      <c r="F1869">
        <v>234</v>
      </c>
      <c r="G1869" s="3">
        <v>3791.72</v>
      </c>
      <c r="H1869" s="3">
        <f>Miami_Retail[[#This Row],[sales_usd]] / Miami_Retail[[#This Row],[customers]]</f>
        <v>16.203931623931624</v>
      </c>
      <c r="I1869">
        <v>65.2</v>
      </c>
      <c r="J1869">
        <f>(Miami_Retail[[#This Row],[avg_temp_f]]-32) * (5/9)</f>
        <v>18.444444444444446</v>
      </c>
      <c r="K1869">
        <v>0</v>
      </c>
      <c r="L1869">
        <v>0</v>
      </c>
      <c r="M1869">
        <v>35</v>
      </c>
      <c r="N1869">
        <v>49.1</v>
      </c>
      <c r="O1869">
        <v>50.9</v>
      </c>
      <c r="P1869">
        <v>52.5</v>
      </c>
      <c r="Q1869">
        <v>47.5</v>
      </c>
    </row>
    <row r="1870" spans="1:17" x14ac:dyDescent="0.25">
      <c r="A1870" s="2">
        <v>45333</v>
      </c>
      <c r="B1870" s="2" t="str">
        <f t="shared" si="58"/>
        <v>Sunday</v>
      </c>
      <c r="C1870" s="2" t="b">
        <f t="shared" si="59"/>
        <v>1</v>
      </c>
      <c r="D1870">
        <v>3</v>
      </c>
      <c r="E1870" t="s">
        <v>7</v>
      </c>
      <c r="F1870">
        <v>212</v>
      </c>
      <c r="G1870" s="3">
        <v>3307.91</v>
      </c>
      <c r="H1870" s="3">
        <f>Miami_Retail[[#This Row],[sales_usd]] / Miami_Retail[[#This Row],[customers]]</f>
        <v>15.603349056603772</v>
      </c>
      <c r="I1870">
        <v>70.400000000000006</v>
      </c>
      <c r="J1870">
        <f>(Miami_Retail[[#This Row],[avg_temp_f]]-32) * (5/9)</f>
        <v>21.333333333333336</v>
      </c>
      <c r="K1870">
        <v>0</v>
      </c>
      <c r="L1870">
        <v>0</v>
      </c>
      <c r="M1870">
        <v>42.1</v>
      </c>
      <c r="N1870">
        <v>51.2</v>
      </c>
      <c r="O1870">
        <v>48.8</v>
      </c>
      <c r="P1870">
        <v>51.2</v>
      </c>
      <c r="Q1870">
        <v>48.8</v>
      </c>
    </row>
    <row r="1871" spans="1:17" x14ac:dyDescent="0.25">
      <c r="A1871" s="2">
        <v>45334</v>
      </c>
      <c r="B1871" s="2" t="str">
        <f t="shared" si="58"/>
        <v>Monday</v>
      </c>
      <c r="C1871" s="2" t="b">
        <f t="shared" si="59"/>
        <v>0</v>
      </c>
      <c r="D1871">
        <v>3</v>
      </c>
      <c r="E1871" t="s">
        <v>7</v>
      </c>
      <c r="F1871">
        <v>158</v>
      </c>
      <c r="G1871" s="3">
        <v>2540.25</v>
      </c>
      <c r="H1871" s="3">
        <f>Miami_Retail[[#This Row],[sales_usd]] / Miami_Retail[[#This Row],[customers]]</f>
        <v>16.077531645569621</v>
      </c>
      <c r="I1871">
        <v>68</v>
      </c>
      <c r="J1871">
        <f>(Miami_Retail[[#This Row],[avg_temp_f]]-32) * (5/9)</f>
        <v>20</v>
      </c>
      <c r="K1871">
        <v>0</v>
      </c>
      <c r="L1871">
        <v>0</v>
      </c>
      <c r="M1871">
        <v>47.9</v>
      </c>
      <c r="N1871">
        <v>51.3</v>
      </c>
      <c r="O1871">
        <v>48.7</v>
      </c>
      <c r="P1871">
        <v>46.9</v>
      </c>
      <c r="Q1871">
        <v>53.1</v>
      </c>
    </row>
    <row r="1872" spans="1:17" x14ac:dyDescent="0.25">
      <c r="A1872" s="2">
        <v>45335</v>
      </c>
      <c r="B1872" s="2" t="str">
        <f t="shared" si="58"/>
        <v>Tuesday</v>
      </c>
      <c r="C1872" s="2" t="b">
        <f t="shared" si="59"/>
        <v>0</v>
      </c>
      <c r="D1872">
        <v>3</v>
      </c>
      <c r="E1872" t="s">
        <v>7</v>
      </c>
      <c r="F1872">
        <v>163</v>
      </c>
      <c r="G1872" s="3">
        <v>2625.11</v>
      </c>
      <c r="H1872" s="3">
        <f>Miami_Retail[[#This Row],[sales_usd]] / Miami_Retail[[#This Row],[customers]]</f>
        <v>16.104969325153377</v>
      </c>
      <c r="I1872">
        <v>63.6</v>
      </c>
      <c r="J1872">
        <f>(Miami_Retail[[#This Row],[avg_temp_f]]-32) * (5/9)</f>
        <v>17.555555555555557</v>
      </c>
      <c r="K1872">
        <v>0</v>
      </c>
      <c r="L1872">
        <v>0</v>
      </c>
      <c r="M1872">
        <v>47.8</v>
      </c>
      <c r="N1872">
        <v>51.9</v>
      </c>
      <c r="O1872">
        <v>48.1</v>
      </c>
      <c r="P1872">
        <v>46.1</v>
      </c>
      <c r="Q1872">
        <v>53.9</v>
      </c>
    </row>
    <row r="1873" spans="1:17" x14ac:dyDescent="0.25">
      <c r="A1873" s="2">
        <v>45336</v>
      </c>
      <c r="B1873" s="2" t="str">
        <f t="shared" si="58"/>
        <v>Wednesday</v>
      </c>
      <c r="C1873" s="2" t="b">
        <f t="shared" si="59"/>
        <v>0</v>
      </c>
      <c r="D1873">
        <v>3</v>
      </c>
      <c r="E1873" t="s">
        <v>7</v>
      </c>
      <c r="F1873">
        <v>198</v>
      </c>
      <c r="G1873" s="3">
        <v>3333.35</v>
      </c>
      <c r="H1873" s="3">
        <f>Miami_Retail[[#This Row],[sales_usd]] / Miami_Retail[[#This Row],[customers]]</f>
        <v>16.83510101010101</v>
      </c>
      <c r="I1873">
        <v>67.8</v>
      </c>
      <c r="J1873">
        <f>(Miami_Retail[[#This Row],[avg_temp_f]]-32) * (5/9)</f>
        <v>19.888888888888889</v>
      </c>
      <c r="K1873">
        <v>0</v>
      </c>
      <c r="L1873">
        <v>0</v>
      </c>
      <c r="M1873">
        <v>35</v>
      </c>
      <c r="N1873">
        <v>52.2</v>
      </c>
      <c r="O1873">
        <v>47.8</v>
      </c>
      <c r="P1873">
        <v>47.5</v>
      </c>
      <c r="Q1873">
        <v>52.5</v>
      </c>
    </row>
    <row r="1874" spans="1:17" x14ac:dyDescent="0.25">
      <c r="A1874" s="2">
        <v>45337</v>
      </c>
      <c r="B1874" s="2" t="str">
        <f t="shared" si="58"/>
        <v>Thursday</v>
      </c>
      <c r="C1874" s="2" t="b">
        <f t="shared" si="59"/>
        <v>0</v>
      </c>
      <c r="D1874">
        <v>3</v>
      </c>
      <c r="E1874" t="s">
        <v>7</v>
      </c>
      <c r="F1874">
        <v>162</v>
      </c>
      <c r="G1874" s="3">
        <v>2425.9699999999998</v>
      </c>
      <c r="H1874" s="3">
        <f>Miami_Retail[[#This Row],[sales_usd]] / Miami_Retail[[#This Row],[customers]]</f>
        <v>14.975123456790122</v>
      </c>
      <c r="I1874">
        <v>68.3</v>
      </c>
      <c r="J1874">
        <f>(Miami_Retail[[#This Row],[avg_temp_f]]-32) * (5/9)</f>
        <v>20.166666666666664</v>
      </c>
      <c r="K1874">
        <v>0</v>
      </c>
      <c r="L1874">
        <v>0</v>
      </c>
      <c r="M1874">
        <v>41.8</v>
      </c>
      <c r="N1874">
        <v>50.5</v>
      </c>
      <c r="O1874">
        <v>49.5</v>
      </c>
      <c r="P1874">
        <v>47.9</v>
      </c>
      <c r="Q1874">
        <v>52.1</v>
      </c>
    </row>
    <row r="1875" spans="1:17" x14ac:dyDescent="0.25">
      <c r="A1875" s="2">
        <v>45338</v>
      </c>
      <c r="B1875" s="2" t="str">
        <f t="shared" si="58"/>
        <v>Friday</v>
      </c>
      <c r="C1875" s="2" t="b">
        <f t="shared" si="59"/>
        <v>0</v>
      </c>
      <c r="D1875">
        <v>3</v>
      </c>
      <c r="E1875" t="s">
        <v>7</v>
      </c>
      <c r="F1875">
        <v>202</v>
      </c>
      <c r="G1875" s="3">
        <v>3418.44</v>
      </c>
      <c r="H1875" s="3">
        <f>Miami_Retail[[#This Row],[sales_usd]] / Miami_Retail[[#This Row],[customers]]</f>
        <v>16.922970297029703</v>
      </c>
      <c r="I1875">
        <v>66.8</v>
      </c>
      <c r="J1875">
        <f>(Miami_Retail[[#This Row],[avg_temp_f]]-32) * (5/9)</f>
        <v>19.333333333333332</v>
      </c>
      <c r="K1875">
        <v>0</v>
      </c>
      <c r="L1875">
        <v>0</v>
      </c>
      <c r="M1875">
        <v>35.799999999999997</v>
      </c>
      <c r="N1875">
        <v>50.4</v>
      </c>
      <c r="O1875">
        <v>49.6</v>
      </c>
      <c r="P1875">
        <v>46.6</v>
      </c>
      <c r="Q1875">
        <v>53.4</v>
      </c>
    </row>
    <row r="1876" spans="1:17" x14ac:dyDescent="0.25">
      <c r="A1876" s="2">
        <v>45339</v>
      </c>
      <c r="B1876" s="2" t="str">
        <f t="shared" si="58"/>
        <v>Saturday</v>
      </c>
      <c r="C1876" s="2" t="b">
        <f t="shared" si="59"/>
        <v>1</v>
      </c>
      <c r="D1876">
        <v>3</v>
      </c>
      <c r="E1876" t="s">
        <v>7</v>
      </c>
      <c r="F1876">
        <v>210</v>
      </c>
      <c r="G1876" s="3">
        <v>3583.04</v>
      </c>
      <c r="H1876" s="3">
        <f>Miami_Retail[[#This Row],[sales_usd]] / Miami_Retail[[#This Row],[customers]]</f>
        <v>17.062095238095239</v>
      </c>
      <c r="I1876">
        <v>71.7</v>
      </c>
      <c r="J1876">
        <f>(Miami_Retail[[#This Row],[avg_temp_f]]-32) * (5/9)</f>
        <v>22.055555555555557</v>
      </c>
      <c r="K1876">
        <v>0</v>
      </c>
      <c r="L1876">
        <v>0</v>
      </c>
      <c r="M1876">
        <v>35</v>
      </c>
      <c r="N1876">
        <v>51.7</v>
      </c>
      <c r="O1876">
        <v>48.3</v>
      </c>
      <c r="P1876">
        <v>52.5</v>
      </c>
      <c r="Q1876">
        <v>47.5</v>
      </c>
    </row>
    <row r="1877" spans="1:17" x14ac:dyDescent="0.25">
      <c r="A1877" s="2">
        <v>45340</v>
      </c>
      <c r="B1877" s="2" t="str">
        <f t="shared" si="58"/>
        <v>Sunday</v>
      </c>
      <c r="C1877" s="2" t="b">
        <f t="shared" si="59"/>
        <v>1</v>
      </c>
      <c r="D1877">
        <v>3</v>
      </c>
      <c r="E1877" t="s">
        <v>7</v>
      </c>
      <c r="F1877">
        <v>223</v>
      </c>
      <c r="G1877" s="3">
        <v>3700.96</v>
      </c>
      <c r="H1877" s="3">
        <f>Miami_Retail[[#This Row],[sales_usd]] / Miami_Retail[[#This Row],[customers]]</f>
        <v>16.596233183856501</v>
      </c>
      <c r="I1877">
        <v>64</v>
      </c>
      <c r="J1877">
        <f>(Miami_Retail[[#This Row],[avg_temp_f]]-32) * (5/9)</f>
        <v>17.777777777777779</v>
      </c>
      <c r="K1877">
        <v>0.79</v>
      </c>
      <c r="L1877">
        <v>1</v>
      </c>
      <c r="M1877">
        <v>38.799999999999997</v>
      </c>
      <c r="N1877">
        <v>51.7</v>
      </c>
      <c r="O1877">
        <v>48.3</v>
      </c>
      <c r="P1877">
        <v>53.1</v>
      </c>
      <c r="Q1877">
        <v>46.9</v>
      </c>
    </row>
    <row r="1878" spans="1:17" x14ac:dyDescent="0.25">
      <c r="A1878" s="2">
        <v>45341</v>
      </c>
      <c r="B1878" s="2" t="str">
        <f t="shared" si="58"/>
        <v>Monday</v>
      </c>
      <c r="C1878" s="2" t="b">
        <f t="shared" si="59"/>
        <v>0</v>
      </c>
      <c r="D1878">
        <v>3</v>
      </c>
      <c r="E1878" t="s">
        <v>7</v>
      </c>
      <c r="F1878">
        <v>192</v>
      </c>
      <c r="G1878" s="3">
        <v>3158.92</v>
      </c>
      <c r="H1878" s="3">
        <f>Miami_Retail[[#This Row],[sales_usd]] / Miami_Retail[[#This Row],[customers]]</f>
        <v>16.452708333333334</v>
      </c>
      <c r="I1878">
        <v>66</v>
      </c>
      <c r="J1878">
        <f>(Miami_Retail[[#This Row],[avg_temp_f]]-32) * (5/9)</f>
        <v>18.888888888888889</v>
      </c>
      <c r="K1878">
        <v>0</v>
      </c>
      <c r="L1878">
        <v>0</v>
      </c>
      <c r="M1878">
        <v>44.6</v>
      </c>
      <c r="N1878">
        <v>51.6</v>
      </c>
      <c r="O1878">
        <v>48.4</v>
      </c>
      <c r="P1878">
        <v>47.3</v>
      </c>
      <c r="Q1878">
        <v>52.7</v>
      </c>
    </row>
    <row r="1879" spans="1:17" x14ac:dyDescent="0.25">
      <c r="A1879" s="2">
        <v>45342</v>
      </c>
      <c r="B1879" s="2" t="str">
        <f t="shared" si="58"/>
        <v>Tuesday</v>
      </c>
      <c r="C1879" s="2" t="b">
        <f t="shared" si="59"/>
        <v>0</v>
      </c>
      <c r="D1879">
        <v>3</v>
      </c>
      <c r="E1879" t="s">
        <v>7</v>
      </c>
      <c r="F1879">
        <v>186</v>
      </c>
      <c r="G1879" s="3">
        <v>3233.74</v>
      </c>
      <c r="H1879" s="3">
        <f>Miami_Retail[[#This Row],[sales_usd]] / Miami_Retail[[#This Row],[customers]]</f>
        <v>17.38569892473118</v>
      </c>
      <c r="I1879">
        <v>69.8</v>
      </c>
      <c r="J1879">
        <f>(Miami_Retail[[#This Row],[avg_temp_f]]-32) * (5/9)</f>
        <v>21</v>
      </c>
      <c r="K1879">
        <v>0</v>
      </c>
      <c r="L1879">
        <v>0</v>
      </c>
      <c r="M1879">
        <v>37.700000000000003</v>
      </c>
      <c r="N1879">
        <v>51.1</v>
      </c>
      <c r="O1879">
        <v>48.9</v>
      </c>
      <c r="P1879">
        <v>46.4</v>
      </c>
      <c r="Q1879">
        <v>53.6</v>
      </c>
    </row>
    <row r="1880" spans="1:17" x14ac:dyDescent="0.25">
      <c r="A1880" s="2">
        <v>45343</v>
      </c>
      <c r="B1880" s="2" t="str">
        <f t="shared" si="58"/>
        <v>Wednesday</v>
      </c>
      <c r="C1880" s="2" t="b">
        <f t="shared" si="59"/>
        <v>0</v>
      </c>
      <c r="D1880">
        <v>3</v>
      </c>
      <c r="E1880" t="s">
        <v>7</v>
      </c>
      <c r="F1880">
        <v>189</v>
      </c>
      <c r="G1880" s="3">
        <v>3342.72</v>
      </c>
      <c r="H1880" s="3">
        <f>Miami_Retail[[#This Row],[sales_usd]] / Miami_Retail[[#This Row],[customers]]</f>
        <v>17.686349206349206</v>
      </c>
      <c r="I1880">
        <v>70.900000000000006</v>
      </c>
      <c r="J1880">
        <f>(Miami_Retail[[#This Row],[avg_temp_f]]-32) * (5/9)</f>
        <v>21.611111111111114</v>
      </c>
      <c r="K1880">
        <v>0</v>
      </c>
      <c r="L1880">
        <v>0</v>
      </c>
      <c r="M1880">
        <v>36.700000000000003</v>
      </c>
      <c r="N1880">
        <v>52.4</v>
      </c>
      <c r="O1880">
        <v>47.6</v>
      </c>
      <c r="P1880">
        <v>47.2</v>
      </c>
      <c r="Q1880">
        <v>52.8</v>
      </c>
    </row>
    <row r="1881" spans="1:17" x14ac:dyDescent="0.25">
      <c r="A1881" s="2">
        <v>45344</v>
      </c>
      <c r="B1881" s="2" t="str">
        <f t="shared" si="58"/>
        <v>Thursday</v>
      </c>
      <c r="C1881" s="2" t="b">
        <f t="shared" si="59"/>
        <v>0</v>
      </c>
      <c r="D1881">
        <v>3</v>
      </c>
      <c r="E1881" t="s">
        <v>7</v>
      </c>
      <c r="F1881">
        <v>204</v>
      </c>
      <c r="G1881" s="3">
        <v>3344.28</v>
      </c>
      <c r="H1881" s="3">
        <f>Miami_Retail[[#This Row],[sales_usd]] / Miami_Retail[[#This Row],[customers]]</f>
        <v>16.393529411764707</v>
      </c>
      <c r="I1881">
        <v>72</v>
      </c>
      <c r="J1881">
        <f>(Miami_Retail[[#This Row],[avg_temp_f]]-32) * (5/9)</f>
        <v>22.222222222222221</v>
      </c>
      <c r="K1881">
        <v>0</v>
      </c>
      <c r="L1881">
        <v>0</v>
      </c>
      <c r="M1881">
        <v>36.9</v>
      </c>
      <c r="N1881">
        <v>50.5</v>
      </c>
      <c r="O1881">
        <v>49.5</v>
      </c>
      <c r="P1881">
        <v>47.7</v>
      </c>
      <c r="Q1881">
        <v>52.3</v>
      </c>
    </row>
    <row r="1882" spans="1:17" x14ac:dyDescent="0.25">
      <c r="A1882" s="2">
        <v>45345</v>
      </c>
      <c r="B1882" s="2" t="str">
        <f t="shared" si="58"/>
        <v>Friday</v>
      </c>
      <c r="C1882" s="2" t="b">
        <f t="shared" si="59"/>
        <v>0</v>
      </c>
      <c r="D1882">
        <v>3</v>
      </c>
      <c r="E1882" t="s">
        <v>7</v>
      </c>
      <c r="F1882">
        <v>180</v>
      </c>
      <c r="G1882" s="3">
        <v>2778.6</v>
      </c>
      <c r="H1882" s="3">
        <f>Miami_Retail[[#This Row],[sales_usd]] / Miami_Retail[[#This Row],[customers]]</f>
        <v>15.436666666666666</v>
      </c>
      <c r="I1882">
        <v>65.099999999999994</v>
      </c>
      <c r="J1882">
        <f>(Miami_Retail[[#This Row],[avg_temp_f]]-32) * (5/9)</f>
        <v>18.388888888888886</v>
      </c>
      <c r="K1882">
        <v>1.41</v>
      </c>
      <c r="L1882">
        <v>1</v>
      </c>
      <c r="M1882">
        <v>41.8</v>
      </c>
      <c r="N1882">
        <v>52.4</v>
      </c>
      <c r="O1882">
        <v>47.6</v>
      </c>
      <c r="P1882">
        <v>48.2</v>
      </c>
      <c r="Q1882">
        <v>51.8</v>
      </c>
    </row>
    <row r="1883" spans="1:17" x14ac:dyDescent="0.25">
      <c r="A1883" s="2">
        <v>45346</v>
      </c>
      <c r="B1883" s="2" t="str">
        <f t="shared" si="58"/>
        <v>Saturday</v>
      </c>
      <c r="C1883" s="2" t="b">
        <f t="shared" si="59"/>
        <v>1</v>
      </c>
      <c r="D1883">
        <v>3</v>
      </c>
      <c r="E1883" t="s">
        <v>7</v>
      </c>
      <c r="F1883">
        <v>223</v>
      </c>
      <c r="G1883" s="3">
        <v>3696.67</v>
      </c>
      <c r="H1883" s="3">
        <f>Miami_Retail[[#This Row],[sales_usd]] / Miami_Retail[[#This Row],[customers]]</f>
        <v>16.576995515695067</v>
      </c>
      <c r="I1883">
        <v>63.6</v>
      </c>
      <c r="J1883">
        <f>(Miami_Retail[[#This Row],[avg_temp_f]]-32) * (5/9)</f>
        <v>17.555555555555557</v>
      </c>
      <c r="K1883">
        <v>0</v>
      </c>
      <c r="L1883">
        <v>0</v>
      </c>
      <c r="M1883">
        <v>38</v>
      </c>
      <c r="N1883">
        <v>51.8</v>
      </c>
      <c r="O1883">
        <v>48.2</v>
      </c>
      <c r="P1883">
        <v>51.2</v>
      </c>
      <c r="Q1883">
        <v>48.8</v>
      </c>
    </row>
    <row r="1884" spans="1:17" x14ac:dyDescent="0.25">
      <c r="A1884" s="2">
        <v>45347</v>
      </c>
      <c r="B1884" s="2" t="str">
        <f t="shared" si="58"/>
        <v>Sunday</v>
      </c>
      <c r="C1884" s="2" t="b">
        <f t="shared" si="59"/>
        <v>1</v>
      </c>
      <c r="D1884">
        <v>3</v>
      </c>
      <c r="E1884" t="s">
        <v>7</v>
      </c>
      <c r="F1884">
        <v>236</v>
      </c>
      <c r="G1884" s="3">
        <v>3773.32</v>
      </c>
      <c r="H1884" s="3">
        <f>Miami_Retail[[#This Row],[sales_usd]] / Miami_Retail[[#This Row],[customers]]</f>
        <v>15.988644067796612</v>
      </c>
      <c r="I1884">
        <v>67</v>
      </c>
      <c r="J1884">
        <f>(Miami_Retail[[#This Row],[avg_temp_f]]-32) * (5/9)</f>
        <v>19.444444444444446</v>
      </c>
      <c r="K1884">
        <v>0</v>
      </c>
      <c r="L1884">
        <v>0</v>
      </c>
      <c r="M1884">
        <v>36.299999999999997</v>
      </c>
      <c r="N1884">
        <v>50.8</v>
      </c>
      <c r="O1884">
        <v>49.2</v>
      </c>
      <c r="P1884">
        <v>52.8</v>
      </c>
      <c r="Q1884">
        <v>47.2</v>
      </c>
    </row>
    <row r="1885" spans="1:17" x14ac:dyDescent="0.25">
      <c r="A1885" s="2">
        <v>45348</v>
      </c>
      <c r="B1885" s="2" t="str">
        <f t="shared" si="58"/>
        <v>Monday</v>
      </c>
      <c r="C1885" s="2" t="b">
        <f t="shared" si="59"/>
        <v>0</v>
      </c>
      <c r="D1885">
        <v>3</v>
      </c>
      <c r="E1885" t="s">
        <v>7</v>
      </c>
      <c r="F1885">
        <v>159</v>
      </c>
      <c r="G1885" s="3">
        <v>2875.08</v>
      </c>
      <c r="H1885" s="3">
        <f>Miami_Retail[[#This Row],[sales_usd]] / Miami_Retail[[#This Row],[customers]]</f>
        <v>18.082264150943395</v>
      </c>
      <c r="I1885">
        <v>67</v>
      </c>
      <c r="J1885">
        <f>(Miami_Retail[[#This Row],[avg_temp_f]]-32) * (5/9)</f>
        <v>19.444444444444446</v>
      </c>
      <c r="K1885">
        <v>0</v>
      </c>
      <c r="L1885">
        <v>0</v>
      </c>
      <c r="M1885">
        <v>38.700000000000003</v>
      </c>
      <c r="N1885">
        <v>51.3</v>
      </c>
      <c r="O1885">
        <v>48.7</v>
      </c>
      <c r="P1885">
        <v>47.7</v>
      </c>
      <c r="Q1885">
        <v>52.3</v>
      </c>
    </row>
    <row r="1886" spans="1:17" x14ac:dyDescent="0.25">
      <c r="A1886" s="2">
        <v>45349</v>
      </c>
      <c r="B1886" s="2" t="str">
        <f t="shared" si="58"/>
        <v>Tuesday</v>
      </c>
      <c r="C1886" s="2" t="b">
        <f t="shared" si="59"/>
        <v>0</v>
      </c>
      <c r="D1886">
        <v>3</v>
      </c>
      <c r="E1886" t="s">
        <v>7</v>
      </c>
      <c r="F1886">
        <v>190</v>
      </c>
      <c r="G1886" s="3">
        <v>3335.31</v>
      </c>
      <c r="H1886" s="3">
        <f>Miami_Retail[[#This Row],[sales_usd]] / Miami_Retail[[#This Row],[customers]]</f>
        <v>17.554263157894738</v>
      </c>
      <c r="I1886">
        <v>62.5</v>
      </c>
      <c r="J1886">
        <f>(Miami_Retail[[#This Row],[avg_temp_f]]-32) * (5/9)</f>
        <v>16.944444444444446</v>
      </c>
      <c r="K1886">
        <v>0</v>
      </c>
      <c r="L1886">
        <v>0</v>
      </c>
      <c r="M1886">
        <v>39.700000000000003</v>
      </c>
      <c r="N1886">
        <v>50.6</v>
      </c>
      <c r="O1886">
        <v>49.4</v>
      </c>
      <c r="P1886">
        <v>47.7</v>
      </c>
      <c r="Q1886">
        <v>52.3</v>
      </c>
    </row>
    <row r="1887" spans="1:17" x14ac:dyDescent="0.25">
      <c r="A1887" s="2">
        <v>45350</v>
      </c>
      <c r="B1887" s="2" t="str">
        <f t="shared" si="58"/>
        <v>Wednesday</v>
      </c>
      <c r="C1887" s="2" t="b">
        <f t="shared" si="59"/>
        <v>0</v>
      </c>
      <c r="D1887">
        <v>3</v>
      </c>
      <c r="E1887" t="s">
        <v>7</v>
      </c>
      <c r="F1887">
        <v>165</v>
      </c>
      <c r="G1887" s="3">
        <v>2849.33</v>
      </c>
      <c r="H1887" s="3">
        <f>Miami_Retail[[#This Row],[sales_usd]] / Miami_Retail[[#This Row],[customers]]</f>
        <v>17.268666666666665</v>
      </c>
      <c r="I1887">
        <v>64.8</v>
      </c>
      <c r="J1887">
        <f>(Miami_Retail[[#This Row],[avg_temp_f]]-32) * (5/9)</f>
        <v>18.222222222222221</v>
      </c>
      <c r="K1887">
        <v>0</v>
      </c>
      <c r="L1887">
        <v>0</v>
      </c>
      <c r="M1887">
        <v>35</v>
      </c>
      <c r="N1887">
        <v>52</v>
      </c>
      <c r="O1887">
        <v>48</v>
      </c>
      <c r="P1887">
        <v>48.2</v>
      </c>
      <c r="Q1887">
        <v>51.8</v>
      </c>
    </row>
    <row r="1888" spans="1:17" x14ac:dyDescent="0.25">
      <c r="A1888" s="2">
        <v>45351</v>
      </c>
      <c r="B1888" s="2" t="str">
        <f t="shared" si="58"/>
        <v>Thursday</v>
      </c>
      <c r="C1888" s="2" t="b">
        <f t="shared" si="59"/>
        <v>0</v>
      </c>
      <c r="D1888">
        <v>3</v>
      </c>
      <c r="E1888" t="s">
        <v>7</v>
      </c>
      <c r="F1888">
        <v>168</v>
      </c>
      <c r="G1888" s="3">
        <v>2813.05</v>
      </c>
      <c r="H1888" s="3">
        <f>Miami_Retail[[#This Row],[sales_usd]] / Miami_Retail[[#This Row],[customers]]</f>
        <v>16.744345238095239</v>
      </c>
      <c r="I1888">
        <v>69.5</v>
      </c>
      <c r="J1888">
        <f>(Miami_Retail[[#This Row],[avg_temp_f]]-32) * (5/9)</f>
        <v>20.833333333333336</v>
      </c>
      <c r="K1888">
        <v>2.56</v>
      </c>
      <c r="L1888">
        <v>1</v>
      </c>
      <c r="M1888">
        <v>35.200000000000003</v>
      </c>
      <c r="N1888">
        <v>52</v>
      </c>
      <c r="O1888">
        <v>48</v>
      </c>
      <c r="P1888">
        <v>47.8</v>
      </c>
      <c r="Q1888">
        <v>52.2</v>
      </c>
    </row>
    <row r="1889" spans="1:17" x14ac:dyDescent="0.25">
      <c r="A1889" s="2">
        <v>45352</v>
      </c>
      <c r="B1889" s="2" t="str">
        <f t="shared" si="58"/>
        <v>Friday</v>
      </c>
      <c r="C1889" s="2" t="b">
        <f t="shared" si="59"/>
        <v>0</v>
      </c>
      <c r="D1889">
        <v>3</v>
      </c>
      <c r="E1889" t="s">
        <v>7</v>
      </c>
      <c r="F1889">
        <v>201</v>
      </c>
      <c r="G1889" s="3">
        <v>3468.31</v>
      </c>
      <c r="H1889" s="3">
        <f>Miami_Retail[[#This Row],[sales_usd]] / Miami_Retail[[#This Row],[customers]]</f>
        <v>17.255273631840797</v>
      </c>
      <c r="I1889">
        <v>64.8</v>
      </c>
      <c r="J1889">
        <f>(Miami_Retail[[#This Row],[avg_temp_f]]-32) * (5/9)</f>
        <v>18.222222222222221</v>
      </c>
      <c r="K1889">
        <v>0.15</v>
      </c>
      <c r="L1889">
        <v>1</v>
      </c>
      <c r="M1889">
        <v>37.1</v>
      </c>
      <c r="N1889">
        <v>50.9</v>
      </c>
      <c r="O1889">
        <v>49.1</v>
      </c>
      <c r="P1889">
        <v>48</v>
      </c>
      <c r="Q1889">
        <v>52</v>
      </c>
    </row>
    <row r="1890" spans="1:17" x14ac:dyDescent="0.25">
      <c r="A1890" s="2">
        <v>45353</v>
      </c>
      <c r="B1890" s="2" t="str">
        <f t="shared" si="58"/>
        <v>Saturday</v>
      </c>
      <c r="C1890" s="2" t="b">
        <f t="shared" si="59"/>
        <v>1</v>
      </c>
      <c r="D1890">
        <v>3</v>
      </c>
      <c r="E1890" t="s">
        <v>7</v>
      </c>
      <c r="F1890">
        <v>200</v>
      </c>
      <c r="G1890" s="3">
        <v>3106.32</v>
      </c>
      <c r="H1890" s="3">
        <f>Miami_Retail[[#This Row],[sales_usd]] / Miami_Retail[[#This Row],[customers]]</f>
        <v>15.531600000000001</v>
      </c>
      <c r="I1890">
        <v>63.1</v>
      </c>
      <c r="J1890">
        <f>(Miami_Retail[[#This Row],[avg_temp_f]]-32) * (5/9)</f>
        <v>17.277777777777779</v>
      </c>
      <c r="K1890">
        <v>0</v>
      </c>
      <c r="L1890">
        <v>0</v>
      </c>
      <c r="M1890">
        <v>35</v>
      </c>
      <c r="N1890">
        <v>51.1</v>
      </c>
      <c r="O1890">
        <v>48.9</v>
      </c>
      <c r="P1890">
        <v>51.8</v>
      </c>
      <c r="Q1890">
        <v>48.2</v>
      </c>
    </row>
    <row r="1891" spans="1:17" x14ac:dyDescent="0.25">
      <c r="A1891" s="2">
        <v>45354</v>
      </c>
      <c r="B1891" s="2" t="str">
        <f t="shared" si="58"/>
        <v>Sunday</v>
      </c>
      <c r="C1891" s="2" t="b">
        <f t="shared" si="59"/>
        <v>1</v>
      </c>
      <c r="D1891">
        <v>3</v>
      </c>
      <c r="E1891" t="s">
        <v>7</v>
      </c>
      <c r="F1891">
        <v>176</v>
      </c>
      <c r="G1891" s="3">
        <v>3005.31</v>
      </c>
      <c r="H1891" s="3">
        <f>Miami_Retail[[#This Row],[sales_usd]] / Miami_Retail[[#This Row],[customers]]</f>
        <v>17.075624999999999</v>
      </c>
      <c r="I1891">
        <v>63.9</v>
      </c>
      <c r="J1891">
        <f>(Miami_Retail[[#This Row],[avg_temp_f]]-32) * (5/9)</f>
        <v>17.722222222222221</v>
      </c>
      <c r="K1891">
        <v>0</v>
      </c>
      <c r="L1891">
        <v>0</v>
      </c>
      <c r="M1891">
        <v>36.200000000000003</v>
      </c>
      <c r="N1891">
        <v>51.5</v>
      </c>
      <c r="O1891">
        <v>48.5</v>
      </c>
      <c r="P1891">
        <v>51.7</v>
      </c>
      <c r="Q1891">
        <v>48.3</v>
      </c>
    </row>
    <row r="1892" spans="1:17" x14ac:dyDescent="0.25">
      <c r="A1892" s="2">
        <v>45355</v>
      </c>
      <c r="B1892" s="2" t="str">
        <f t="shared" si="58"/>
        <v>Monday</v>
      </c>
      <c r="C1892" s="2" t="b">
        <f t="shared" si="59"/>
        <v>0</v>
      </c>
      <c r="D1892">
        <v>3</v>
      </c>
      <c r="E1892" t="s">
        <v>7</v>
      </c>
      <c r="F1892">
        <v>166</v>
      </c>
      <c r="G1892" s="3">
        <v>2776.5</v>
      </c>
      <c r="H1892" s="3">
        <f>Miami_Retail[[#This Row],[sales_usd]] / Miami_Retail[[#This Row],[customers]]</f>
        <v>16.725903614457831</v>
      </c>
      <c r="I1892">
        <v>61.4</v>
      </c>
      <c r="J1892">
        <f>(Miami_Retail[[#This Row],[avg_temp_f]]-32) * (5/9)</f>
        <v>16.333333333333332</v>
      </c>
      <c r="K1892">
        <v>1.1000000000000001</v>
      </c>
      <c r="L1892">
        <v>1</v>
      </c>
      <c r="M1892">
        <v>35</v>
      </c>
      <c r="N1892">
        <v>50.5</v>
      </c>
      <c r="O1892">
        <v>49.5</v>
      </c>
      <c r="P1892">
        <v>48</v>
      </c>
      <c r="Q1892">
        <v>52</v>
      </c>
    </row>
    <row r="1893" spans="1:17" x14ac:dyDescent="0.25">
      <c r="A1893" s="2">
        <v>45356</v>
      </c>
      <c r="B1893" s="2" t="str">
        <f t="shared" si="58"/>
        <v>Tuesday</v>
      </c>
      <c r="C1893" s="2" t="b">
        <f t="shared" si="59"/>
        <v>0</v>
      </c>
      <c r="D1893">
        <v>3</v>
      </c>
      <c r="E1893" t="s">
        <v>7</v>
      </c>
      <c r="F1893">
        <v>169</v>
      </c>
      <c r="G1893" s="3">
        <v>3020.25</v>
      </c>
      <c r="H1893" s="3">
        <f>Miami_Retail[[#This Row],[sales_usd]] / Miami_Retail[[#This Row],[customers]]</f>
        <v>17.871301775147931</v>
      </c>
      <c r="I1893">
        <v>61.4</v>
      </c>
      <c r="J1893">
        <f>(Miami_Retail[[#This Row],[avg_temp_f]]-32) * (5/9)</f>
        <v>16.333333333333332</v>
      </c>
      <c r="K1893">
        <v>0</v>
      </c>
      <c r="L1893">
        <v>0</v>
      </c>
      <c r="M1893">
        <v>43</v>
      </c>
      <c r="N1893">
        <v>51.2</v>
      </c>
      <c r="O1893">
        <v>48.8</v>
      </c>
      <c r="P1893">
        <v>46.1</v>
      </c>
      <c r="Q1893">
        <v>53.9</v>
      </c>
    </row>
    <row r="1894" spans="1:17" x14ac:dyDescent="0.25">
      <c r="A1894" s="2">
        <v>45357</v>
      </c>
      <c r="B1894" s="2" t="str">
        <f t="shared" si="58"/>
        <v>Wednesday</v>
      </c>
      <c r="C1894" s="2" t="b">
        <f t="shared" si="59"/>
        <v>0</v>
      </c>
      <c r="D1894">
        <v>3</v>
      </c>
      <c r="E1894" t="s">
        <v>7</v>
      </c>
      <c r="F1894">
        <v>183</v>
      </c>
      <c r="G1894" s="3">
        <v>3004.62</v>
      </c>
      <c r="H1894" s="3">
        <f>Miami_Retail[[#This Row],[sales_usd]] / Miami_Retail[[#This Row],[customers]]</f>
        <v>16.418688524590163</v>
      </c>
      <c r="I1894">
        <v>62.7</v>
      </c>
      <c r="J1894">
        <f>(Miami_Retail[[#This Row],[avg_temp_f]]-32) * (5/9)</f>
        <v>17.055555555555557</v>
      </c>
      <c r="K1894">
        <v>0</v>
      </c>
      <c r="L1894">
        <v>0</v>
      </c>
      <c r="M1894">
        <v>36.700000000000003</v>
      </c>
      <c r="N1894">
        <v>51</v>
      </c>
      <c r="O1894">
        <v>49</v>
      </c>
      <c r="P1894">
        <v>46.2</v>
      </c>
      <c r="Q1894">
        <v>53.8</v>
      </c>
    </row>
    <row r="1895" spans="1:17" x14ac:dyDescent="0.25">
      <c r="A1895" s="2">
        <v>45358</v>
      </c>
      <c r="B1895" s="2" t="str">
        <f t="shared" si="58"/>
        <v>Thursday</v>
      </c>
      <c r="C1895" s="2" t="b">
        <f t="shared" si="59"/>
        <v>0</v>
      </c>
      <c r="D1895">
        <v>3</v>
      </c>
      <c r="E1895" t="s">
        <v>7</v>
      </c>
      <c r="F1895">
        <v>172</v>
      </c>
      <c r="G1895" s="3">
        <v>2817.81</v>
      </c>
      <c r="H1895" s="3">
        <f>Miami_Retail[[#This Row],[sales_usd]] / Miami_Retail[[#This Row],[customers]]</f>
        <v>16.382616279069769</v>
      </c>
      <c r="I1895">
        <v>64.3</v>
      </c>
      <c r="J1895">
        <f>(Miami_Retail[[#This Row],[avg_temp_f]]-32) * (5/9)</f>
        <v>17.944444444444443</v>
      </c>
      <c r="K1895">
        <v>1.42</v>
      </c>
      <c r="L1895">
        <v>1</v>
      </c>
      <c r="M1895">
        <v>35</v>
      </c>
      <c r="N1895">
        <v>50.5</v>
      </c>
      <c r="O1895">
        <v>49.5</v>
      </c>
      <c r="P1895">
        <v>46.6</v>
      </c>
      <c r="Q1895">
        <v>53.4</v>
      </c>
    </row>
    <row r="1896" spans="1:17" x14ac:dyDescent="0.25">
      <c r="A1896" s="2">
        <v>45359</v>
      </c>
      <c r="B1896" s="2" t="str">
        <f t="shared" si="58"/>
        <v>Friday</v>
      </c>
      <c r="C1896" s="2" t="b">
        <f t="shared" si="59"/>
        <v>0</v>
      </c>
      <c r="D1896">
        <v>3</v>
      </c>
      <c r="E1896" t="s">
        <v>7</v>
      </c>
      <c r="F1896">
        <v>214</v>
      </c>
      <c r="G1896" s="3">
        <v>3226.9</v>
      </c>
      <c r="H1896" s="3">
        <f>Miami_Retail[[#This Row],[sales_usd]] / Miami_Retail[[#This Row],[customers]]</f>
        <v>15.078971962616823</v>
      </c>
      <c r="I1896">
        <v>64.099999999999994</v>
      </c>
      <c r="J1896">
        <f>(Miami_Retail[[#This Row],[avg_temp_f]]-32) * (5/9)</f>
        <v>17.833333333333332</v>
      </c>
      <c r="K1896">
        <v>0</v>
      </c>
      <c r="L1896">
        <v>0</v>
      </c>
      <c r="M1896">
        <v>35</v>
      </c>
      <c r="N1896">
        <v>50.9</v>
      </c>
      <c r="O1896">
        <v>49.1</v>
      </c>
      <c r="P1896">
        <v>47.1</v>
      </c>
      <c r="Q1896">
        <v>52.9</v>
      </c>
    </row>
    <row r="1897" spans="1:17" x14ac:dyDescent="0.25">
      <c r="A1897" s="2">
        <v>45360</v>
      </c>
      <c r="B1897" s="2" t="str">
        <f t="shared" si="58"/>
        <v>Saturday</v>
      </c>
      <c r="C1897" s="2" t="b">
        <f t="shared" si="59"/>
        <v>1</v>
      </c>
      <c r="D1897">
        <v>3</v>
      </c>
      <c r="E1897" t="s">
        <v>7</v>
      </c>
      <c r="F1897">
        <v>192</v>
      </c>
      <c r="G1897" s="3">
        <v>3268.89</v>
      </c>
      <c r="H1897" s="3">
        <f>Miami_Retail[[#This Row],[sales_usd]] / Miami_Retail[[#This Row],[customers]]</f>
        <v>17.025468749999998</v>
      </c>
      <c r="I1897">
        <v>63.3</v>
      </c>
      <c r="J1897">
        <f>(Miami_Retail[[#This Row],[avg_temp_f]]-32) * (5/9)</f>
        <v>17.388888888888889</v>
      </c>
      <c r="K1897">
        <v>0</v>
      </c>
      <c r="L1897">
        <v>0</v>
      </c>
      <c r="M1897">
        <v>39.1</v>
      </c>
      <c r="N1897">
        <v>52.3</v>
      </c>
      <c r="O1897">
        <v>47.7</v>
      </c>
      <c r="P1897">
        <v>51.5</v>
      </c>
      <c r="Q1897">
        <v>48.5</v>
      </c>
    </row>
    <row r="1898" spans="1:17" x14ac:dyDescent="0.25">
      <c r="A1898" s="2">
        <v>45361</v>
      </c>
      <c r="B1898" s="2" t="str">
        <f t="shared" si="58"/>
        <v>Sunday</v>
      </c>
      <c r="C1898" s="2" t="b">
        <f t="shared" si="59"/>
        <v>1</v>
      </c>
      <c r="D1898">
        <v>3</v>
      </c>
      <c r="E1898" t="s">
        <v>7</v>
      </c>
      <c r="F1898">
        <v>198</v>
      </c>
      <c r="G1898" s="3">
        <v>3383.32</v>
      </c>
      <c r="H1898" s="3">
        <f>Miami_Retail[[#This Row],[sales_usd]] / Miami_Retail[[#This Row],[customers]]</f>
        <v>17.087474747474747</v>
      </c>
      <c r="I1898">
        <v>64.3</v>
      </c>
      <c r="J1898">
        <f>(Miami_Retail[[#This Row],[avg_temp_f]]-32) * (5/9)</f>
        <v>17.944444444444443</v>
      </c>
      <c r="K1898">
        <v>0</v>
      </c>
      <c r="L1898">
        <v>0</v>
      </c>
      <c r="M1898">
        <v>36.200000000000003</v>
      </c>
      <c r="N1898">
        <v>52.1</v>
      </c>
      <c r="O1898">
        <v>47.9</v>
      </c>
      <c r="P1898">
        <v>53.2</v>
      </c>
      <c r="Q1898">
        <v>46.8</v>
      </c>
    </row>
    <row r="1899" spans="1:17" x14ac:dyDescent="0.25">
      <c r="A1899" s="2">
        <v>45362</v>
      </c>
      <c r="B1899" s="2" t="str">
        <f t="shared" si="58"/>
        <v>Monday</v>
      </c>
      <c r="C1899" s="2" t="b">
        <f t="shared" si="59"/>
        <v>0</v>
      </c>
      <c r="D1899">
        <v>3</v>
      </c>
      <c r="E1899" t="s">
        <v>7</v>
      </c>
      <c r="F1899">
        <v>177</v>
      </c>
      <c r="G1899" s="3">
        <v>2958.78</v>
      </c>
      <c r="H1899" s="3">
        <f>Miami_Retail[[#This Row],[sales_usd]] / Miami_Retail[[#This Row],[customers]]</f>
        <v>16.716271186440679</v>
      </c>
      <c r="I1899">
        <v>68.099999999999994</v>
      </c>
      <c r="J1899">
        <f>(Miami_Retail[[#This Row],[avg_temp_f]]-32) * (5/9)</f>
        <v>20.055555555555554</v>
      </c>
      <c r="K1899">
        <v>0.31</v>
      </c>
      <c r="L1899">
        <v>1</v>
      </c>
      <c r="M1899">
        <v>38.299999999999997</v>
      </c>
      <c r="N1899">
        <v>52.1</v>
      </c>
      <c r="O1899">
        <v>47.9</v>
      </c>
      <c r="P1899">
        <v>46.9</v>
      </c>
      <c r="Q1899">
        <v>53.1</v>
      </c>
    </row>
    <row r="1900" spans="1:17" x14ac:dyDescent="0.25">
      <c r="A1900" s="2">
        <v>45363</v>
      </c>
      <c r="B1900" s="2" t="str">
        <f t="shared" si="58"/>
        <v>Tuesday</v>
      </c>
      <c r="C1900" s="2" t="b">
        <f t="shared" si="59"/>
        <v>0</v>
      </c>
      <c r="D1900">
        <v>3</v>
      </c>
      <c r="E1900" t="s">
        <v>7</v>
      </c>
      <c r="F1900">
        <v>208</v>
      </c>
      <c r="G1900" s="3">
        <v>3490.45</v>
      </c>
      <c r="H1900" s="3">
        <f>Miami_Retail[[#This Row],[sales_usd]] / Miami_Retail[[#This Row],[customers]]</f>
        <v>16.781009615384615</v>
      </c>
      <c r="I1900">
        <v>62.9</v>
      </c>
      <c r="J1900">
        <f>(Miami_Retail[[#This Row],[avg_temp_f]]-32) * (5/9)</f>
        <v>17.166666666666668</v>
      </c>
      <c r="K1900">
        <v>0</v>
      </c>
      <c r="L1900">
        <v>0</v>
      </c>
      <c r="M1900">
        <v>35</v>
      </c>
      <c r="N1900">
        <v>51.9</v>
      </c>
      <c r="O1900">
        <v>48.1</v>
      </c>
      <c r="P1900">
        <v>47</v>
      </c>
      <c r="Q1900">
        <v>53</v>
      </c>
    </row>
    <row r="1901" spans="1:17" x14ac:dyDescent="0.25">
      <c r="A1901" s="2">
        <v>45364</v>
      </c>
      <c r="B1901" s="2" t="str">
        <f t="shared" si="58"/>
        <v>Wednesday</v>
      </c>
      <c r="C1901" s="2" t="b">
        <f t="shared" si="59"/>
        <v>0</v>
      </c>
      <c r="D1901">
        <v>3</v>
      </c>
      <c r="E1901" t="s">
        <v>7</v>
      </c>
      <c r="F1901">
        <v>211</v>
      </c>
      <c r="G1901" s="3">
        <v>3223.87</v>
      </c>
      <c r="H1901" s="3">
        <f>Miami_Retail[[#This Row],[sales_usd]] / Miami_Retail[[#This Row],[customers]]</f>
        <v>15.279004739336493</v>
      </c>
      <c r="I1901">
        <v>62.1</v>
      </c>
      <c r="J1901">
        <f>(Miami_Retail[[#This Row],[avg_temp_f]]-32) * (5/9)</f>
        <v>16.722222222222225</v>
      </c>
      <c r="K1901">
        <v>0</v>
      </c>
      <c r="L1901">
        <v>0</v>
      </c>
      <c r="M1901">
        <v>35</v>
      </c>
      <c r="N1901">
        <v>50.7</v>
      </c>
      <c r="O1901">
        <v>49.3</v>
      </c>
      <c r="P1901">
        <v>47.8</v>
      </c>
      <c r="Q1901">
        <v>52.2</v>
      </c>
    </row>
    <row r="1902" spans="1:17" x14ac:dyDescent="0.25">
      <c r="A1902" s="2">
        <v>45365</v>
      </c>
      <c r="B1902" s="2" t="str">
        <f t="shared" si="58"/>
        <v>Thursday</v>
      </c>
      <c r="C1902" s="2" t="b">
        <f t="shared" si="59"/>
        <v>0</v>
      </c>
      <c r="D1902">
        <v>3</v>
      </c>
      <c r="E1902" t="s">
        <v>7</v>
      </c>
      <c r="F1902">
        <v>184</v>
      </c>
      <c r="G1902" s="3">
        <v>2927.31</v>
      </c>
      <c r="H1902" s="3">
        <f>Miami_Retail[[#This Row],[sales_usd]] / Miami_Retail[[#This Row],[customers]]</f>
        <v>15.909293478260869</v>
      </c>
      <c r="I1902">
        <v>72.2</v>
      </c>
      <c r="J1902">
        <f>(Miami_Retail[[#This Row],[avg_temp_f]]-32) * (5/9)</f>
        <v>22.333333333333336</v>
      </c>
      <c r="K1902">
        <v>0</v>
      </c>
      <c r="L1902">
        <v>0</v>
      </c>
      <c r="M1902">
        <v>35</v>
      </c>
      <c r="N1902">
        <v>51.2</v>
      </c>
      <c r="O1902">
        <v>48.8</v>
      </c>
      <c r="P1902">
        <v>45</v>
      </c>
      <c r="Q1902">
        <v>55</v>
      </c>
    </row>
    <row r="1903" spans="1:17" x14ac:dyDescent="0.25">
      <c r="A1903" s="2">
        <v>45366</v>
      </c>
      <c r="B1903" s="2" t="str">
        <f t="shared" si="58"/>
        <v>Friday</v>
      </c>
      <c r="C1903" s="2" t="b">
        <f t="shared" si="59"/>
        <v>0</v>
      </c>
      <c r="D1903">
        <v>3</v>
      </c>
      <c r="E1903" t="s">
        <v>7</v>
      </c>
      <c r="F1903">
        <v>193</v>
      </c>
      <c r="G1903" s="3">
        <v>2992.74</v>
      </c>
      <c r="H1903" s="3">
        <f>Miami_Retail[[#This Row],[sales_usd]] / Miami_Retail[[#This Row],[customers]]</f>
        <v>15.50642487046632</v>
      </c>
      <c r="I1903">
        <v>73.099999999999994</v>
      </c>
      <c r="J1903">
        <f>(Miami_Retail[[#This Row],[avg_temp_f]]-32) * (5/9)</f>
        <v>22.833333333333332</v>
      </c>
      <c r="K1903">
        <v>0</v>
      </c>
      <c r="L1903">
        <v>0</v>
      </c>
      <c r="M1903">
        <v>35</v>
      </c>
      <c r="N1903">
        <v>53.1</v>
      </c>
      <c r="O1903">
        <v>46.9</v>
      </c>
      <c r="P1903">
        <v>48.2</v>
      </c>
      <c r="Q1903">
        <v>51.8</v>
      </c>
    </row>
    <row r="1904" spans="1:17" x14ac:dyDescent="0.25">
      <c r="A1904" s="2">
        <v>45367</v>
      </c>
      <c r="B1904" s="2" t="str">
        <f t="shared" si="58"/>
        <v>Saturday</v>
      </c>
      <c r="C1904" s="2" t="b">
        <f t="shared" si="59"/>
        <v>1</v>
      </c>
      <c r="D1904">
        <v>3</v>
      </c>
      <c r="E1904" t="s">
        <v>7</v>
      </c>
      <c r="F1904">
        <v>223</v>
      </c>
      <c r="G1904" s="3">
        <v>3799.25</v>
      </c>
      <c r="H1904" s="3">
        <f>Miami_Retail[[#This Row],[sales_usd]] / Miami_Retail[[#This Row],[customers]]</f>
        <v>17.036995515695068</v>
      </c>
      <c r="I1904">
        <v>67.2</v>
      </c>
      <c r="J1904">
        <f>(Miami_Retail[[#This Row],[avg_temp_f]]-32) * (5/9)</f>
        <v>19.555555555555557</v>
      </c>
      <c r="K1904">
        <v>0</v>
      </c>
      <c r="L1904">
        <v>0</v>
      </c>
      <c r="M1904">
        <v>35</v>
      </c>
      <c r="N1904">
        <v>52.2</v>
      </c>
      <c r="O1904">
        <v>47.8</v>
      </c>
      <c r="P1904">
        <v>54.9</v>
      </c>
      <c r="Q1904">
        <v>45.1</v>
      </c>
    </row>
    <row r="1905" spans="1:17" x14ac:dyDescent="0.25">
      <c r="A1905" s="2">
        <v>45368</v>
      </c>
      <c r="B1905" s="2" t="str">
        <f t="shared" si="58"/>
        <v>Sunday</v>
      </c>
      <c r="C1905" s="2" t="b">
        <f t="shared" si="59"/>
        <v>1</v>
      </c>
      <c r="D1905">
        <v>3</v>
      </c>
      <c r="E1905" t="s">
        <v>7</v>
      </c>
      <c r="F1905">
        <v>192</v>
      </c>
      <c r="G1905" s="3">
        <v>3528.11</v>
      </c>
      <c r="H1905" s="3">
        <f>Miami_Retail[[#This Row],[sales_usd]] / Miami_Retail[[#This Row],[customers]]</f>
        <v>18.375572916666666</v>
      </c>
      <c r="I1905">
        <v>68.3</v>
      </c>
      <c r="J1905">
        <f>(Miami_Retail[[#This Row],[avg_temp_f]]-32) * (5/9)</f>
        <v>20.166666666666664</v>
      </c>
      <c r="K1905">
        <v>0</v>
      </c>
      <c r="L1905">
        <v>0</v>
      </c>
      <c r="M1905">
        <v>37.4</v>
      </c>
      <c r="N1905">
        <v>50.8</v>
      </c>
      <c r="O1905">
        <v>49.2</v>
      </c>
      <c r="P1905">
        <v>55.6</v>
      </c>
      <c r="Q1905">
        <v>44.4</v>
      </c>
    </row>
    <row r="1906" spans="1:17" x14ac:dyDescent="0.25">
      <c r="A1906" s="2">
        <v>45369</v>
      </c>
      <c r="B1906" s="2" t="str">
        <f t="shared" si="58"/>
        <v>Monday</v>
      </c>
      <c r="C1906" s="2" t="b">
        <f t="shared" si="59"/>
        <v>0</v>
      </c>
      <c r="D1906">
        <v>3</v>
      </c>
      <c r="E1906" t="s">
        <v>7</v>
      </c>
      <c r="F1906">
        <v>201</v>
      </c>
      <c r="G1906" s="3">
        <v>3148.03</v>
      </c>
      <c r="H1906" s="3">
        <f>Miami_Retail[[#This Row],[sales_usd]] / Miami_Retail[[#This Row],[customers]]</f>
        <v>15.661840796019902</v>
      </c>
      <c r="I1906">
        <v>64.099999999999994</v>
      </c>
      <c r="J1906">
        <f>(Miami_Retail[[#This Row],[avg_temp_f]]-32) * (5/9)</f>
        <v>17.833333333333332</v>
      </c>
      <c r="K1906">
        <v>0</v>
      </c>
      <c r="L1906">
        <v>0</v>
      </c>
      <c r="M1906">
        <v>38.9</v>
      </c>
      <c r="N1906">
        <v>50.2</v>
      </c>
      <c r="O1906">
        <v>49.8</v>
      </c>
      <c r="P1906">
        <v>45.3</v>
      </c>
      <c r="Q1906">
        <v>54.7</v>
      </c>
    </row>
    <row r="1907" spans="1:17" x14ac:dyDescent="0.25">
      <c r="A1907" s="2">
        <v>45370</v>
      </c>
      <c r="B1907" s="2" t="str">
        <f t="shared" si="58"/>
        <v>Tuesday</v>
      </c>
      <c r="C1907" s="2" t="b">
        <f t="shared" si="59"/>
        <v>0</v>
      </c>
      <c r="D1907">
        <v>3</v>
      </c>
      <c r="E1907" t="s">
        <v>7</v>
      </c>
      <c r="F1907">
        <v>186</v>
      </c>
      <c r="G1907" s="3">
        <v>3005.33</v>
      </c>
      <c r="H1907" s="3">
        <f>Miami_Retail[[#This Row],[sales_usd]] / Miami_Retail[[#This Row],[customers]]</f>
        <v>16.157688172043009</v>
      </c>
      <c r="I1907">
        <v>64.599999999999994</v>
      </c>
      <c r="J1907">
        <f>(Miami_Retail[[#This Row],[avg_temp_f]]-32) * (5/9)</f>
        <v>18.111111111111107</v>
      </c>
      <c r="K1907">
        <v>0.4</v>
      </c>
      <c r="L1907">
        <v>1</v>
      </c>
      <c r="M1907">
        <v>35</v>
      </c>
      <c r="N1907">
        <v>53.4</v>
      </c>
      <c r="O1907">
        <v>46.6</v>
      </c>
      <c r="P1907">
        <v>47.3</v>
      </c>
      <c r="Q1907">
        <v>52.7</v>
      </c>
    </row>
    <row r="1908" spans="1:17" x14ac:dyDescent="0.25">
      <c r="A1908" s="2">
        <v>45371</v>
      </c>
      <c r="B1908" s="2" t="str">
        <f t="shared" si="58"/>
        <v>Wednesday</v>
      </c>
      <c r="C1908" s="2" t="b">
        <f t="shared" si="59"/>
        <v>0</v>
      </c>
      <c r="D1908">
        <v>3</v>
      </c>
      <c r="E1908" t="s">
        <v>7</v>
      </c>
      <c r="F1908">
        <v>194</v>
      </c>
      <c r="G1908" s="3">
        <v>3374.26</v>
      </c>
      <c r="H1908" s="3">
        <f>Miami_Retail[[#This Row],[sales_usd]] / Miami_Retail[[#This Row],[customers]]</f>
        <v>17.393092783505157</v>
      </c>
      <c r="I1908">
        <v>64.099999999999994</v>
      </c>
      <c r="J1908">
        <f>(Miami_Retail[[#This Row],[avg_temp_f]]-32) * (5/9)</f>
        <v>17.833333333333332</v>
      </c>
      <c r="K1908">
        <v>0.49</v>
      </c>
      <c r="L1908">
        <v>1</v>
      </c>
      <c r="M1908">
        <v>36.9</v>
      </c>
      <c r="N1908">
        <v>52.6</v>
      </c>
      <c r="O1908">
        <v>47.4</v>
      </c>
      <c r="P1908">
        <v>47.2</v>
      </c>
      <c r="Q1908">
        <v>52.8</v>
      </c>
    </row>
    <row r="1909" spans="1:17" x14ac:dyDescent="0.25">
      <c r="A1909" s="2">
        <v>45372</v>
      </c>
      <c r="B1909" s="2" t="str">
        <f t="shared" si="58"/>
        <v>Thursday</v>
      </c>
      <c r="C1909" s="2" t="b">
        <f t="shared" si="59"/>
        <v>0</v>
      </c>
      <c r="D1909">
        <v>3</v>
      </c>
      <c r="E1909" t="s">
        <v>7</v>
      </c>
      <c r="F1909">
        <v>177</v>
      </c>
      <c r="G1909" s="3">
        <v>3222.5</v>
      </c>
      <c r="H1909" s="3">
        <f>Miami_Retail[[#This Row],[sales_usd]] / Miami_Retail[[#This Row],[customers]]</f>
        <v>18.206214689265536</v>
      </c>
      <c r="I1909">
        <v>66.8</v>
      </c>
      <c r="J1909">
        <f>(Miami_Retail[[#This Row],[avg_temp_f]]-32) * (5/9)</f>
        <v>19.333333333333332</v>
      </c>
      <c r="K1909">
        <v>0</v>
      </c>
      <c r="L1909">
        <v>0</v>
      </c>
      <c r="M1909">
        <v>42.2</v>
      </c>
      <c r="N1909">
        <v>52.9</v>
      </c>
      <c r="O1909">
        <v>47.1</v>
      </c>
      <c r="P1909">
        <v>46.6</v>
      </c>
      <c r="Q1909">
        <v>53.4</v>
      </c>
    </row>
    <row r="1910" spans="1:17" x14ac:dyDescent="0.25">
      <c r="A1910" s="2">
        <v>45373</v>
      </c>
      <c r="B1910" s="2" t="str">
        <f t="shared" si="58"/>
        <v>Friday</v>
      </c>
      <c r="C1910" s="2" t="b">
        <f t="shared" si="59"/>
        <v>0</v>
      </c>
      <c r="D1910">
        <v>3</v>
      </c>
      <c r="E1910" t="s">
        <v>7</v>
      </c>
      <c r="F1910">
        <v>171</v>
      </c>
      <c r="G1910" s="3">
        <v>2693</v>
      </c>
      <c r="H1910" s="3">
        <f>Miami_Retail[[#This Row],[sales_usd]] / Miami_Retail[[#This Row],[customers]]</f>
        <v>15.748538011695906</v>
      </c>
      <c r="I1910">
        <v>69.400000000000006</v>
      </c>
      <c r="J1910">
        <f>(Miami_Retail[[#This Row],[avg_temp_f]]-32) * (5/9)</f>
        <v>20.777777777777782</v>
      </c>
      <c r="K1910">
        <v>0.18</v>
      </c>
      <c r="L1910">
        <v>1</v>
      </c>
      <c r="M1910">
        <v>38.200000000000003</v>
      </c>
      <c r="N1910">
        <v>51.3</v>
      </c>
      <c r="O1910">
        <v>48.7</v>
      </c>
      <c r="P1910">
        <v>49.9</v>
      </c>
      <c r="Q1910">
        <v>50.1</v>
      </c>
    </row>
    <row r="1911" spans="1:17" x14ac:dyDescent="0.25">
      <c r="A1911" s="2">
        <v>45374</v>
      </c>
      <c r="B1911" s="2" t="str">
        <f t="shared" si="58"/>
        <v>Saturday</v>
      </c>
      <c r="C1911" s="2" t="b">
        <f t="shared" si="59"/>
        <v>1</v>
      </c>
      <c r="D1911">
        <v>3</v>
      </c>
      <c r="E1911" t="s">
        <v>7</v>
      </c>
      <c r="F1911">
        <v>207</v>
      </c>
      <c r="G1911" s="3">
        <v>3074.5</v>
      </c>
      <c r="H1911" s="3">
        <f>Miami_Retail[[#This Row],[sales_usd]] / Miami_Retail[[#This Row],[customers]]</f>
        <v>14.852657004830919</v>
      </c>
      <c r="I1911">
        <v>67.099999999999994</v>
      </c>
      <c r="J1911">
        <f>(Miami_Retail[[#This Row],[avg_temp_f]]-32) * (5/9)</f>
        <v>19.499999999999996</v>
      </c>
      <c r="K1911">
        <v>0</v>
      </c>
      <c r="L1911">
        <v>0</v>
      </c>
      <c r="M1911">
        <v>39</v>
      </c>
      <c r="N1911">
        <v>49.9</v>
      </c>
      <c r="O1911">
        <v>50.1</v>
      </c>
      <c r="P1911">
        <v>55.1</v>
      </c>
      <c r="Q1911">
        <v>44.9</v>
      </c>
    </row>
    <row r="1912" spans="1:17" x14ac:dyDescent="0.25">
      <c r="A1912" s="2">
        <v>45375</v>
      </c>
      <c r="B1912" s="2" t="str">
        <f t="shared" si="58"/>
        <v>Sunday</v>
      </c>
      <c r="C1912" s="2" t="b">
        <f t="shared" si="59"/>
        <v>1</v>
      </c>
      <c r="D1912">
        <v>3</v>
      </c>
      <c r="E1912" t="s">
        <v>7</v>
      </c>
      <c r="F1912">
        <v>196</v>
      </c>
      <c r="G1912" s="3">
        <v>3161.84</v>
      </c>
      <c r="H1912" s="3">
        <f>Miami_Retail[[#This Row],[sales_usd]] / Miami_Retail[[#This Row],[customers]]</f>
        <v>16.131836734693877</v>
      </c>
      <c r="I1912">
        <v>63.8</v>
      </c>
      <c r="J1912">
        <f>(Miami_Retail[[#This Row],[avg_temp_f]]-32) * (5/9)</f>
        <v>17.666666666666664</v>
      </c>
      <c r="K1912">
        <v>0</v>
      </c>
      <c r="L1912">
        <v>0</v>
      </c>
      <c r="M1912">
        <v>35</v>
      </c>
      <c r="N1912">
        <v>51</v>
      </c>
      <c r="O1912">
        <v>49</v>
      </c>
      <c r="P1912">
        <v>52.7</v>
      </c>
      <c r="Q1912">
        <v>47.3</v>
      </c>
    </row>
    <row r="1913" spans="1:17" x14ac:dyDescent="0.25">
      <c r="A1913" s="2">
        <v>45376</v>
      </c>
      <c r="B1913" s="2" t="str">
        <f t="shared" si="58"/>
        <v>Monday</v>
      </c>
      <c r="C1913" s="2" t="b">
        <f t="shared" si="59"/>
        <v>0</v>
      </c>
      <c r="D1913">
        <v>3</v>
      </c>
      <c r="E1913" t="s">
        <v>7</v>
      </c>
      <c r="F1913">
        <v>210</v>
      </c>
      <c r="G1913" s="3">
        <v>3426.4</v>
      </c>
      <c r="H1913" s="3">
        <f>Miami_Retail[[#This Row],[sales_usd]] / Miami_Retail[[#This Row],[customers]]</f>
        <v>16.316190476190478</v>
      </c>
      <c r="I1913">
        <v>69.3</v>
      </c>
      <c r="J1913">
        <f>(Miami_Retail[[#This Row],[avg_temp_f]]-32) * (5/9)</f>
        <v>20.722222222222221</v>
      </c>
      <c r="K1913">
        <v>0</v>
      </c>
      <c r="L1913">
        <v>0</v>
      </c>
      <c r="M1913">
        <v>37.299999999999997</v>
      </c>
      <c r="N1913">
        <v>52</v>
      </c>
      <c r="O1913">
        <v>48</v>
      </c>
      <c r="P1913">
        <v>44.6</v>
      </c>
      <c r="Q1913">
        <v>55.4</v>
      </c>
    </row>
    <row r="1914" spans="1:17" x14ac:dyDescent="0.25">
      <c r="A1914" s="2">
        <v>45377</v>
      </c>
      <c r="B1914" s="2" t="str">
        <f t="shared" si="58"/>
        <v>Tuesday</v>
      </c>
      <c r="C1914" s="2" t="b">
        <f t="shared" si="59"/>
        <v>0</v>
      </c>
      <c r="D1914">
        <v>3</v>
      </c>
      <c r="E1914" t="s">
        <v>7</v>
      </c>
      <c r="F1914">
        <v>191</v>
      </c>
      <c r="G1914" s="3">
        <v>3162.15</v>
      </c>
      <c r="H1914" s="3">
        <f>Miami_Retail[[#This Row],[sales_usd]] / Miami_Retail[[#This Row],[customers]]</f>
        <v>16.555759162303666</v>
      </c>
      <c r="I1914">
        <v>69.599999999999994</v>
      </c>
      <c r="J1914">
        <f>(Miami_Retail[[#This Row],[avg_temp_f]]-32) * (5/9)</f>
        <v>20.888888888888886</v>
      </c>
      <c r="K1914">
        <v>0.45</v>
      </c>
      <c r="L1914">
        <v>1</v>
      </c>
      <c r="M1914">
        <v>35.1</v>
      </c>
      <c r="N1914">
        <v>52.2</v>
      </c>
      <c r="O1914">
        <v>47.8</v>
      </c>
      <c r="P1914">
        <v>46.4</v>
      </c>
      <c r="Q1914">
        <v>53.6</v>
      </c>
    </row>
    <row r="1915" spans="1:17" x14ac:dyDescent="0.25">
      <c r="A1915" s="2">
        <v>45378</v>
      </c>
      <c r="B1915" s="2" t="str">
        <f t="shared" si="58"/>
        <v>Wednesday</v>
      </c>
      <c r="C1915" s="2" t="b">
        <f t="shared" si="59"/>
        <v>0</v>
      </c>
      <c r="D1915">
        <v>3</v>
      </c>
      <c r="E1915" t="s">
        <v>7</v>
      </c>
      <c r="F1915">
        <v>213</v>
      </c>
      <c r="G1915" s="3">
        <v>3603.68</v>
      </c>
      <c r="H1915" s="3">
        <f>Miami_Retail[[#This Row],[sales_usd]] / Miami_Retail[[#This Row],[customers]]</f>
        <v>16.918685446009388</v>
      </c>
      <c r="I1915">
        <v>70.400000000000006</v>
      </c>
      <c r="J1915">
        <f>(Miami_Retail[[#This Row],[avg_temp_f]]-32) * (5/9)</f>
        <v>21.333333333333336</v>
      </c>
      <c r="K1915">
        <v>0</v>
      </c>
      <c r="L1915">
        <v>0</v>
      </c>
      <c r="M1915">
        <v>35.6</v>
      </c>
      <c r="N1915">
        <v>52.7</v>
      </c>
      <c r="O1915">
        <v>47.3</v>
      </c>
      <c r="P1915">
        <v>46.7</v>
      </c>
      <c r="Q1915">
        <v>53.3</v>
      </c>
    </row>
    <row r="1916" spans="1:17" x14ac:dyDescent="0.25">
      <c r="A1916" s="2">
        <v>45379</v>
      </c>
      <c r="B1916" s="2" t="str">
        <f t="shared" si="58"/>
        <v>Thursday</v>
      </c>
      <c r="C1916" s="2" t="b">
        <f t="shared" si="59"/>
        <v>0</v>
      </c>
      <c r="D1916">
        <v>3</v>
      </c>
      <c r="E1916" t="s">
        <v>7</v>
      </c>
      <c r="F1916">
        <v>200</v>
      </c>
      <c r="G1916" s="3">
        <v>3200.23</v>
      </c>
      <c r="H1916" s="3">
        <f>Miami_Retail[[#This Row],[sales_usd]] / Miami_Retail[[#This Row],[customers]]</f>
        <v>16.001149999999999</v>
      </c>
      <c r="I1916">
        <v>72.3</v>
      </c>
      <c r="J1916">
        <f>(Miami_Retail[[#This Row],[avg_temp_f]]-32) * (5/9)</f>
        <v>22.388888888888889</v>
      </c>
      <c r="K1916">
        <v>0</v>
      </c>
      <c r="L1916">
        <v>0</v>
      </c>
      <c r="M1916">
        <v>35</v>
      </c>
      <c r="N1916">
        <v>52.2</v>
      </c>
      <c r="O1916">
        <v>47.8</v>
      </c>
      <c r="P1916">
        <v>49.7</v>
      </c>
      <c r="Q1916">
        <v>50.3</v>
      </c>
    </row>
    <row r="1917" spans="1:17" x14ac:dyDescent="0.25">
      <c r="A1917" s="2">
        <v>45380</v>
      </c>
      <c r="B1917" s="2" t="str">
        <f t="shared" si="58"/>
        <v>Friday</v>
      </c>
      <c r="C1917" s="2" t="b">
        <f t="shared" si="59"/>
        <v>0</v>
      </c>
      <c r="D1917">
        <v>3</v>
      </c>
      <c r="E1917" t="s">
        <v>7</v>
      </c>
      <c r="F1917">
        <v>188</v>
      </c>
      <c r="G1917" s="3">
        <v>3128.74</v>
      </c>
      <c r="H1917" s="3">
        <f>Miami_Retail[[#This Row],[sales_usd]] / Miami_Retail[[#This Row],[customers]]</f>
        <v>16.642234042553191</v>
      </c>
      <c r="I1917">
        <v>71.2</v>
      </c>
      <c r="J1917">
        <f>(Miami_Retail[[#This Row],[avg_temp_f]]-32) * (5/9)</f>
        <v>21.777777777777779</v>
      </c>
      <c r="K1917">
        <v>1.59</v>
      </c>
      <c r="L1917">
        <v>1</v>
      </c>
      <c r="M1917">
        <v>38.200000000000003</v>
      </c>
      <c r="N1917">
        <v>52.2</v>
      </c>
      <c r="O1917">
        <v>47.8</v>
      </c>
      <c r="P1917">
        <v>46.9</v>
      </c>
      <c r="Q1917">
        <v>53.1</v>
      </c>
    </row>
    <row r="1918" spans="1:17" x14ac:dyDescent="0.25">
      <c r="A1918" s="2">
        <v>45381</v>
      </c>
      <c r="B1918" s="2" t="str">
        <f t="shared" si="58"/>
        <v>Saturday</v>
      </c>
      <c r="C1918" s="2" t="b">
        <f t="shared" si="59"/>
        <v>1</v>
      </c>
      <c r="D1918">
        <v>3</v>
      </c>
      <c r="E1918" t="s">
        <v>7</v>
      </c>
      <c r="F1918">
        <v>229</v>
      </c>
      <c r="G1918" s="3">
        <v>3580.03</v>
      </c>
      <c r="H1918" s="3">
        <f>Miami_Retail[[#This Row],[sales_usd]] / Miami_Retail[[#This Row],[customers]]</f>
        <v>15.633318777292578</v>
      </c>
      <c r="I1918">
        <v>58.8</v>
      </c>
      <c r="J1918">
        <f>(Miami_Retail[[#This Row],[avg_temp_f]]-32) * (5/9)</f>
        <v>14.888888888888888</v>
      </c>
      <c r="K1918">
        <v>0</v>
      </c>
      <c r="L1918">
        <v>0</v>
      </c>
      <c r="M1918">
        <v>38.299999999999997</v>
      </c>
      <c r="N1918">
        <v>51.8</v>
      </c>
      <c r="O1918">
        <v>48.2</v>
      </c>
      <c r="P1918">
        <v>54</v>
      </c>
      <c r="Q1918">
        <v>46</v>
      </c>
    </row>
    <row r="1919" spans="1:17" x14ac:dyDescent="0.25">
      <c r="A1919" s="2">
        <v>45382</v>
      </c>
      <c r="B1919" s="2" t="str">
        <f t="shared" si="58"/>
        <v>Sunday</v>
      </c>
      <c r="C1919" s="2" t="b">
        <f t="shared" si="59"/>
        <v>1</v>
      </c>
      <c r="D1919">
        <v>3</v>
      </c>
      <c r="E1919" t="s">
        <v>7</v>
      </c>
      <c r="F1919">
        <v>200</v>
      </c>
      <c r="G1919" s="3">
        <v>3355.19</v>
      </c>
      <c r="H1919" s="3">
        <f>Miami_Retail[[#This Row],[sales_usd]] / Miami_Retail[[#This Row],[customers]]</f>
        <v>16.775950000000002</v>
      </c>
      <c r="I1919">
        <v>65.599999999999994</v>
      </c>
      <c r="J1919">
        <f>(Miami_Retail[[#This Row],[avg_temp_f]]-32) * (5/9)</f>
        <v>18.666666666666664</v>
      </c>
      <c r="K1919">
        <v>0</v>
      </c>
      <c r="L1919">
        <v>0</v>
      </c>
      <c r="M1919">
        <v>35.1</v>
      </c>
      <c r="N1919">
        <v>52.6</v>
      </c>
      <c r="O1919">
        <v>47.4</v>
      </c>
      <c r="P1919">
        <v>54.9</v>
      </c>
      <c r="Q1919">
        <v>45.1</v>
      </c>
    </row>
    <row r="1920" spans="1:17" x14ac:dyDescent="0.25">
      <c r="A1920" s="2">
        <v>45383</v>
      </c>
      <c r="B1920" s="2" t="str">
        <f t="shared" si="58"/>
        <v>Monday</v>
      </c>
      <c r="C1920" s="2" t="b">
        <f t="shared" si="59"/>
        <v>0</v>
      </c>
      <c r="D1920">
        <v>3</v>
      </c>
      <c r="E1920" t="s">
        <v>7</v>
      </c>
      <c r="F1920">
        <v>170</v>
      </c>
      <c r="G1920" s="3">
        <v>2791.97</v>
      </c>
      <c r="H1920" s="3">
        <f>Miami_Retail[[#This Row],[sales_usd]] / Miami_Retail[[#This Row],[customers]]</f>
        <v>16.423352941176468</v>
      </c>
      <c r="I1920">
        <v>58.9</v>
      </c>
      <c r="J1920">
        <f>(Miami_Retail[[#This Row],[avg_temp_f]]-32) * (5/9)</f>
        <v>14.944444444444445</v>
      </c>
      <c r="K1920">
        <v>0</v>
      </c>
      <c r="L1920">
        <v>0</v>
      </c>
      <c r="M1920">
        <v>35</v>
      </c>
      <c r="N1920">
        <v>52</v>
      </c>
      <c r="O1920">
        <v>48</v>
      </c>
      <c r="P1920">
        <v>47.7</v>
      </c>
      <c r="Q1920">
        <v>52.3</v>
      </c>
    </row>
    <row r="1921" spans="1:17" x14ac:dyDescent="0.25">
      <c r="A1921" s="2">
        <v>45384</v>
      </c>
      <c r="B1921" s="2" t="str">
        <f t="shared" si="58"/>
        <v>Tuesday</v>
      </c>
      <c r="C1921" s="2" t="b">
        <f t="shared" si="59"/>
        <v>0</v>
      </c>
      <c r="D1921">
        <v>3</v>
      </c>
      <c r="E1921" t="s">
        <v>7</v>
      </c>
      <c r="F1921">
        <v>143</v>
      </c>
      <c r="G1921" s="3">
        <v>2490.62</v>
      </c>
      <c r="H1921" s="3">
        <f>Miami_Retail[[#This Row],[sales_usd]] / Miami_Retail[[#This Row],[customers]]</f>
        <v>17.416923076923077</v>
      </c>
      <c r="I1921">
        <v>65.5</v>
      </c>
      <c r="J1921">
        <f>(Miami_Retail[[#This Row],[avg_temp_f]]-32) * (5/9)</f>
        <v>18.611111111111111</v>
      </c>
      <c r="K1921">
        <v>0</v>
      </c>
      <c r="L1921">
        <v>0</v>
      </c>
      <c r="M1921">
        <v>42.6</v>
      </c>
      <c r="N1921">
        <v>50.6</v>
      </c>
      <c r="O1921">
        <v>49.4</v>
      </c>
      <c r="P1921">
        <v>46.5</v>
      </c>
      <c r="Q1921">
        <v>53.5</v>
      </c>
    </row>
    <row r="1922" spans="1:17" x14ac:dyDescent="0.25">
      <c r="A1922" s="2">
        <v>45385</v>
      </c>
      <c r="B1922" s="2" t="str">
        <f t="shared" ref="B1922:B1985" si="60">TEXT(A1922, "dddd")</f>
        <v>Wednesday</v>
      </c>
      <c r="C1922" s="2" t="b">
        <f t="shared" ref="C1922:C1985" si="61">IF(WEEKDAY(A1922,2)&gt;5,TRUE,FALSE)</f>
        <v>0</v>
      </c>
      <c r="D1922">
        <v>3</v>
      </c>
      <c r="E1922" t="s">
        <v>7</v>
      </c>
      <c r="F1922">
        <v>190</v>
      </c>
      <c r="G1922" s="3">
        <v>3173.81</v>
      </c>
      <c r="H1922" s="3">
        <f>Miami_Retail[[#This Row],[sales_usd]] / Miami_Retail[[#This Row],[customers]]</f>
        <v>16.704263157894736</v>
      </c>
      <c r="I1922">
        <v>62.8</v>
      </c>
      <c r="J1922">
        <f>(Miami_Retail[[#This Row],[avg_temp_f]]-32) * (5/9)</f>
        <v>17.111111111111111</v>
      </c>
      <c r="K1922">
        <v>0.44</v>
      </c>
      <c r="L1922">
        <v>1</v>
      </c>
      <c r="M1922">
        <v>40.5</v>
      </c>
      <c r="N1922">
        <v>51.5</v>
      </c>
      <c r="O1922">
        <v>48.5</v>
      </c>
      <c r="P1922">
        <v>47.1</v>
      </c>
      <c r="Q1922">
        <v>52.9</v>
      </c>
    </row>
    <row r="1923" spans="1:17" x14ac:dyDescent="0.25">
      <c r="A1923" s="2">
        <v>45386</v>
      </c>
      <c r="B1923" s="2" t="str">
        <f t="shared" si="60"/>
        <v>Thursday</v>
      </c>
      <c r="C1923" s="2" t="b">
        <f t="shared" si="61"/>
        <v>0</v>
      </c>
      <c r="D1923">
        <v>3</v>
      </c>
      <c r="E1923" t="s">
        <v>7</v>
      </c>
      <c r="F1923">
        <v>210</v>
      </c>
      <c r="G1923" s="3">
        <v>3224.74</v>
      </c>
      <c r="H1923" s="3">
        <f>Miami_Retail[[#This Row],[sales_usd]] / Miami_Retail[[#This Row],[customers]]</f>
        <v>15.35590476190476</v>
      </c>
      <c r="I1923">
        <v>63.9</v>
      </c>
      <c r="J1923">
        <f>(Miami_Retail[[#This Row],[avg_temp_f]]-32) * (5/9)</f>
        <v>17.722222222222221</v>
      </c>
      <c r="K1923">
        <v>0.5</v>
      </c>
      <c r="L1923">
        <v>1</v>
      </c>
      <c r="M1923">
        <v>42.5</v>
      </c>
      <c r="N1923">
        <v>51.5</v>
      </c>
      <c r="O1923">
        <v>48.5</v>
      </c>
      <c r="P1923">
        <v>50</v>
      </c>
      <c r="Q1923">
        <v>50</v>
      </c>
    </row>
    <row r="1924" spans="1:17" x14ac:dyDescent="0.25">
      <c r="A1924" s="2">
        <v>45387</v>
      </c>
      <c r="B1924" s="2" t="str">
        <f t="shared" si="60"/>
        <v>Friday</v>
      </c>
      <c r="C1924" s="2" t="b">
        <f t="shared" si="61"/>
        <v>0</v>
      </c>
      <c r="D1924">
        <v>3</v>
      </c>
      <c r="E1924" t="s">
        <v>7</v>
      </c>
      <c r="F1924">
        <v>177</v>
      </c>
      <c r="G1924" s="3">
        <v>3315.24</v>
      </c>
      <c r="H1924" s="3">
        <f>Miami_Retail[[#This Row],[sales_usd]] / Miami_Retail[[#This Row],[customers]]</f>
        <v>18.730169491525423</v>
      </c>
      <c r="I1924">
        <v>66.8</v>
      </c>
      <c r="J1924">
        <f>(Miami_Retail[[#This Row],[avg_temp_f]]-32) * (5/9)</f>
        <v>19.333333333333332</v>
      </c>
      <c r="K1924">
        <v>0</v>
      </c>
      <c r="L1924">
        <v>0</v>
      </c>
      <c r="M1924">
        <v>44.1</v>
      </c>
      <c r="N1924">
        <v>53.5</v>
      </c>
      <c r="O1924">
        <v>46.5</v>
      </c>
      <c r="P1924">
        <v>48.8</v>
      </c>
      <c r="Q1924">
        <v>51.2</v>
      </c>
    </row>
    <row r="1925" spans="1:17" x14ac:dyDescent="0.25">
      <c r="A1925" s="2">
        <v>45388</v>
      </c>
      <c r="B1925" s="2" t="str">
        <f t="shared" si="60"/>
        <v>Saturday</v>
      </c>
      <c r="C1925" s="2" t="b">
        <f t="shared" si="61"/>
        <v>1</v>
      </c>
      <c r="D1925">
        <v>3</v>
      </c>
      <c r="E1925" t="s">
        <v>7</v>
      </c>
      <c r="F1925">
        <v>222</v>
      </c>
      <c r="G1925" s="3">
        <v>3916.76</v>
      </c>
      <c r="H1925" s="3">
        <f>Miami_Retail[[#This Row],[sales_usd]] / Miami_Retail[[#This Row],[customers]]</f>
        <v>17.643063063063064</v>
      </c>
      <c r="I1925">
        <v>69.7</v>
      </c>
      <c r="J1925">
        <f>(Miami_Retail[[#This Row],[avg_temp_f]]-32) * (5/9)</f>
        <v>20.944444444444446</v>
      </c>
      <c r="K1925">
        <v>0</v>
      </c>
      <c r="L1925">
        <v>0</v>
      </c>
      <c r="M1925">
        <v>35</v>
      </c>
      <c r="N1925">
        <v>50.9</v>
      </c>
      <c r="O1925">
        <v>49.1</v>
      </c>
      <c r="P1925">
        <v>54.7</v>
      </c>
      <c r="Q1925">
        <v>45.3</v>
      </c>
    </row>
    <row r="1926" spans="1:17" x14ac:dyDescent="0.25">
      <c r="A1926" s="2">
        <v>45389</v>
      </c>
      <c r="B1926" s="2" t="str">
        <f t="shared" si="60"/>
        <v>Sunday</v>
      </c>
      <c r="C1926" s="2" t="b">
        <f t="shared" si="61"/>
        <v>1</v>
      </c>
      <c r="D1926">
        <v>3</v>
      </c>
      <c r="E1926" t="s">
        <v>7</v>
      </c>
      <c r="F1926">
        <v>216</v>
      </c>
      <c r="G1926" s="3">
        <v>3545.86</v>
      </c>
      <c r="H1926" s="3">
        <f>Miami_Retail[[#This Row],[sales_usd]] / Miami_Retail[[#This Row],[customers]]</f>
        <v>16.41601851851852</v>
      </c>
      <c r="I1926">
        <v>62.7</v>
      </c>
      <c r="J1926">
        <f>(Miami_Retail[[#This Row],[avg_temp_f]]-32) * (5/9)</f>
        <v>17.055555555555557</v>
      </c>
      <c r="K1926">
        <v>0</v>
      </c>
      <c r="L1926">
        <v>0</v>
      </c>
      <c r="M1926">
        <v>39.799999999999997</v>
      </c>
      <c r="N1926">
        <v>52</v>
      </c>
      <c r="O1926">
        <v>48</v>
      </c>
      <c r="P1926">
        <v>52.3</v>
      </c>
      <c r="Q1926">
        <v>47.7</v>
      </c>
    </row>
    <row r="1927" spans="1:17" x14ac:dyDescent="0.25">
      <c r="A1927" s="2">
        <v>45390</v>
      </c>
      <c r="B1927" s="2" t="str">
        <f t="shared" si="60"/>
        <v>Monday</v>
      </c>
      <c r="C1927" s="2" t="b">
        <f t="shared" si="61"/>
        <v>0</v>
      </c>
      <c r="D1927">
        <v>3</v>
      </c>
      <c r="E1927" t="s">
        <v>7</v>
      </c>
      <c r="F1927">
        <v>176</v>
      </c>
      <c r="G1927" s="3">
        <v>3056.74</v>
      </c>
      <c r="H1927" s="3">
        <f>Miami_Retail[[#This Row],[sales_usd]] / Miami_Retail[[#This Row],[customers]]</f>
        <v>17.367840909090908</v>
      </c>
      <c r="I1927">
        <v>67.3</v>
      </c>
      <c r="J1927">
        <f>(Miami_Retail[[#This Row],[avg_temp_f]]-32) * (5/9)</f>
        <v>19.611111111111111</v>
      </c>
      <c r="K1927">
        <v>1.7</v>
      </c>
      <c r="L1927">
        <v>1</v>
      </c>
      <c r="M1927">
        <v>45.9</v>
      </c>
      <c r="N1927">
        <v>51.8</v>
      </c>
      <c r="O1927">
        <v>48.2</v>
      </c>
      <c r="P1927">
        <v>48.2</v>
      </c>
      <c r="Q1927">
        <v>51.8</v>
      </c>
    </row>
    <row r="1928" spans="1:17" x14ac:dyDescent="0.25">
      <c r="A1928" s="2">
        <v>45391</v>
      </c>
      <c r="B1928" s="2" t="str">
        <f t="shared" si="60"/>
        <v>Tuesday</v>
      </c>
      <c r="C1928" s="2" t="b">
        <f t="shared" si="61"/>
        <v>0</v>
      </c>
      <c r="D1928">
        <v>3</v>
      </c>
      <c r="E1928" t="s">
        <v>7</v>
      </c>
      <c r="F1928">
        <v>203</v>
      </c>
      <c r="G1928" s="3">
        <v>3299.14</v>
      </c>
      <c r="H1928" s="3">
        <f>Miami_Retail[[#This Row],[sales_usd]] / Miami_Retail[[#This Row],[customers]]</f>
        <v>16.25192118226601</v>
      </c>
      <c r="I1928">
        <v>68.3</v>
      </c>
      <c r="J1928">
        <f>(Miami_Retail[[#This Row],[avg_temp_f]]-32) * (5/9)</f>
        <v>20.166666666666664</v>
      </c>
      <c r="K1928">
        <v>0</v>
      </c>
      <c r="L1928">
        <v>0</v>
      </c>
      <c r="M1928">
        <v>35</v>
      </c>
      <c r="N1928">
        <v>51.2</v>
      </c>
      <c r="O1928">
        <v>48.8</v>
      </c>
      <c r="P1928">
        <v>47.5</v>
      </c>
      <c r="Q1928">
        <v>52.5</v>
      </c>
    </row>
    <row r="1929" spans="1:17" x14ac:dyDescent="0.25">
      <c r="A1929" s="2">
        <v>45392</v>
      </c>
      <c r="B1929" s="2" t="str">
        <f t="shared" si="60"/>
        <v>Wednesday</v>
      </c>
      <c r="C1929" s="2" t="b">
        <f t="shared" si="61"/>
        <v>0</v>
      </c>
      <c r="D1929">
        <v>3</v>
      </c>
      <c r="E1929" t="s">
        <v>7</v>
      </c>
      <c r="F1929">
        <v>164</v>
      </c>
      <c r="G1929" s="3">
        <v>2851.68</v>
      </c>
      <c r="H1929" s="3">
        <f>Miami_Retail[[#This Row],[sales_usd]] / Miami_Retail[[#This Row],[customers]]</f>
        <v>17.388292682926828</v>
      </c>
      <c r="I1929">
        <v>64.7</v>
      </c>
      <c r="J1929">
        <f>(Miami_Retail[[#This Row],[avg_temp_f]]-32) * (5/9)</f>
        <v>18.166666666666668</v>
      </c>
      <c r="K1929">
        <v>0</v>
      </c>
      <c r="L1929">
        <v>0</v>
      </c>
      <c r="M1929">
        <v>36.200000000000003</v>
      </c>
      <c r="N1929">
        <v>49.7</v>
      </c>
      <c r="O1929">
        <v>50.3</v>
      </c>
      <c r="P1929">
        <v>47.3</v>
      </c>
      <c r="Q1929">
        <v>52.7</v>
      </c>
    </row>
    <row r="1930" spans="1:17" x14ac:dyDescent="0.25">
      <c r="A1930" s="2">
        <v>45393</v>
      </c>
      <c r="B1930" s="2" t="str">
        <f t="shared" si="60"/>
        <v>Thursday</v>
      </c>
      <c r="C1930" s="2" t="b">
        <f t="shared" si="61"/>
        <v>0</v>
      </c>
      <c r="D1930">
        <v>3</v>
      </c>
      <c r="E1930" t="s">
        <v>7</v>
      </c>
      <c r="F1930">
        <v>224</v>
      </c>
      <c r="G1930" s="3">
        <v>3525.5</v>
      </c>
      <c r="H1930" s="3">
        <f>Miami_Retail[[#This Row],[sales_usd]] / Miami_Retail[[#This Row],[customers]]</f>
        <v>15.738839285714286</v>
      </c>
      <c r="I1930">
        <v>73.099999999999994</v>
      </c>
      <c r="J1930">
        <f>(Miami_Retail[[#This Row],[avg_temp_f]]-32) * (5/9)</f>
        <v>22.833333333333332</v>
      </c>
      <c r="K1930">
        <v>0</v>
      </c>
      <c r="L1930">
        <v>0</v>
      </c>
      <c r="M1930">
        <v>35.1</v>
      </c>
      <c r="N1930">
        <v>52.8</v>
      </c>
      <c r="O1930">
        <v>47.2</v>
      </c>
      <c r="P1930">
        <v>48.8</v>
      </c>
      <c r="Q1930">
        <v>51.2</v>
      </c>
    </row>
    <row r="1931" spans="1:17" x14ac:dyDescent="0.25">
      <c r="A1931" s="2">
        <v>45394</v>
      </c>
      <c r="B1931" s="2" t="str">
        <f t="shared" si="60"/>
        <v>Friday</v>
      </c>
      <c r="C1931" s="2" t="b">
        <f t="shared" si="61"/>
        <v>0</v>
      </c>
      <c r="D1931">
        <v>3</v>
      </c>
      <c r="E1931" t="s">
        <v>7</v>
      </c>
      <c r="F1931">
        <v>170</v>
      </c>
      <c r="G1931" s="3">
        <v>2786.37</v>
      </c>
      <c r="H1931" s="3">
        <f>Miami_Retail[[#This Row],[sales_usd]] / Miami_Retail[[#This Row],[customers]]</f>
        <v>16.390411764705881</v>
      </c>
      <c r="I1931">
        <v>67.8</v>
      </c>
      <c r="J1931">
        <f>(Miami_Retail[[#This Row],[avg_temp_f]]-32) * (5/9)</f>
        <v>19.888888888888889</v>
      </c>
      <c r="K1931">
        <v>0</v>
      </c>
      <c r="L1931">
        <v>0</v>
      </c>
      <c r="M1931">
        <v>40.700000000000003</v>
      </c>
      <c r="N1931">
        <v>51.1</v>
      </c>
      <c r="O1931">
        <v>48.9</v>
      </c>
      <c r="P1931">
        <v>47.8</v>
      </c>
      <c r="Q1931">
        <v>52.2</v>
      </c>
    </row>
    <row r="1932" spans="1:17" x14ac:dyDescent="0.25">
      <c r="A1932" s="2">
        <v>45395</v>
      </c>
      <c r="B1932" s="2" t="str">
        <f t="shared" si="60"/>
        <v>Saturday</v>
      </c>
      <c r="C1932" s="2" t="b">
        <f t="shared" si="61"/>
        <v>1</v>
      </c>
      <c r="D1932">
        <v>3</v>
      </c>
      <c r="E1932" t="s">
        <v>7</v>
      </c>
      <c r="F1932">
        <v>210</v>
      </c>
      <c r="G1932" s="3">
        <v>3478.71</v>
      </c>
      <c r="H1932" s="3">
        <f>Miami_Retail[[#This Row],[sales_usd]] / Miami_Retail[[#This Row],[customers]]</f>
        <v>16.565285714285714</v>
      </c>
      <c r="I1932">
        <v>67.900000000000006</v>
      </c>
      <c r="J1932">
        <f>(Miami_Retail[[#This Row],[avg_temp_f]]-32) * (5/9)</f>
        <v>19.94444444444445</v>
      </c>
      <c r="K1932">
        <v>0</v>
      </c>
      <c r="L1932">
        <v>0</v>
      </c>
      <c r="M1932">
        <v>35</v>
      </c>
      <c r="N1932">
        <v>50</v>
      </c>
      <c r="O1932">
        <v>50</v>
      </c>
      <c r="P1932">
        <v>54.1</v>
      </c>
      <c r="Q1932">
        <v>45.9</v>
      </c>
    </row>
    <row r="1933" spans="1:17" x14ac:dyDescent="0.25">
      <c r="A1933" s="2">
        <v>45396</v>
      </c>
      <c r="B1933" s="2" t="str">
        <f t="shared" si="60"/>
        <v>Sunday</v>
      </c>
      <c r="C1933" s="2" t="b">
        <f t="shared" si="61"/>
        <v>1</v>
      </c>
      <c r="D1933">
        <v>3</v>
      </c>
      <c r="E1933" t="s">
        <v>7</v>
      </c>
      <c r="F1933">
        <v>205</v>
      </c>
      <c r="G1933" s="3">
        <v>3722.75</v>
      </c>
      <c r="H1933" s="3">
        <f>Miami_Retail[[#This Row],[sales_usd]] / Miami_Retail[[#This Row],[customers]]</f>
        <v>18.159756097560976</v>
      </c>
      <c r="I1933">
        <v>67.7</v>
      </c>
      <c r="J1933">
        <f>(Miami_Retail[[#This Row],[avg_temp_f]]-32) * (5/9)</f>
        <v>19.833333333333336</v>
      </c>
      <c r="K1933">
        <v>0</v>
      </c>
      <c r="L1933">
        <v>0</v>
      </c>
      <c r="M1933">
        <v>36.299999999999997</v>
      </c>
      <c r="N1933">
        <v>49</v>
      </c>
      <c r="O1933">
        <v>51</v>
      </c>
      <c r="P1933">
        <v>54.4</v>
      </c>
      <c r="Q1933">
        <v>45.6</v>
      </c>
    </row>
    <row r="1934" spans="1:17" x14ac:dyDescent="0.25">
      <c r="A1934" s="2">
        <v>45397</v>
      </c>
      <c r="B1934" s="2" t="str">
        <f t="shared" si="60"/>
        <v>Monday</v>
      </c>
      <c r="C1934" s="2" t="b">
        <f t="shared" si="61"/>
        <v>0</v>
      </c>
      <c r="D1934">
        <v>3</v>
      </c>
      <c r="E1934" t="s">
        <v>7</v>
      </c>
      <c r="F1934">
        <v>152</v>
      </c>
      <c r="G1934" s="3">
        <v>2591.09</v>
      </c>
      <c r="H1934" s="3">
        <f>Miami_Retail[[#This Row],[sales_usd]] / Miami_Retail[[#This Row],[customers]]</f>
        <v>17.046644736842108</v>
      </c>
      <c r="I1934">
        <v>67.7</v>
      </c>
      <c r="J1934">
        <f>(Miami_Retail[[#This Row],[avg_temp_f]]-32) * (5/9)</f>
        <v>19.833333333333336</v>
      </c>
      <c r="K1934">
        <v>0</v>
      </c>
      <c r="L1934">
        <v>0</v>
      </c>
      <c r="M1934">
        <v>37.5</v>
      </c>
      <c r="N1934">
        <v>51</v>
      </c>
      <c r="O1934">
        <v>49</v>
      </c>
      <c r="P1934">
        <v>47.7</v>
      </c>
      <c r="Q1934">
        <v>52.3</v>
      </c>
    </row>
    <row r="1935" spans="1:17" x14ac:dyDescent="0.25">
      <c r="A1935" s="2">
        <v>45398</v>
      </c>
      <c r="B1935" s="2" t="str">
        <f t="shared" si="60"/>
        <v>Tuesday</v>
      </c>
      <c r="C1935" s="2" t="b">
        <f t="shared" si="61"/>
        <v>0</v>
      </c>
      <c r="D1935">
        <v>3</v>
      </c>
      <c r="E1935" t="s">
        <v>7</v>
      </c>
      <c r="F1935">
        <v>143</v>
      </c>
      <c r="G1935" s="3">
        <v>2259.54</v>
      </c>
      <c r="H1935" s="3">
        <f>Miami_Retail[[#This Row],[sales_usd]] / Miami_Retail[[#This Row],[customers]]</f>
        <v>15.800979020979021</v>
      </c>
      <c r="I1935">
        <v>71.3</v>
      </c>
      <c r="J1935">
        <f>(Miami_Retail[[#This Row],[avg_temp_f]]-32) * (5/9)</f>
        <v>21.833333333333332</v>
      </c>
      <c r="K1935">
        <v>1.78</v>
      </c>
      <c r="L1935">
        <v>1</v>
      </c>
      <c r="M1935">
        <v>35</v>
      </c>
      <c r="N1935">
        <v>51.5</v>
      </c>
      <c r="O1935">
        <v>48.5</v>
      </c>
      <c r="P1935">
        <v>47.8</v>
      </c>
      <c r="Q1935">
        <v>52.2</v>
      </c>
    </row>
    <row r="1936" spans="1:17" x14ac:dyDescent="0.25">
      <c r="A1936" s="2">
        <v>45399</v>
      </c>
      <c r="B1936" s="2" t="str">
        <f t="shared" si="60"/>
        <v>Wednesday</v>
      </c>
      <c r="C1936" s="2" t="b">
        <f t="shared" si="61"/>
        <v>0</v>
      </c>
      <c r="D1936">
        <v>3</v>
      </c>
      <c r="E1936" t="s">
        <v>7</v>
      </c>
      <c r="F1936">
        <v>201</v>
      </c>
      <c r="G1936" s="3">
        <v>3245.48</v>
      </c>
      <c r="H1936" s="3">
        <f>Miami_Retail[[#This Row],[sales_usd]] / Miami_Retail[[#This Row],[customers]]</f>
        <v>16.146666666666668</v>
      </c>
      <c r="I1936">
        <v>68.900000000000006</v>
      </c>
      <c r="J1936">
        <f>(Miami_Retail[[#This Row],[avg_temp_f]]-32) * (5/9)</f>
        <v>20.500000000000004</v>
      </c>
      <c r="K1936">
        <v>0</v>
      </c>
      <c r="L1936">
        <v>0</v>
      </c>
      <c r="M1936">
        <v>35</v>
      </c>
      <c r="N1936">
        <v>51.6</v>
      </c>
      <c r="O1936">
        <v>48.4</v>
      </c>
      <c r="P1936">
        <v>46.7</v>
      </c>
      <c r="Q1936">
        <v>53.3</v>
      </c>
    </row>
    <row r="1937" spans="1:17" x14ac:dyDescent="0.25">
      <c r="A1937" s="2">
        <v>45400</v>
      </c>
      <c r="B1937" s="2" t="str">
        <f t="shared" si="60"/>
        <v>Thursday</v>
      </c>
      <c r="C1937" s="2" t="b">
        <f t="shared" si="61"/>
        <v>0</v>
      </c>
      <c r="D1937">
        <v>3</v>
      </c>
      <c r="E1937" t="s">
        <v>7</v>
      </c>
      <c r="F1937">
        <v>200</v>
      </c>
      <c r="G1937" s="3">
        <v>3364.76</v>
      </c>
      <c r="H1937" s="3">
        <f>Miami_Retail[[#This Row],[sales_usd]] / Miami_Retail[[#This Row],[customers]]</f>
        <v>16.823800000000002</v>
      </c>
      <c r="I1937">
        <v>67.599999999999994</v>
      </c>
      <c r="J1937">
        <f>(Miami_Retail[[#This Row],[avg_temp_f]]-32) * (5/9)</f>
        <v>19.777777777777775</v>
      </c>
      <c r="K1937">
        <v>0</v>
      </c>
      <c r="L1937">
        <v>0</v>
      </c>
      <c r="M1937">
        <v>39.9</v>
      </c>
      <c r="N1937">
        <v>51.6</v>
      </c>
      <c r="O1937">
        <v>48.4</v>
      </c>
      <c r="P1937">
        <v>48.5</v>
      </c>
      <c r="Q1937">
        <v>51.5</v>
      </c>
    </row>
    <row r="1938" spans="1:17" x14ac:dyDescent="0.25">
      <c r="A1938" s="2">
        <v>45401</v>
      </c>
      <c r="B1938" s="2" t="str">
        <f t="shared" si="60"/>
        <v>Friday</v>
      </c>
      <c r="C1938" s="2" t="b">
        <f t="shared" si="61"/>
        <v>0</v>
      </c>
      <c r="D1938">
        <v>3</v>
      </c>
      <c r="E1938" t="s">
        <v>7</v>
      </c>
      <c r="F1938">
        <v>184</v>
      </c>
      <c r="G1938" s="3">
        <v>3035.76</v>
      </c>
      <c r="H1938" s="3">
        <f>Miami_Retail[[#This Row],[sales_usd]] / Miami_Retail[[#This Row],[customers]]</f>
        <v>16.498695652173915</v>
      </c>
      <c r="I1938">
        <v>75.8</v>
      </c>
      <c r="J1938">
        <f>(Miami_Retail[[#This Row],[avg_temp_f]]-32) * (5/9)</f>
        <v>24.333333333333332</v>
      </c>
      <c r="K1938">
        <v>1.07</v>
      </c>
      <c r="L1938">
        <v>1</v>
      </c>
      <c r="M1938">
        <v>47.8</v>
      </c>
      <c r="N1938">
        <v>51.2</v>
      </c>
      <c r="O1938">
        <v>48.8</v>
      </c>
      <c r="P1938">
        <v>49.2</v>
      </c>
      <c r="Q1938">
        <v>50.8</v>
      </c>
    </row>
    <row r="1939" spans="1:17" x14ac:dyDescent="0.25">
      <c r="A1939" s="2">
        <v>45402</v>
      </c>
      <c r="B1939" s="2" t="str">
        <f t="shared" si="60"/>
        <v>Saturday</v>
      </c>
      <c r="C1939" s="2" t="b">
        <f t="shared" si="61"/>
        <v>1</v>
      </c>
      <c r="D1939">
        <v>3</v>
      </c>
      <c r="E1939" t="s">
        <v>7</v>
      </c>
      <c r="F1939">
        <v>203</v>
      </c>
      <c r="G1939" s="3">
        <v>3507.95</v>
      </c>
      <c r="H1939" s="3">
        <f>Miami_Retail[[#This Row],[sales_usd]] / Miami_Retail[[#This Row],[customers]]</f>
        <v>17.28054187192118</v>
      </c>
      <c r="I1939">
        <v>69.3</v>
      </c>
      <c r="J1939">
        <f>(Miami_Retail[[#This Row],[avg_temp_f]]-32) * (5/9)</f>
        <v>20.722222222222221</v>
      </c>
      <c r="K1939">
        <v>0.42</v>
      </c>
      <c r="L1939">
        <v>1</v>
      </c>
      <c r="M1939">
        <v>39.299999999999997</v>
      </c>
      <c r="N1939">
        <v>52.7</v>
      </c>
      <c r="O1939">
        <v>47.3</v>
      </c>
      <c r="P1939">
        <v>54.1</v>
      </c>
      <c r="Q1939">
        <v>45.9</v>
      </c>
    </row>
    <row r="1940" spans="1:17" x14ac:dyDescent="0.25">
      <c r="A1940" s="2">
        <v>45403</v>
      </c>
      <c r="B1940" s="2" t="str">
        <f t="shared" si="60"/>
        <v>Sunday</v>
      </c>
      <c r="C1940" s="2" t="b">
        <f t="shared" si="61"/>
        <v>1</v>
      </c>
      <c r="D1940">
        <v>3</v>
      </c>
      <c r="E1940" t="s">
        <v>7</v>
      </c>
      <c r="F1940">
        <v>229</v>
      </c>
      <c r="G1940" s="3">
        <v>3934.01</v>
      </c>
      <c r="H1940" s="3">
        <f>Miami_Retail[[#This Row],[sales_usd]] / Miami_Retail[[#This Row],[customers]]</f>
        <v>17.179082969432315</v>
      </c>
      <c r="I1940">
        <v>67.8</v>
      </c>
      <c r="J1940">
        <f>(Miami_Retail[[#This Row],[avg_temp_f]]-32) * (5/9)</f>
        <v>19.888888888888889</v>
      </c>
      <c r="K1940">
        <v>0</v>
      </c>
      <c r="L1940">
        <v>0</v>
      </c>
      <c r="M1940">
        <v>39.1</v>
      </c>
      <c r="N1940">
        <v>50.9</v>
      </c>
      <c r="O1940">
        <v>49.1</v>
      </c>
      <c r="P1940">
        <v>52.4</v>
      </c>
      <c r="Q1940">
        <v>47.6</v>
      </c>
    </row>
    <row r="1941" spans="1:17" x14ac:dyDescent="0.25">
      <c r="A1941" s="2">
        <v>45404</v>
      </c>
      <c r="B1941" s="2" t="str">
        <f t="shared" si="60"/>
        <v>Monday</v>
      </c>
      <c r="C1941" s="2" t="b">
        <f t="shared" si="61"/>
        <v>0</v>
      </c>
      <c r="D1941">
        <v>3</v>
      </c>
      <c r="E1941" t="s">
        <v>7</v>
      </c>
      <c r="F1941">
        <v>186</v>
      </c>
      <c r="G1941" s="3">
        <v>3074.69</v>
      </c>
      <c r="H1941" s="3">
        <f>Miami_Retail[[#This Row],[sales_usd]] / Miami_Retail[[#This Row],[customers]]</f>
        <v>16.530591397849463</v>
      </c>
      <c r="I1941">
        <v>70.099999999999994</v>
      </c>
      <c r="J1941">
        <f>(Miami_Retail[[#This Row],[avg_temp_f]]-32) * (5/9)</f>
        <v>21.166666666666664</v>
      </c>
      <c r="K1941">
        <v>0</v>
      </c>
      <c r="L1941">
        <v>0</v>
      </c>
      <c r="M1941">
        <v>35</v>
      </c>
      <c r="N1941">
        <v>51.2</v>
      </c>
      <c r="O1941">
        <v>48.8</v>
      </c>
      <c r="P1941">
        <v>47.6</v>
      </c>
      <c r="Q1941">
        <v>52.4</v>
      </c>
    </row>
    <row r="1942" spans="1:17" x14ac:dyDescent="0.25">
      <c r="A1942" s="2">
        <v>45405</v>
      </c>
      <c r="B1942" s="2" t="str">
        <f t="shared" si="60"/>
        <v>Tuesday</v>
      </c>
      <c r="C1942" s="2" t="b">
        <f t="shared" si="61"/>
        <v>0</v>
      </c>
      <c r="D1942">
        <v>3</v>
      </c>
      <c r="E1942" t="s">
        <v>7</v>
      </c>
      <c r="F1942">
        <v>199</v>
      </c>
      <c r="G1942" s="3">
        <v>3288.38</v>
      </c>
      <c r="H1942" s="3">
        <f>Miami_Retail[[#This Row],[sales_usd]] / Miami_Retail[[#This Row],[customers]]</f>
        <v>16.524522613065326</v>
      </c>
      <c r="I1942">
        <v>69.2</v>
      </c>
      <c r="J1942">
        <f>(Miami_Retail[[#This Row],[avg_temp_f]]-32) * (5/9)</f>
        <v>20.666666666666668</v>
      </c>
      <c r="K1942">
        <v>0</v>
      </c>
      <c r="L1942">
        <v>0</v>
      </c>
      <c r="M1942">
        <v>39.1</v>
      </c>
      <c r="N1942">
        <v>51.3</v>
      </c>
      <c r="O1942">
        <v>48.7</v>
      </c>
      <c r="P1942">
        <v>47.4</v>
      </c>
      <c r="Q1942">
        <v>52.6</v>
      </c>
    </row>
    <row r="1943" spans="1:17" x14ac:dyDescent="0.25">
      <c r="A1943" s="2">
        <v>45406</v>
      </c>
      <c r="B1943" s="2" t="str">
        <f t="shared" si="60"/>
        <v>Wednesday</v>
      </c>
      <c r="C1943" s="2" t="b">
        <f t="shared" si="61"/>
        <v>0</v>
      </c>
      <c r="D1943">
        <v>3</v>
      </c>
      <c r="E1943" t="s">
        <v>7</v>
      </c>
      <c r="F1943">
        <v>210</v>
      </c>
      <c r="G1943" s="3">
        <v>3309.4</v>
      </c>
      <c r="H1943" s="3">
        <f>Miami_Retail[[#This Row],[sales_usd]] / Miami_Retail[[#This Row],[customers]]</f>
        <v>15.759047619047619</v>
      </c>
      <c r="I1943">
        <v>68.8</v>
      </c>
      <c r="J1943">
        <f>(Miami_Retail[[#This Row],[avg_temp_f]]-32) * (5/9)</f>
        <v>20.444444444444443</v>
      </c>
      <c r="K1943">
        <v>0</v>
      </c>
      <c r="L1943">
        <v>0</v>
      </c>
      <c r="M1943">
        <v>35.5</v>
      </c>
      <c r="N1943">
        <v>51.7</v>
      </c>
      <c r="O1943">
        <v>48.3</v>
      </c>
      <c r="P1943">
        <v>47.2</v>
      </c>
      <c r="Q1943">
        <v>52.8</v>
      </c>
    </row>
    <row r="1944" spans="1:17" x14ac:dyDescent="0.25">
      <c r="A1944" s="2">
        <v>45407</v>
      </c>
      <c r="B1944" s="2" t="str">
        <f t="shared" si="60"/>
        <v>Thursday</v>
      </c>
      <c r="C1944" s="2" t="b">
        <f t="shared" si="61"/>
        <v>0</v>
      </c>
      <c r="D1944">
        <v>3</v>
      </c>
      <c r="E1944" t="s">
        <v>7</v>
      </c>
      <c r="F1944">
        <v>137</v>
      </c>
      <c r="G1944" s="3">
        <v>2139.61</v>
      </c>
      <c r="H1944" s="3">
        <f>Miami_Retail[[#This Row],[sales_usd]] / Miami_Retail[[#This Row],[customers]]</f>
        <v>15.617591240875914</v>
      </c>
      <c r="I1944">
        <v>67</v>
      </c>
      <c r="J1944">
        <f>(Miami_Retail[[#This Row],[avg_temp_f]]-32) * (5/9)</f>
        <v>19.444444444444446</v>
      </c>
      <c r="K1944">
        <v>2.58</v>
      </c>
      <c r="L1944">
        <v>1</v>
      </c>
      <c r="M1944">
        <v>38.1</v>
      </c>
      <c r="N1944">
        <v>53.9</v>
      </c>
      <c r="O1944">
        <v>46.1</v>
      </c>
      <c r="P1944">
        <v>46.8</v>
      </c>
      <c r="Q1944">
        <v>53.2</v>
      </c>
    </row>
    <row r="1945" spans="1:17" x14ac:dyDescent="0.25">
      <c r="A1945" s="2">
        <v>45408</v>
      </c>
      <c r="B1945" s="2" t="str">
        <f t="shared" si="60"/>
        <v>Friday</v>
      </c>
      <c r="C1945" s="2" t="b">
        <f t="shared" si="61"/>
        <v>0</v>
      </c>
      <c r="D1945">
        <v>3</v>
      </c>
      <c r="E1945" t="s">
        <v>7</v>
      </c>
      <c r="F1945">
        <v>216</v>
      </c>
      <c r="G1945" s="3">
        <v>3577.91</v>
      </c>
      <c r="H1945" s="3">
        <f>Miami_Retail[[#This Row],[sales_usd]] / Miami_Retail[[#This Row],[customers]]</f>
        <v>16.564398148148147</v>
      </c>
      <c r="I1945">
        <v>59.9</v>
      </c>
      <c r="J1945">
        <f>(Miami_Retail[[#This Row],[avg_temp_f]]-32) * (5/9)</f>
        <v>15.5</v>
      </c>
      <c r="K1945">
        <v>0</v>
      </c>
      <c r="L1945">
        <v>0</v>
      </c>
      <c r="M1945">
        <v>36.299999999999997</v>
      </c>
      <c r="N1945">
        <v>52.8</v>
      </c>
      <c r="O1945">
        <v>47.2</v>
      </c>
      <c r="P1945">
        <v>47.3</v>
      </c>
      <c r="Q1945">
        <v>52.7</v>
      </c>
    </row>
    <row r="1946" spans="1:17" x14ac:dyDescent="0.25">
      <c r="A1946" s="2">
        <v>45409</v>
      </c>
      <c r="B1946" s="2" t="str">
        <f t="shared" si="60"/>
        <v>Saturday</v>
      </c>
      <c r="C1946" s="2" t="b">
        <f t="shared" si="61"/>
        <v>1</v>
      </c>
      <c r="D1946">
        <v>3</v>
      </c>
      <c r="E1946" t="s">
        <v>7</v>
      </c>
      <c r="F1946">
        <v>230</v>
      </c>
      <c r="G1946" s="3">
        <v>3592.42</v>
      </c>
      <c r="H1946" s="3">
        <f>Miami_Retail[[#This Row],[sales_usd]] / Miami_Retail[[#This Row],[customers]]</f>
        <v>15.619217391304348</v>
      </c>
      <c r="I1946">
        <v>70.400000000000006</v>
      </c>
      <c r="J1946">
        <f>(Miami_Retail[[#This Row],[avg_temp_f]]-32) * (5/9)</f>
        <v>21.333333333333336</v>
      </c>
      <c r="K1946">
        <v>0</v>
      </c>
      <c r="L1946">
        <v>0</v>
      </c>
      <c r="M1946">
        <v>47.3</v>
      </c>
      <c r="N1946">
        <v>50.9</v>
      </c>
      <c r="O1946">
        <v>49.1</v>
      </c>
      <c r="P1946">
        <v>54.7</v>
      </c>
      <c r="Q1946">
        <v>45.3</v>
      </c>
    </row>
    <row r="1947" spans="1:17" x14ac:dyDescent="0.25">
      <c r="A1947" s="2">
        <v>45410</v>
      </c>
      <c r="B1947" s="2" t="str">
        <f t="shared" si="60"/>
        <v>Sunday</v>
      </c>
      <c r="C1947" s="2" t="b">
        <f t="shared" si="61"/>
        <v>1</v>
      </c>
      <c r="D1947">
        <v>3</v>
      </c>
      <c r="E1947" t="s">
        <v>7</v>
      </c>
      <c r="F1947">
        <v>219</v>
      </c>
      <c r="G1947" s="3">
        <v>3379.66</v>
      </c>
      <c r="H1947" s="3">
        <f>Miami_Retail[[#This Row],[sales_usd]] / Miami_Retail[[#This Row],[customers]]</f>
        <v>15.432237442922373</v>
      </c>
      <c r="I1947">
        <v>67.099999999999994</v>
      </c>
      <c r="J1947">
        <f>(Miami_Retail[[#This Row],[avg_temp_f]]-32) * (5/9)</f>
        <v>19.499999999999996</v>
      </c>
      <c r="K1947">
        <v>0</v>
      </c>
      <c r="L1947">
        <v>0</v>
      </c>
      <c r="M1947">
        <v>53.8</v>
      </c>
      <c r="N1947">
        <v>52.4</v>
      </c>
      <c r="O1947">
        <v>47.6</v>
      </c>
      <c r="P1947">
        <v>53.2</v>
      </c>
      <c r="Q1947">
        <v>46.8</v>
      </c>
    </row>
    <row r="1948" spans="1:17" x14ac:dyDescent="0.25">
      <c r="A1948" s="2">
        <v>45411</v>
      </c>
      <c r="B1948" s="2" t="str">
        <f t="shared" si="60"/>
        <v>Monday</v>
      </c>
      <c r="C1948" s="2" t="b">
        <f t="shared" si="61"/>
        <v>0</v>
      </c>
      <c r="D1948">
        <v>3</v>
      </c>
      <c r="E1948" t="s">
        <v>7</v>
      </c>
      <c r="F1948">
        <v>197</v>
      </c>
      <c r="G1948" s="3">
        <v>3114.6</v>
      </c>
      <c r="H1948" s="3">
        <f>Miami_Retail[[#This Row],[sales_usd]] / Miami_Retail[[#This Row],[customers]]</f>
        <v>15.810152284263959</v>
      </c>
      <c r="I1948">
        <v>64.8</v>
      </c>
      <c r="J1948">
        <f>(Miami_Retail[[#This Row],[avg_temp_f]]-32) * (5/9)</f>
        <v>18.222222222222221</v>
      </c>
      <c r="K1948">
        <v>0</v>
      </c>
      <c r="L1948">
        <v>0</v>
      </c>
      <c r="M1948">
        <v>42.9</v>
      </c>
      <c r="N1948">
        <v>51.9</v>
      </c>
      <c r="O1948">
        <v>48.1</v>
      </c>
      <c r="P1948">
        <v>47.9</v>
      </c>
      <c r="Q1948">
        <v>52.1</v>
      </c>
    </row>
    <row r="1949" spans="1:17" x14ac:dyDescent="0.25">
      <c r="A1949" s="2">
        <v>45412</v>
      </c>
      <c r="B1949" s="2" t="str">
        <f t="shared" si="60"/>
        <v>Tuesday</v>
      </c>
      <c r="C1949" s="2" t="b">
        <f t="shared" si="61"/>
        <v>0</v>
      </c>
      <c r="D1949">
        <v>3</v>
      </c>
      <c r="E1949" t="s">
        <v>7</v>
      </c>
      <c r="F1949">
        <v>182</v>
      </c>
      <c r="G1949" s="3">
        <v>2890.09</v>
      </c>
      <c r="H1949" s="3">
        <f>Miami_Retail[[#This Row],[sales_usd]] / Miami_Retail[[#This Row],[customers]]</f>
        <v>15.879615384615386</v>
      </c>
      <c r="I1949">
        <v>70.099999999999994</v>
      </c>
      <c r="J1949">
        <f>(Miami_Retail[[#This Row],[avg_temp_f]]-32) * (5/9)</f>
        <v>21.166666666666664</v>
      </c>
      <c r="K1949">
        <v>0</v>
      </c>
      <c r="L1949">
        <v>0</v>
      </c>
      <c r="M1949">
        <v>41.7</v>
      </c>
      <c r="N1949">
        <v>50.7</v>
      </c>
      <c r="O1949">
        <v>49.3</v>
      </c>
      <c r="P1949">
        <v>47.7</v>
      </c>
      <c r="Q1949">
        <v>52.3</v>
      </c>
    </row>
    <row r="1950" spans="1:17" x14ac:dyDescent="0.25">
      <c r="A1950" s="2">
        <v>45413</v>
      </c>
      <c r="B1950" s="2" t="str">
        <f t="shared" si="60"/>
        <v>Wednesday</v>
      </c>
      <c r="C1950" s="2" t="b">
        <f t="shared" si="61"/>
        <v>0</v>
      </c>
      <c r="D1950">
        <v>3</v>
      </c>
      <c r="E1950" t="s">
        <v>7</v>
      </c>
      <c r="F1950">
        <v>197</v>
      </c>
      <c r="G1950" s="3">
        <v>3210.12</v>
      </c>
      <c r="H1950" s="3">
        <f>Miami_Retail[[#This Row],[sales_usd]] / Miami_Retail[[#This Row],[customers]]</f>
        <v>16.295025380710658</v>
      </c>
      <c r="I1950">
        <v>66.2</v>
      </c>
      <c r="J1950">
        <f>(Miami_Retail[[#This Row],[avg_temp_f]]-32) * (5/9)</f>
        <v>19.000000000000004</v>
      </c>
      <c r="K1950">
        <v>0</v>
      </c>
      <c r="L1950">
        <v>0</v>
      </c>
      <c r="M1950">
        <v>43.1</v>
      </c>
      <c r="N1950">
        <v>51.2</v>
      </c>
      <c r="O1950">
        <v>48.8</v>
      </c>
      <c r="P1950">
        <v>48.2</v>
      </c>
      <c r="Q1950">
        <v>51.8</v>
      </c>
    </row>
    <row r="1951" spans="1:17" x14ac:dyDescent="0.25">
      <c r="A1951" s="2">
        <v>45414</v>
      </c>
      <c r="B1951" s="2" t="str">
        <f t="shared" si="60"/>
        <v>Thursday</v>
      </c>
      <c r="C1951" s="2" t="b">
        <f t="shared" si="61"/>
        <v>0</v>
      </c>
      <c r="D1951">
        <v>3</v>
      </c>
      <c r="E1951" t="s">
        <v>7</v>
      </c>
      <c r="F1951">
        <v>204</v>
      </c>
      <c r="G1951" s="3">
        <v>3693.87</v>
      </c>
      <c r="H1951" s="3">
        <f>Miami_Retail[[#This Row],[sales_usd]] / Miami_Retail[[#This Row],[customers]]</f>
        <v>18.10720588235294</v>
      </c>
      <c r="I1951">
        <v>72.900000000000006</v>
      </c>
      <c r="J1951">
        <f>(Miami_Retail[[#This Row],[avg_temp_f]]-32) * (5/9)</f>
        <v>22.722222222222225</v>
      </c>
      <c r="K1951">
        <v>0.5</v>
      </c>
      <c r="L1951">
        <v>1</v>
      </c>
      <c r="M1951">
        <v>38.9</v>
      </c>
      <c r="N1951">
        <v>52</v>
      </c>
      <c r="O1951">
        <v>48</v>
      </c>
      <c r="P1951">
        <v>48.9</v>
      </c>
      <c r="Q1951">
        <v>51.1</v>
      </c>
    </row>
    <row r="1952" spans="1:17" x14ac:dyDescent="0.25">
      <c r="A1952" s="2">
        <v>45415</v>
      </c>
      <c r="B1952" s="2" t="str">
        <f t="shared" si="60"/>
        <v>Friday</v>
      </c>
      <c r="C1952" s="2" t="b">
        <f t="shared" si="61"/>
        <v>0</v>
      </c>
      <c r="D1952">
        <v>3</v>
      </c>
      <c r="E1952" t="s">
        <v>7</v>
      </c>
      <c r="F1952">
        <v>217</v>
      </c>
      <c r="G1952" s="3">
        <v>3838.47</v>
      </c>
      <c r="H1952" s="3">
        <f>Miami_Retail[[#This Row],[sales_usd]] / Miami_Retail[[#This Row],[customers]]</f>
        <v>17.688801843317972</v>
      </c>
      <c r="I1952">
        <v>71</v>
      </c>
      <c r="J1952">
        <f>(Miami_Retail[[#This Row],[avg_temp_f]]-32) * (5/9)</f>
        <v>21.666666666666668</v>
      </c>
      <c r="K1952">
        <v>0</v>
      </c>
      <c r="L1952">
        <v>0</v>
      </c>
      <c r="M1952">
        <v>39.299999999999997</v>
      </c>
      <c r="N1952">
        <v>52.4</v>
      </c>
      <c r="O1952">
        <v>47.6</v>
      </c>
      <c r="P1952">
        <v>49</v>
      </c>
      <c r="Q1952">
        <v>51</v>
      </c>
    </row>
    <row r="1953" spans="1:17" x14ac:dyDescent="0.25">
      <c r="A1953" s="2">
        <v>45416</v>
      </c>
      <c r="B1953" s="2" t="str">
        <f t="shared" si="60"/>
        <v>Saturday</v>
      </c>
      <c r="C1953" s="2" t="b">
        <f t="shared" si="61"/>
        <v>1</v>
      </c>
      <c r="D1953">
        <v>3</v>
      </c>
      <c r="E1953" t="s">
        <v>7</v>
      </c>
      <c r="F1953">
        <v>225</v>
      </c>
      <c r="G1953" s="3">
        <v>3355.42</v>
      </c>
      <c r="H1953" s="3">
        <f>Miami_Retail[[#This Row],[sales_usd]] / Miami_Retail[[#This Row],[customers]]</f>
        <v>14.912977777777778</v>
      </c>
      <c r="I1953">
        <v>65.400000000000006</v>
      </c>
      <c r="J1953">
        <f>(Miami_Retail[[#This Row],[avg_temp_f]]-32) * (5/9)</f>
        <v>18.555555555555561</v>
      </c>
      <c r="K1953">
        <v>0</v>
      </c>
      <c r="L1953">
        <v>0</v>
      </c>
      <c r="M1953">
        <v>48.3</v>
      </c>
      <c r="N1953">
        <v>51.7</v>
      </c>
      <c r="O1953">
        <v>48.3</v>
      </c>
      <c r="P1953">
        <v>54.1</v>
      </c>
      <c r="Q1953">
        <v>45.9</v>
      </c>
    </row>
    <row r="1954" spans="1:17" x14ac:dyDescent="0.25">
      <c r="A1954" s="2">
        <v>45417</v>
      </c>
      <c r="B1954" s="2" t="str">
        <f t="shared" si="60"/>
        <v>Sunday</v>
      </c>
      <c r="C1954" s="2" t="b">
        <f t="shared" si="61"/>
        <v>1</v>
      </c>
      <c r="D1954">
        <v>3</v>
      </c>
      <c r="E1954" t="s">
        <v>7</v>
      </c>
      <c r="F1954">
        <v>226</v>
      </c>
      <c r="G1954" s="3">
        <v>3396.71</v>
      </c>
      <c r="H1954" s="3">
        <f>Miami_Retail[[#This Row],[sales_usd]] / Miami_Retail[[#This Row],[customers]]</f>
        <v>15.029690265486726</v>
      </c>
      <c r="I1954">
        <v>68.5</v>
      </c>
      <c r="J1954">
        <f>(Miami_Retail[[#This Row],[avg_temp_f]]-32) * (5/9)</f>
        <v>20.277777777777779</v>
      </c>
      <c r="K1954">
        <v>0.22</v>
      </c>
      <c r="L1954">
        <v>1</v>
      </c>
      <c r="M1954">
        <v>42.6</v>
      </c>
      <c r="N1954">
        <v>51.9</v>
      </c>
      <c r="O1954">
        <v>48.1</v>
      </c>
      <c r="P1954">
        <v>54.8</v>
      </c>
      <c r="Q1954">
        <v>45.2</v>
      </c>
    </row>
    <row r="1955" spans="1:17" x14ac:dyDescent="0.25">
      <c r="A1955" s="2">
        <v>45418</v>
      </c>
      <c r="B1955" s="2" t="str">
        <f t="shared" si="60"/>
        <v>Monday</v>
      </c>
      <c r="C1955" s="2" t="b">
        <f t="shared" si="61"/>
        <v>0</v>
      </c>
      <c r="D1955">
        <v>3</v>
      </c>
      <c r="E1955" t="s">
        <v>7</v>
      </c>
      <c r="F1955">
        <v>188</v>
      </c>
      <c r="G1955" s="3">
        <v>3040.56</v>
      </c>
      <c r="H1955" s="3">
        <f>Miami_Retail[[#This Row],[sales_usd]] / Miami_Retail[[#This Row],[customers]]</f>
        <v>16.173191489361702</v>
      </c>
      <c r="I1955">
        <v>68.5</v>
      </c>
      <c r="J1955">
        <f>(Miami_Retail[[#This Row],[avg_temp_f]]-32) * (5/9)</f>
        <v>20.277777777777779</v>
      </c>
      <c r="K1955">
        <v>0.45</v>
      </c>
      <c r="L1955">
        <v>1</v>
      </c>
      <c r="M1955">
        <v>52.5</v>
      </c>
      <c r="N1955">
        <v>50.4</v>
      </c>
      <c r="O1955">
        <v>49.6</v>
      </c>
      <c r="P1955">
        <v>47.6</v>
      </c>
      <c r="Q1955">
        <v>52.4</v>
      </c>
    </row>
    <row r="1956" spans="1:17" x14ac:dyDescent="0.25">
      <c r="A1956" s="2">
        <v>45419</v>
      </c>
      <c r="B1956" s="2" t="str">
        <f t="shared" si="60"/>
        <v>Tuesday</v>
      </c>
      <c r="C1956" s="2" t="b">
        <f t="shared" si="61"/>
        <v>0</v>
      </c>
      <c r="D1956">
        <v>3</v>
      </c>
      <c r="E1956" t="s">
        <v>7</v>
      </c>
      <c r="F1956">
        <v>181</v>
      </c>
      <c r="G1956" s="3">
        <v>2910.06</v>
      </c>
      <c r="H1956" s="3">
        <f>Miami_Retail[[#This Row],[sales_usd]] / Miami_Retail[[#This Row],[customers]]</f>
        <v>16.077679558011049</v>
      </c>
      <c r="I1956">
        <v>71.3</v>
      </c>
      <c r="J1956">
        <f>(Miami_Retail[[#This Row],[avg_temp_f]]-32) * (5/9)</f>
        <v>21.833333333333332</v>
      </c>
      <c r="K1956">
        <v>0</v>
      </c>
      <c r="L1956">
        <v>0</v>
      </c>
      <c r="M1956">
        <v>52.2</v>
      </c>
      <c r="N1956">
        <v>51.3</v>
      </c>
      <c r="O1956">
        <v>48.7</v>
      </c>
      <c r="P1956">
        <v>48</v>
      </c>
      <c r="Q1956">
        <v>52</v>
      </c>
    </row>
    <row r="1957" spans="1:17" x14ac:dyDescent="0.25">
      <c r="A1957" s="2">
        <v>45420</v>
      </c>
      <c r="B1957" s="2" t="str">
        <f t="shared" si="60"/>
        <v>Wednesday</v>
      </c>
      <c r="C1957" s="2" t="b">
        <f t="shared" si="61"/>
        <v>0</v>
      </c>
      <c r="D1957">
        <v>3</v>
      </c>
      <c r="E1957" t="s">
        <v>7</v>
      </c>
      <c r="F1957">
        <v>185</v>
      </c>
      <c r="G1957" s="3">
        <v>3085.75</v>
      </c>
      <c r="H1957" s="3">
        <f>Miami_Retail[[#This Row],[sales_usd]] / Miami_Retail[[#This Row],[customers]]</f>
        <v>16.679729729729729</v>
      </c>
      <c r="I1957">
        <v>65.599999999999994</v>
      </c>
      <c r="J1957">
        <f>(Miami_Retail[[#This Row],[avg_temp_f]]-32) * (5/9)</f>
        <v>18.666666666666664</v>
      </c>
      <c r="K1957">
        <v>1</v>
      </c>
      <c r="L1957">
        <v>1</v>
      </c>
      <c r="M1957">
        <v>35</v>
      </c>
      <c r="N1957">
        <v>51</v>
      </c>
      <c r="O1957">
        <v>49</v>
      </c>
      <c r="P1957">
        <v>46.9</v>
      </c>
      <c r="Q1957">
        <v>53.1</v>
      </c>
    </row>
    <row r="1958" spans="1:17" x14ac:dyDescent="0.25">
      <c r="A1958" s="2">
        <v>45421</v>
      </c>
      <c r="B1958" s="2" t="str">
        <f t="shared" si="60"/>
        <v>Thursday</v>
      </c>
      <c r="C1958" s="2" t="b">
        <f t="shared" si="61"/>
        <v>0</v>
      </c>
      <c r="D1958">
        <v>3</v>
      </c>
      <c r="E1958" t="s">
        <v>7</v>
      </c>
      <c r="F1958">
        <v>226</v>
      </c>
      <c r="G1958" s="3">
        <v>3813.34</v>
      </c>
      <c r="H1958" s="3">
        <f>Miami_Retail[[#This Row],[sales_usd]] / Miami_Retail[[#This Row],[customers]]</f>
        <v>16.873185840707965</v>
      </c>
      <c r="I1958">
        <v>74.099999999999994</v>
      </c>
      <c r="J1958">
        <f>(Miami_Retail[[#This Row],[avg_temp_f]]-32) * (5/9)</f>
        <v>23.388888888888886</v>
      </c>
      <c r="K1958">
        <v>0</v>
      </c>
      <c r="L1958">
        <v>0</v>
      </c>
      <c r="M1958">
        <v>42.7</v>
      </c>
      <c r="N1958">
        <v>52.2</v>
      </c>
      <c r="O1958">
        <v>47.8</v>
      </c>
      <c r="P1958">
        <v>46.1</v>
      </c>
      <c r="Q1958">
        <v>53.9</v>
      </c>
    </row>
    <row r="1959" spans="1:17" x14ac:dyDescent="0.25">
      <c r="A1959" s="2">
        <v>45422</v>
      </c>
      <c r="B1959" s="2" t="str">
        <f t="shared" si="60"/>
        <v>Friday</v>
      </c>
      <c r="C1959" s="2" t="b">
        <f t="shared" si="61"/>
        <v>0</v>
      </c>
      <c r="D1959">
        <v>3</v>
      </c>
      <c r="E1959" t="s">
        <v>7</v>
      </c>
      <c r="F1959">
        <v>214</v>
      </c>
      <c r="G1959" s="3">
        <v>3370.23</v>
      </c>
      <c r="H1959" s="3">
        <f>Miami_Retail[[#This Row],[sales_usd]] / Miami_Retail[[#This Row],[customers]]</f>
        <v>15.748738317757009</v>
      </c>
      <c r="I1959">
        <v>72.400000000000006</v>
      </c>
      <c r="J1959">
        <f>(Miami_Retail[[#This Row],[avg_temp_f]]-32) * (5/9)</f>
        <v>22.44444444444445</v>
      </c>
      <c r="K1959">
        <v>0</v>
      </c>
      <c r="L1959">
        <v>0</v>
      </c>
      <c r="M1959">
        <v>46.8</v>
      </c>
      <c r="N1959">
        <v>48.7</v>
      </c>
      <c r="O1959">
        <v>51.3</v>
      </c>
      <c r="P1959">
        <v>47.6</v>
      </c>
      <c r="Q1959">
        <v>52.4</v>
      </c>
    </row>
    <row r="1960" spans="1:17" x14ac:dyDescent="0.25">
      <c r="A1960" s="2">
        <v>45423</v>
      </c>
      <c r="B1960" s="2" t="str">
        <f t="shared" si="60"/>
        <v>Saturday</v>
      </c>
      <c r="C1960" s="2" t="b">
        <f t="shared" si="61"/>
        <v>1</v>
      </c>
      <c r="D1960">
        <v>3</v>
      </c>
      <c r="E1960" t="s">
        <v>7</v>
      </c>
      <c r="F1960">
        <v>204</v>
      </c>
      <c r="G1960" s="3">
        <v>3506.29</v>
      </c>
      <c r="H1960" s="3">
        <f>Miami_Retail[[#This Row],[sales_usd]] / Miami_Retail[[#This Row],[customers]]</f>
        <v>17.187696078431372</v>
      </c>
      <c r="I1960">
        <v>63.2</v>
      </c>
      <c r="J1960">
        <f>(Miami_Retail[[#This Row],[avg_temp_f]]-32) * (5/9)</f>
        <v>17.333333333333336</v>
      </c>
      <c r="K1960">
        <v>1.59</v>
      </c>
      <c r="L1960">
        <v>1</v>
      </c>
      <c r="M1960">
        <v>49.1</v>
      </c>
      <c r="N1960">
        <v>51</v>
      </c>
      <c r="O1960">
        <v>49</v>
      </c>
      <c r="P1960">
        <v>56.6</v>
      </c>
      <c r="Q1960">
        <v>43.4</v>
      </c>
    </row>
    <row r="1961" spans="1:17" x14ac:dyDescent="0.25">
      <c r="A1961" s="2">
        <v>45424</v>
      </c>
      <c r="B1961" s="2" t="str">
        <f t="shared" si="60"/>
        <v>Sunday</v>
      </c>
      <c r="C1961" s="2" t="b">
        <f t="shared" si="61"/>
        <v>1</v>
      </c>
      <c r="D1961">
        <v>3</v>
      </c>
      <c r="E1961" t="s">
        <v>7</v>
      </c>
      <c r="F1961">
        <v>213</v>
      </c>
      <c r="G1961" s="3">
        <v>3431.51</v>
      </c>
      <c r="H1961" s="3">
        <f>Miami_Retail[[#This Row],[sales_usd]] / Miami_Retail[[#This Row],[customers]]</f>
        <v>16.11037558685446</v>
      </c>
      <c r="I1961">
        <v>74.099999999999994</v>
      </c>
      <c r="J1961">
        <f>(Miami_Retail[[#This Row],[avg_temp_f]]-32) * (5/9)</f>
        <v>23.388888888888886</v>
      </c>
      <c r="K1961">
        <v>0.4</v>
      </c>
      <c r="L1961">
        <v>1</v>
      </c>
      <c r="M1961">
        <v>48.3</v>
      </c>
      <c r="N1961">
        <v>52.6</v>
      </c>
      <c r="O1961">
        <v>47.4</v>
      </c>
      <c r="P1961">
        <v>53.4</v>
      </c>
      <c r="Q1961">
        <v>46.6</v>
      </c>
    </row>
    <row r="1962" spans="1:17" x14ac:dyDescent="0.25">
      <c r="A1962" s="2">
        <v>45425</v>
      </c>
      <c r="B1962" s="2" t="str">
        <f t="shared" si="60"/>
        <v>Monday</v>
      </c>
      <c r="C1962" s="2" t="b">
        <f t="shared" si="61"/>
        <v>0</v>
      </c>
      <c r="D1962">
        <v>3</v>
      </c>
      <c r="E1962" t="s">
        <v>7</v>
      </c>
      <c r="F1962">
        <v>173</v>
      </c>
      <c r="G1962" s="3">
        <v>2832.77</v>
      </c>
      <c r="H1962" s="3">
        <f>Miami_Retail[[#This Row],[sales_usd]] / Miami_Retail[[#This Row],[customers]]</f>
        <v>16.374393063583813</v>
      </c>
      <c r="I1962">
        <v>68.900000000000006</v>
      </c>
      <c r="J1962">
        <f>(Miami_Retail[[#This Row],[avg_temp_f]]-32) * (5/9)</f>
        <v>20.500000000000004</v>
      </c>
      <c r="K1962">
        <v>0.37</v>
      </c>
      <c r="L1962">
        <v>1</v>
      </c>
      <c r="M1962">
        <v>49.5</v>
      </c>
      <c r="N1962">
        <v>50.7</v>
      </c>
      <c r="O1962">
        <v>49.3</v>
      </c>
      <c r="P1962">
        <v>50.6</v>
      </c>
      <c r="Q1962">
        <v>49.4</v>
      </c>
    </row>
    <row r="1963" spans="1:17" x14ac:dyDescent="0.25">
      <c r="A1963" s="2">
        <v>45426</v>
      </c>
      <c r="B1963" s="2" t="str">
        <f t="shared" si="60"/>
        <v>Tuesday</v>
      </c>
      <c r="C1963" s="2" t="b">
        <f t="shared" si="61"/>
        <v>0</v>
      </c>
      <c r="D1963">
        <v>3</v>
      </c>
      <c r="E1963" t="s">
        <v>7</v>
      </c>
      <c r="F1963">
        <v>230</v>
      </c>
      <c r="G1963" s="3">
        <v>3643.85</v>
      </c>
      <c r="H1963" s="3">
        <f>Miami_Retail[[#This Row],[sales_usd]] / Miami_Retail[[#This Row],[customers]]</f>
        <v>15.842826086956521</v>
      </c>
      <c r="I1963">
        <v>77.400000000000006</v>
      </c>
      <c r="J1963">
        <f>(Miami_Retail[[#This Row],[avg_temp_f]]-32) * (5/9)</f>
        <v>25.222222222222225</v>
      </c>
      <c r="K1963">
        <v>0</v>
      </c>
      <c r="L1963">
        <v>0</v>
      </c>
      <c r="M1963">
        <v>43.2</v>
      </c>
      <c r="N1963">
        <v>50.6</v>
      </c>
      <c r="O1963">
        <v>49.4</v>
      </c>
      <c r="P1963">
        <v>46.6</v>
      </c>
      <c r="Q1963">
        <v>53.4</v>
      </c>
    </row>
    <row r="1964" spans="1:17" x14ac:dyDescent="0.25">
      <c r="A1964" s="2">
        <v>45427</v>
      </c>
      <c r="B1964" s="2" t="str">
        <f t="shared" si="60"/>
        <v>Wednesday</v>
      </c>
      <c r="C1964" s="2" t="b">
        <f t="shared" si="61"/>
        <v>0</v>
      </c>
      <c r="D1964">
        <v>3</v>
      </c>
      <c r="E1964" t="s">
        <v>7</v>
      </c>
      <c r="F1964">
        <v>204</v>
      </c>
      <c r="G1964" s="3">
        <v>3372.82</v>
      </c>
      <c r="H1964" s="3">
        <f>Miami_Retail[[#This Row],[sales_usd]] / Miami_Retail[[#This Row],[customers]]</f>
        <v>16.533431372549021</v>
      </c>
      <c r="I1964">
        <v>71.599999999999994</v>
      </c>
      <c r="J1964">
        <f>(Miami_Retail[[#This Row],[avg_temp_f]]-32) * (5/9)</f>
        <v>21.999999999999996</v>
      </c>
      <c r="K1964">
        <v>0</v>
      </c>
      <c r="L1964">
        <v>0</v>
      </c>
      <c r="M1964">
        <v>41.7</v>
      </c>
      <c r="N1964">
        <v>50.5</v>
      </c>
      <c r="O1964">
        <v>49.5</v>
      </c>
      <c r="P1964">
        <v>48.1</v>
      </c>
      <c r="Q1964">
        <v>51.9</v>
      </c>
    </row>
    <row r="1965" spans="1:17" x14ac:dyDescent="0.25">
      <c r="A1965" s="2">
        <v>45428</v>
      </c>
      <c r="B1965" s="2" t="str">
        <f t="shared" si="60"/>
        <v>Thursday</v>
      </c>
      <c r="C1965" s="2" t="b">
        <f t="shared" si="61"/>
        <v>0</v>
      </c>
      <c r="D1965">
        <v>3</v>
      </c>
      <c r="E1965" t="s">
        <v>7</v>
      </c>
      <c r="F1965">
        <v>189</v>
      </c>
      <c r="G1965" s="3">
        <v>2907.48</v>
      </c>
      <c r="H1965" s="3">
        <f>Miami_Retail[[#This Row],[sales_usd]] / Miami_Retail[[#This Row],[customers]]</f>
        <v>15.383492063492064</v>
      </c>
      <c r="I1965">
        <v>73.8</v>
      </c>
      <c r="J1965">
        <f>(Miami_Retail[[#This Row],[avg_temp_f]]-32) * (5/9)</f>
        <v>23.222222222222221</v>
      </c>
      <c r="K1965">
        <v>0</v>
      </c>
      <c r="L1965">
        <v>0</v>
      </c>
      <c r="M1965">
        <v>38.799999999999997</v>
      </c>
      <c r="N1965">
        <v>50.4</v>
      </c>
      <c r="O1965">
        <v>49.6</v>
      </c>
      <c r="P1965">
        <v>49.6</v>
      </c>
      <c r="Q1965">
        <v>50.4</v>
      </c>
    </row>
    <row r="1966" spans="1:17" x14ac:dyDescent="0.25">
      <c r="A1966" s="2">
        <v>45429</v>
      </c>
      <c r="B1966" s="2" t="str">
        <f t="shared" si="60"/>
        <v>Friday</v>
      </c>
      <c r="C1966" s="2" t="b">
        <f t="shared" si="61"/>
        <v>0</v>
      </c>
      <c r="D1966">
        <v>3</v>
      </c>
      <c r="E1966" t="s">
        <v>7</v>
      </c>
      <c r="F1966">
        <v>176</v>
      </c>
      <c r="G1966" s="3">
        <v>2883.56</v>
      </c>
      <c r="H1966" s="3">
        <f>Miami_Retail[[#This Row],[sales_usd]] / Miami_Retail[[#This Row],[customers]]</f>
        <v>16.383863636363635</v>
      </c>
      <c r="I1966">
        <v>70.599999999999994</v>
      </c>
      <c r="J1966">
        <f>(Miami_Retail[[#This Row],[avg_temp_f]]-32) * (5/9)</f>
        <v>21.444444444444443</v>
      </c>
      <c r="K1966">
        <v>0</v>
      </c>
      <c r="L1966">
        <v>0</v>
      </c>
      <c r="M1966">
        <v>49</v>
      </c>
      <c r="N1966">
        <v>50.4</v>
      </c>
      <c r="O1966">
        <v>49.6</v>
      </c>
      <c r="P1966">
        <v>49</v>
      </c>
      <c r="Q1966">
        <v>51</v>
      </c>
    </row>
    <row r="1967" spans="1:17" x14ac:dyDescent="0.25">
      <c r="A1967" s="2">
        <v>45430</v>
      </c>
      <c r="B1967" s="2" t="str">
        <f t="shared" si="60"/>
        <v>Saturday</v>
      </c>
      <c r="C1967" s="2" t="b">
        <f t="shared" si="61"/>
        <v>1</v>
      </c>
      <c r="D1967">
        <v>3</v>
      </c>
      <c r="E1967" t="s">
        <v>7</v>
      </c>
      <c r="F1967">
        <v>242</v>
      </c>
      <c r="G1967" s="3">
        <v>3874.78</v>
      </c>
      <c r="H1967" s="3">
        <f>Miami_Retail[[#This Row],[sales_usd]] / Miami_Retail[[#This Row],[customers]]</f>
        <v>16.011487603305785</v>
      </c>
      <c r="I1967">
        <v>74.599999999999994</v>
      </c>
      <c r="J1967">
        <f>(Miami_Retail[[#This Row],[avg_temp_f]]-32) * (5/9)</f>
        <v>23.666666666666664</v>
      </c>
      <c r="K1967">
        <v>0</v>
      </c>
      <c r="L1967">
        <v>0</v>
      </c>
      <c r="M1967">
        <v>46.7</v>
      </c>
      <c r="N1967">
        <v>50.9</v>
      </c>
      <c r="O1967">
        <v>49.1</v>
      </c>
      <c r="P1967">
        <v>54.3</v>
      </c>
      <c r="Q1967">
        <v>45.7</v>
      </c>
    </row>
    <row r="1968" spans="1:17" x14ac:dyDescent="0.25">
      <c r="A1968" s="2">
        <v>45431</v>
      </c>
      <c r="B1968" s="2" t="str">
        <f t="shared" si="60"/>
        <v>Sunday</v>
      </c>
      <c r="C1968" s="2" t="b">
        <f t="shared" si="61"/>
        <v>1</v>
      </c>
      <c r="D1968">
        <v>3</v>
      </c>
      <c r="E1968" t="s">
        <v>7</v>
      </c>
      <c r="F1968">
        <v>225</v>
      </c>
      <c r="G1968" s="3">
        <v>3674.57</v>
      </c>
      <c r="H1968" s="3">
        <f>Miami_Retail[[#This Row],[sales_usd]] / Miami_Retail[[#This Row],[customers]]</f>
        <v>16.331422222222223</v>
      </c>
      <c r="I1968">
        <v>71.099999999999994</v>
      </c>
      <c r="J1968">
        <f>(Miami_Retail[[#This Row],[avg_temp_f]]-32) * (5/9)</f>
        <v>21.722222222222221</v>
      </c>
      <c r="K1968">
        <v>0.41</v>
      </c>
      <c r="L1968">
        <v>1</v>
      </c>
      <c r="M1968">
        <v>53.6</v>
      </c>
      <c r="N1968">
        <v>50.6</v>
      </c>
      <c r="O1968">
        <v>49.4</v>
      </c>
      <c r="P1968">
        <v>54.1</v>
      </c>
      <c r="Q1968">
        <v>45.9</v>
      </c>
    </row>
    <row r="1969" spans="1:17" x14ac:dyDescent="0.25">
      <c r="A1969" s="2">
        <v>45432</v>
      </c>
      <c r="B1969" s="2" t="str">
        <f t="shared" si="60"/>
        <v>Monday</v>
      </c>
      <c r="C1969" s="2" t="b">
        <f t="shared" si="61"/>
        <v>0</v>
      </c>
      <c r="D1969">
        <v>3</v>
      </c>
      <c r="E1969" t="s">
        <v>7</v>
      </c>
      <c r="F1969">
        <v>176</v>
      </c>
      <c r="G1969" s="3">
        <v>2606.31</v>
      </c>
      <c r="H1969" s="3">
        <f>Miami_Retail[[#This Row],[sales_usd]] / Miami_Retail[[#This Row],[customers]]</f>
        <v>14.808579545454545</v>
      </c>
      <c r="I1969">
        <v>69.3</v>
      </c>
      <c r="J1969">
        <f>(Miami_Retail[[#This Row],[avg_temp_f]]-32) * (5/9)</f>
        <v>20.722222222222221</v>
      </c>
      <c r="K1969">
        <v>0</v>
      </c>
      <c r="L1969">
        <v>0</v>
      </c>
      <c r="M1969">
        <v>55.6</v>
      </c>
      <c r="N1969">
        <v>49.2</v>
      </c>
      <c r="O1969">
        <v>50.8</v>
      </c>
      <c r="P1969">
        <v>46.7</v>
      </c>
      <c r="Q1969">
        <v>53.3</v>
      </c>
    </row>
    <row r="1970" spans="1:17" x14ac:dyDescent="0.25">
      <c r="A1970" s="2">
        <v>45433</v>
      </c>
      <c r="B1970" s="2" t="str">
        <f t="shared" si="60"/>
        <v>Tuesday</v>
      </c>
      <c r="C1970" s="2" t="b">
        <f t="shared" si="61"/>
        <v>0</v>
      </c>
      <c r="D1970">
        <v>3</v>
      </c>
      <c r="E1970" t="s">
        <v>7</v>
      </c>
      <c r="F1970">
        <v>200</v>
      </c>
      <c r="G1970" s="3">
        <v>3095.62</v>
      </c>
      <c r="H1970" s="3">
        <f>Miami_Retail[[#This Row],[sales_usd]] / Miami_Retail[[#This Row],[customers]]</f>
        <v>15.4781</v>
      </c>
      <c r="I1970">
        <v>72</v>
      </c>
      <c r="J1970">
        <f>(Miami_Retail[[#This Row],[avg_temp_f]]-32) * (5/9)</f>
        <v>22.222222222222221</v>
      </c>
      <c r="K1970">
        <v>0</v>
      </c>
      <c r="L1970">
        <v>0</v>
      </c>
      <c r="M1970">
        <v>52.1</v>
      </c>
      <c r="N1970">
        <v>50</v>
      </c>
      <c r="O1970">
        <v>50</v>
      </c>
      <c r="P1970">
        <v>48.5</v>
      </c>
      <c r="Q1970">
        <v>51.5</v>
      </c>
    </row>
    <row r="1971" spans="1:17" x14ac:dyDescent="0.25">
      <c r="A1971" s="2">
        <v>45434</v>
      </c>
      <c r="B1971" s="2" t="str">
        <f t="shared" si="60"/>
        <v>Wednesday</v>
      </c>
      <c r="C1971" s="2" t="b">
        <f t="shared" si="61"/>
        <v>0</v>
      </c>
      <c r="D1971">
        <v>3</v>
      </c>
      <c r="E1971" t="s">
        <v>7</v>
      </c>
      <c r="F1971">
        <v>189</v>
      </c>
      <c r="G1971" s="3">
        <v>2979.51</v>
      </c>
      <c r="H1971" s="3">
        <f>Miami_Retail[[#This Row],[sales_usd]] / Miami_Retail[[#This Row],[customers]]</f>
        <v>15.764603174603176</v>
      </c>
      <c r="I1971">
        <v>70.400000000000006</v>
      </c>
      <c r="J1971">
        <f>(Miami_Retail[[#This Row],[avg_temp_f]]-32) * (5/9)</f>
        <v>21.333333333333336</v>
      </c>
      <c r="K1971">
        <v>0.26</v>
      </c>
      <c r="L1971">
        <v>1</v>
      </c>
      <c r="M1971">
        <v>47.9</v>
      </c>
      <c r="N1971">
        <v>48.9</v>
      </c>
      <c r="O1971">
        <v>51.1</v>
      </c>
      <c r="P1971">
        <v>48.7</v>
      </c>
      <c r="Q1971">
        <v>51.3</v>
      </c>
    </row>
    <row r="1972" spans="1:17" x14ac:dyDescent="0.25">
      <c r="A1972" s="2">
        <v>45435</v>
      </c>
      <c r="B1972" s="2" t="str">
        <f t="shared" si="60"/>
        <v>Thursday</v>
      </c>
      <c r="C1972" s="2" t="b">
        <f t="shared" si="61"/>
        <v>0</v>
      </c>
      <c r="D1972">
        <v>3</v>
      </c>
      <c r="E1972" t="s">
        <v>7</v>
      </c>
      <c r="F1972">
        <v>167</v>
      </c>
      <c r="G1972" s="3">
        <v>2686.36</v>
      </c>
      <c r="H1972" s="3">
        <f>Miami_Retail[[#This Row],[sales_usd]] / Miami_Retail[[#This Row],[customers]]</f>
        <v>16.085988023952098</v>
      </c>
      <c r="I1972">
        <v>70.599999999999994</v>
      </c>
      <c r="J1972">
        <f>(Miami_Retail[[#This Row],[avg_temp_f]]-32) * (5/9)</f>
        <v>21.444444444444443</v>
      </c>
      <c r="K1972">
        <v>0</v>
      </c>
      <c r="L1972">
        <v>0</v>
      </c>
      <c r="M1972">
        <v>47.1</v>
      </c>
      <c r="N1972">
        <v>51</v>
      </c>
      <c r="O1972">
        <v>49</v>
      </c>
      <c r="P1972">
        <v>49</v>
      </c>
      <c r="Q1972">
        <v>51</v>
      </c>
    </row>
    <row r="1973" spans="1:17" x14ac:dyDescent="0.25">
      <c r="A1973" s="2">
        <v>45436</v>
      </c>
      <c r="B1973" s="2" t="str">
        <f t="shared" si="60"/>
        <v>Friday</v>
      </c>
      <c r="C1973" s="2" t="b">
        <f t="shared" si="61"/>
        <v>0</v>
      </c>
      <c r="D1973">
        <v>3</v>
      </c>
      <c r="E1973" t="s">
        <v>7</v>
      </c>
      <c r="F1973">
        <v>226</v>
      </c>
      <c r="G1973" s="3">
        <v>3656.85</v>
      </c>
      <c r="H1973" s="3">
        <f>Miami_Retail[[#This Row],[sales_usd]] / Miami_Retail[[#This Row],[customers]]</f>
        <v>16.180752212389379</v>
      </c>
      <c r="I1973">
        <v>83.1</v>
      </c>
      <c r="J1973">
        <f>(Miami_Retail[[#This Row],[avg_temp_f]]-32) * (5/9)</f>
        <v>28.388888888888886</v>
      </c>
      <c r="K1973">
        <v>1.65</v>
      </c>
      <c r="L1973">
        <v>1</v>
      </c>
      <c r="M1973">
        <v>53.9</v>
      </c>
      <c r="N1973">
        <v>52.1</v>
      </c>
      <c r="O1973">
        <v>47.9</v>
      </c>
      <c r="P1973">
        <v>47.7</v>
      </c>
      <c r="Q1973">
        <v>52.3</v>
      </c>
    </row>
    <row r="1974" spans="1:17" x14ac:dyDescent="0.25">
      <c r="A1974" s="2">
        <v>45437</v>
      </c>
      <c r="B1974" s="2" t="str">
        <f t="shared" si="60"/>
        <v>Saturday</v>
      </c>
      <c r="C1974" s="2" t="b">
        <f t="shared" si="61"/>
        <v>1</v>
      </c>
      <c r="D1974">
        <v>3</v>
      </c>
      <c r="E1974" t="s">
        <v>7</v>
      </c>
      <c r="F1974">
        <v>226</v>
      </c>
      <c r="G1974" s="3">
        <v>3878.57</v>
      </c>
      <c r="H1974" s="3">
        <f>Miami_Retail[[#This Row],[sales_usd]] / Miami_Retail[[#This Row],[customers]]</f>
        <v>17.161814159292035</v>
      </c>
      <c r="I1974">
        <v>75.400000000000006</v>
      </c>
      <c r="J1974">
        <f>(Miami_Retail[[#This Row],[avg_temp_f]]-32) * (5/9)</f>
        <v>24.111111111111114</v>
      </c>
      <c r="K1974">
        <v>0.71</v>
      </c>
      <c r="L1974">
        <v>1</v>
      </c>
      <c r="M1974">
        <v>55.1</v>
      </c>
      <c r="N1974">
        <v>50.7</v>
      </c>
      <c r="O1974">
        <v>49.3</v>
      </c>
      <c r="P1974">
        <v>53.8</v>
      </c>
      <c r="Q1974">
        <v>46.2</v>
      </c>
    </row>
    <row r="1975" spans="1:17" x14ac:dyDescent="0.25">
      <c r="A1975" s="2">
        <v>45438</v>
      </c>
      <c r="B1975" s="2" t="str">
        <f t="shared" si="60"/>
        <v>Sunday</v>
      </c>
      <c r="C1975" s="2" t="b">
        <f t="shared" si="61"/>
        <v>1</v>
      </c>
      <c r="D1975">
        <v>3</v>
      </c>
      <c r="E1975" t="s">
        <v>7</v>
      </c>
      <c r="F1975">
        <v>244</v>
      </c>
      <c r="G1975" s="3">
        <v>3888.86</v>
      </c>
      <c r="H1975" s="3">
        <f>Miami_Retail[[#This Row],[sales_usd]] / Miami_Retail[[#This Row],[customers]]</f>
        <v>15.937950819672132</v>
      </c>
      <c r="I1975">
        <v>73.2</v>
      </c>
      <c r="J1975">
        <f>(Miami_Retail[[#This Row],[avg_temp_f]]-32) * (5/9)</f>
        <v>22.888888888888893</v>
      </c>
      <c r="K1975">
        <v>0.13</v>
      </c>
      <c r="L1975">
        <v>1</v>
      </c>
      <c r="M1975">
        <v>57.8</v>
      </c>
      <c r="N1975">
        <v>50.3</v>
      </c>
      <c r="O1975">
        <v>49.7</v>
      </c>
      <c r="P1975">
        <v>53.7</v>
      </c>
      <c r="Q1975">
        <v>46.3</v>
      </c>
    </row>
    <row r="1976" spans="1:17" x14ac:dyDescent="0.25">
      <c r="A1976" s="2">
        <v>45439</v>
      </c>
      <c r="B1976" s="2" t="str">
        <f t="shared" si="60"/>
        <v>Monday</v>
      </c>
      <c r="C1976" s="2" t="b">
        <f t="shared" si="61"/>
        <v>0</v>
      </c>
      <c r="D1976">
        <v>3</v>
      </c>
      <c r="E1976" t="s">
        <v>7</v>
      </c>
      <c r="F1976">
        <v>197</v>
      </c>
      <c r="G1976" s="3">
        <v>3120.9</v>
      </c>
      <c r="H1976" s="3">
        <f>Miami_Retail[[#This Row],[sales_usd]] / Miami_Retail[[#This Row],[customers]]</f>
        <v>15.842131979695433</v>
      </c>
      <c r="I1976">
        <v>69.900000000000006</v>
      </c>
      <c r="J1976">
        <f>(Miami_Retail[[#This Row],[avg_temp_f]]-32) * (5/9)</f>
        <v>21.055555555555561</v>
      </c>
      <c r="K1976">
        <v>0</v>
      </c>
      <c r="L1976">
        <v>0</v>
      </c>
      <c r="M1976">
        <v>48.7</v>
      </c>
      <c r="N1976">
        <v>50.5</v>
      </c>
      <c r="O1976">
        <v>49.5</v>
      </c>
      <c r="P1976">
        <v>47.5</v>
      </c>
      <c r="Q1976">
        <v>52.5</v>
      </c>
    </row>
    <row r="1977" spans="1:17" x14ac:dyDescent="0.25">
      <c r="A1977" s="2">
        <v>45440</v>
      </c>
      <c r="B1977" s="2" t="str">
        <f t="shared" si="60"/>
        <v>Tuesday</v>
      </c>
      <c r="C1977" s="2" t="b">
        <f t="shared" si="61"/>
        <v>0</v>
      </c>
      <c r="D1977">
        <v>3</v>
      </c>
      <c r="E1977" t="s">
        <v>7</v>
      </c>
      <c r="F1977">
        <v>167</v>
      </c>
      <c r="G1977" s="3">
        <v>2783.2</v>
      </c>
      <c r="H1977" s="3">
        <f>Miami_Retail[[#This Row],[sales_usd]] / Miami_Retail[[#This Row],[customers]]</f>
        <v>16.665868263473051</v>
      </c>
      <c r="I1977">
        <v>67.5</v>
      </c>
      <c r="J1977">
        <f>(Miami_Retail[[#This Row],[avg_temp_f]]-32) * (5/9)</f>
        <v>19.722222222222221</v>
      </c>
      <c r="K1977">
        <v>0</v>
      </c>
      <c r="L1977">
        <v>0</v>
      </c>
      <c r="M1977">
        <v>54</v>
      </c>
      <c r="N1977">
        <v>50.8</v>
      </c>
      <c r="O1977">
        <v>49.2</v>
      </c>
      <c r="P1977">
        <v>47.4</v>
      </c>
      <c r="Q1977">
        <v>52.6</v>
      </c>
    </row>
    <row r="1978" spans="1:17" x14ac:dyDescent="0.25">
      <c r="A1978" s="2">
        <v>45441</v>
      </c>
      <c r="B1978" s="2" t="str">
        <f t="shared" si="60"/>
        <v>Wednesday</v>
      </c>
      <c r="C1978" s="2" t="b">
        <f t="shared" si="61"/>
        <v>0</v>
      </c>
      <c r="D1978">
        <v>3</v>
      </c>
      <c r="E1978" t="s">
        <v>7</v>
      </c>
      <c r="F1978">
        <v>203</v>
      </c>
      <c r="G1978" s="3">
        <v>3443.31</v>
      </c>
      <c r="H1978" s="3">
        <f>Miami_Retail[[#This Row],[sales_usd]] / Miami_Retail[[#This Row],[customers]]</f>
        <v>16.962118226600985</v>
      </c>
      <c r="I1978">
        <v>71.3</v>
      </c>
      <c r="J1978">
        <f>(Miami_Retail[[#This Row],[avg_temp_f]]-32) * (5/9)</f>
        <v>21.833333333333332</v>
      </c>
      <c r="K1978">
        <v>0</v>
      </c>
      <c r="L1978">
        <v>0</v>
      </c>
      <c r="M1978">
        <v>50.9</v>
      </c>
      <c r="N1978">
        <v>51.2</v>
      </c>
      <c r="O1978">
        <v>48.8</v>
      </c>
      <c r="P1978">
        <v>47.7</v>
      </c>
      <c r="Q1978">
        <v>52.3</v>
      </c>
    </row>
    <row r="1979" spans="1:17" x14ac:dyDescent="0.25">
      <c r="A1979" s="2">
        <v>45442</v>
      </c>
      <c r="B1979" s="2" t="str">
        <f t="shared" si="60"/>
        <v>Thursday</v>
      </c>
      <c r="C1979" s="2" t="b">
        <f t="shared" si="61"/>
        <v>0</v>
      </c>
      <c r="D1979">
        <v>3</v>
      </c>
      <c r="E1979" t="s">
        <v>7</v>
      </c>
      <c r="F1979">
        <v>187</v>
      </c>
      <c r="G1979" s="3">
        <v>3124.2</v>
      </c>
      <c r="H1979" s="3">
        <f>Miami_Retail[[#This Row],[sales_usd]] / Miami_Retail[[#This Row],[customers]]</f>
        <v>16.706951871657754</v>
      </c>
      <c r="I1979">
        <v>77.2</v>
      </c>
      <c r="J1979">
        <f>(Miami_Retail[[#This Row],[avg_temp_f]]-32) * (5/9)</f>
        <v>25.111111111111114</v>
      </c>
      <c r="K1979">
        <v>0</v>
      </c>
      <c r="L1979">
        <v>0</v>
      </c>
      <c r="M1979">
        <v>51.2</v>
      </c>
      <c r="N1979">
        <v>50</v>
      </c>
      <c r="O1979">
        <v>50</v>
      </c>
      <c r="P1979">
        <v>48.1</v>
      </c>
      <c r="Q1979">
        <v>51.9</v>
      </c>
    </row>
    <row r="1980" spans="1:17" x14ac:dyDescent="0.25">
      <c r="A1980" s="2">
        <v>45443</v>
      </c>
      <c r="B1980" s="2" t="str">
        <f t="shared" si="60"/>
        <v>Friday</v>
      </c>
      <c r="C1980" s="2" t="b">
        <f t="shared" si="61"/>
        <v>0</v>
      </c>
      <c r="D1980">
        <v>3</v>
      </c>
      <c r="E1980" t="s">
        <v>7</v>
      </c>
      <c r="F1980">
        <v>211</v>
      </c>
      <c r="G1980" s="3">
        <v>3699.13</v>
      </c>
      <c r="H1980" s="3">
        <f>Miami_Retail[[#This Row],[sales_usd]] / Miami_Retail[[#This Row],[customers]]</f>
        <v>17.531421800947868</v>
      </c>
      <c r="I1980">
        <v>78.400000000000006</v>
      </c>
      <c r="J1980">
        <f>(Miami_Retail[[#This Row],[avg_temp_f]]-32) * (5/9)</f>
        <v>25.777777777777782</v>
      </c>
      <c r="K1980">
        <v>0.52</v>
      </c>
      <c r="L1980">
        <v>1</v>
      </c>
      <c r="M1980">
        <v>57.9</v>
      </c>
      <c r="N1980">
        <v>52.2</v>
      </c>
      <c r="O1980">
        <v>47.8</v>
      </c>
      <c r="P1980">
        <v>47.4</v>
      </c>
      <c r="Q1980">
        <v>52.6</v>
      </c>
    </row>
    <row r="1981" spans="1:17" x14ac:dyDescent="0.25">
      <c r="A1981" s="2">
        <v>45444</v>
      </c>
      <c r="B1981" s="2" t="str">
        <f t="shared" si="60"/>
        <v>Saturday</v>
      </c>
      <c r="C1981" s="2" t="b">
        <f t="shared" si="61"/>
        <v>1</v>
      </c>
      <c r="D1981">
        <v>3</v>
      </c>
      <c r="E1981" t="s">
        <v>7</v>
      </c>
      <c r="F1981">
        <v>238</v>
      </c>
      <c r="G1981" s="3">
        <v>3803.59</v>
      </c>
      <c r="H1981" s="3">
        <f>Miami_Retail[[#This Row],[sales_usd]] / Miami_Retail[[#This Row],[customers]]</f>
        <v>15.981470588235295</v>
      </c>
      <c r="I1981">
        <v>74.599999999999994</v>
      </c>
      <c r="J1981">
        <f>(Miami_Retail[[#This Row],[avg_temp_f]]-32) * (5/9)</f>
        <v>23.666666666666664</v>
      </c>
      <c r="K1981">
        <v>0.54</v>
      </c>
      <c r="L1981">
        <v>1</v>
      </c>
      <c r="M1981">
        <v>51.6</v>
      </c>
      <c r="N1981">
        <v>49</v>
      </c>
      <c r="O1981">
        <v>51</v>
      </c>
      <c r="P1981">
        <v>53.6</v>
      </c>
      <c r="Q1981">
        <v>46.4</v>
      </c>
    </row>
    <row r="1982" spans="1:17" x14ac:dyDescent="0.25">
      <c r="A1982" s="2">
        <v>45445</v>
      </c>
      <c r="B1982" s="2" t="str">
        <f t="shared" si="60"/>
        <v>Sunday</v>
      </c>
      <c r="C1982" s="2" t="b">
        <f t="shared" si="61"/>
        <v>1</v>
      </c>
      <c r="D1982">
        <v>3</v>
      </c>
      <c r="E1982" t="s">
        <v>7</v>
      </c>
      <c r="F1982">
        <v>208</v>
      </c>
      <c r="G1982" s="3">
        <v>3247.76</v>
      </c>
      <c r="H1982" s="3">
        <f>Miami_Retail[[#This Row],[sales_usd]] / Miami_Retail[[#This Row],[customers]]</f>
        <v>15.614230769230771</v>
      </c>
      <c r="I1982">
        <v>66.7</v>
      </c>
      <c r="J1982">
        <f>(Miami_Retail[[#This Row],[avg_temp_f]]-32) * (5/9)</f>
        <v>19.277777777777779</v>
      </c>
      <c r="K1982">
        <v>1.07</v>
      </c>
      <c r="L1982">
        <v>1</v>
      </c>
      <c r="M1982">
        <v>48.5</v>
      </c>
      <c r="N1982">
        <v>52.5</v>
      </c>
      <c r="O1982">
        <v>47.5</v>
      </c>
      <c r="P1982">
        <v>53.9</v>
      </c>
      <c r="Q1982">
        <v>46.1</v>
      </c>
    </row>
    <row r="1983" spans="1:17" x14ac:dyDescent="0.25">
      <c r="A1983" s="2">
        <v>45446</v>
      </c>
      <c r="B1983" s="2" t="str">
        <f t="shared" si="60"/>
        <v>Monday</v>
      </c>
      <c r="C1983" s="2" t="b">
        <f t="shared" si="61"/>
        <v>0</v>
      </c>
      <c r="D1983">
        <v>3</v>
      </c>
      <c r="E1983" t="s">
        <v>7</v>
      </c>
      <c r="F1983">
        <v>228</v>
      </c>
      <c r="G1983" s="3">
        <v>3702.93</v>
      </c>
      <c r="H1983" s="3">
        <f>Miami_Retail[[#This Row],[sales_usd]] / Miami_Retail[[#This Row],[customers]]</f>
        <v>16.240921052631577</v>
      </c>
      <c r="I1983">
        <v>76.8</v>
      </c>
      <c r="J1983">
        <f>(Miami_Retail[[#This Row],[avg_temp_f]]-32) * (5/9)</f>
        <v>24.888888888888889</v>
      </c>
      <c r="K1983">
        <v>1.63</v>
      </c>
      <c r="L1983">
        <v>1</v>
      </c>
      <c r="M1983">
        <v>55.3</v>
      </c>
      <c r="N1983">
        <v>51.5</v>
      </c>
      <c r="O1983">
        <v>48.5</v>
      </c>
      <c r="P1983">
        <v>48.5</v>
      </c>
      <c r="Q1983">
        <v>51.5</v>
      </c>
    </row>
    <row r="1984" spans="1:17" x14ac:dyDescent="0.25">
      <c r="A1984" s="2">
        <v>45447</v>
      </c>
      <c r="B1984" s="2" t="str">
        <f t="shared" si="60"/>
        <v>Tuesday</v>
      </c>
      <c r="C1984" s="2" t="b">
        <f t="shared" si="61"/>
        <v>0</v>
      </c>
      <c r="D1984">
        <v>3</v>
      </c>
      <c r="E1984" t="s">
        <v>7</v>
      </c>
      <c r="F1984">
        <v>217</v>
      </c>
      <c r="G1984" s="3">
        <v>3585.27</v>
      </c>
      <c r="H1984" s="3">
        <f>Miami_Retail[[#This Row],[sales_usd]] / Miami_Retail[[#This Row],[customers]]</f>
        <v>16.521981566820276</v>
      </c>
      <c r="I1984">
        <v>77.400000000000006</v>
      </c>
      <c r="J1984">
        <f>(Miami_Retail[[#This Row],[avg_temp_f]]-32) * (5/9)</f>
        <v>25.222222222222225</v>
      </c>
      <c r="K1984">
        <v>0</v>
      </c>
      <c r="L1984">
        <v>0</v>
      </c>
      <c r="M1984">
        <v>44.1</v>
      </c>
      <c r="N1984">
        <v>50.5</v>
      </c>
      <c r="O1984">
        <v>49.5</v>
      </c>
      <c r="P1984">
        <v>47.5</v>
      </c>
      <c r="Q1984">
        <v>52.5</v>
      </c>
    </row>
    <row r="1985" spans="1:17" x14ac:dyDescent="0.25">
      <c r="A1985" s="2">
        <v>45448</v>
      </c>
      <c r="B1985" s="2" t="str">
        <f t="shared" si="60"/>
        <v>Wednesday</v>
      </c>
      <c r="C1985" s="2" t="b">
        <f t="shared" si="61"/>
        <v>0</v>
      </c>
      <c r="D1985">
        <v>3</v>
      </c>
      <c r="E1985" t="s">
        <v>7</v>
      </c>
      <c r="F1985">
        <v>215</v>
      </c>
      <c r="G1985" s="3">
        <v>3768.92</v>
      </c>
      <c r="H1985" s="3">
        <f>Miami_Retail[[#This Row],[sales_usd]] / Miami_Retail[[#This Row],[customers]]</f>
        <v>17.529860465116279</v>
      </c>
      <c r="I1985">
        <v>76.5</v>
      </c>
      <c r="J1985">
        <f>(Miami_Retail[[#This Row],[avg_temp_f]]-32) * (5/9)</f>
        <v>24.722222222222225</v>
      </c>
      <c r="K1985">
        <v>0</v>
      </c>
      <c r="L1985">
        <v>0</v>
      </c>
      <c r="M1985">
        <v>56.7</v>
      </c>
      <c r="N1985">
        <v>49.5</v>
      </c>
      <c r="O1985">
        <v>50.5</v>
      </c>
      <c r="P1985">
        <v>46.6</v>
      </c>
      <c r="Q1985">
        <v>53.4</v>
      </c>
    </row>
    <row r="1986" spans="1:17" x14ac:dyDescent="0.25">
      <c r="A1986" s="2">
        <v>45449</v>
      </c>
      <c r="B1986" s="2" t="str">
        <f t="shared" ref="B1986:B2049" si="62">TEXT(A1986, "dddd")</f>
        <v>Thursday</v>
      </c>
      <c r="C1986" s="2" t="b">
        <f t="shared" ref="C1986:C2049" si="63">IF(WEEKDAY(A1986,2)&gt;5,TRUE,FALSE)</f>
        <v>0</v>
      </c>
      <c r="D1986">
        <v>3</v>
      </c>
      <c r="E1986" t="s">
        <v>7</v>
      </c>
      <c r="F1986">
        <v>217</v>
      </c>
      <c r="G1986" s="3">
        <v>3800.77</v>
      </c>
      <c r="H1986" s="3">
        <f>Miami_Retail[[#This Row],[sales_usd]] / Miami_Retail[[#This Row],[customers]]</f>
        <v>17.515069124423963</v>
      </c>
      <c r="I1986">
        <v>78.8</v>
      </c>
      <c r="J1986">
        <f>(Miami_Retail[[#This Row],[avg_temp_f]]-32) * (5/9)</f>
        <v>26</v>
      </c>
      <c r="K1986">
        <v>0.28999999999999998</v>
      </c>
      <c r="L1986">
        <v>1</v>
      </c>
      <c r="M1986">
        <v>52.1</v>
      </c>
      <c r="N1986">
        <v>49.3</v>
      </c>
      <c r="O1986">
        <v>50.7</v>
      </c>
      <c r="P1986">
        <v>48.1</v>
      </c>
      <c r="Q1986">
        <v>51.9</v>
      </c>
    </row>
    <row r="1987" spans="1:17" x14ac:dyDescent="0.25">
      <c r="A1987" s="2">
        <v>45450</v>
      </c>
      <c r="B1987" s="2" t="str">
        <f t="shared" si="62"/>
        <v>Friday</v>
      </c>
      <c r="C1987" s="2" t="b">
        <f t="shared" si="63"/>
        <v>0</v>
      </c>
      <c r="D1987">
        <v>3</v>
      </c>
      <c r="E1987" t="s">
        <v>7</v>
      </c>
      <c r="F1987">
        <v>200</v>
      </c>
      <c r="G1987" s="3">
        <v>3387.9</v>
      </c>
      <c r="H1987" s="3">
        <f>Miami_Retail[[#This Row],[sales_usd]] / Miami_Retail[[#This Row],[customers]]</f>
        <v>16.939499999999999</v>
      </c>
      <c r="I1987">
        <v>74</v>
      </c>
      <c r="J1987">
        <f>(Miami_Retail[[#This Row],[avg_temp_f]]-32) * (5/9)</f>
        <v>23.333333333333336</v>
      </c>
      <c r="K1987">
        <v>0</v>
      </c>
      <c r="L1987">
        <v>0</v>
      </c>
      <c r="M1987">
        <v>52.8</v>
      </c>
      <c r="N1987">
        <v>50.3</v>
      </c>
      <c r="O1987">
        <v>49.7</v>
      </c>
      <c r="P1987">
        <v>48.2</v>
      </c>
      <c r="Q1987">
        <v>51.8</v>
      </c>
    </row>
    <row r="1988" spans="1:17" x14ac:dyDescent="0.25">
      <c r="A1988" s="2">
        <v>45451</v>
      </c>
      <c r="B1988" s="2" t="str">
        <f t="shared" si="62"/>
        <v>Saturday</v>
      </c>
      <c r="C1988" s="2" t="b">
        <f t="shared" si="63"/>
        <v>1</v>
      </c>
      <c r="D1988">
        <v>3</v>
      </c>
      <c r="E1988" t="s">
        <v>7</v>
      </c>
      <c r="F1988">
        <v>244</v>
      </c>
      <c r="G1988" s="3">
        <v>4211.82</v>
      </c>
      <c r="H1988" s="3">
        <f>Miami_Retail[[#This Row],[sales_usd]] / Miami_Retail[[#This Row],[customers]]</f>
        <v>17.261557377049179</v>
      </c>
      <c r="I1988">
        <v>73.599999999999994</v>
      </c>
      <c r="J1988">
        <f>(Miami_Retail[[#This Row],[avg_temp_f]]-32) * (5/9)</f>
        <v>23.111111111111111</v>
      </c>
      <c r="K1988">
        <v>0.68</v>
      </c>
      <c r="L1988">
        <v>1</v>
      </c>
      <c r="M1988">
        <v>52.4</v>
      </c>
      <c r="N1988">
        <v>49.3</v>
      </c>
      <c r="O1988">
        <v>50.7</v>
      </c>
      <c r="P1988">
        <v>53.9</v>
      </c>
      <c r="Q1988">
        <v>46.1</v>
      </c>
    </row>
    <row r="1989" spans="1:17" x14ac:dyDescent="0.25">
      <c r="A1989" s="2">
        <v>45452</v>
      </c>
      <c r="B1989" s="2" t="str">
        <f t="shared" si="62"/>
        <v>Sunday</v>
      </c>
      <c r="C1989" s="2" t="b">
        <f t="shared" si="63"/>
        <v>1</v>
      </c>
      <c r="D1989">
        <v>3</v>
      </c>
      <c r="E1989" t="s">
        <v>7</v>
      </c>
      <c r="F1989">
        <v>198</v>
      </c>
      <c r="G1989" s="3">
        <v>3649.12</v>
      </c>
      <c r="H1989" s="3">
        <f>Miami_Retail[[#This Row],[sales_usd]] / Miami_Retail[[#This Row],[customers]]</f>
        <v>18.429898989898991</v>
      </c>
      <c r="I1989">
        <v>69.3</v>
      </c>
      <c r="J1989">
        <f>(Miami_Retail[[#This Row],[avg_temp_f]]-32) * (5/9)</f>
        <v>20.722222222222221</v>
      </c>
      <c r="K1989">
        <v>0.27</v>
      </c>
      <c r="L1989">
        <v>1</v>
      </c>
      <c r="M1989">
        <v>54.1</v>
      </c>
      <c r="N1989">
        <v>53.2</v>
      </c>
      <c r="O1989">
        <v>46.8</v>
      </c>
      <c r="P1989">
        <v>54.6</v>
      </c>
      <c r="Q1989">
        <v>45.4</v>
      </c>
    </row>
    <row r="1990" spans="1:17" x14ac:dyDescent="0.25">
      <c r="A1990" s="2">
        <v>45453</v>
      </c>
      <c r="B1990" s="2" t="str">
        <f t="shared" si="62"/>
        <v>Monday</v>
      </c>
      <c r="C1990" s="2" t="b">
        <f t="shared" si="63"/>
        <v>0</v>
      </c>
      <c r="D1990">
        <v>3</v>
      </c>
      <c r="E1990" t="s">
        <v>7</v>
      </c>
      <c r="F1990">
        <v>228</v>
      </c>
      <c r="G1990" s="3">
        <v>3736.38</v>
      </c>
      <c r="H1990" s="3">
        <f>Miami_Retail[[#This Row],[sales_usd]] / Miami_Retail[[#This Row],[customers]]</f>
        <v>16.387631578947367</v>
      </c>
      <c r="I1990">
        <v>69.599999999999994</v>
      </c>
      <c r="J1990">
        <f>(Miami_Retail[[#This Row],[avg_temp_f]]-32) * (5/9)</f>
        <v>20.888888888888886</v>
      </c>
      <c r="K1990">
        <v>0</v>
      </c>
      <c r="L1990">
        <v>0</v>
      </c>
      <c r="M1990">
        <v>58.9</v>
      </c>
      <c r="N1990">
        <v>48.3</v>
      </c>
      <c r="O1990">
        <v>51.7</v>
      </c>
      <c r="P1990">
        <v>46.2</v>
      </c>
      <c r="Q1990">
        <v>53.8</v>
      </c>
    </row>
    <row r="1991" spans="1:17" x14ac:dyDescent="0.25">
      <c r="A1991" s="2">
        <v>45454</v>
      </c>
      <c r="B1991" s="2" t="str">
        <f t="shared" si="62"/>
        <v>Tuesday</v>
      </c>
      <c r="C1991" s="2" t="b">
        <f t="shared" si="63"/>
        <v>0</v>
      </c>
      <c r="D1991">
        <v>3</v>
      </c>
      <c r="E1991" t="s">
        <v>7</v>
      </c>
      <c r="F1991">
        <v>223</v>
      </c>
      <c r="G1991" s="3">
        <v>3843.63</v>
      </c>
      <c r="H1991" s="3">
        <f>Miami_Retail[[#This Row],[sales_usd]] / Miami_Retail[[#This Row],[customers]]</f>
        <v>17.236008968609866</v>
      </c>
      <c r="I1991">
        <v>72.8</v>
      </c>
      <c r="J1991">
        <f>(Miami_Retail[[#This Row],[avg_temp_f]]-32) * (5/9)</f>
        <v>22.666666666666668</v>
      </c>
      <c r="K1991">
        <v>0</v>
      </c>
      <c r="L1991">
        <v>0</v>
      </c>
      <c r="M1991">
        <v>61.4</v>
      </c>
      <c r="N1991">
        <v>52.3</v>
      </c>
      <c r="O1991">
        <v>47.7</v>
      </c>
      <c r="P1991">
        <v>47.4</v>
      </c>
      <c r="Q1991">
        <v>52.6</v>
      </c>
    </row>
    <row r="1992" spans="1:17" x14ac:dyDescent="0.25">
      <c r="A1992" s="2">
        <v>45455</v>
      </c>
      <c r="B1992" s="2" t="str">
        <f t="shared" si="62"/>
        <v>Wednesday</v>
      </c>
      <c r="C1992" s="2" t="b">
        <f t="shared" si="63"/>
        <v>0</v>
      </c>
      <c r="D1992">
        <v>3</v>
      </c>
      <c r="E1992" t="s">
        <v>7</v>
      </c>
      <c r="F1992">
        <v>247</v>
      </c>
      <c r="G1992" s="3">
        <v>3741.55</v>
      </c>
      <c r="H1992" s="3">
        <f>Miami_Retail[[#This Row],[sales_usd]] / Miami_Retail[[#This Row],[customers]]</f>
        <v>15.147975708502026</v>
      </c>
      <c r="I1992">
        <v>78</v>
      </c>
      <c r="J1992">
        <f>(Miami_Retail[[#This Row],[avg_temp_f]]-32) * (5/9)</f>
        <v>25.555555555555557</v>
      </c>
      <c r="K1992">
        <v>0.5</v>
      </c>
      <c r="L1992">
        <v>1</v>
      </c>
      <c r="M1992">
        <v>45</v>
      </c>
      <c r="N1992">
        <v>48.7</v>
      </c>
      <c r="O1992">
        <v>51.3</v>
      </c>
      <c r="P1992">
        <v>46.9</v>
      </c>
      <c r="Q1992">
        <v>53.1</v>
      </c>
    </row>
    <row r="1993" spans="1:17" x14ac:dyDescent="0.25">
      <c r="A1993" s="2">
        <v>45456</v>
      </c>
      <c r="B1993" s="2" t="str">
        <f t="shared" si="62"/>
        <v>Thursday</v>
      </c>
      <c r="C1993" s="2" t="b">
        <f t="shared" si="63"/>
        <v>0</v>
      </c>
      <c r="D1993">
        <v>3</v>
      </c>
      <c r="E1993" t="s">
        <v>7</v>
      </c>
      <c r="F1993">
        <v>232</v>
      </c>
      <c r="G1993" s="3">
        <v>3907.78</v>
      </c>
      <c r="H1993" s="3">
        <f>Miami_Retail[[#This Row],[sales_usd]] / Miami_Retail[[#This Row],[customers]]</f>
        <v>16.843879310344828</v>
      </c>
      <c r="I1993">
        <v>75.7</v>
      </c>
      <c r="J1993">
        <f>(Miami_Retail[[#This Row],[avg_temp_f]]-32) * (5/9)</f>
        <v>24.277777777777782</v>
      </c>
      <c r="K1993">
        <v>0</v>
      </c>
      <c r="L1993">
        <v>0</v>
      </c>
      <c r="M1993">
        <v>49.5</v>
      </c>
      <c r="N1993">
        <v>49.6</v>
      </c>
      <c r="O1993">
        <v>50.4</v>
      </c>
      <c r="P1993">
        <v>48.4</v>
      </c>
      <c r="Q1993">
        <v>51.6</v>
      </c>
    </row>
    <row r="1994" spans="1:17" x14ac:dyDescent="0.25">
      <c r="A1994" s="2">
        <v>45457</v>
      </c>
      <c r="B1994" s="2" t="str">
        <f t="shared" si="62"/>
        <v>Friday</v>
      </c>
      <c r="C1994" s="2" t="b">
        <f t="shared" si="63"/>
        <v>0</v>
      </c>
      <c r="D1994">
        <v>3</v>
      </c>
      <c r="E1994" t="s">
        <v>7</v>
      </c>
      <c r="F1994">
        <v>220</v>
      </c>
      <c r="G1994" s="3">
        <v>3720.1</v>
      </c>
      <c r="H1994" s="3">
        <f>Miami_Retail[[#This Row],[sales_usd]] / Miami_Retail[[#This Row],[customers]]</f>
        <v>16.909545454545455</v>
      </c>
      <c r="I1994">
        <v>76.8</v>
      </c>
      <c r="J1994">
        <f>(Miami_Retail[[#This Row],[avg_temp_f]]-32) * (5/9)</f>
        <v>24.888888888888889</v>
      </c>
      <c r="K1994">
        <v>0</v>
      </c>
      <c r="L1994">
        <v>0</v>
      </c>
      <c r="M1994">
        <v>58.7</v>
      </c>
      <c r="N1994">
        <v>50.6</v>
      </c>
      <c r="O1994">
        <v>49.4</v>
      </c>
      <c r="P1994">
        <v>48.2</v>
      </c>
      <c r="Q1994">
        <v>51.8</v>
      </c>
    </row>
    <row r="1995" spans="1:17" x14ac:dyDescent="0.25">
      <c r="A1995" s="2">
        <v>45458</v>
      </c>
      <c r="B1995" s="2" t="str">
        <f t="shared" si="62"/>
        <v>Saturday</v>
      </c>
      <c r="C1995" s="2" t="b">
        <f t="shared" si="63"/>
        <v>1</v>
      </c>
      <c r="D1995">
        <v>3</v>
      </c>
      <c r="E1995" t="s">
        <v>7</v>
      </c>
      <c r="F1995">
        <v>276</v>
      </c>
      <c r="G1995" s="3">
        <v>4453.29</v>
      </c>
      <c r="H1995" s="3">
        <f>Miami_Retail[[#This Row],[sales_usd]] / Miami_Retail[[#This Row],[customers]]</f>
        <v>16.135108695652175</v>
      </c>
      <c r="I1995">
        <v>81.400000000000006</v>
      </c>
      <c r="J1995">
        <f>(Miami_Retail[[#This Row],[avg_temp_f]]-32) * (5/9)</f>
        <v>27.44444444444445</v>
      </c>
      <c r="K1995">
        <v>0</v>
      </c>
      <c r="L1995">
        <v>0</v>
      </c>
      <c r="M1995">
        <v>58.5</v>
      </c>
      <c r="N1995">
        <v>50.7</v>
      </c>
      <c r="O1995">
        <v>49.3</v>
      </c>
      <c r="P1995">
        <v>55.2</v>
      </c>
      <c r="Q1995">
        <v>44.8</v>
      </c>
    </row>
    <row r="1996" spans="1:17" x14ac:dyDescent="0.25">
      <c r="A1996" s="2">
        <v>45459</v>
      </c>
      <c r="B1996" s="2" t="str">
        <f t="shared" si="62"/>
        <v>Sunday</v>
      </c>
      <c r="C1996" s="2" t="b">
        <f t="shared" si="63"/>
        <v>1</v>
      </c>
      <c r="D1996">
        <v>3</v>
      </c>
      <c r="E1996" t="s">
        <v>7</v>
      </c>
      <c r="F1996">
        <v>238</v>
      </c>
      <c r="G1996" s="3">
        <v>3830.59</v>
      </c>
      <c r="H1996" s="3">
        <f>Miami_Retail[[#This Row],[sales_usd]] / Miami_Retail[[#This Row],[customers]]</f>
        <v>16.094915966386555</v>
      </c>
      <c r="I1996">
        <v>73.3</v>
      </c>
      <c r="J1996">
        <f>(Miami_Retail[[#This Row],[avg_temp_f]]-32) * (5/9)</f>
        <v>22.944444444444443</v>
      </c>
      <c r="K1996">
        <v>0</v>
      </c>
      <c r="L1996">
        <v>0</v>
      </c>
      <c r="M1996">
        <v>63.4</v>
      </c>
      <c r="N1996">
        <v>49.5</v>
      </c>
      <c r="O1996">
        <v>50.5</v>
      </c>
      <c r="P1996">
        <v>53.4</v>
      </c>
      <c r="Q1996">
        <v>46.6</v>
      </c>
    </row>
    <row r="1997" spans="1:17" x14ac:dyDescent="0.25">
      <c r="A1997" s="2">
        <v>45460</v>
      </c>
      <c r="B1997" s="2" t="str">
        <f t="shared" si="62"/>
        <v>Monday</v>
      </c>
      <c r="C1997" s="2" t="b">
        <f t="shared" si="63"/>
        <v>0</v>
      </c>
      <c r="D1997">
        <v>3</v>
      </c>
      <c r="E1997" t="s">
        <v>7</v>
      </c>
      <c r="F1997">
        <v>237</v>
      </c>
      <c r="G1997" s="3">
        <v>3846.23</v>
      </c>
      <c r="H1997" s="3">
        <f>Miami_Retail[[#This Row],[sales_usd]] / Miami_Retail[[#This Row],[customers]]</f>
        <v>16.228818565400843</v>
      </c>
      <c r="I1997">
        <v>78.3</v>
      </c>
      <c r="J1997">
        <f>(Miami_Retail[[#This Row],[avg_temp_f]]-32) * (5/9)</f>
        <v>25.722222222222221</v>
      </c>
      <c r="K1997">
        <v>0</v>
      </c>
      <c r="L1997">
        <v>0</v>
      </c>
      <c r="M1997">
        <v>45.9</v>
      </c>
      <c r="N1997">
        <v>50.4</v>
      </c>
      <c r="O1997">
        <v>49.6</v>
      </c>
      <c r="P1997">
        <v>46.7</v>
      </c>
      <c r="Q1997">
        <v>53.3</v>
      </c>
    </row>
    <row r="1998" spans="1:17" x14ac:dyDescent="0.25">
      <c r="A1998" s="2">
        <v>45461</v>
      </c>
      <c r="B1998" s="2" t="str">
        <f t="shared" si="62"/>
        <v>Tuesday</v>
      </c>
      <c r="C1998" s="2" t="b">
        <f t="shared" si="63"/>
        <v>0</v>
      </c>
      <c r="D1998">
        <v>3</v>
      </c>
      <c r="E1998" t="s">
        <v>7</v>
      </c>
      <c r="F1998">
        <v>209</v>
      </c>
      <c r="G1998" s="3">
        <v>3468.73</v>
      </c>
      <c r="H1998" s="3">
        <f>Miami_Retail[[#This Row],[sales_usd]] / Miami_Retail[[#This Row],[customers]]</f>
        <v>16.596794258373205</v>
      </c>
      <c r="I1998">
        <v>73.099999999999994</v>
      </c>
      <c r="J1998">
        <f>(Miami_Retail[[#This Row],[avg_temp_f]]-32) * (5/9)</f>
        <v>22.833333333333332</v>
      </c>
      <c r="K1998">
        <v>0</v>
      </c>
      <c r="L1998">
        <v>0</v>
      </c>
      <c r="M1998">
        <v>62.9</v>
      </c>
      <c r="N1998">
        <v>49.1</v>
      </c>
      <c r="O1998">
        <v>50.9</v>
      </c>
      <c r="P1998">
        <v>46.6</v>
      </c>
      <c r="Q1998">
        <v>53.4</v>
      </c>
    </row>
    <row r="1999" spans="1:17" x14ac:dyDescent="0.25">
      <c r="A1999" s="2">
        <v>45462</v>
      </c>
      <c r="B1999" s="2" t="str">
        <f t="shared" si="62"/>
        <v>Wednesday</v>
      </c>
      <c r="C1999" s="2" t="b">
        <f t="shared" si="63"/>
        <v>0</v>
      </c>
      <c r="D1999">
        <v>3</v>
      </c>
      <c r="E1999" t="s">
        <v>7</v>
      </c>
      <c r="F1999">
        <v>247</v>
      </c>
      <c r="G1999" s="3">
        <v>4126.51</v>
      </c>
      <c r="H1999" s="3">
        <f>Miami_Retail[[#This Row],[sales_usd]] / Miami_Retail[[#This Row],[customers]]</f>
        <v>16.706518218623483</v>
      </c>
      <c r="I1999">
        <v>81.3</v>
      </c>
      <c r="J1999">
        <f>(Miami_Retail[[#This Row],[avg_temp_f]]-32) * (5/9)</f>
        <v>27.388888888888889</v>
      </c>
      <c r="K1999">
        <v>1.21</v>
      </c>
      <c r="L1999">
        <v>1</v>
      </c>
      <c r="M1999">
        <v>56.5</v>
      </c>
      <c r="N1999">
        <v>47.5</v>
      </c>
      <c r="O1999">
        <v>52.5</v>
      </c>
      <c r="P1999">
        <v>47</v>
      </c>
      <c r="Q1999">
        <v>53</v>
      </c>
    </row>
    <row r="2000" spans="1:17" x14ac:dyDescent="0.25">
      <c r="A2000" s="2">
        <v>45463</v>
      </c>
      <c r="B2000" s="2" t="str">
        <f t="shared" si="62"/>
        <v>Thursday</v>
      </c>
      <c r="C2000" s="2" t="b">
        <f t="shared" si="63"/>
        <v>0</v>
      </c>
      <c r="D2000">
        <v>3</v>
      </c>
      <c r="E2000" t="s">
        <v>7</v>
      </c>
      <c r="F2000">
        <v>185</v>
      </c>
      <c r="G2000" s="3">
        <v>3012.66</v>
      </c>
      <c r="H2000" s="3">
        <f>Miami_Retail[[#This Row],[sales_usd]] / Miami_Retail[[#This Row],[customers]]</f>
        <v>16.284648648648648</v>
      </c>
      <c r="I2000">
        <v>73.900000000000006</v>
      </c>
      <c r="J2000">
        <f>(Miami_Retail[[#This Row],[avg_temp_f]]-32) * (5/9)</f>
        <v>23.277777777777782</v>
      </c>
      <c r="K2000">
        <v>1.39</v>
      </c>
      <c r="L2000">
        <v>1</v>
      </c>
      <c r="M2000">
        <v>63.3</v>
      </c>
      <c r="N2000">
        <v>49.9</v>
      </c>
      <c r="O2000">
        <v>50.1</v>
      </c>
      <c r="P2000">
        <v>48</v>
      </c>
      <c r="Q2000">
        <v>52</v>
      </c>
    </row>
    <row r="2001" spans="1:17" x14ac:dyDescent="0.25">
      <c r="A2001" s="2">
        <v>45464</v>
      </c>
      <c r="B2001" s="2" t="str">
        <f t="shared" si="62"/>
        <v>Friday</v>
      </c>
      <c r="C2001" s="2" t="b">
        <f t="shared" si="63"/>
        <v>0</v>
      </c>
      <c r="D2001">
        <v>3</v>
      </c>
      <c r="E2001" t="s">
        <v>7</v>
      </c>
      <c r="F2001">
        <v>227</v>
      </c>
      <c r="G2001" s="3">
        <v>3627.8</v>
      </c>
      <c r="H2001" s="3">
        <f>Miami_Retail[[#This Row],[sales_usd]] / Miami_Retail[[#This Row],[customers]]</f>
        <v>15.981497797356829</v>
      </c>
      <c r="I2001">
        <v>76.900000000000006</v>
      </c>
      <c r="J2001">
        <f>(Miami_Retail[[#This Row],[avg_temp_f]]-32) * (5/9)</f>
        <v>24.94444444444445</v>
      </c>
      <c r="K2001">
        <v>0</v>
      </c>
      <c r="L2001">
        <v>0</v>
      </c>
      <c r="M2001">
        <v>62.4</v>
      </c>
      <c r="N2001">
        <v>51.1</v>
      </c>
      <c r="O2001">
        <v>48.9</v>
      </c>
      <c r="P2001">
        <v>48.6</v>
      </c>
      <c r="Q2001">
        <v>51.4</v>
      </c>
    </row>
    <row r="2002" spans="1:17" x14ac:dyDescent="0.25">
      <c r="A2002" s="2">
        <v>45465</v>
      </c>
      <c r="B2002" s="2" t="str">
        <f t="shared" si="62"/>
        <v>Saturday</v>
      </c>
      <c r="C2002" s="2" t="b">
        <f t="shared" si="63"/>
        <v>1</v>
      </c>
      <c r="D2002">
        <v>3</v>
      </c>
      <c r="E2002" t="s">
        <v>7</v>
      </c>
      <c r="F2002">
        <v>251</v>
      </c>
      <c r="G2002" s="3">
        <v>4020.74</v>
      </c>
      <c r="H2002" s="3">
        <f>Miami_Retail[[#This Row],[sales_usd]] / Miami_Retail[[#This Row],[customers]]</f>
        <v>16.018884462151394</v>
      </c>
      <c r="I2002">
        <v>76.400000000000006</v>
      </c>
      <c r="J2002">
        <f>(Miami_Retail[[#This Row],[avg_temp_f]]-32) * (5/9)</f>
        <v>24.666666666666671</v>
      </c>
      <c r="K2002">
        <v>0</v>
      </c>
      <c r="L2002">
        <v>0</v>
      </c>
      <c r="M2002">
        <v>48</v>
      </c>
      <c r="N2002">
        <v>50.2</v>
      </c>
      <c r="O2002">
        <v>49.8</v>
      </c>
      <c r="P2002">
        <v>54.3</v>
      </c>
      <c r="Q2002">
        <v>45.7</v>
      </c>
    </row>
    <row r="2003" spans="1:17" x14ac:dyDescent="0.25">
      <c r="A2003" s="2">
        <v>45466</v>
      </c>
      <c r="B2003" s="2" t="str">
        <f t="shared" si="62"/>
        <v>Sunday</v>
      </c>
      <c r="C2003" s="2" t="b">
        <f t="shared" si="63"/>
        <v>1</v>
      </c>
      <c r="D2003">
        <v>3</v>
      </c>
      <c r="E2003" t="s">
        <v>7</v>
      </c>
      <c r="F2003">
        <v>263</v>
      </c>
      <c r="G2003" s="3">
        <v>4555.57</v>
      </c>
      <c r="H2003" s="3">
        <f>Miami_Retail[[#This Row],[sales_usd]] / Miami_Retail[[#This Row],[customers]]</f>
        <v>17.321558935361217</v>
      </c>
      <c r="I2003">
        <v>77.900000000000006</v>
      </c>
      <c r="J2003">
        <f>(Miami_Retail[[#This Row],[avg_temp_f]]-32) * (5/9)</f>
        <v>25.500000000000004</v>
      </c>
      <c r="K2003">
        <v>0</v>
      </c>
      <c r="L2003">
        <v>0</v>
      </c>
      <c r="M2003">
        <v>51.2</v>
      </c>
      <c r="N2003">
        <v>50.5</v>
      </c>
      <c r="O2003">
        <v>49.5</v>
      </c>
      <c r="P2003">
        <v>51.9</v>
      </c>
      <c r="Q2003">
        <v>48.1</v>
      </c>
    </row>
    <row r="2004" spans="1:17" x14ac:dyDescent="0.25">
      <c r="A2004" s="2">
        <v>45467</v>
      </c>
      <c r="B2004" s="2" t="str">
        <f t="shared" si="62"/>
        <v>Monday</v>
      </c>
      <c r="C2004" s="2" t="b">
        <f t="shared" si="63"/>
        <v>0</v>
      </c>
      <c r="D2004">
        <v>3</v>
      </c>
      <c r="E2004" t="s">
        <v>7</v>
      </c>
      <c r="F2004">
        <v>207</v>
      </c>
      <c r="G2004" s="3">
        <v>3493.98</v>
      </c>
      <c r="H2004" s="3">
        <f>Miami_Retail[[#This Row],[sales_usd]] / Miami_Retail[[#This Row],[customers]]</f>
        <v>16.87913043478261</v>
      </c>
      <c r="I2004">
        <v>81.599999999999994</v>
      </c>
      <c r="J2004">
        <f>(Miami_Retail[[#This Row],[avg_temp_f]]-32) * (5/9)</f>
        <v>27.555555555555554</v>
      </c>
      <c r="K2004">
        <v>0.54</v>
      </c>
      <c r="L2004">
        <v>1</v>
      </c>
      <c r="M2004">
        <v>67</v>
      </c>
      <c r="N2004">
        <v>48.6</v>
      </c>
      <c r="O2004">
        <v>51.4</v>
      </c>
      <c r="P2004">
        <v>48.4</v>
      </c>
      <c r="Q2004">
        <v>51.6</v>
      </c>
    </row>
    <row r="2005" spans="1:17" x14ac:dyDescent="0.25">
      <c r="A2005" s="2">
        <v>45468</v>
      </c>
      <c r="B2005" s="2" t="str">
        <f t="shared" si="62"/>
        <v>Tuesday</v>
      </c>
      <c r="C2005" s="2" t="b">
        <f t="shared" si="63"/>
        <v>0</v>
      </c>
      <c r="D2005">
        <v>3</v>
      </c>
      <c r="E2005" t="s">
        <v>7</v>
      </c>
      <c r="F2005">
        <v>225</v>
      </c>
      <c r="G2005" s="3">
        <v>3555.46</v>
      </c>
      <c r="H2005" s="3">
        <f>Miami_Retail[[#This Row],[sales_usd]] / Miami_Retail[[#This Row],[customers]]</f>
        <v>15.802044444444444</v>
      </c>
      <c r="I2005">
        <v>77.8</v>
      </c>
      <c r="J2005">
        <f>(Miami_Retail[[#This Row],[avg_temp_f]]-32) * (5/9)</f>
        <v>25.444444444444443</v>
      </c>
      <c r="K2005">
        <v>0</v>
      </c>
      <c r="L2005">
        <v>0</v>
      </c>
      <c r="M2005">
        <v>59.2</v>
      </c>
      <c r="N2005">
        <v>49.2</v>
      </c>
      <c r="O2005">
        <v>50.8</v>
      </c>
      <c r="P2005">
        <v>46.6</v>
      </c>
      <c r="Q2005">
        <v>53.4</v>
      </c>
    </row>
    <row r="2006" spans="1:17" x14ac:dyDescent="0.25">
      <c r="A2006" s="2">
        <v>45469</v>
      </c>
      <c r="B2006" s="2" t="str">
        <f t="shared" si="62"/>
        <v>Wednesday</v>
      </c>
      <c r="C2006" s="2" t="b">
        <f t="shared" si="63"/>
        <v>0</v>
      </c>
      <c r="D2006">
        <v>3</v>
      </c>
      <c r="E2006" t="s">
        <v>7</v>
      </c>
      <c r="F2006">
        <v>204</v>
      </c>
      <c r="G2006" s="3">
        <v>3161.61</v>
      </c>
      <c r="H2006" s="3">
        <f>Miami_Retail[[#This Row],[sales_usd]] / Miami_Retail[[#This Row],[customers]]</f>
        <v>15.498088235294118</v>
      </c>
      <c r="I2006">
        <v>76.900000000000006</v>
      </c>
      <c r="J2006">
        <f>(Miami_Retail[[#This Row],[avg_temp_f]]-32) * (5/9)</f>
        <v>24.94444444444445</v>
      </c>
      <c r="K2006">
        <v>0.28000000000000003</v>
      </c>
      <c r="L2006">
        <v>1</v>
      </c>
      <c r="M2006">
        <v>56.9</v>
      </c>
      <c r="N2006">
        <v>49.6</v>
      </c>
      <c r="O2006">
        <v>50.4</v>
      </c>
      <c r="P2006">
        <v>46.5</v>
      </c>
      <c r="Q2006">
        <v>53.5</v>
      </c>
    </row>
    <row r="2007" spans="1:17" x14ac:dyDescent="0.25">
      <c r="A2007" s="2">
        <v>45470</v>
      </c>
      <c r="B2007" s="2" t="str">
        <f t="shared" si="62"/>
        <v>Thursday</v>
      </c>
      <c r="C2007" s="2" t="b">
        <f t="shared" si="63"/>
        <v>0</v>
      </c>
      <c r="D2007">
        <v>3</v>
      </c>
      <c r="E2007" t="s">
        <v>7</v>
      </c>
      <c r="F2007">
        <v>240</v>
      </c>
      <c r="G2007" s="3">
        <v>4221.17</v>
      </c>
      <c r="H2007" s="3">
        <f>Miami_Retail[[#This Row],[sales_usd]] / Miami_Retail[[#This Row],[customers]]</f>
        <v>17.588208333333334</v>
      </c>
      <c r="I2007">
        <v>77.5</v>
      </c>
      <c r="J2007">
        <f>(Miami_Retail[[#This Row],[avg_temp_f]]-32) * (5/9)</f>
        <v>25.277777777777779</v>
      </c>
      <c r="K2007">
        <v>0.72</v>
      </c>
      <c r="L2007">
        <v>1</v>
      </c>
      <c r="M2007">
        <v>59.8</v>
      </c>
      <c r="N2007">
        <v>49</v>
      </c>
      <c r="O2007">
        <v>51</v>
      </c>
      <c r="P2007">
        <v>45.1</v>
      </c>
      <c r="Q2007">
        <v>54.9</v>
      </c>
    </row>
    <row r="2008" spans="1:17" x14ac:dyDescent="0.25">
      <c r="A2008" s="2">
        <v>45471</v>
      </c>
      <c r="B2008" s="2" t="str">
        <f t="shared" si="62"/>
        <v>Friday</v>
      </c>
      <c r="C2008" s="2" t="b">
        <f t="shared" si="63"/>
        <v>0</v>
      </c>
      <c r="D2008">
        <v>3</v>
      </c>
      <c r="E2008" t="s">
        <v>7</v>
      </c>
      <c r="F2008">
        <v>270</v>
      </c>
      <c r="G2008" s="3">
        <v>4473.47</v>
      </c>
      <c r="H2008" s="3">
        <f>Miami_Retail[[#This Row],[sales_usd]] / Miami_Retail[[#This Row],[customers]]</f>
        <v>16.56840740740741</v>
      </c>
      <c r="I2008">
        <v>83.3</v>
      </c>
      <c r="J2008">
        <f>(Miami_Retail[[#This Row],[avg_temp_f]]-32) * (5/9)</f>
        <v>28.5</v>
      </c>
      <c r="K2008">
        <v>0</v>
      </c>
      <c r="L2008">
        <v>0</v>
      </c>
      <c r="M2008">
        <v>57</v>
      </c>
      <c r="N2008">
        <v>49.3</v>
      </c>
      <c r="O2008">
        <v>50.7</v>
      </c>
      <c r="P2008">
        <v>47.7</v>
      </c>
      <c r="Q2008">
        <v>52.3</v>
      </c>
    </row>
    <row r="2009" spans="1:17" x14ac:dyDescent="0.25">
      <c r="A2009" s="2">
        <v>45472</v>
      </c>
      <c r="B2009" s="2" t="str">
        <f t="shared" si="62"/>
        <v>Saturday</v>
      </c>
      <c r="C2009" s="2" t="b">
        <f t="shared" si="63"/>
        <v>1</v>
      </c>
      <c r="D2009">
        <v>3</v>
      </c>
      <c r="E2009" t="s">
        <v>7</v>
      </c>
      <c r="F2009">
        <v>213</v>
      </c>
      <c r="G2009" s="3">
        <v>3314.06</v>
      </c>
      <c r="H2009" s="3">
        <f>Miami_Retail[[#This Row],[sales_usd]] / Miami_Retail[[#This Row],[customers]]</f>
        <v>15.558967136150235</v>
      </c>
      <c r="I2009">
        <v>79.2</v>
      </c>
      <c r="J2009">
        <f>(Miami_Retail[[#This Row],[avg_temp_f]]-32) * (5/9)</f>
        <v>26.222222222222225</v>
      </c>
      <c r="K2009">
        <v>1.75</v>
      </c>
      <c r="L2009">
        <v>1</v>
      </c>
      <c r="M2009">
        <v>58.9</v>
      </c>
      <c r="N2009">
        <v>47.6</v>
      </c>
      <c r="O2009">
        <v>52.4</v>
      </c>
      <c r="P2009">
        <v>52.9</v>
      </c>
      <c r="Q2009">
        <v>47.1</v>
      </c>
    </row>
    <row r="2010" spans="1:17" x14ac:dyDescent="0.25">
      <c r="A2010" s="2">
        <v>45473</v>
      </c>
      <c r="B2010" s="2" t="str">
        <f t="shared" si="62"/>
        <v>Sunday</v>
      </c>
      <c r="C2010" s="2" t="b">
        <f t="shared" si="63"/>
        <v>1</v>
      </c>
      <c r="D2010">
        <v>3</v>
      </c>
      <c r="E2010" t="s">
        <v>7</v>
      </c>
      <c r="F2010">
        <v>287</v>
      </c>
      <c r="G2010" s="3">
        <v>4792.67</v>
      </c>
      <c r="H2010" s="3">
        <f>Miami_Retail[[#This Row],[sales_usd]] / Miami_Retail[[#This Row],[customers]]</f>
        <v>16.699198606271779</v>
      </c>
      <c r="I2010">
        <v>80.400000000000006</v>
      </c>
      <c r="J2010">
        <f>(Miami_Retail[[#This Row],[avg_temp_f]]-32) * (5/9)</f>
        <v>26.888888888888893</v>
      </c>
      <c r="K2010">
        <v>0</v>
      </c>
      <c r="L2010">
        <v>0</v>
      </c>
      <c r="M2010">
        <v>56.5</v>
      </c>
      <c r="N2010">
        <v>49.1</v>
      </c>
      <c r="O2010">
        <v>50.9</v>
      </c>
      <c r="P2010">
        <v>53</v>
      </c>
      <c r="Q2010">
        <v>47</v>
      </c>
    </row>
    <row r="2011" spans="1:17" x14ac:dyDescent="0.25">
      <c r="A2011" s="2">
        <v>45474</v>
      </c>
      <c r="B2011" s="2" t="str">
        <f t="shared" si="62"/>
        <v>Monday</v>
      </c>
      <c r="C2011" s="2" t="b">
        <f t="shared" si="63"/>
        <v>0</v>
      </c>
      <c r="D2011">
        <v>3</v>
      </c>
      <c r="E2011" t="s">
        <v>7</v>
      </c>
      <c r="F2011">
        <v>231</v>
      </c>
      <c r="G2011" s="3">
        <v>3743.03</v>
      </c>
      <c r="H2011" s="3">
        <f>Miami_Retail[[#This Row],[sales_usd]] / Miami_Retail[[#This Row],[customers]]</f>
        <v>16.203593073593076</v>
      </c>
      <c r="I2011">
        <v>81.900000000000006</v>
      </c>
      <c r="J2011">
        <f>(Miami_Retail[[#This Row],[avg_temp_f]]-32) * (5/9)</f>
        <v>27.722222222222225</v>
      </c>
      <c r="K2011">
        <v>0</v>
      </c>
      <c r="L2011">
        <v>0</v>
      </c>
      <c r="M2011">
        <v>57.6</v>
      </c>
      <c r="N2011">
        <v>50.1</v>
      </c>
      <c r="O2011">
        <v>49.9</v>
      </c>
      <c r="P2011">
        <v>46.8</v>
      </c>
      <c r="Q2011">
        <v>53.2</v>
      </c>
    </row>
    <row r="2012" spans="1:17" x14ac:dyDescent="0.25">
      <c r="A2012" s="2">
        <v>45475</v>
      </c>
      <c r="B2012" s="2" t="str">
        <f t="shared" si="62"/>
        <v>Tuesday</v>
      </c>
      <c r="C2012" s="2" t="b">
        <f t="shared" si="63"/>
        <v>0</v>
      </c>
      <c r="D2012">
        <v>3</v>
      </c>
      <c r="E2012" t="s">
        <v>7</v>
      </c>
      <c r="F2012">
        <v>289</v>
      </c>
      <c r="G2012" s="3">
        <v>4861.2299999999996</v>
      </c>
      <c r="H2012" s="3">
        <f>Miami_Retail[[#This Row],[sales_usd]] / Miami_Retail[[#This Row],[customers]]</f>
        <v>16.820865051903112</v>
      </c>
      <c r="I2012">
        <v>83.8</v>
      </c>
      <c r="J2012">
        <f>(Miami_Retail[[#This Row],[avg_temp_f]]-32) * (5/9)</f>
        <v>28.777777777777779</v>
      </c>
      <c r="K2012">
        <v>0</v>
      </c>
      <c r="L2012">
        <v>0</v>
      </c>
      <c r="M2012">
        <v>69.400000000000006</v>
      </c>
      <c r="N2012">
        <v>50</v>
      </c>
      <c r="O2012">
        <v>50</v>
      </c>
      <c r="P2012">
        <v>47.3</v>
      </c>
      <c r="Q2012">
        <v>52.7</v>
      </c>
    </row>
    <row r="2013" spans="1:17" x14ac:dyDescent="0.25">
      <c r="A2013" s="2">
        <v>45476</v>
      </c>
      <c r="B2013" s="2" t="str">
        <f t="shared" si="62"/>
        <v>Wednesday</v>
      </c>
      <c r="C2013" s="2" t="b">
        <f t="shared" si="63"/>
        <v>0</v>
      </c>
      <c r="D2013">
        <v>3</v>
      </c>
      <c r="E2013" t="s">
        <v>7</v>
      </c>
      <c r="F2013">
        <v>249</v>
      </c>
      <c r="G2013" s="3">
        <v>3946.39</v>
      </c>
      <c r="H2013" s="3">
        <f>Miami_Retail[[#This Row],[sales_usd]] / Miami_Retail[[#This Row],[customers]]</f>
        <v>15.848955823293172</v>
      </c>
      <c r="I2013">
        <v>85.3</v>
      </c>
      <c r="J2013">
        <f>(Miami_Retail[[#This Row],[avg_temp_f]]-32) * (5/9)</f>
        <v>29.611111111111111</v>
      </c>
      <c r="K2013">
        <v>0.26</v>
      </c>
      <c r="L2013">
        <v>1</v>
      </c>
      <c r="M2013">
        <v>62.1</v>
      </c>
      <c r="N2013">
        <v>50.3</v>
      </c>
      <c r="O2013">
        <v>49.7</v>
      </c>
      <c r="P2013">
        <v>48.3</v>
      </c>
      <c r="Q2013">
        <v>51.7</v>
      </c>
    </row>
    <row r="2014" spans="1:17" x14ac:dyDescent="0.25">
      <c r="A2014" s="2">
        <v>45477</v>
      </c>
      <c r="B2014" s="2" t="str">
        <f t="shared" si="62"/>
        <v>Thursday</v>
      </c>
      <c r="C2014" s="2" t="b">
        <f t="shared" si="63"/>
        <v>0</v>
      </c>
      <c r="D2014">
        <v>3</v>
      </c>
      <c r="E2014" t="s">
        <v>7</v>
      </c>
      <c r="F2014">
        <v>248</v>
      </c>
      <c r="G2014" s="3">
        <v>3977.54</v>
      </c>
      <c r="H2014" s="3">
        <f>Miami_Retail[[#This Row],[sales_usd]] / Miami_Retail[[#This Row],[customers]]</f>
        <v>16.038467741935484</v>
      </c>
      <c r="I2014">
        <v>78.5</v>
      </c>
      <c r="J2014">
        <f>(Miami_Retail[[#This Row],[avg_temp_f]]-32) * (5/9)</f>
        <v>25.833333333333336</v>
      </c>
      <c r="K2014">
        <v>0</v>
      </c>
      <c r="L2014">
        <v>0</v>
      </c>
      <c r="M2014">
        <v>57.6</v>
      </c>
      <c r="N2014">
        <v>48.6</v>
      </c>
      <c r="O2014">
        <v>51.4</v>
      </c>
      <c r="P2014">
        <v>47.8</v>
      </c>
      <c r="Q2014">
        <v>52.2</v>
      </c>
    </row>
    <row r="2015" spans="1:17" x14ac:dyDescent="0.25">
      <c r="A2015" s="2">
        <v>45478</v>
      </c>
      <c r="B2015" s="2" t="str">
        <f t="shared" si="62"/>
        <v>Friday</v>
      </c>
      <c r="C2015" s="2" t="b">
        <f t="shared" si="63"/>
        <v>0</v>
      </c>
      <c r="D2015">
        <v>3</v>
      </c>
      <c r="E2015" t="s">
        <v>7</v>
      </c>
      <c r="F2015">
        <v>223</v>
      </c>
      <c r="G2015" s="3">
        <v>3950.94</v>
      </c>
      <c r="H2015" s="3">
        <f>Miami_Retail[[#This Row],[sales_usd]] / Miami_Retail[[#This Row],[customers]]</f>
        <v>17.717219730941704</v>
      </c>
      <c r="I2015">
        <v>77</v>
      </c>
      <c r="J2015">
        <f>(Miami_Retail[[#This Row],[avg_temp_f]]-32) * (5/9)</f>
        <v>25</v>
      </c>
      <c r="K2015">
        <v>0</v>
      </c>
      <c r="L2015">
        <v>0</v>
      </c>
      <c r="M2015">
        <v>65</v>
      </c>
      <c r="N2015">
        <v>47.6</v>
      </c>
      <c r="O2015">
        <v>52.4</v>
      </c>
      <c r="P2015">
        <v>47.7</v>
      </c>
      <c r="Q2015">
        <v>52.3</v>
      </c>
    </row>
    <row r="2016" spans="1:17" x14ac:dyDescent="0.25">
      <c r="A2016" s="2">
        <v>45479</v>
      </c>
      <c r="B2016" s="2" t="str">
        <f t="shared" si="62"/>
        <v>Saturday</v>
      </c>
      <c r="C2016" s="2" t="b">
        <f t="shared" si="63"/>
        <v>1</v>
      </c>
      <c r="D2016">
        <v>3</v>
      </c>
      <c r="E2016" t="s">
        <v>7</v>
      </c>
      <c r="F2016">
        <v>285</v>
      </c>
      <c r="G2016" s="3">
        <v>4660.08</v>
      </c>
      <c r="H2016" s="3">
        <f>Miami_Retail[[#This Row],[sales_usd]] / Miami_Retail[[#This Row],[customers]]</f>
        <v>16.351157894736843</v>
      </c>
      <c r="I2016">
        <v>82.1</v>
      </c>
      <c r="J2016">
        <f>(Miami_Retail[[#This Row],[avg_temp_f]]-32) * (5/9)</f>
        <v>27.833333333333332</v>
      </c>
      <c r="K2016">
        <v>0</v>
      </c>
      <c r="L2016">
        <v>0</v>
      </c>
      <c r="M2016">
        <v>57.2</v>
      </c>
      <c r="N2016">
        <v>50.3</v>
      </c>
      <c r="O2016">
        <v>49.7</v>
      </c>
      <c r="P2016">
        <v>53.6</v>
      </c>
      <c r="Q2016">
        <v>46.4</v>
      </c>
    </row>
    <row r="2017" spans="1:17" x14ac:dyDescent="0.25">
      <c r="A2017" s="2">
        <v>45480</v>
      </c>
      <c r="B2017" s="2" t="str">
        <f t="shared" si="62"/>
        <v>Sunday</v>
      </c>
      <c r="C2017" s="2" t="b">
        <f t="shared" si="63"/>
        <v>1</v>
      </c>
      <c r="D2017">
        <v>3</v>
      </c>
      <c r="E2017" t="s">
        <v>7</v>
      </c>
      <c r="F2017">
        <v>294</v>
      </c>
      <c r="G2017" s="3">
        <v>4734.3</v>
      </c>
      <c r="H2017" s="3">
        <f>Miami_Retail[[#This Row],[sales_usd]] / Miami_Retail[[#This Row],[customers]]</f>
        <v>16.103061224489796</v>
      </c>
      <c r="I2017">
        <v>82.3</v>
      </c>
      <c r="J2017">
        <f>(Miami_Retail[[#This Row],[avg_temp_f]]-32) * (5/9)</f>
        <v>27.944444444444443</v>
      </c>
      <c r="K2017">
        <v>0</v>
      </c>
      <c r="L2017">
        <v>0</v>
      </c>
      <c r="M2017">
        <v>61.4</v>
      </c>
      <c r="N2017">
        <v>49.9</v>
      </c>
      <c r="O2017">
        <v>50.1</v>
      </c>
      <c r="P2017">
        <v>52.8</v>
      </c>
      <c r="Q2017">
        <v>47.2</v>
      </c>
    </row>
    <row r="2018" spans="1:17" x14ac:dyDescent="0.25">
      <c r="A2018" s="2">
        <v>45481</v>
      </c>
      <c r="B2018" s="2" t="str">
        <f t="shared" si="62"/>
        <v>Monday</v>
      </c>
      <c r="C2018" s="2" t="b">
        <f t="shared" si="63"/>
        <v>0</v>
      </c>
      <c r="D2018">
        <v>3</v>
      </c>
      <c r="E2018" t="s">
        <v>7</v>
      </c>
      <c r="F2018">
        <v>253</v>
      </c>
      <c r="G2018" s="3">
        <v>4104.67</v>
      </c>
      <c r="H2018" s="3">
        <f>Miami_Retail[[#This Row],[sales_usd]] / Miami_Retail[[#This Row],[customers]]</f>
        <v>16.223992094861661</v>
      </c>
      <c r="I2018">
        <v>86.2</v>
      </c>
      <c r="J2018">
        <f>(Miami_Retail[[#This Row],[avg_temp_f]]-32) * (5/9)</f>
        <v>30.111111111111114</v>
      </c>
      <c r="K2018">
        <v>1.61</v>
      </c>
      <c r="L2018">
        <v>1</v>
      </c>
      <c r="M2018">
        <v>72.3</v>
      </c>
      <c r="N2018">
        <v>50</v>
      </c>
      <c r="O2018">
        <v>50</v>
      </c>
      <c r="P2018">
        <v>46.8</v>
      </c>
      <c r="Q2018">
        <v>53.2</v>
      </c>
    </row>
    <row r="2019" spans="1:17" x14ac:dyDescent="0.25">
      <c r="A2019" s="2">
        <v>45482</v>
      </c>
      <c r="B2019" s="2" t="str">
        <f t="shared" si="62"/>
        <v>Tuesday</v>
      </c>
      <c r="C2019" s="2" t="b">
        <f t="shared" si="63"/>
        <v>0</v>
      </c>
      <c r="D2019">
        <v>3</v>
      </c>
      <c r="E2019" t="s">
        <v>7</v>
      </c>
      <c r="F2019">
        <v>230</v>
      </c>
      <c r="G2019" s="3">
        <v>3939.77</v>
      </c>
      <c r="H2019" s="3">
        <f>Miami_Retail[[#This Row],[sales_usd]] / Miami_Retail[[#This Row],[customers]]</f>
        <v>17.129434782608694</v>
      </c>
      <c r="I2019">
        <v>81.3</v>
      </c>
      <c r="J2019">
        <f>(Miami_Retail[[#This Row],[avg_temp_f]]-32) * (5/9)</f>
        <v>27.388888888888889</v>
      </c>
      <c r="K2019">
        <v>0</v>
      </c>
      <c r="L2019">
        <v>0</v>
      </c>
      <c r="M2019">
        <v>59</v>
      </c>
      <c r="N2019">
        <v>48.5</v>
      </c>
      <c r="O2019">
        <v>51.5</v>
      </c>
      <c r="P2019">
        <v>46.3</v>
      </c>
      <c r="Q2019">
        <v>53.7</v>
      </c>
    </row>
    <row r="2020" spans="1:17" x14ac:dyDescent="0.25">
      <c r="A2020" s="2">
        <v>45483</v>
      </c>
      <c r="B2020" s="2" t="str">
        <f t="shared" si="62"/>
        <v>Wednesday</v>
      </c>
      <c r="C2020" s="2" t="b">
        <f t="shared" si="63"/>
        <v>0</v>
      </c>
      <c r="D2020">
        <v>3</v>
      </c>
      <c r="E2020" t="s">
        <v>7</v>
      </c>
      <c r="F2020">
        <v>251</v>
      </c>
      <c r="G2020" s="3">
        <v>3973.53</v>
      </c>
      <c r="H2020" s="3">
        <f>Miami_Retail[[#This Row],[sales_usd]] / Miami_Retail[[#This Row],[customers]]</f>
        <v>15.830796812749005</v>
      </c>
      <c r="I2020">
        <v>79.099999999999994</v>
      </c>
      <c r="J2020">
        <f>(Miami_Retail[[#This Row],[avg_temp_f]]-32) * (5/9)</f>
        <v>26.166666666666664</v>
      </c>
      <c r="K2020">
        <v>0.73</v>
      </c>
      <c r="L2020">
        <v>1</v>
      </c>
      <c r="M2020">
        <v>59.8</v>
      </c>
      <c r="N2020">
        <v>49.4</v>
      </c>
      <c r="O2020">
        <v>50.6</v>
      </c>
      <c r="P2020">
        <v>46.4</v>
      </c>
      <c r="Q2020">
        <v>53.6</v>
      </c>
    </row>
    <row r="2021" spans="1:17" x14ac:dyDescent="0.25">
      <c r="A2021" s="2">
        <v>45484</v>
      </c>
      <c r="B2021" s="2" t="str">
        <f t="shared" si="62"/>
        <v>Thursday</v>
      </c>
      <c r="C2021" s="2" t="b">
        <f t="shared" si="63"/>
        <v>0</v>
      </c>
      <c r="D2021">
        <v>3</v>
      </c>
      <c r="E2021" t="s">
        <v>7</v>
      </c>
      <c r="F2021">
        <v>245</v>
      </c>
      <c r="G2021" s="3">
        <v>3906.65</v>
      </c>
      <c r="H2021" s="3">
        <f>Miami_Retail[[#This Row],[sales_usd]] / Miami_Retail[[#This Row],[customers]]</f>
        <v>15.945510204081634</v>
      </c>
      <c r="I2021">
        <v>82</v>
      </c>
      <c r="J2021">
        <f>(Miami_Retail[[#This Row],[avg_temp_f]]-32) * (5/9)</f>
        <v>27.777777777777779</v>
      </c>
      <c r="K2021">
        <v>0.63</v>
      </c>
      <c r="L2021">
        <v>1</v>
      </c>
      <c r="M2021">
        <v>65.400000000000006</v>
      </c>
      <c r="N2021">
        <v>49.3</v>
      </c>
      <c r="O2021">
        <v>50.7</v>
      </c>
      <c r="P2021">
        <v>46.5</v>
      </c>
      <c r="Q2021">
        <v>53.5</v>
      </c>
    </row>
    <row r="2022" spans="1:17" x14ac:dyDescent="0.25">
      <c r="A2022" s="2">
        <v>45485</v>
      </c>
      <c r="B2022" s="2" t="str">
        <f t="shared" si="62"/>
        <v>Friday</v>
      </c>
      <c r="C2022" s="2" t="b">
        <f t="shared" si="63"/>
        <v>0</v>
      </c>
      <c r="D2022">
        <v>3</v>
      </c>
      <c r="E2022" t="s">
        <v>7</v>
      </c>
      <c r="F2022">
        <v>221</v>
      </c>
      <c r="G2022" s="3">
        <v>3448.99</v>
      </c>
      <c r="H2022" s="3">
        <f>Miami_Retail[[#This Row],[sales_usd]] / Miami_Retail[[#This Row],[customers]]</f>
        <v>15.606289592760181</v>
      </c>
      <c r="I2022">
        <v>77.099999999999994</v>
      </c>
      <c r="J2022">
        <f>(Miami_Retail[[#This Row],[avg_temp_f]]-32) * (5/9)</f>
        <v>25.055555555555554</v>
      </c>
      <c r="K2022">
        <v>0.73</v>
      </c>
      <c r="L2022">
        <v>1</v>
      </c>
      <c r="M2022">
        <v>68.5</v>
      </c>
      <c r="N2022">
        <v>49.4</v>
      </c>
      <c r="O2022">
        <v>50.6</v>
      </c>
      <c r="P2022">
        <v>47.9</v>
      </c>
      <c r="Q2022">
        <v>52.1</v>
      </c>
    </row>
    <row r="2023" spans="1:17" x14ac:dyDescent="0.25">
      <c r="A2023" s="2">
        <v>45486</v>
      </c>
      <c r="B2023" s="2" t="str">
        <f t="shared" si="62"/>
        <v>Saturday</v>
      </c>
      <c r="C2023" s="2" t="b">
        <f t="shared" si="63"/>
        <v>1</v>
      </c>
      <c r="D2023">
        <v>3</v>
      </c>
      <c r="E2023" t="s">
        <v>7</v>
      </c>
      <c r="F2023">
        <v>279</v>
      </c>
      <c r="G2023" s="3">
        <v>4871.78</v>
      </c>
      <c r="H2023" s="3">
        <f>Miami_Retail[[#This Row],[sales_usd]] / Miami_Retail[[#This Row],[customers]]</f>
        <v>17.461577060931898</v>
      </c>
      <c r="I2023">
        <v>80.3</v>
      </c>
      <c r="J2023">
        <f>(Miami_Retail[[#This Row],[avg_temp_f]]-32) * (5/9)</f>
        <v>26.833333333333332</v>
      </c>
      <c r="K2023">
        <v>0</v>
      </c>
      <c r="L2023">
        <v>0</v>
      </c>
      <c r="M2023">
        <v>73.400000000000006</v>
      </c>
      <c r="N2023">
        <v>49.4</v>
      </c>
      <c r="O2023">
        <v>50.6</v>
      </c>
      <c r="P2023">
        <v>52.8</v>
      </c>
      <c r="Q2023">
        <v>47.2</v>
      </c>
    </row>
    <row r="2024" spans="1:17" x14ac:dyDescent="0.25">
      <c r="A2024" s="2">
        <v>45487</v>
      </c>
      <c r="B2024" s="2" t="str">
        <f t="shared" si="62"/>
        <v>Sunday</v>
      </c>
      <c r="C2024" s="2" t="b">
        <f t="shared" si="63"/>
        <v>1</v>
      </c>
      <c r="D2024">
        <v>3</v>
      </c>
      <c r="E2024" t="s">
        <v>7</v>
      </c>
      <c r="F2024">
        <v>281</v>
      </c>
      <c r="G2024" s="3">
        <v>4557.46</v>
      </c>
      <c r="H2024" s="3">
        <f>Miami_Retail[[#This Row],[sales_usd]] / Miami_Retail[[#This Row],[customers]]</f>
        <v>16.218718861209965</v>
      </c>
      <c r="I2024">
        <v>80.900000000000006</v>
      </c>
      <c r="J2024">
        <f>(Miami_Retail[[#This Row],[avg_temp_f]]-32) * (5/9)</f>
        <v>27.166666666666671</v>
      </c>
      <c r="K2024">
        <v>0</v>
      </c>
      <c r="L2024">
        <v>0</v>
      </c>
      <c r="M2024">
        <v>71.3</v>
      </c>
      <c r="N2024">
        <v>46.5</v>
      </c>
      <c r="O2024">
        <v>53.5</v>
      </c>
      <c r="P2024">
        <v>52.7</v>
      </c>
      <c r="Q2024">
        <v>47.3</v>
      </c>
    </row>
    <row r="2025" spans="1:17" x14ac:dyDescent="0.25">
      <c r="A2025" s="2">
        <v>45488</v>
      </c>
      <c r="B2025" s="2" t="str">
        <f t="shared" si="62"/>
        <v>Monday</v>
      </c>
      <c r="C2025" s="2" t="b">
        <f t="shared" si="63"/>
        <v>0</v>
      </c>
      <c r="D2025">
        <v>3</v>
      </c>
      <c r="E2025" t="s">
        <v>7</v>
      </c>
      <c r="F2025">
        <v>210</v>
      </c>
      <c r="G2025" s="3">
        <v>3486.49</v>
      </c>
      <c r="H2025" s="3">
        <f>Miami_Retail[[#This Row],[sales_usd]] / Miami_Retail[[#This Row],[customers]]</f>
        <v>16.602333333333334</v>
      </c>
      <c r="I2025">
        <v>84.4</v>
      </c>
      <c r="J2025">
        <f>(Miami_Retail[[#This Row],[avg_temp_f]]-32) * (5/9)</f>
        <v>29.111111111111114</v>
      </c>
      <c r="K2025">
        <v>0.56999999999999995</v>
      </c>
      <c r="L2025">
        <v>1</v>
      </c>
      <c r="M2025">
        <v>65.2</v>
      </c>
      <c r="N2025">
        <v>48.1</v>
      </c>
      <c r="O2025">
        <v>51.9</v>
      </c>
      <c r="P2025">
        <v>46.8</v>
      </c>
      <c r="Q2025">
        <v>53.2</v>
      </c>
    </row>
    <row r="2026" spans="1:17" x14ac:dyDescent="0.25">
      <c r="A2026" s="2">
        <v>45489</v>
      </c>
      <c r="B2026" s="2" t="str">
        <f t="shared" si="62"/>
        <v>Tuesday</v>
      </c>
      <c r="C2026" s="2" t="b">
        <f t="shared" si="63"/>
        <v>0</v>
      </c>
      <c r="D2026">
        <v>3</v>
      </c>
      <c r="E2026" t="s">
        <v>7</v>
      </c>
      <c r="F2026">
        <v>254</v>
      </c>
      <c r="G2026" s="3">
        <v>4231.74</v>
      </c>
      <c r="H2026" s="3">
        <f>Miami_Retail[[#This Row],[sales_usd]] / Miami_Retail[[#This Row],[customers]]</f>
        <v>16.660393700787402</v>
      </c>
      <c r="I2026">
        <v>89.4</v>
      </c>
      <c r="J2026">
        <f>(Miami_Retail[[#This Row],[avg_temp_f]]-32) * (5/9)</f>
        <v>31.888888888888893</v>
      </c>
      <c r="K2026">
        <v>0</v>
      </c>
      <c r="L2026">
        <v>0</v>
      </c>
      <c r="M2026">
        <v>69.5</v>
      </c>
      <c r="N2026">
        <v>49.1</v>
      </c>
      <c r="O2026">
        <v>50.9</v>
      </c>
      <c r="P2026">
        <v>47.6</v>
      </c>
      <c r="Q2026">
        <v>52.4</v>
      </c>
    </row>
    <row r="2027" spans="1:17" x14ac:dyDescent="0.25">
      <c r="A2027" s="2">
        <v>45490</v>
      </c>
      <c r="B2027" s="2" t="str">
        <f t="shared" si="62"/>
        <v>Wednesday</v>
      </c>
      <c r="C2027" s="2" t="b">
        <f t="shared" si="63"/>
        <v>0</v>
      </c>
      <c r="D2027">
        <v>3</v>
      </c>
      <c r="E2027" t="s">
        <v>7</v>
      </c>
      <c r="F2027">
        <v>235</v>
      </c>
      <c r="G2027" s="3">
        <v>3767.9</v>
      </c>
      <c r="H2027" s="3">
        <f>Miami_Retail[[#This Row],[sales_usd]] / Miami_Retail[[#This Row],[customers]]</f>
        <v>16.033617021276598</v>
      </c>
      <c r="I2027">
        <v>80.7</v>
      </c>
      <c r="J2027">
        <f>(Miami_Retail[[#This Row],[avg_temp_f]]-32) * (5/9)</f>
        <v>27.055555555555557</v>
      </c>
      <c r="K2027">
        <v>0</v>
      </c>
      <c r="L2027">
        <v>0</v>
      </c>
      <c r="M2027">
        <v>63.8</v>
      </c>
      <c r="N2027">
        <v>48</v>
      </c>
      <c r="O2027">
        <v>52</v>
      </c>
      <c r="P2027">
        <v>46.6</v>
      </c>
      <c r="Q2027">
        <v>53.4</v>
      </c>
    </row>
    <row r="2028" spans="1:17" x14ac:dyDescent="0.25">
      <c r="A2028" s="2">
        <v>45491</v>
      </c>
      <c r="B2028" s="2" t="str">
        <f t="shared" si="62"/>
        <v>Thursday</v>
      </c>
      <c r="C2028" s="2" t="b">
        <f t="shared" si="63"/>
        <v>0</v>
      </c>
      <c r="D2028">
        <v>3</v>
      </c>
      <c r="E2028" t="s">
        <v>7</v>
      </c>
      <c r="F2028">
        <v>232</v>
      </c>
      <c r="G2028" s="3">
        <v>3428.31</v>
      </c>
      <c r="H2028" s="3">
        <f>Miami_Retail[[#This Row],[sales_usd]] / Miami_Retail[[#This Row],[customers]]</f>
        <v>14.777198275862069</v>
      </c>
      <c r="I2028">
        <v>80.3</v>
      </c>
      <c r="J2028">
        <f>(Miami_Retail[[#This Row],[avg_temp_f]]-32) * (5/9)</f>
        <v>26.833333333333332</v>
      </c>
      <c r="K2028">
        <v>0.57999999999999996</v>
      </c>
      <c r="L2028">
        <v>1</v>
      </c>
      <c r="M2028">
        <v>77.7</v>
      </c>
      <c r="N2028">
        <v>49.2</v>
      </c>
      <c r="O2028">
        <v>50.8</v>
      </c>
      <c r="P2028">
        <v>48.3</v>
      </c>
      <c r="Q2028">
        <v>51.7</v>
      </c>
    </row>
    <row r="2029" spans="1:17" x14ac:dyDescent="0.25">
      <c r="A2029" s="2">
        <v>45492</v>
      </c>
      <c r="B2029" s="2" t="str">
        <f t="shared" si="62"/>
        <v>Friday</v>
      </c>
      <c r="C2029" s="2" t="b">
        <f t="shared" si="63"/>
        <v>0</v>
      </c>
      <c r="D2029">
        <v>3</v>
      </c>
      <c r="E2029" t="s">
        <v>7</v>
      </c>
      <c r="F2029">
        <v>243</v>
      </c>
      <c r="G2029" s="3">
        <v>4191.59</v>
      </c>
      <c r="H2029" s="3">
        <f>Miami_Retail[[#This Row],[sales_usd]] / Miami_Retail[[#This Row],[customers]]</f>
        <v>17.249341563786007</v>
      </c>
      <c r="I2029">
        <v>81</v>
      </c>
      <c r="J2029">
        <f>(Miami_Retail[[#This Row],[avg_temp_f]]-32) * (5/9)</f>
        <v>27.222222222222225</v>
      </c>
      <c r="K2029">
        <v>0</v>
      </c>
      <c r="L2029">
        <v>0</v>
      </c>
      <c r="M2029">
        <v>68.3</v>
      </c>
      <c r="N2029">
        <v>47.4</v>
      </c>
      <c r="O2029">
        <v>52.6</v>
      </c>
      <c r="P2029">
        <v>45.5</v>
      </c>
      <c r="Q2029">
        <v>54.5</v>
      </c>
    </row>
    <row r="2030" spans="1:17" x14ac:dyDescent="0.25">
      <c r="A2030" s="2">
        <v>45493</v>
      </c>
      <c r="B2030" s="2" t="str">
        <f t="shared" si="62"/>
        <v>Saturday</v>
      </c>
      <c r="C2030" s="2" t="b">
        <f t="shared" si="63"/>
        <v>1</v>
      </c>
      <c r="D2030">
        <v>3</v>
      </c>
      <c r="E2030" t="s">
        <v>7</v>
      </c>
      <c r="F2030">
        <v>290</v>
      </c>
      <c r="G2030" s="3">
        <v>4403.3599999999997</v>
      </c>
      <c r="H2030" s="3">
        <f>Miami_Retail[[#This Row],[sales_usd]] / Miami_Retail[[#This Row],[customers]]</f>
        <v>15.183999999999999</v>
      </c>
      <c r="I2030">
        <v>85.9</v>
      </c>
      <c r="J2030">
        <f>(Miami_Retail[[#This Row],[avg_temp_f]]-32) * (5/9)</f>
        <v>29.94444444444445</v>
      </c>
      <c r="K2030">
        <v>0</v>
      </c>
      <c r="L2030">
        <v>0</v>
      </c>
      <c r="M2030">
        <v>77.099999999999994</v>
      </c>
      <c r="N2030">
        <v>48</v>
      </c>
      <c r="O2030">
        <v>52</v>
      </c>
      <c r="P2030">
        <v>51.4</v>
      </c>
      <c r="Q2030">
        <v>48.6</v>
      </c>
    </row>
    <row r="2031" spans="1:17" x14ac:dyDescent="0.25">
      <c r="A2031" s="2">
        <v>45494</v>
      </c>
      <c r="B2031" s="2" t="str">
        <f t="shared" si="62"/>
        <v>Sunday</v>
      </c>
      <c r="C2031" s="2" t="b">
        <f t="shared" si="63"/>
        <v>1</v>
      </c>
      <c r="D2031">
        <v>3</v>
      </c>
      <c r="E2031" t="s">
        <v>7</v>
      </c>
      <c r="F2031">
        <v>252</v>
      </c>
      <c r="G2031" s="3">
        <v>4416.8500000000004</v>
      </c>
      <c r="H2031" s="3">
        <f>Miami_Retail[[#This Row],[sales_usd]] / Miami_Retail[[#This Row],[customers]]</f>
        <v>17.527182539682542</v>
      </c>
      <c r="I2031">
        <v>84.5</v>
      </c>
      <c r="J2031">
        <f>(Miami_Retail[[#This Row],[avg_temp_f]]-32) * (5/9)</f>
        <v>29.166666666666668</v>
      </c>
      <c r="K2031">
        <v>0</v>
      </c>
      <c r="L2031">
        <v>0</v>
      </c>
      <c r="M2031">
        <v>70.2</v>
      </c>
      <c r="N2031">
        <v>45.5</v>
      </c>
      <c r="O2031">
        <v>54.5</v>
      </c>
      <c r="P2031">
        <v>51.2</v>
      </c>
      <c r="Q2031">
        <v>48.8</v>
      </c>
    </row>
    <row r="2032" spans="1:17" x14ac:dyDescent="0.25">
      <c r="A2032" s="2">
        <v>45495</v>
      </c>
      <c r="B2032" s="2" t="str">
        <f t="shared" si="62"/>
        <v>Monday</v>
      </c>
      <c r="C2032" s="2" t="b">
        <f t="shared" si="63"/>
        <v>0</v>
      </c>
      <c r="D2032">
        <v>3</v>
      </c>
      <c r="E2032" t="s">
        <v>7</v>
      </c>
      <c r="F2032">
        <v>302</v>
      </c>
      <c r="G2032" s="3">
        <v>5175.41</v>
      </c>
      <c r="H2032" s="3">
        <f>Miami_Retail[[#This Row],[sales_usd]] / Miami_Retail[[#This Row],[customers]]</f>
        <v>17.137119205298013</v>
      </c>
      <c r="I2032">
        <v>92.5</v>
      </c>
      <c r="J2032">
        <f>(Miami_Retail[[#This Row],[avg_temp_f]]-32) * (5/9)</f>
        <v>33.611111111111114</v>
      </c>
      <c r="K2032">
        <v>0</v>
      </c>
      <c r="L2032">
        <v>0</v>
      </c>
      <c r="M2032">
        <v>70.900000000000006</v>
      </c>
      <c r="N2032">
        <v>48.8</v>
      </c>
      <c r="O2032">
        <v>51.2</v>
      </c>
      <c r="P2032">
        <v>47.4</v>
      </c>
      <c r="Q2032">
        <v>52.6</v>
      </c>
    </row>
    <row r="2033" spans="1:17" x14ac:dyDescent="0.25">
      <c r="A2033" s="2">
        <v>45496</v>
      </c>
      <c r="B2033" s="2" t="str">
        <f t="shared" si="62"/>
        <v>Tuesday</v>
      </c>
      <c r="C2033" s="2" t="b">
        <f t="shared" si="63"/>
        <v>0</v>
      </c>
      <c r="D2033">
        <v>3</v>
      </c>
      <c r="E2033" t="s">
        <v>7</v>
      </c>
      <c r="F2033">
        <v>269</v>
      </c>
      <c r="G2033" s="3">
        <v>4572.4399999999996</v>
      </c>
      <c r="H2033" s="3">
        <f>Miami_Retail[[#This Row],[sales_usd]] / Miami_Retail[[#This Row],[customers]]</f>
        <v>16.997918215613382</v>
      </c>
      <c r="I2033">
        <v>87.1</v>
      </c>
      <c r="J2033">
        <f>(Miami_Retail[[#This Row],[avg_temp_f]]-32) * (5/9)</f>
        <v>30.611111111111111</v>
      </c>
      <c r="K2033">
        <v>0</v>
      </c>
      <c r="L2033">
        <v>0</v>
      </c>
      <c r="M2033">
        <v>71.900000000000006</v>
      </c>
      <c r="N2033">
        <v>48</v>
      </c>
      <c r="O2033">
        <v>52</v>
      </c>
      <c r="P2033">
        <v>47.2</v>
      </c>
      <c r="Q2033">
        <v>52.8</v>
      </c>
    </row>
    <row r="2034" spans="1:17" x14ac:dyDescent="0.25">
      <c r="A2034" s="2">
        <v>45497</v>
      </c>
      <c r="B2034" s="2" t="str">
        <f t="shared" si="62"/>
        <v>Wednesday</v>
      </c>
      <c r="C2034" s="2" t="b">
        <f t="shared" si="63"/>
        <v>0</v>
      </c>
      <c r="D2034">
        <v>3</v>
      </c>
      <c r="E2034" t="s">
        <v>7</v>
      </c>
      <c r="F2034">
        <v>240</v>
      </c>
      <c r="G2034" s="3">
        <v>4101.2</v>
      </c>
      <c r="H2034" s="3">
        <f>Miami_Retail[[#This Row],[sales_usd]] / Miami_Retail[[#This Row],[customers]]</f>
        <v>17.088333333333331</v>
      </c>
      <c r="I2034">
        <v>81.3</v>
      </c>
      <c r="J2034">
        <f>(Miami_Retail[[#This Row],[avg_temp_f]]-32) * (5/9)</f>
        <v>27.388888888888889</v>
      </c>
      <c r="K2034">
        <v>0.33</v>
      </c>
      <c r="L2034">
        <v>1</v>
      </c>
      <c r="M2034">
        <v>60.8</v>
      </c>
      <c r="N2034">
        <v>46.4</v>
      </c>
      <c r="O2034">
        <v>53.6</v>
      </c>
      <c r="P2034">
        <v>47.6</v>
      </c>
      <c r="Q2034">
        <v>52.4</v>
      </c>
    </row>
    <row r="2035" spans="1:17" x14ac:dyDescent="0.25">
      <c r="A2035" s="2">
        <v>45498</v>
      </c>
      <c r="B2035" s="2" t="str">
        <f t="shared" si="62"/>
        <v>Thursday</v>
      </c>
      <c r="C2035" s="2" t="b">
        <f t="shared" si="63"/>
        <v>0</v>
      </c>
      <c r="D2035">
        <v>3</v>
      </c>
      <c r="E2035" t="s">
        <v>7</v>
      </c>
      <c r="F2035">
        <v>283</v>
      </c>
      <c r="G2035" s="3">
        <v>4618.0600000000004</v>
      </c>
      <c r="H2035" s="3">
        <f>Miami_Retail[[#This Row],[sales_usd]] / Miami_Retail[[#This Row],[customers]]</f>
        <v>16.318233215547703</v>
      </c>
      <c r="I2035">
        <v>87.7</v>
      </c>
      <c r="J2035">
        <f>(Miami_Retail[[#This Row],[avg_temp_f]]-32) * (5/9)</f>
        <v>30.944444444444446</v>
      </c>
      <c r="K2035">
        <v>0</v>
      </c>
      <c r="L2035">
        <v>0</v>
      </c>
      <c r="M2035">
        <v>70.099999999999994</v>
      </c>
      <c r="N2035">
        <v>49.5</v>
      </c>
      <c r="O2035">
        <v>50.5</v>
      </c>
      <c r="P2035">
        <v>46.2</v>
      </c>
      <c r="Q2035">
        <v>53.8</v>
      </c>
    </row>
    <row r="2036" spans="1:17" x14ac:dyDescent="0.25">
      <c r="A2036" s="2">
        <v>45499</v>
      </c>
      <c r="B2036" s="2" t="str">
        <f t="shared" si="62"/>
        <v>Friday</v>
      </c>
      <c r="C2036" s="2" t="b">
        <f t="shared" si="63"/>
        <v>0</v>
      </c>
      <c r="D2036">
        <v>3</v>
      </c>
      <c r="E2036" t="s">
        <v>7</v>
      </c>
      <c r="F2036">
        <v>248</v>
      </c>
      <c r="G2036" s="3">
        <v>4247.8100000000004</v>
      </c>
      <c r="H2036" s="3">
        <f>Miami_Retail[[#This Row],[sales_usd]] / Miami_Retail[[#This Row],[customers]]</f>
        <v>17.128266129032259</v>
      </c>
      <c r="I2036">
        <v>87</v>
      </c>
      <c r="J2036">
        <f>(Miami_Retail[[#This Row],[avg_temp_f]]-32) * (5/9)</f>
        <v>30.555555555555557</v>
      </c>
      <c r="K2036">
        <v>1.0900000000000001</v>
      </c>
      <c r="L2036">
        <v>1</v>
      </c>
      <c r="M2036">
        <v>64.5</v>
      </c>
      <c r="N2036">
        <v>48.3</v>
      </c>
      <c r="O2036">
        <v>51.7</v>
      </c>
      <c r="P2036">
        <v>46.2</v>
      </c>
      <c r="Q2036">
        <v>53.8</v>
      </c>
    </row>
    <row r="2037" spans="1:17" x14ac:dyDescent="0.25">
      <c r="A2037" s="2">
        <v>45500</v>
      </c>
      <c r="B2037" s="2" t="str">
        <f t="shared" si="62"/>
        <v>Saturday</v>
      </c>
      <c r="C2037" s="2" t="b">
        <f t="shared" si="63"/>
        <v>1</v>
      </c>
      <c r="D2037">
        <v>3</v>
      </c>
      <c r="E2037" t="s">
        <v>7</v>
      </c>
      <c r="F2037">
        <v>286</v>
      </c>
      <c r="G2037" s="3">
        <v>4668.49</v>
      </c>
      <c r="H2037" s="3">
        <f>Miami_Retail[[#This Row],[sales_usd]] / Miami_Retail[[#This Row],[customers]]</f>
        <v>16.323391608391606</v>
      </c>
      <c r="I2037">
        <v>82.5</v>
      </c>
      <c r="J2037">
        <f>(Miami_Retail[[#This Row],[avg_temp_f]]-32) * (5/9)</f>
        <v>28.055555555555557</v>
      </c>
      <c r="K2037">
        <v>0</v>
      </c>
      <c r="L2037">
        <v>0</v>
      </c>
      <c r="M2037">
        <v>69.099999999999994</v>
      </c>
      <c r="N2037">
        <v>48.2</v>
      </c>
      <c r="O2037">
        <v>51.8</v>
      </c>
      <c r="P2037">
        <v>52.4</v>
      </c>
      <c r="Q2037">
        <v>47.6</v>
      </c>
    </row>
    <row r="2038" spans="1:17" x14ac:dyDescent="0.25">
      <c r="A2038" s="2">
        <v>45501</v>
      </c>
      <c r="B2038" s="2" t="str">
        <f t="shared" si="62"/>
        <v>Sunday</v>
      </c>
      <c r="C2038" s="2" t="b">
        <f t="shared" si="63"/>
        <v>1</v>
      </c>
      <c r="D2038">
        <v>3</v>
      </c>
      <c r="E2038" t="s">
        <v>7</v>
      </c>
      <c r="F2038">
        <v>313</v>
      </c>
      <c r="G2038" s="3">
        <v>5216.8999999999996</v>
      </c>
      <c r="H2038" s="3">
        <f>Miami_Retail[[#This Row],[sales_usd]] / Miami_Retail[[#This Row],[customers]]</f>
        <v>16.667412140575077</v>
      </c>
      <c r="I2038">
        <v>88.3</v>
      </c>
      <c r="J2038">
        <f>(Miami_Retail[[#This Row],[avg_temp_f]]-32) * (5/9)</f>
        <v>31.277777777777779</v>
      </c>
      <c r="K2038">
        <v>0</v>
      </c>
      <c r="L2038">
        <v>0</v>
      </c>
      <c r="M2038">
        <v>66.5</v>
      </c>
      <c r="N2038">
        <v>47.2</v>
      </c>
      <c r="O2038">
        <v>52.8</v>
      </c>
      <c r="P2038">
        <v>54</v>
      </c>
      <c r="Q2038">
        <v>46</v>
      </c>
    </row>
    <row r="2039" spans="1:17" x14ac:dyDescent="0.25">
      <c r="A2039" s="2">
        <v>45502</v>
      </c>
      <c r="B2039" s="2" t="str">
        <f t="shared" si="62"/>
        <v>Monday</v>
      </c>
      <c r="C2039" s="2" t="b">
        <f t="shared" si="63"/>
        <v>0</v>
      </c>
      <c r="D2039">
        <v>3</v>
      </c>
      <c r="E2039" t="s">
        <v>7</v>
      </c>
      <c r="F2039">
        <v>253</v>
      </c>
      <c r="G2039" s="3">
        <v>3953.77</v>
      </c>
      <c r="H2039" s="3">
        <f>Miami_Retail[[#This Row],[sales_usd]] / Miami_Retail[[#This Row],[customers]]</f>
        <v>15.627549407114625</v>
      </c>
      <c r="I2039">
        <v>85.5</v>
      </c>
      <c r="J2039">
        <f>(Miami_Retail[[#This Row],[avg_temp_f]]-32) * (5/9)</f>
        <v>29.722222222222225</v>
      </c>
      <c r="K2039">
        <v>0</v>
      </c>
      <c r="L2039">
        <v>0</v>
      </c>
      <c r="M2039">
        <v>68.8</v>
      </c>
      <c r="N2039">
        <v>48</v>
      </c>
      <c r="O2039">
        <v>52</v>
      </c>
      <c r="P2039">
        <v>47.7</v>
      </c>
      <c r="Q2039">
        <v>52.3</v>
      </c>
    </row>
    <row r="2040" spans="1:17" x14ac:dyDescent="0.25">
      <c r="A2040" s="2">
        <v>45503</v>
      </c>
      <c r="B2040" s="2" t="str">
        <f t="shared" si="62"/>
        <v>Tuesday</v>
      </c>
      <c r="C2040" s="2" t="b">
        <f t="shared" si="63"/>
        <v>0</v>
      </c>
      <c r="D2040">
        <v>3</v>
      </c>
      <c r="E2040" t="s">
        <v>7</v>
      </c>
      <c r="F2040">
        <v>278</v>
      </c>
      <c r="G2040" s="3">
        <v>4859.0200000000004</v>
      </c>
      <c r="H2040" s="3">
        <f>Miami_Retail[[#This Row],[sales_usd]] / Miami_Retail[[#This Row],[customers]]</f>
        <v>17.478489208633096</v>
      </c>
      <c r="I2040">
        <v>88.2</v>
      </c>
      <c r="J2040">
        <f>(Miami_Retail[[#This Row],[avg_temp_f]]-32) * (5/9)</f>
        <v>31.222222222222225</v>
      </c>
      <c r="K2040">
        <v>0.5</v>
      </c>
      <c r="L2040">
        <v>1</v>
      </c>
      <c r="M2040">
        <v>68.2</v>
      </c>
      <c r="N2040">
        <v>48</v>
      </c>
      <c r="O2040">
        <v>52</v>
      </c>
      <c r="P2040">
        <v>45.4</v>
      </c>
      <c r="Q2040">
        <v>54.6</v>
      </c>
    </row>
    <row r="2041" spans="1:17" x14ac:dyDescent="0.25">
      <c r="A2041" s="2">
        <v>45504</v>
      </c>
      <c r="B2041" s="2" t="str">
        <f t="shared" si="62"/>
        <v>Wednesday</v>
      </c>
      <c r="C2041" s="2" t="b">
        <f t="shared" si="63"/>
        <v>0</v>
      </c>
      <c r="D2041">
        <v>3</v>
      </c>
      <c r="E2041" t="s">
        <v>7</v>
      </c>
      <c r="F2041">
        <v>281</v>
      </c>
      <c r="G2041" s="3">
        <v>4615.37</v>
      </c>
      <c r="H2041" s="3">
        <f>Miami_Retail[[#This Row],[sales_usd]] / Miami_Retail[[#This Row],[customers]]</f>
        <v>16.424804270462634</v>
      </c>
      <c r="I2041">
        <v>86.7</v>
      </c>
      <c r="J2041">
        <f>(Miami_Retail[[#This Row],[avg_temp_f]]-32) * (5/9)</f>
        <v>30.388888888888893</v>
      </c>
      <c r="K2041">
        <v>0</v>
      </c>
      <c r="L2041">
        <v>0</v>
      </c>
      <c r="M2041">
        <v>69.3</v>
      </c>
      <c r="N2041">
        <v>48.5</v>
      </c>
      <c r="O2041">
        <v>51.5</v>
      </c>
      <c r="P2041">
        <v>47.1</v>
      </c>
      <c r="Q2041">
        <v>52.9</v>
      </c>
    </row>
    <row r="2042" spans="1:17" x14ac:dyDescent="0.25">
      <c r="A2042" s="2">
        <v>45505</v>
      </c>
      <c r="B2042" s="2" t="str">
        <f t="shared" si="62"/>
        <v>Thursday</v>
      </c>
      <c r="C2042" s="2" t="b">
        <f t="shared" si="63"/>
        <v>0</v>
      </c>
      <c r="D2042">
        <v>3</v>
      </c>
      <c r="E2042" t="s">
        <v>7</v>
      </c>
      <c r="F2042">
        <v>229</v>
      </c>
      <c r="G2042" s="3">
        <v>3857.31</v>
      </c>
      <c r="H2042" s="3">
        <f>Miami_Retail[[#This Row],[sales_usd]] / Miami_Retail[[#This Row],[customers]]</f>
        <v>16.844148471615721</v>
      </c>
      <c r="I2042">
        <v>88.1</v>
      </c>
      <c r="J2042">
        <f>(Miami_Retail[[#This Row],[avg_temp_f]]-32) * (5/9)</f>
        <v>31.166666666666664</v>
      </c>
      <c r="K2042">
        <v>0.99</v>
      </c>
      <c r="L2042">
        <v>1</v>
      </c>
      <c r="M2042">
        <v>65.7</v>
      </c>
      <c r="N2042">
        <v>48.7</v>
      </c>
      <c r="O2042">
        <v>51.3</v>
      </c>
      <c r="P2042">
        <v>46.4</v>
      </c>
      <c r="Q2042">
        <v>53.6</v>
      </c>
    </row>
    <row r="2043" spans="1:17" x14ac:dyDescent="0.25">
      <c r="A2043" s="2">
        <v>45506</v>
      </c>
      <c r="B2043" s="2" t="str">
        <f t="shared" si="62"/>
        <v>Friday</v>
      </c>
      <c r="C2043" s="2" t="b">
        <f t="shared" si="63"/>
        <v>0</v>
      </c>
      <c r="D2043">
        <v>3</v>
      </c>
      <c r="E2043" t="s">
        <v>7</v>
      </c>
      <c r="F2043">
        <v>256</v>
      </c>
      <c r="G2043" s="3">
        <v>4543.68</v>
      </c>
      <c r="H2043" s="3">
        <f>Miami_Retail[[#This Row],[sales_usd]] / Miami_Retail[[#This Row],[customers]]</f>
        <v>17.748750000000001</v>
      </c>
      <c r="I2043">
        <v>87.9</v>
      </c>
      <c r="J2043">
        <f>(Miami_Retail[[#This Row],[avg_temp_f]]-32) * (5/9)</f>
        <v>31.055555555555561</v>
      </c>
      <c r="K2043">
        <v>0</v>
      </c>
      <c r="L2043">
        <v>0</v>
      </c>
      <c r="M2043">
        <v>74.2</v>
      </c>
      <c r="N2043">
        <v>48.6</v>
      </c>
      <c r="O2043">
        <v>51.4</v>
      </c>
      <c r="P2043">
        <v>46.8</v>
      </c>
      <c r="Q2043">
        <v>53.2</v>
      </c>
    </row>
    <row r="2044" spans="1:17" x14ac:dyDescent="0.25">
      <c r="A2044" s="2">
        <v>45507</v>
      </c>
      <c r="B2044" s="2" t="str">
        <f t="shared" si="62"/>
        <v>Saturday</v>
      </c>
      <c r="C2044" s="2" t="b">
        <f t="shared" si="63"/>
        <v>1</v>
      </c>
      <c r="D2044">
        <v>3</v>
      </c>
      <c r="E2044" t="s">
        <v>7</v>
      </c>
      <c r="F2044">
        <v>292</v>
      </c>
      <c r="G2044" s="3">
        <v>4780.3500000000004</v>
      </c>
      <c r="H2044" s="3">
        <f>Miami_Retail[[#This Row],[sales_usd]] / Miami_Retail[[#This Row],[customers]]</f>
        <v>16.371061643835617</v>
      </c>
      <c r="I2044">
        <v>86.5</v>
      </c>
      <c r="J2044">
        <f>(Miami_Retail[[#This Row],[avg_temp_f]]-32) * (5/9)</f>
        <v>30.277777777777779</v>
      </c>
      <c r="K2044">
        <v>0</v>
      </c>
      <c r="L2044">
        <v>0</v>
      </c>
      <c r="M2044">
        <v>68.599999999999994</v>
      </c>
      <c r="N2044">
        <v>49.5</v>
      </c>
      <c r="O2044">
        <v>50.5</v>
      </c>
      <c r="P2044">
        <v>52.9</v>
      </c>
      <c r="Q2044">
        <v>47.1</v>
      </c>
    </row>
    <row r="2045" spans="1:17" x14ac:dyDescent="0.25">
      <c r="A2045" s="2">
        <v>45508</v>
      </c>
      <c r="B2045" s="2" t="str">
        <f t="shared" si="62"/>
        <v>Sunday</v>
      </c>
      <c r="C2045" s="2" t="b">
        <f t="shared" si="63"/>
        <v>1</v>
      </c>
      <c r="D2045">
        <v>3</v>
      </c>
      <c r="E2045" t="s">
        <v>7</v>
      </c>
      <c r="F2045">
        <v>298</v>
      </c>
      <c r="G2045" s="3">
        <v>4807.83</v>
      </c>
      <c r="H2045" s="3">
        <f>Miami_Retail[[#This Row],[sales_usd]] / Miami_Retail[[#This Row],[customers]]</f>
        <v>16.133657718120805</v>
      </c>
      <c r="I2045">
        <v>86.9</v>
      </c>
      <c r="J2045">
        <f>(Miami_Retail[[#This Row],[avg_temp_f]]-32) * (5/9)</f>
        <v>30.500000000000004</v>
      </c>
      <c r="K2045">
        <v>0</v>
      </c>
      <c r="L2045">
        <v>0</v>
      </c>
      <c r="M2045">
        <v>76.900000000000006</v>
      </c>
      <c r="N2045">
        <v>48.5</v>
      </c>
      <c r="O2045">
        <v>51.5</v>
      </c>
      <c r="P2045">
        <v>51.5</v>
      </c>
      <c r="Q2045">
        <v>48.5</v>
      </c>
    </row>
    <row r="2046" spans="1:17" x14ac:dyDescent="0.25">
      <c r="A2046" s="2">
        <v>45509</v>
      </c>
      <c r="B2046" s="2" t="str">
        <f t="shared" si="62"/>
        <v>Monday</v>
      </c>
      <c r="C2046" s="2" t="b">
        <f t="shared" si="63"/>
        <v>0</v>
      </c>
      <c r="D2046">
        <v>3</v>
      </c>
      <c r="E2046" t="s">
        <v>7</v>
      </c>
      <c r="F2046">
        <v>270</v>
      </c>
      <c r="G2046" s="3">
        <v>4857.18</v>
      </c>
      <c r="H2046" s="3">
        <f>Miami_Retail[[#This Row],[sales_usd]] / Miami_Retail[[#This Row],[customers]]</f>
        <v>17.989555555555558</v>
      </c>
      <c r="I2046">
        <v>90.7</v>
      </c>
      <c r="J2046">
        <f>(Miami_Retail[[#This Row],[avg_temp_f]]-32) * (5/9)</f>
        <v>32.611111111111114</v>
      </c>
      <c r="K2046">
        <v>0</v>
      </c>
      <c r="L2046">
        <v>0</v>
      </c>
      <c r="M2046">
        <v>71.7</v>
      </c>
      <c r="N2046">
        <v>47.5</v>
      </c>
      <c r="O2046">
        <v>52.5</v>
      </c>
      <c r="P2046">
        <v>47.3</v>
      </c>
      <c r="Q2046">
        <v>52.7</v>
      </c>
    </row>
    <row r="2047" spans="1:17" x14ac:dyDescent="0.25">
      <c r="A2047" s="2">
        <v>45510</v>
      </c>
      <c r="B2047" s="2" t="str">
        <f t="shared" si="62"/>
        <v>Tuesday</v>
      </c>
      <c r="C2047" s="2" t="b">
        <f t="shared" si="63"/>
        <v>0</v>
      </c>
      <c r="D2047">
        <v>3</v>
      </c>
      <c r="E2047" t="s">
        <v>7</v>
      </c>
      <c r="F2047">
        <v>274</v>
      </c>
      <c r="G2047" s="3">
        <v>4180.24</v>
      </c>
      <c r="H2047" s="3">
        <f>Miami_Retail[[#This Row],[sales_usd]] / Miami_Retail[[#This Row],[customers]]</f>
        <v>15.256350364963502</v>
      </c>
      <c r="I2047">
        <v>84.8</v>
      </c>
      <c r="J2047">
        <f>(Miami_Retail[[#This Row],[avg_temp_f]]-32) * (5/9)</f>
        <v>29.333333333333332</v>
      </c>
      <c r="K2047">
        <v>0</v>
      </c>
      <c r="L2047">
        <v>0</v>
      </c>
      <c r="M2047">
        <v>84</v>
      </c>
      <c r="N2047">
        <v>45.2</v>
      </c>
      <c r="O2047">
        <v>54.8</v>
      </c>
      <c r="P2047">
        <v>46.2</v>
      </c>
      <c r="Q2047">
        <v>53.8</v>
      </c>
    </row>
    <row r="2048" spans="1:17" x14ac:dyDescent="0.25">
      <c r="A2048" s="2">
        <v>45511</v>
      </c>
      <c r="B2048" s="2" t="str">
        <f t="shared" si="62"/>
        <v>Wednesday</v>
      </c>
      <c r="C2048" s="2" t="b">
        <f t="shared" si="63"/>
        <v>0</v>
      </c>
      <c r="D2048">
        <v>3</v>
      </c>
      <c r="E2048" t="s">
        <v>7</v>
      </c>
      <c r="F2048">
        <v>291</v>
      </c>
      <c r="G2048" s="3">
        <v>4872.5600000000004</v>
      </c>
      <c r="H2048" s="3">
        <f>Miami_Retail[[#This Row],[sales_usd]] / Miami_Retail[[#This Row],[customers]]</f>
        <v>16.744192439862545</v>
      </c>
      <c r="I2048">
        <v>89.5</v>
      </c>
      <c r="J2048">
        <f>(Miami_Retail[[#This Row],[avg_temp_f]]-32) * (5/9)</f>
        <v>31.944444444444446</v>
      </c>
      <c r="K2048">
        <v>1.25</v>
      </c>
      <c r="L2048">
        <v>1</v>
      </c>
      <c r="M2048">
        <v>73.3</v>
      </c>
      <c r="N2048">
        <v>46.7</v>
      </c>
      <c r="O2048">
        <v>53.3</v>
      </c>
      <c r="P2048">
        <v>46.3</v>
      </c>
      <c r="Q2048">
        <v>53.7</v>
      </c>
    </row>
    <row r="2049" spans="1:17" x14ac:dyDescent="0.25">
      <c r="A2049" s="2">
        <v>45512</v>
      </c>
      <c r="B2049" s="2" t="str">
        <f t="shared" si="62"/>
        <v>Thursday</v>
      </c>
      <c r="C2049" s="2" t="b">
        <f t="shared" si="63"/>
        <v>0</v>
      </c>
      <c r="D2049">
        <v>3</v>
      </c>
      <c r="E2049" t="s">
        <v>7</v>
      </c>
      <c r="F2049">
        <v>270</v>
      </c>
      <c r="G2049" s="3">
        <v>4487.33</v>
      </c>
      <c r="H2049" s="3">
        <f>Miami_Retail[[#This Row],[sales_usd]] / Miami_Retail[[#This Row],[customers]]</f>
        <v>16.619740740740742</v>
      </c>
      <c r="I2049">
        <v>91.6</v>
      </c>
      <c r="J2049">
        <f>(Miami_Retail[[#This Row],[avg_temp_f]]-32) * (5/9)</f>
        <v>33.111111111111107</v>
      </c>
      <c r="K2049">
        <v>0</v>
      </c>
      <c r="L2049">
        <v>0</v>
      </c>
      <c r="M2049">
        <v>73.2</v>
      </c>
      <c r="N2049">
        <v>46.9</v>
      </c>
      <c r="O2049">
        <v>53.1</v>
      </c>
      <c r="P2049">
        <v>47.2</v>
      </c>
      <c r="Q2049">
        <v>52.8</v>
      </c>
    </row>
    <row r="2050" spans="1:17" x14ac:dyDescent="0.25">
      <c r="A2050" s="2">
        <v>45513</v>
      </c>
      <c r="B2050" s="2" t="str">
        <f t="shared" ref="B2050:B2113" si="64">TEXT(A2050, "dddd")</f>
        <v>Friday</v>
      </c>
      <c r="C2050" s="2" t="b">
        <f t="shared" ref="C2050:C2113" si="65">IF(WEEKDAY(A2050,2)&gt;5,TRUE,FALSE)</f>
        <v>0</v>
      </c>
      <c r="D2050">
        <v>3</v>
      </c>
      <c r="E2050" t="s">
        <v>7</v>
      </c>
      <c r="F2050">
        <v>262</v>
      </c>
      <c r="G2050" s="3">
        <v>4280.1000000000004</v>
      </c>
      <c r="H2050" s="3">
        <f>Miami_Retail[[#This Row],[sales_usd]] / Miami_Retail[[#This Row],[customers]]</f>
        <v>16.336259541984735</v>
      </c>
      <c r="I2050">
        <v>83.8</v>
      </c>
      <c r="J2050">
        <f>(Miami_Retail[[#This Row],[avg_temp_f]]-32) * (5/9)</f>
        <v>28.777777777777779</v>
      </c>
      <c r="K2050">
        <v>0.97</v>
      </c>
      <c r="L2050">
        <v>1</v>
      </c>
      <c r="M2050">
        <v>69.400000000000006</v>
      </c>
      <c r="N2050">
        <v>46.9</v>
      </c>
      <c r="O2050">
        <v>53.1</v>
      </c>
      <c r="P2050">
        <v>47.3</v>
      </c>
      <c r="Q2050">
        <v>52.7</v>
      </c>
    </row>
    <row r="2051" spans="1:17" x14ac:dyDescent="0.25">
      <c r="A2051" s="2">
        <v>45514</v>
      </c>
      <c r="B2051" s="2" t="str">
        <f t="shared" si="64"/>
        <v>Saturday</v>
      </c>
      <c r="C2051" s="2" t="b">
        <f t="shared" si="65"/>
        <v>1</v>
      </c>
      <c r="D2051">
        <v>3</v>
      </c>
      <c r="E2051" t="s">
        <v>7</v>
      </c>
      <c r="F2051">
        <v>300</v>
      </c>
      <c r="G2051" s="3">
        <v>4950.03</v>
      </c>
      <c r="H2051" s="3">
        <f>Miami_Retail[[#This Row],[sales_usd]] / Miami_Retail[[#This Row],[customers]]</f>
        <v>16.5001</v>
      </c>
      <c r="I2051">
        <v>88.7</v>
      </c>
      <c r="J2051">
        <f>(Miami_Retail[[#This Row],[avg_temp_f]]-32) * (5/9)</f>
        <v>31.500000000000004</v>
      </c>
      <c r="K2051">
        <v>0</v>
      </c>
      <c r="L2051">
        <v>0</v>
      </c>
      <c r="M2051">
        <v>78.7</v>
      </c>
      <c r="N2051">
        <v>46.5</v>
      </c>
      <c r="O2051">
        <v>53.5</v>
      </c>
      <c r="P2051">
        <v>51.9</v>
      </c>
      <c r="Q2051">
        <v>48.1</v>
      </c>
    </row>
    <row r="2052" spans="1:17" x14ac:dyDescent="0.25">
      <c r="A2052" s="2">
        <v>45515</v>
      </c>
      <c r="B2052" s="2" t="str">
        <f t="shared" si="64"/>
        <v>Sunday</v>
      </c>
      <c r="C2052" s="2" t="b">
        <f t="shared" si="65"/>
        <v>1</v>
      </c>
      <c r="D2052">
        <v>3</v>
      </c>
      <c r="E2052" t="s">
        <v>7</v>
      </c>
      <c r="F2052">
        <v>347</v>
      </c>
      <c r="G2052" s="3">
        <v>5977.39</v>
      </c>
      <c r="H2052" s="3">
        <f>Miami_Retail[[#This Row],[sales_usd]] / Miami_Retail[[#This Row],[customers]]</f>
        <v>17.225907780979828</v>
      </c>
      <c r="I2052">
        <v>93.2</v>
      </c>
      <c r="J2052">
        <f>(Miami_Retail[[#This Row],[avg_temp_f]]-32) * (5/9)</f>
        <v>34</v>
      </c>
      <c r="K2052">
        <v>0</v>
      </c>
      <c r="L2052">
        <v>0</v>
      </c>
      <c r="M2052">
        <v>69.900000000000006</v>
      </c>
      <c r="N2052">
        <v>46.4</v>
      </c>
      <c r="O2052">
        <v>53.6</v>
      </c>
      <c r="P2052">
        <v>51.1</v>
      </c>
      <c r="Q2052">
        <v>48.9</v>
      </c>
    </row>
    <row r="2053" spans="1:17" x14ac:dyDescent="0.25">
      <c r="A2053" s="2">
        <v>45516</v>
      </c>
      <c r="B2053" s="2" t="str">
        <f t="shared" si="64"/>
        <v>Monday</v>
      </c>
      <c r="C2053" s="2" t="b">
        <f t="shared" si="65"/>
        <v>0</v>
      </c>
      <c r="D2053">
        <v>3</v>
      </c>
      <c r="E2053" t="s">
        <v>7</v>
      </c>
      <c r="F2053">
        <v>248</v>
      </c>
      <c r="G2053" s="3">
        <v>3869.83</v>
      </c>
      <c r="H2053" s="3">
        <f>Miami_Retail[[#This Row],[sales_usd]] / Miami_Retail[[#This Row],[customers]]</f>
        <v>15.604153225806451</v>
      </c>
      <c r="I2053">
        <v>84.6</v>
      </c>
      <c r="J2053">
        <f>(Miami_Retail[[#This Row],[avg_temp_f]]-32) * (5/9)</f>
        <v>29.222222222222221</v>
      </c>
      <c r="K2053">
        <v>0</v>
      </c>
      <c r="L2053">
        <v>0</v>
      </c>
      <c r="M2053">
        <v>80.099999999999994</v>
      </c>
      <c r="N2053">
        <v>47.9</v>
      </c>
      <c r="O2053">
        <v>52.1</v>
      </c>
      <c r="P2053">
        <v>46</v>
      </c>
      <c r="Q2053">
        <v>54</v>
      </c>
    </row>
    <row r="2054" spans="1:17" x14ac:dyDescent="0.25">
      <c r="A2054" s="2">
        <v>45517</v>
      </c>
      <c r="B2054" s="2" t="str">
        <f t="shared" si="64"/>
        <v>Tuesday</v>
      </c>
      <c r="C2054" s="2" t="b">
        <f t="shared" si="65"/>
        <v>0</v>
      </c>
      <c r="D2054">
        <v>3</v>
      </c>
      <c r="E2054" t="s">
        <v>7</v>
      </c>
      <c r="F2054">
        <v>286</v>
      </c>
      <c r="G2054" s="3">
        <v>4988.84</v>
      </c>
      <c r="H2054" s="3">
        <f>Miami_Retail[[#This Row],[sales_usd]] / Miami_Retail[[#This Row],[customers]]</f>
        <v>17.443496503496505</v>
      </c>
      <c r="I2054">
        <v>85.9</v>
      </c>
      <c r="J2054">
        <f>(Miami_Retail[[#This Row],[avg_temp_f]]-32) * (5/9)</f>
        <v>29.94444444444445</v>
      </c>
      <c r="K2054">
        <v>0</v>
      </c>
      <c r="L2054">
        <v>0</v>
      </c>
      <c r="M2054">
        <v>65.900000000000006</v>
      </c>
      <c r="N2054">
        <v>45.6</v>
      </c>
      <c r="O2054">
        <v>54.4</v>
      </c>
      <c r="P2054">
        <v>47.1</v>
      </c>
      <c r="Q2054">
        <v>52.9</v>
      </c>
    </row>
    <row r="2055" spans="1:17" x14ac:dyDescent="0.25">
      <c r="A2055" s="2">
        <v>45518</v>
      </c>
      <c r="B2055" s="2" t="str">
        <f t="shared" si="64"/>
        <v>Wednesday</v>
      </c>
      <c r="C2055" s="2" t="b">
        <f t="shared" si="65"/>
        <v>0</v>
      </c>
      <c r="D2055">
        <v>3</v>
      </c>
      <c r="E2055" t="s">
        <v>7</v>
      </c>
      <c r="F2055">
        <v>270</v>
      </c>
      <c r="G2055" s="3">
        <v>4158.2299999999996</v>
      </c>
      <c r="H2055" s="3">
        <f>Miami_Retail[[#This Row],[sales_usd]] / Miami_Retail[[#This Row],[customers]]</f>
        <v>15.400851851851851</v>
      </c>
      <c r="I2055">
        <v>85.5</v>
      </c>
      <c r="J2055">
        <f>(Miami_Retail[[#This Row],[avg_temp_f]]-32) * (5/9)</f>
        <v>29.722222222222225</v>
      </c>
      <c r="K2055">
        <v>0</v>
      </c>
      <c r="L2055">
        <v>0</v>
      </c>
      <c r="M2055">
        <v>76</v>
      </c>
      <c r="N2055">
        <v>48.6</v>
      </c>
      <c r="O2055">
        <v>51.4</v>
      </c>
      <c r="P2055">
        <v>47.8</v>
      </c>
      <c r="Q2055">
        <v>52.2</v>
      </c>
    </row>
    <row r="2056" spans="1:17" x14ac:dyDescent="0.25">
      <c r="A2056" s="2">
        <v>45519</v>
      </c>
      <c r="B2056" s="2" t="str">
        <f t="shared" si="64"/>
        <v>Thursday</v>
      </c>
      <c r="C2056" s="2" t="b">
        <f t="shared" si="65"/>
        <v>0</v>
      </c>
      <c r="D2056">
        <v>3</v>
      </c>
      <c r="E2056" t="s">
        <v>7</v>
      </c>
      <c r="F2056">
        <v>286</v>
      </c>
      <c r="G2056" s="3">
        <v>4481.62</v>
      </c>
      <c r="H2056" s="3">
        <f>Miami_Retail[[#This Row],[sales_usd]] / Miami_Retail[[#This Row],[customers]]</f>
        <v>15.67</v>
      </c>
      <c r="I2056">
        <v>86.7</v>
      </c>
      <c r="J2056">
        <f>(Miami_Retail[[#This Row],[avg_temp_f]]-32) * (5/9)</f>
        <v>30.388888888888893</v>
      </c>
      <c r="K2056">
        <v>0</v>
      </c>
      <c r="L2056">
        <v>0</v>
      </c>
      <c r="M2056">
        <v>74.2</v>
      </c>
      <c r="N2056">
        <v>48.7</v>
      </c>
      <c r="O2056">
        <v>51.3</v>
      </c>
      <c r="P2056">
        <v>45.1</v>
      </c>
      <c r="Q2056">
        <v>54.9</v>
      </c>
    </row>
    <row r="2057" spans="1:17" x14ac:dyDescent="0.25">
      <c r="A2057" s="2">
        <v>45520</v>
      </c>
      <c r="B2057" s="2" t="str">
        <f t="shared" si="64"/>
        <v>Friday</v>
      </c>
      <c r="C2057" s="2" t="b">
        <f t="shared" si="65"/>
        <v>0</v>
      </c>
      <c r="D2057">
        <v>3</v>
      </c>
      <c r="E2057" t="s">
        <v>7</v>
      </c>
      <c r="F2057">
        <v>265</v>
      </c>
      <c r="G2057" s="3">
        <v>4815.3999999999996</v>
      </c>
      <c r="H2057" s="3">
        <f>Miami_Retail[[#This Row],[sales_usd]] / Miami_Retail[[#This Row],[customers]]</f>
        <v>18.17132075471698</v>
      </c>
      <c r="I2057">
        <v>83.4</v>
      </c>
      <c r="J2057">
        <f>(Miami_Retail[[#This Row],[avg_temp_f]]-32) * (5/9)</f>
        <v>28.555555555555561</v>
      </c>
      <c r="K2057">
        <v>0</v>
      </c>
      <c r="L2057">
        <v>0</v>
      </c>
      <c r="M2057">
        <v>74.8</v>
      </c>
      <c r="N2057">
        <v>47.3</v>
      </c>
      <c r="O2057">
        <v>52.7</v>
      </c>
      <c r="P2057">
        <v>45.2</v>
      </c>
      <c r="Q2057">
        <v>54.8</v>
      </c>
    </row>
    <row r="2058" spans="1:17" x14ac:dyDescent="0.25">
      <c r="A2058" s="2">
        <v>45521</v>
      </c>
      <c r="B2058" s="2" t="str">
        <f t="shared" si="64"/>
        <v>Saturday</v>
      </c>
      <c r="C2058" s="2" t="b">
        <f t="shared" si="65"/>
        <v>1</v>
      </c>
      <c r="D2058">
        <v>3</v>
      </c>
      <c r="E2058" t="s">
        <v>7</v>
      </c>
      <c r="F2058">
        <v>316</v>
      </c>
      <c r="G2058" s="3">
        <v>5220.05</v>
      </c>
      <c r="H2058" s="3">
        <f>Miami_Retail[[#This Row],[sales_usd]] / Miami_Retail[[#This Row],[customers]]</f>
        <v>16.519145569620253</v>
      </c>
      <c r="I2058">
        <v>87.5</v>
      </c>
      <c r="J2058">
        <f>(Miami_Retail[[#This Row],[avg_temp_f]]-32) * (5/9)</f>
        <v>30.833333333333336</v>
      </c>
      <c r="K2058">
        <v>1.1599999999999999</v>
      </c>
      <c r="L2058">
        <v>1</v>
      </c>
      <c r="M2058">
        <v>67.599999999999994</v>
      </c>
      <c r="N2058">
        <v>46.6</v>
      </c>
      <c r="O2058">
        <v>53.4</v>
      </c>
      <c r="P2058">
        <v>50.4</v>
      </c>
      <c r="Q2058">
        <v>49.6</v>
      </c>
    </row>
    <row r="2059" spans="1:17" x14ac:dyDescent="0.25">
      <c r="A2059" s="2">
        <v>45522</v>
      </c>
      <c r="B2059" s="2" t="str">
        <f t="shared" si="64"/>
        <v>Sunday</v>
      </c>
      <c r="C2059" s="2" t="b">
        <f t="shared" si="65"/>
        <v>1</v>
      </c>
      <c r="D2059">
        <v>3</v>
      </c>
      <c r="E2059" t="s">
        <v>7</v>
      </c>
      <c r="F2059">
        <v>288</v>
      </c>
      <c r="G2059" s="3">
        <v>4733.7</v>
      </c>
      <c r="H2059" s="3">
        <f>Miami_Retail[[#This Row],[sales_usd]] / Miami_Retail[[#This Row],[customers]]</f>
        <v>16.436458333333334</v>
      </c>
      <c r="I2059">
        <v>85</v>
      </c>
      <c r="J2059">
        <f>(Miami_Retail[[#This Row],[avg_temp_f]]-32) * (5/9)</f>
        <v>29.444444444444446</v>
      </c>
      <c r="K2059">
        <v>0</v>
      </c>
      <c r="L2059">
        <v>0</v>
      </c>
      <c r="M2059">
        <v>72.099999999999994</v>
      </c>
      <c r="N2059">
        <v>45.6</v>
      </c>
      <c r="O2059">
        <v>54.4</v>
      </c>
      <c r="P2059">
        <v>51.3</v>
      </c>
      <c r="Q2059">
        <v>48.7</v>
      </c>
    </row>
    <row r="2060" spans="1:17" x14ac:dyDescent="0.25">
      <c r="A2060" s="2">
        <v>45523</v>
      </c>
      <c r="B2060" s="2" t="str">
        <f t="shared" si="64"/>
        <v>Monday</v>
      </c>
      <c r="C2060" s="2" t="b">
        <f t="shared" si="65"/>
        <v>0</v>
      </c>
      <c r="D2060">
        <v>3</v>
      </c>
      <c r="E2060" t="s">
        <v>7</v>
      </c>
      <c r="F2060">
        <v>255</v>
      </c>
      <c r="G2060" s="3">
        <v>4354.0200000000004</v>
      </c>
      <c r="H2060" s="3">
        <f>Miami_Retail[[#This Row],[sales_usd]] / Miami_Retail[[#This Row],[customers]]</f>
        <v>17.074588235294119</v>
      </c>
      <c r="I2060">
        <v>85.5</v>
      </c>
      <c r="J2060">
        <f>(Miami_Retail[[#This Row],[avg_temp_f]]-32) * (5/9)</f>
        <v>29.722222222222225</v>
      </c>
      <c r="K2060">
        <v>1.25</v>
      </c>
      <c r="L2060">
        <v>1</v>
      </c>
      <c r="M2060">
        <v>75.5</v>
      </c>
      <c r="N2060">
        <v>46.1</v>
      </c>
      <c r="O2060">
        <v>53.9</v>
      </c>
      <c r="P2060">
        <v>47.7</v>
      </c>
      <c r="Q2060">
        <v>52.3</v>
      </c>
    </row>
    <row r="2061" spans="1:17" x14ac:dyDescent="0.25">
      <c r="A2061" s="2">
        <v>45524</v>
      </c>
      <c r="B2061" s="2" t="str">
        <f t="shared" si="64"/>
        <v>Tuesday</v>
      </c>
      <c r="C2061" s="2" t="b">
        <f t="shared" si="65"/>
        <v>0</v>
      </c>
      <c r="D2061">
        <v>3</v>
      </c>
      <c r="E2061" t="s">
        <v>7</v>
      </c>
      <c r="F2061">
        <v>294</v>
      </c>
      <c r="G2061" s="3">
        <v>4799</v>
      </c>
      <c r="H2061" s="3">
        <f>Miami_Retail[[#This Row],[sales_usd]] / Miami_Retail[[#This Row],[customers]]</f>
        <v>16.323129251700681</v>
      </c>
      <c r="I2061">
        <v>89</v>
      </c>
      <c r="J2061">
        <f>(Miami_Retail[[#This Row],[avg_temp_f]]-32) * (5/9)</f>
        <v>31.666666666666668</v>
      </c>
      <c r="K2061">
        <v>0</v>
      </c>
      <c r="L2061">
        <v>0</v>
      </c>
      <c r="M2061">
        <v>76.5</v>
      </c>
      <c r="N2061">
        <v>46</v>
      </c>
      <c r="O2061">
        <v>54</v>
      </c>
      <c r="P2061">
        <v>45.7</v>
      </c>
      <c r="Q2061">
        <v>54.3</v>
      </c>
    </row>
    <row r="2062" spans="1:17" x14ac:dyDescent="0.25">
      <c r="A2062" s="2">
        <v>45525</v>
      </c>
      <c r="B2062" s="2" t="str">
        <f t="shared" si="64"/>
        <v>Wednesday</v>
      </c>
      <c r="C2062" s="2" t="b">
        <f t="shared" si="65"/>
        <v>0</v>
      </c>
      <c r="D2062">
        <v>3</v>
      </c>
      <c r="E2062" t="s">
        <v>7</v>
      </c>
      <c r="F2062">
        <v>304</v>
      </c>
      <c r="G2062" s="3">
        <v>4811.8599999999997</v>
      </c>
      <c r="H2062" s="3">
        <f>Miami_Retail[[#This Row],[sales_usd]] / Miami_Retail[[#This Row],[customers]]</f>
        <v>15.828486842105262</v>
      </c>
      <c r="I2062">
        <v>89.8</v>
      </c>
      <c r="J2062">
        <f>(Miami_Retail[[#This Row],[avg_temp_f]]-32) * (5/9)</f>
        <v>32.111111111111114</v>
      </c>
      <c r="K2062">
        <v>0</v>
      </c>
      <c r="L2062">
        <v>0</v>
      </c>
      <c r="M2062">
        <v>76.099999999999994</v>
      </c>
      <c r="N2062">
        <v>47.6</v>
      </c>
      <c r="O2062">
        <v>52.4</v>
      </c>
      <c r="P2062">
        <v>44.7</v>
      </c>
      <c r="Q2062">
        <v>55.3</v>
      </c>
    </row>
    <row r="2063" spans="1:17" x14ac:dyDescent="0.25">
      <c r="A2063" s="2">
        <v>45526</v>
      </c>
      <c r="B2063" s="2" t="str">
        <f t="shared" si="64"/>
        <v>Thursday</v>
      </c>
      <c r="C2063" s="2" t="b">
        <f t="shared" si="65"/>
        <v>0</v>
      </c>
      <c r="D2063">
        <v>3</v>
      </c>
      <c r="E2063" t="s">
        <v>7</v>
      </c>
      <c r="F2063">
        <v>251</v>
      </c>
      <c r="G2063" s="3">
        <v>4057.53</v>
      </c>
      <c r="H2063" s="3">
        <f>Miami_Retail[[#This Row],[sales_usd]] / Miami_Retail[[#This Row],[customers]]</f>
        <v>16.165458167330677</v>
      </c>
      <c r="I2063">
        <v>88.5</v>
      </c>
      <c r="J2063">
        <f>(Miami_Retail[[#This Row],[avg_temp_f]]-32) * (5/9)</f>
        <v>31.388888888888889</v>
      </c>
      <c r="K2063">
        <v>0</v>
      </c>
      <c r="L2063">
        <v>0</v>
      </c>
      <c r="M2063">
        <v>86.6</v>
      </c>
      <c r="N2063">
        <v>46.2</v>
      </c>
      <c r="O2063">
        <v>53.8</v>
      </c>
      <c r="P2063">
        <v>43.4</v>
      </c>
      <c r="Q2063">
        <v>56.6</v>
      </c>
    </row>
    <row r="2064" spans="1:17" x14ac:dyDescent="0.25">
      <c r="A2064" s="2">
        <v>45527</v>
      </c>
      <c r="B2064" s="2" t="str">
        <f t="shared" si="64"/>
        <v>Friday</v>
      </c>
      <c r="C2064" s="2" t="b">
        <f t="shared" si="65"/>
        <v>0</v>
      </c>
      <c r="D2064">
        <v>3</v>
      </c>
      <c r="E2064" t="s">
        <v>7</v>
      </c>
      <c r="F2064">
        <v>260</v>
      </c>
      <c r="G2064" s="3">
        <v>4047.63</v>
      </c>
      <c r="H2064" s="3">
        <f>Miami_Retail[[#This Row],[sales_usd]] / Miami_Retail[[#This Row],[customers]]</f>
        <v>15.567807692307692</v>
      </c>
      <c r="I2064">
        <v>83.9</v>
      </c>
      <c r="J2064">
        <f>(Miami_Retail[[#This Row],[avg_temp_f]]-32) * (5/9)</f>
        <v>28.833333333333339</v>
      </c>
      <c r="K2064">
        <v>0</v>
      </c>
      <c r="L2064">
        <v>0</v>
      </c>
      <c r="M2064">
        <v>69.900000000000006</v>
      </c>
      <c r="N2064">
        <v>47.6</v>
      </c>
      <c r="O2064">
        <v>52.4</v>
      </c>
      <c r="P2064">
        <v>45.1</v>
      </c>
      <c r="Q2064">
        <v>54.9</v>
      </c>
    </row>
    <row r="2065" spans="1:17" x14ac:dyDescent="0.25">
      <c r="A2065" s="2">
        <v>45528</v>
      </c>
      <c r="B2065" s="2" t="str">
        <f t="shared" si="64"/>
        <v>Saturday</v>
      </c>
      <c r="C2065" s="2" t="b">
        <f t="shared" si="65"/>
        <v>1</v>
      </c>
      <c r="D2065">
        <v>3</v>
      </c>
      <c r="E2065" t="s">
        <v>7</v>
      </c>
      <c r="F2065">
        <v>257</v>
      </c>
      <c r="G2065" s="3">
        <v>4172.17</v>
      </c>
      <c r="H2065" s="3">
        <f>Miami_Retail[[#This Row],[sales_usd]] / Miami_Retail[[#This Row],[customers]]</f>
        <v>16.234124513618678</v>
      </c>
      <c r="I2065">
        <v>83.4</v>
      </c>
      <c r="J2065">
        <f>(Miami_Retail[[#This Row],[avg_temp_f]]-32) * (5/9)</f>
        <v>28.555555555555561</v>
      </c>
      <c r="K2065">
        <v>0</v>
      </c>
      <c r="L2065">
        <v>0</v>
      </c>
      <c r="M2065">
        <v>74</v>
      </c>
      <c r="N2065">
        <v>46.8</v>
      </c>
      <c r="O2065">
        <v>53.2</v>
      </c>
      <c r="P2065">
        <v>51.7</v>
      </c>
      <c r="Q2065">
        <v>48.3</v>
      </c>
    </row>
    <row r="2066" spans="1:17" x14ac:dyDescent="0.25">
      <c r="A2066" s="2">
        <v>45529</v>
      </c>
      <c r="B2066" s="2" t="str">
        <f t="shared" si="64"/>
        <v>Sunday</v>
      </c>
      <c r="C2066" s="2" t="b">
        <f t="shared" si="65"/>
        <v>1</v>
      </c>
      <c r="D2066">
        <v>3</v>
      </c>
      <c r="E2066" t="s">
        <v>7</v>
      </c>
      <c r="F2066">
        <v>287</v>
      </c>
      <c r="G2066" s="3">
        <v>4445.37</v>
      </c>
      <c r="H2066" s="3">
        <f>Miami_Retail[[#This Row],[sales_usd]] / Miami_Retail[[#This Row],[customers]]</f>
        <v>15.489094076655052</v>
      </c>
      <c r="I2066">
        <v>85.6</v>
      </c>
      <c r="J2066">
        <f>(Miami_Retail[[#This Row],[avg_temp_f]]-32) * (5/9)</f>
        <v>29.777777777777775</v>
      </c>
      <c r="K2066">
        <v>1.89</v>
      </c>
      <c r="L2066">
        <v>1</v>
      </c>
      <c r="M2066">
        <v>76</v>
      </c>
      <c r="N2066">
        <v>46.5</v>
      </c>
      <c r="O2066">
        <v>53.5</v>
      </c>
      <c r="P2066">
        <v>50.5</v>
      </c>
      <c r="Q2066">
        <v>49.5</v>
      </c>
    </row>
    <row r="2067" spans="1:17" x14ac:dyDescent="0.25">
      <c r="A2067" s="2">
        <v>45530</v>
      </c>
      <c r="B2067" s="2" t="str">
        <f t="shared" si="64"/>
        <v>Monday</v>
      </c>
      <c r="C2067" s="2" t="b">
        <f t="shared" si="65"/>
        <v>0</v>
      </c>
      <c r="D2067">
        <v>3</v>
      </c>
      <c r="E2067" t="s">
        <v>7</v>
      </c>
      <c r="F2067">
        <v>278</v>
      </c>
      <c r="G2067" s="3">
        <v>4454.17</v>
      </c>
      <c r="H2067" s="3">
        <f>Miami_Retail[[#This Row],[sales_usd]] / Miami_Retail[[#This Row],[customers]]</f>
        <v>16.022194244604318</v>
      </c>
      <c r="I2067">
        <v>92.1</v>
      </c>
      <c r="J2067">
        <f>(Miami_Retail[[#This Row],[avg_temp_f]]-32) * (5/9)</f>
        <v>33.388888888888886</v>
      </c>
      <c r="K2067">
        <v>7.0000000000000007E-2</v>
      </c>
      <c r="L2067">
        <v>1</v>
      </c>
      <c r="M2067">
        <v>73.599999999999994</v>
      </c>
      <c r="N2067">
        <v>47.7</v>
      </c>
      <c r="O2067">
        <v>52.3</v>
      </c>
      <c r="P2067">
        <v>46.7</v>
      </c>
      <c r="Q2067">
        <v>53.3</v>
      </c>
    </row>
    <row r="2068" spans="1:17" x14ac:dyDescent="0.25">
      <c r="A2068" s="2">
        <v>45531</v>
      </c>
      <c r="B2068" s="2" t="str">
        <f t="shared" si="64"/>
        <v>Tuesday</v>
      </c>
      <c r="C2068" s="2" t="b">
        <f t="shared" si="65"/>
        <v>0</v>
      </c>
      <c r="D2068">
        <v>3</v>
      </c>
      <c r="E2068" t="s">
        <v>7</v>
      </c>
      <c r="F2068">
        <v>270</v>
      </c>
      <c r="G2068" s="3">
        <v>4133.22</v>
      </c>
      <c r="H2068" s="3">
        <f>Miami_Retail[[#This Row],[sales_usd]] / Miami_Retail[[#This Row],[customers]]</f>
        <v>15.308222222222224</v>
      </c>
      <c r="I2068">
        <v>85.6</v>
      </c>
      <c r="J2068">
        <f>(Miami_Retail[[#This Row],[avg_temp_f]]-32) * (5/9)</f>
        <v>29.777777777777775</v>
      </c>
      <c r="K2068">
        <v>0.91</v>
      </c>
      <c r="L2068">
        <v>1</v>
      </c>
      <c r="M2068">
        <v>77.400000000000006</v>
      </c>
      <c r="N2068">
        <v>46.9</v>
      </c>
      <c r="O2068">
        <v>53.1</v>
      </c>
      <c r="P2068">
        <v>45.7</v>
      </c>
      <c r="Q2068">
        <v>54.3</v>
      </c>
    </row>
    <row r="2069" spans="1:17" x14ac:dyDescent="0.25">
      <c r="A2069" s="2">
        <v>45532</v>
      </c>
      <c r="B2069" s="2" t="str">
        <f t="shared" si="64"/>
        <v>Wednesday</v>
      </c>
      <c r="C2069" s="2" t="b">
        <f t="shared" si="65"/>
        <v>0</v>
      </c>
      <c r="D2069">
        <v>3</v>
      </c>
      <c r="E2069" t="s">
        <v>7</v>
      </c>
      <c r="F2069">
        <v>278</v>
      </c>
      <c r="G2069" s="3">
        <v>4319.92</v>
      </c>
      <c r="H2069" s="3">
        <f>Miami_Retail[[#This Row],[sales_usd]] / Miami_Retail[[#This Row],[customers]]</f>
        <v>15.539280575539568</v>
      </c>
      <c r="I2069">
        <v>94.6</v>
      </c>
      <c r="J2069">
        <f>(Miami_Retail[[#This Row],[avg_temp_f]]-32) * (5/9)</f>
        <v>34.777777777777779</v>
      </c>
      <c r="K2069">
        <v>0</v>
      </c>
      <c r="L2069">
        <v>0</v>
      </c>
      <c r="M2069">
        <v>81.099999999999994</v>
      </c>
      <c r="N2069">
        <v>48.2</v>
      </c>
      <c r="O2069">
        <v>51.8</v>
      </c>
      <c r="P2069">
        <v>45.2</v>
      </c>
      <c r="Q2069">
        <v>54.8</v>
      </c>
    </row>
    <row r="2070" spans="1:17" x14ac:dyDescent="0.25">
      <c r="A2070" s="2">
        <v>45533</v>
      </c>
      <c r="B2070" s="2" t="str">
        <f t="shared" si="64"/>
        <v>Thursday</v>
      </c>
      <c r="C2070" s="2" t="b">
        <f t="shared" si="65"/>
        <v>0</v>
      </c>
      <c r="D2070">
        <v>3</v>
      </c>
      <c r="E2070" t="s">
        <v>7</v>
      </c>
      <c r="F2070">
        <v>253</v>
      </c>
      <c r="G2070" s="3">
        <v>4138.16</v>
      </c>
      <c r="H2070" s="3">
        <f>Miami_Retail[[#This Row],[sales_usd]] / Miami_Retail[[#This Row],[customers]]</f>
        <v>16.356363636363636</v>
      </c>
      <c r="I2070">
        <v>87.2</v>
      </c>
      <c r="J2070">
        <f>(Miami_Retail[[#This Row],[avg_temp_f]]-32) * (5/9)</f>
        <v>30.666666666666668</v>
      </c>
      <c r="K2070">
        <v>0.19</v>
      </c>
      <c r="L2070">
        <v>1</v>
      </c>
      <c r="M2070">
        <v>81.900000000000006</v>
      </c>
      <c r="N2070">
        <v>46.6</v>
      </c>
      <c r="O2070">
        <v>53.4</v>
      </c>
      <c r="P2070">
        <v>45.6</v>
      </c>
      <c r="Q2070">
        <v>54.4</v>
      </c>
    </row>
    <row r="2071" spans="1:17" x14ac:dyDescent="0.25">
      <c r="A2071" s="2">
        <v>45534</v>
      </c>
      <c r="B2071" s="2" t="str">
        <f t="shared" si="64"/>
        <v>Friday</v>
      </c>
      <c r="C2071" s="2" t="b">
        <f t="shared" si="65"/>
        <v>0</v>
      </c>
      <c r="D2071">
        <v>3</v>
      </c>
      <c r="E2071" t="s">
        <v>7</v>
      </c>
      <c r="F2071">
        <v>267</v>
      </c>
      <c r="G2071" s="3">
        <v>4629.29</v>
      </c>
      <c r="H2071" s="3">
        <f>Miami_Retail[[#This Row],[sales_usd]] / Miami_Retail[[#This Row],[customers]]</f>
        <v>17.33816479400749</v>
      </c>
      <c r="I2071">
        <v>91.1</v>
      </c>
      <c r="J2071">
        <f>(Miami_Retail[[#This Row],[avg_temp_f]]-32) * (5/9)</f>
        <v>32.833333333333329</v>
      </c>
      <c r="K2071">
        <v>0</v>
      </c>
      <c r="L2071">
        <v>0</v>
      </c>
      <c r="M2071">
        <v>77</v>
      </c>
      <c r="N2071">
        <v>45.3</v>
      </c>
      <c r="O2071">
        <v>54.7</v>
      </c>
      <c r="P2071">
        <v>46.2</v>
      </c>
      <c r="Q2071">
        <v>53.8</v>
      </c>
    </row>
    <row r="2072" spans="1:17" x14ac:dyDescent="0.25">
      <c r="A2072" s="2">
        <v>45535</v>
      </c>
      <c r="B2072" s="2" t="str">
        <f t="shared" si="64"/>
        <v>Saturday</v>
      </c>
      <c r="C2072" s="2" t="b">
        <f t="shared" si="65"/>
        <v>1</v>
      </c>
      <c r="D2072">
        <v>3</v>
      </c>
      <c r="E2072" t="s">
        <v>7</v>
      </c>
      <c r="F2072">
        <v>278</v>
      </c>
      <c r="G2072" s="3">
        <v>4224.21</v>
      </c>
      <c r="H2072" s="3">
        <f>Miami_Retail[[#This Row],[sales_usd]] / Miami_Retail[[#This Row],[customers]]</f>
        <v>15.195</v>
      </c>
      <c r="I2072">
        <v>92.4</v>
      </c>
      <c r="J2072">
        <f>(Miami_Retail[[#This Row],[avg_temp_f]]-32) * (5/9)</f>
        <v>33.555555555555557</v>
      </c>
      <c r="K2072">
        <v>2.13</v>
      </c>
      <c r="L2072">
        <v>1</v>
      </c>
      <c r="M2072">
        <v>68.099999999999994</v>
      </c>
      <c r="N2072">
        <v>45</v>
      </c>
      <c r="O2072">
        <v>55</v>
      </c>
      <c r="P2072">
        <v>51.6</v>
      </c>
      <c r="Q2072">
        <v>48.4</v>
      </c>
    </row>
    <row r="2073" spans="1:17" x14ac:dyDescent="0.25">
      <c r="A2073" s="2">
        <v>45536</v>
      </c>
      <c r="B2073" s="2" t="str">
        <f t="shared" si="64"/>
        <v>Sunday</v>
      </c>
      <c r="C2073" s="2" t="b">
        <f t="shared" si="65"/>
        <v>1</v>
      </c>
      <c r="D2073">
        <v>3</v>
      </c>
      <c r="E2073" t="s">
        <v>7</v>
      </c>
      <c r="F2073">
        <v>277</v>
      </c>
      <c r="G2073" s="3">
        <v>4761.74</v>
      </c>
      <c r="H2073" s="3">
        <f>Miami_Retail[[#This Row],[sales_usd]] / Miami_Retail[[#This Row],[customers]]</f>
        <v>17.190397111913356</v>
      </c>
      <c r="I2073">
        <v>91.2</v>
      </c>
      <c r="J2073">
        <f>(Miami_Retail[[#This Row],[avg_temp_f]]-32) * (5/9)</f>
        <v>32.888888888888893</v>
      </c>
      <c r="K2073">
        <v>0.87</v>
      </c>
      <c r="L2073">
        <v>1</v>
      </c>
      <c r="M2073">
        <v>75.7</v>
      </c>
      <c r="N2073">
        <v>46.5</v>
      </c>
      <c r="O2073">
        <v>53.5</v>
      </c>
      <c r="P2073">
        <v>49.7</v>
      </c>
      <c r="Q2073">
        <v>50.3</v>
      </c>
    </row>
    <row r="2074" spans="1:17" x14ac:dyDescent="0.25">
      <c r="A2074" s="2">
        <v>45537</v>
      </c>
      <c r="B2074" s="2" t="str">
        <f t="shared" si="64"/>
        <v>Monday</v>
      </c>
      <c r="C2074" s="2" t="b">
        <f t="shared" si="65"/>
        <v>0</v>
      </c>
      <c r="D2074">
        <v>3</v>
      </c>
      <c r="E2074" t="s">
        <v>7</v>
      </c>
      <c r="F2074">
        <v>268</v>
      </c>
      <c r="G2074" s="3">
        <v>4480.16</v>
      </c>
      <c r="H2074" s="3">
        <f>Miami_Retail[[#This Row],[sales_usd]] / Miami_Retail[[#This Row],[customers]]</f>
        <v>16.717014925373135</v>
      </c>
      <c r="I2074">
        <v>94.3</v>
      </c>
      <c r="J2074">
        <f>(Miami_Retail[[#This Row],[avg_temp_f]]-32) * (5/9)</f>
        <v>34.611111111111114</v>
      </c>
      <c r="K2074">
        <v>0</v>
      </c>
      <c r="L2074">
        <v>0</v>
      </c>
      <c r="M2074">
        <v>84.8</v>
      </c>
      <c r="N2074">
        <v>45.1</v>
      </c>
      <c r="O2074">
        <v>54.9</v>
      </c>
      <c r="P2074">
        <v>46.2</v>
      </c>
      <c r="Q2074">
        <v>53.8</v>
      </c>
    </row>
    <row r="2075" spans="1:17" x14ac:dyDescent="0.25">
      <c r="A2075" s="2">
        <v>45538</v>
      </c>
      <c r="B2075" s="2" t="str">
        <f t="shared" si="64"/>
        <v>Tuesday</v>
      </c>
      <c r="C2075" s="2" t="b">
        <f t="shared" si="65"/>
        <v>0</v>
      </c>
      <c r="D2075">
        <v>3</v>
      </c>
      <c r="E2075" t="s">
        <v>7</v>
      </c>
      <c r="F2075">
        <v>256</v>
      </c>
      <c r="G2075" s="3">
        <v>4224.21</v>
      </c>
      <c r="H2075" s="3">
        <f>Miami_Retail[[#This Row],[sales_usd]] / Miami_Retail[[#This Row],[customers]]</f>
        <v>16.5008203125</v>
      </c>
      <c r="I2075">
        <v>90.5</v>
      </c>
      <c r="J2075">
        <f>(Miami_Retail[[#This Row],[avg_temp_f]]-32) * (5/9)</f>
        <v>32.5</v>
      </c>
      <c r="K2075">
        <v>2.5499999999999998</v>
      </c>
      <c r="L2075">
        <v>1</v>
      </c>
      <c r="M2075">
        <v>71.8</v>
      </c>
      <c r="N2075">
        <v>48</v>
      </c>
      <c r="O2075">
        <v>52</v>
      </c>
      <c r="P2075">
        <v>44.7</v>
      </c>
      <c r="Q2075">
        <v>55.3</v>
      </c>
    </row>
    <row r="2076" spans="1:17" x14ac:dyDescent="0.25">
      <c r="A2076" s="2">
        <v>45539</v>
      </c>
      <c r="B2076" s="2" t="str">
        <f t="shared" si="64"/>
        <v>Wednesday</v>
      </c>
      <c r="C2076" s="2" t="b">
        <f t="shared" si="65"/>
        <v>0</v>
      </c>
      <c r="D2076">
        <v>3</v>
      </c>
      <c r="E2076" t="s">
        <v>7</v>
      </c>
      <c r="F2076">
        <v>250</v>
      </c>
      <c r="G2076" s="3">
        <v>3971.05</v>
      </c>
      <c r="H2076" s="3">
        <f>Miami_Retail[[#This Row],[sales_usd]] / Miami_Retail[[#This Row],[customers]]</f>
        <v>15.8842</v>
      </c>
      <c r="I2076">
        <v>82.6</v>
      </c>
      <c r="J2076">
        <f>(Miami_Retail[[#This Row],[avg_temp_f]]-32) * (5/9)</f>
        <v>28.111111111111111</v>
      </c>
      <c r="K2076">
        <v>0</v>
      </c>
      <c r="L2076">
        <v>0</v>
      </c>
      <c r="M2076">
        <v>84.7</v>
      </c>
      <c r="N2076">
        <v>45.8</v>
      </c>
      <c r="O2076">
        <v>54.2</v>
      </c>
      <c r="P2076">
        <v>45.4</v>
      </c>
      <c r="Q2076">
        <v>54.6</v>
      </c>
    </row>
    <row r="2077" spans="1:17" x14ac:dyDescent="0.25">
      <c r="A2077" s="2">
        <v>45540</v>
      </c>
      <c r="B2077" s="2" t="str">
        <f t="shared" si="64"/>
        <v>Thursday</v>
      </c>
      <c r="C2077" s="2" t="b">
        <f t="shared" si="65"/>
        <v>0</v>
      </c>
      <c r="D2077">
        <v>3</v>
      </c>
      <c r="E2077" t="s">
        <v>7</v>
      </c>
      <c r="F2077">
        <v>230</v>
      </c>
      <c r="G2077" s="3">
        <v>3919.91</v>
      </c>
      <c r="H2077" s="3">
        <f>Miami_Retail[[#This Row],[sales_usd]] / Miami_Retail[[#This Row],[customers]]</f>
        <v>17.043086956521737</v>
      </c>
      <c r="I2077">
        <v>87.4</v>
      </c>
      <c r="J2077">
        <f>(Miami_Retail[[#This Row],[avg_temp_f]]-32) * (5/9)</f>
        <v>30.777777777777782</v>
      </c>
      <c r="K2077">
        <v>4.01</v>
      </c>
      <c r="L2077">
        <v>1</v>
      </c>
      <c r="M2077">
        <v>75.400000000000006</v>
      </c>
      <c r="N2077">
        <v>47.8</v>
      </c>
      <c r="O2077">
        <v>52.2</v>
      </c>
      <c r="P2077">
        <v>43.6</v>
      </c>
      <c r="Q2077">
        <v>56.4</v>
      </c>
    </row>
    <row r="2078" spans="1:17" x14ac:dyDescent="0.25">
      <c r="A2078" s="2">
        <v>45541</v>
      </c>
      <c r="B2078" s="2" t="str">
        <f t="shared" si="64"/>
        <v>Friday</v>
      </c>
      <c r="C2078" s="2" t="b">
        <f t="shared" si="65"/>
        <v>0</v>
      </c>
      <c r="D2078">
        <v>3</v>
      </c>
      <c r="E2078" t="s">
        <v>7</v>
      </c>
      <c r="F2078">
        <v>283</v>
      </c>
      <c r="G2078" s="3">
        <v>4834.05</v>
      </c>
      <c r="H2078" s="3">
        <f>Miami_Retail[[#This Row],[sales_usd]] / Miami_Retail[[#This Row],[customers]]</f>
        <v>17.081448763250883</v>
      </c>
      <c r="I2078">
        <v>89.8</v>
      </c>
      <c r="J2078">
        <f>(Miami_Retail[[#This Row],[avg_temp_f]]-32) * (5/9)</f>
        <v>32.111111111111114</v>
      </c>
      <c r="K2078">
        <v>0</v>
      </c>
      <c r="L2078">
        <v>0</v>
      </c>
      <c r="M2078">
        <v>74.8</v>
      </c>
      <c r="N2078">
        <v>47.9</v>
      </c>
      <c r="O2078">
        <v>52.1</v>
      </c>
      <c r="P2078">
        <v>45.2</v>
      </c>
      <c r="Q2078">
        <v>54.8</v>
      </c>
    </row>
    <row r="2079" spans="1:17" x14ac:dyDescent="0.25">
      <c r="A2079" s="2">
        <v>45542</v>
      </c>
      <c r="B2079" s="2" t="str">
        <f t="shared" si="64"/>
        <v>Saturday</v>
      </c>
      <c r="C2079" s="2" t="b">
        <f t="shared" si="65"/>
        <v>1</v>
      </c>
      <c r="D2079">
        <v>3</v>
      </c>
      <c r="E2079" t="s">
        <v>7</v>
      </c>
      <c r="F2079">
        <v>288</v>
      </c>
      <c r="G2079" s="3">
        <v>4478.6099999999997</v>
      </c>
      <c r="H2079" s="3">
        <f>Miami_Retail[[#This Row],[sales_usd]] / Miami_Retail[[#This Row],[customers]]</f>
        <v>15.550729166666665</v>
      </c>
      <c r="I2079">
        <v>88.6</v>
      </c>
      <c r="J2079">
        <f>(Miami_Retail[[#This Row],[avg_temp_f]]-32) * (5/9)</f>
        <v>31.444444444444443</v>
      </c>
      <c r="K2079">
        <v>0</v>
      </c>
      <c r="L2079">
        <v>0</v>
      </c>
      <c r="M2079">
        <v>72.2</v>
      </c>
      <c r="N2079">
        <v>44.8</v>
      </c>
      <c r="O2079">
        <v>55.2</v>
      </c>
      <c r="P2079">
        <v>50.8</v>
      </c>
      <c r="Q2079">
        <v>49.2</v>
      </c>
    </row>
    <row r="2080" spans="1:17" x14ac:dyDescent="0.25">
      <c r="A2080" s="2">
        <v>45543</v>
      </c>
      <c r="B2080" s="2" t="str">
        <f t="shared" si="64"/>
        <v>Sunday</v>
      </c>
      <c r="C2080" s="2" t="b">
        <f t="shared" si="65"/>
        <v>1</v>
      </c>
      <c r="D2080">
        <v>3</v>
      </c>
      <c r="E2080" t="s">
        <v>7</v>
      </c>
      <c r="F2080">
        <v>295</v>
      </c>
      <c r="G2080" s="3">
        <v>4915.38</v>
      </c>
      <c r="H2080" s="3">
        <f>Miami_Retail[[#This Row],[sales_usd]] / Miami_Retail[[#This Row],[customers]]</f>
        <v>16.662305084745764</v>
      </c>
      <c r="I2080">
        <v>83.8</v>
      </c>
      <c r="J2080">
        <f>(Miami_Retail[[#This Row],[avg_temp_f]]-32) * (5/9)</f>
        <v>28.777777777777779</v>
      </c>
      <c r="K2080">
        <v>0.45</v>
      </c>
      <c r="L2080">
        <v>1</v>
      </c>
      <c r="M2080">
        <v>81.5</v>
      </c>
      <c r="N2080">
        <v>46.5</v>
      </c>
      <c r="O2080">
        <v>53.5</v>
      </c>
      <c r="P2080">
        <v>50.7</v>
      </c>
      <c r="Q2080">
        <v>49.3</v>
      </c>
    </row>
    <row r="2081" spans="1:17" x14ac:dyDescent="0.25">
      <c r="A2081" s="2">
        <v>45544</v>
      </c>
      <c r="B2081" s="2" t="str">
        <f t="shared" si="64"/>
        <v>Monday</v>
      </c>
      <c r="C2081" s="2" t="b">
        <f t="shared" si="65"/>
        <v>0</v>
      </c>
      <c r="D2081">
        <v>3</v>
      </c>
      <c r="E2081" t="s">
        <v>7</v>
      </c>
      <c r="F2081">
        <v>260</v>
      </c>
      <c r="G2081" s="3">
        <v>4307.79</v>
      </c>
      <c r="H2081" s="3">
        <f>Miami_Retail[[#This Row],[sales_usd]] / Miami_Retail[[#This Row],[customers]]</f>
        <v>16.568423076923075</v>
      </c>
      <c r="I2081">
        <v>87.9</v>
      </c>
      <c r="J2081">
        <f>(Miami_Retail[[#This Row],[avg_temp_f]]-32) * (5/9)</f>
        <v>31.055555555555561</v>
      </c>
      <c r="K2081">
        <v>0</v>
      </c>
      <c r="L2081">
        <v>0</v>
      </c>
      <c r="M2081">
        <v>74.8</v>
      </c>
      <c r="N2081">
        <v>44.8</v>
      </c>
      <c r="O2081">
        <v>55.2</v>
      </c>
      <c r="P2081">
        <v>43.7</v>
      </c>
      <c r="Q2081">
        <v>56.3</v>
      </c>
    </row>
    <row r="2082" spans="1:17" x14ac:dyDescent="0.25">
      <c r="A2082" s="2">
        <v>45545</v>
      </c>
      <c r="B2082" s="2" t="str">
        <f t="shared" si="64"/>
        <v>Tuesday</v>
      </c>
      <c r="C2082" s="2" t="b">
        <f t="shared" si="65"/>
        <v>0</v>
      </c>
      <c r="D2082">
        <v>3</v>
      </c>
      <c r="E2082" t="s">
        <v>7</v>
      </c>
      <c r="F2082">
        <v>293</v>
      </c>
      <c r="G2082" s="3">
        <v>5073.6400000000003</v>
      </c>
      <c r="H2082" s="3">
        <f>Miami_Retail[[#This Row],[sales_usd]] / Miami_Retail[[#This Row],[customers]]</f>
        <v>17.316177474402732</v>
      </c>
      <c r="I2082">
        <v>96.3</v>
      </c>
      <c r="J2082">
        <f>(Miami_Retail[[#This Row],[avg_temp_f]]-32) * (5/9)</f>
        <v>35.722222222222221</v>
      </c>
      <c r="K2082">
        <v>0</v>
      </c>
      <c r="L2082">
        <v>0</v>
      </c>
      <c r="M2082">
        <v>71.599999999999994</v>
      </c>
      <c r="N2082">
        <v>44.7</v>
      </c>
      <c r="O2082">
        <v>55.3</v>
      </c>
      <c r="P2082">
        <v>44.2</v>
      </c>
      <c r="Q2082">
        <v>55.8</v>
      </c>
    </row>
    <row r="2083" spans="1:17" x14ac:dyDescent="0.25">
      <c r="A2083" s="2">
        <v>45546</v>
      </c>
      <c r="B2083" s="2" t="str">
        <f t="shared" si="64"/>
        <v>Wednesday</v>
      </c>
      <c r="C2083" s="2" t="b">
        <f t="shared" si="65"/>
        <v>0</v>
      </c>
      <c r="D2083">
        <v>3</v>
      </c>
      <c r="E2083" t="s">
        <v>7</v>
      </c>
      <c r="F2083">
        <v>254</v>
      </c>
      <c r="G2083" s="3">
        <v>4555.8500000000004</v>
      </c>
      <c r="H2083" s="3">
        <f>Miami_Retail[[#This Row],[sales_usd]] / Miami_Retail[[#This Row],[customers]]</f>
        <v>17.936417322834647</v>
      </c>
      <c r="I2083">
        <v>87.3</v>
      </c>
      <c r="J2083">
        <f>(Miami_Retail[[#This Row],[avg_temp_f]]-32) * (5/9)</f>
        <v>30.722222222222221</v>
      </c>
      <c r="K2083">
        <v>0</v>
      </c>
      <c r="L2083">
        <v>0</v>
      </c>
      <c r="M2083">
        <v>72.599999999999994</v>
      </c>
      <c r="N2083">
        <v>46.1</v>
      </c>
      <c r="O2083">
        <v>53.9</v>
      </c>
      <c r="P2083">
        <v>45.6</v>
      </c>
      <c r="Q2083">
        <v>54.4</v>
      </c>
    </row>
    <row r="2084" spans="1:17" x14ac:dyDescent="0.25">
      <c r="A2084" s="2">
        <v>45547</v>
      </c>
      <c r="B2084" s="2" t="str">
        <f t="shared" si="64"/>
        <v>Thursday</v>
      </c>
      <c r="C2084" s="2" t="b">
        <f t="shared" si="65"/>
        <v>0</v>
      </c>
      <c r="D2084">
        <v>3</v>
      </c>
      <c r="E2084" t="s">
        <v>7</v>
      </c>
      <c r="F2084">
        <v>259</v>
      </c>
      <c r="G2084" s="3">
        <v>4006.92</v>
      </c>
      <c r="H2084" s="3">
        <f>Miami_Retail[[#This Row],[sales_usd]] / Miami_Retail[[#This Row],[customers]]</f>
        <v>15.470733590733591</v>
      </c>
      <c r="I2084">
        <v>91.7</v>
      </c>
      <c r="J2084">
        <f>(Miami_Retail[[#This Row],[avg_temp_f]]-32) * (5/9)</f>
        <v>33.166666666666671</v>
      </c>
      <c r="K2084">
        <v>0.94</v>
      </c>
      <c r="L2084">
        <v>1</v>
      </c>
      <c r="M2084">
        <v>68</v>
      </c>
      <c r="N2084">
        <v>46.5</v>
      </c>
      <c r="O2084">
        <v>53.5</v>
      </c>
      <c r="P2084">
        <v>45.6</v>
      </c>
      <c r="Q2084">
        <v>54.4</v>
      </c>
    </row>
    <row r="2085" spans="1:17" x14ac:dyDescent="0.25">
      <c r="A2085" s="2">
        <v>45548</v>
      </c>
      <c r="B2085" s="2" t="str">
        <f t="shared" si="64"/>
        <v>Friday</v>
      </c>
      <c r="C2085" s="2" t="b">
        <f t="shared" si="65"/>
        <v>0</v>
      </c>
      <c r="D2085">
        <v>3</v>
      </c>
      <c r="E2085" t="s">
        <v>7</v>
      </c>
      <c r="F2085">
        <v>255</v>
      </c>
      <c r="G2085" s="3">
        <v>3762.69</v>
      </c>
      <c r="H2085" s="3">
        <f>Miami_Retail[[#This Row],[sales_usd]] / Miami_Retail[[#This Row],[customers]]</f>
        <v>14.755647058823529</v>
      </c>
      <c r="I2085">
        <v>90.9</v>
      </c>
      <c r="J2085">
        <f>(Miami_Retail[[#This Row],[avg_temp_f]]-32) * (5/9)</f>
        <v>32.722222222222229</v>
      </c>
      <c r="K2085">
        <v>0</v>
      </c>
      <c r="L2085">
        <v>0</v>
      </c>
      <c r="M2085">
        <v>71.3</v>
      </c>
      <c r="N2085">
        <v>46.6</v>
      </c>
      <c r="O2085">
        <v>53.4</v>
      </c>
      <c r="P2085">
        <v>45.3</v>
      </c>
      <c r="Q2085">
        <v>54.7</v>
      </c>
    </row>
    <row r="2086" spans="1:17" x14ac:dyDescent="0.25">
      <c r="A2086" s="2">
        <v>45549</v>
      </c>
      <c r="B2086" s="2" t="str">
        <f t="shared" si="64"/>
        <v>Saturday</v>
      </c>
      <c r="C2086" s="2" t="b">
        <f t="shared" si="65"/>
        <v>1</v>
      </c>
      <c r="D2086">
        <v>3</v>
      </c>
      <c r="E2086" t="s">
        <v>7</v>
      </c>
      <c r="F2086">
        <v>289</v>
      </c>
      <c r="G2086" s="3">
        <v>4620.92</v>
      </c>
      <c r="H2086" s="3">
        <f>Miami_Retail[[#This Row],[sales_usd]] / Miami_Retail[[#This Row],[customers]]</f>
        <v>15.989342560553634</v>
      </c>
      <c r="I2086">
        <v>90.2</v>
      </c>
      <c r="J2086">
        <f>(Miami_Retail[[#This Row],[avg_temp_f]]-32) * (5/9)</f>
        <v>32.333333333333336</v>
      </c>
      <c r="K2086">
        <v>0</v>
      </c>
      <c r="L2086">
        <v>0</v>
      </c>
      <c r="M2086">
        <v>67.5</v>
      </c>
      <c r="N2086">
        <v>45.3</v>
      </c>
      <c r="O2086">
        <v>54.7</v>
      </c>
      <c r="P2086">
        <v>50.8</v>
      </c>
      <c r="Q2086">
        <v>49.2</v>
      </c>
    </row>
    <row r="2087" spans="1:17" x14ac:dyDescent="0.25">
      <c r="A2087" s="2">
        <v>45550</v>
      </c>
      <c r="B2087" s="2" t="str">
        <f t="shared" si="64"/>
        <v>Sunday</v>
      </c>
      <c r="C2087" s="2" t="b">
        <f t="shared" si="65"/>
        <v>1</v>
      </c>
      <c r="D2087">
        <v>3</v>
      </c>
      <c r="E2087" t="s">
        <v>7</v>
      </c>
      <c r="F2087">
        <v>296</v>
      </c>
      <c r="G2087" s="3">
        <v>4989.49</v>
      </c>
      <c r="H2087" s="3">
        <f>Miami_Retail[[#This Row],[sales_usd]] / Miami_Retail[[#This Row],[customers]]</f>
        <v>16.856385135135135</v>
      </c>
      <c r="I2087">
        <v>88.9</v>
      </c>
      <c r="J2087">
        <f>(Miami_Retail[[#This Row],[avg_temp_f]]-32) * (5/9)</f>
        <v>31.611111111111114</v>
      </c>
      <c r="K2087">
        <v>0</v>
      </c>
      <c r="L2087">
        <v>0</v>
      </c>
      <c r="M2087">
        <v>75.5</v>
      </c>
      <c r="N2087">
        <v>48</v>
      </c>
      <c r="O2087">
        <v>52</v>
      </c>
      <c r="P2087">
        <v>51.6</v>
      </c>
      <c r="Q2087">
        <v>48.4</v>
      </c>
    </row>
    <row r="2088" spans="1:17" x14ac:dyDescent="0.25">
      <c r="A2088" s="2">
        <v>45551</v>
      </c>
      <c r="B2088" s="2" t="str">
        <f t="shared" si="64"/>
        <v>Monday</v>
      </c>
      <c r="C2088" s="2" t="b">
        <f t="shared" si="65"/>
        <v>0</v>
      </c>
      <c r="D2088">
        <v>3</v>
      </c>
      <c r="E2088" t="s">
        <v>7</v>
      </c>
      <c r="F2088">
        <v>233</v>
      </c>
      <c r="G2088" s="3">
        <v>3989.87</v>
      </c>
      <c r="H2088" s="3">
        <f>Miami_Retail[[#This Row],[sales_usd]] / Miami_Retail[[#This Row],[customers]]</f>
        <v>17.123905579399143</v>
      </c>
      <c r="I2088">
        <v>86.3</v>
      </c>
      <c r="J2088">
        <f>(Miami_Retail[[#This Row],[avg_temp_f]]-32) * (5/9)</f>
        <v>30.166666666666668</v>
      </c>
      <c r="K2088">
        <v>0</v>
      </c>
      <c r="L2088">
        <v>0</v>
      </c>
      <c r="M2088">
        <v>78.8</v>
      </c>
      <c r="N2088">
        <v>48.7</v>
      </c>
      <c r="O2088">
        <v>51.3</v>
      </c>
      <c r="P2088">
        <v>45.6</v>
      </c>
      <c r="Q2088">
        <v>54.4</v>
      </c>
    </row>
    <row r="2089" spans="1:17" x14ac:dyDescent="0.25">
      <c r="A2089" s="2">
        <v>45552</v>
      </c>
      <c r="B2089" s="2" t="str">
        <f t="shared" si="64"/>
        <v>Tuesday</v>
      </c>
      <c r="C2089" s="2" t="b">
        <f t="shared" si="65"/>
        <v>0</v>
      </c>
      <c r="D2089">
        <v>3</v>
      </c>
      <c r="E2089" t="s">
        <v>7</v>
      </c>
      <c r="F2089">
        <v>274</v>
      </c>
      <c r="G2089" s="3">
        <v>4611.47</v>
      </c>
      <c r="H2089" s="3">
        <f>Miami_Retail[[#This Row],[sales_usd]] / Miami_Retail[[#This Row],[customers]]</f>
        <v>16.830182481751827</v>
      </c>
      <c r="I2089">
        <v>89.1</v>
      </c>
      <c r="J2089">
        <f>(Miami_Retail[[#This Row],[avg_temp_f]]-32) * (5/9)</f>
        <v>31.722222222222221</v>
      </c>
      <c r="K2089">
        <v>0.83</v>
      </c>
      <c r="L2089">
        <v>1</v>
      </c>
      <c r="M2089">
        <v>82.8</v>
      </c>
      <c r="N2089">
        <v>46.4</v>
      </c>
      <c r="O2089">
        <v>53.6</v>
      </c>
      <c r="P2089">
        <v>45.1</v>
      </c>
      <c r="Q2089">
        <v>54.9</v>
      </c>
    </row>
    <row r="2090" spans="1:17" x14ac:dyDescent="0.25">
      <c r="A2090" s="2">
        <v>45553</v>
      </c>
      <c r="B2090" s="2" t="str">
        <f t="shared" si="64"/>
        <v>Wednesday</v>
      </c>
      <c r="C2090" s="2" t="b">
        <f t="shared" si="65"/>
        <v>0</v>
      </c>
      <c r="D2090">
        <v>3</v>
      </c>
      <c r="E2090" t="s">
        <v>7</v>
      </c>
      <c r="F2090">
        <v>270</v>
      </c>
      <c r="G2090" s="3">
        <v>4400.16</v>
      </c>
      <c r="H2090" s="3">
        <f>Miami_Retail[[#This Row],[sales_usd]] / Miami_Retail[[#This Row],[customers]]</f>
        <v>16.296888888888887</v>
      </c>
      <c r="I2090">
        <v>89.8</v>
      </c>
      <c r="J2090">
        <f>(Miami_Retail[[#This Row],[avg_temp_f]]-32) * (5/9)</f>
        <v>32.111111111111114</v>
      </c>
      <c r="K2090">
        <v>0.83</v>
      </c>
      <c r="L2090">
        <v>1</v>
      </c>
      <c r="M2090">
        <v>78.400000000000006</v>
      </c>
      <c r="N2090">
        <v>46.2</v>
      </c>
      <c r="O2090">
        <v>53.8</v>
      </c>
      <c r="P2090">
        <v>44</v>
      </c>
      <c r="Q2090">
        <v>56</v>
      </c>
    </row>
    <row r="2091" spans="1:17" x14ac:dyDescent="0.25">
      <c r="A2091" s="2">
        <v>45554</v>
      </c>
      <c r="B2091" s="2" t="str">
        <f t="shared" si="64"/>
        <v>Thursday</v>
      </c>
      <c r="C2091" s="2" t="b">
        <f t="shared" si="65"/>
        <v>0</v>
      </c>
      <c r="D2091">
        <v>3</v>
      </c>
      <c r="E2091" t="s">
        <v>7</v>
      </c>
      <c r="F2091">
        <v>263</v>
      </c>
      <c r="G2091" s="3">
        <v>4303.47</v>
      </c>
      <c r="H2091" s="3">
        <f>Miami_Retail[[#This Row],[sales_usd]] / Miami_Retail[[#This Row],[customers]]</f>
        <v>16.363003802281369</v>
      </c>
      <c r="I2091">
        <v>90.5</v>
      </c>
      <c r="J2091">
        <f>(Miami_Retail[[#This Row],[avg_temp_f]]-32) * (5/9)</f>
        <v>32.5</v>
      </c>
      <c r="K2091">
        <v>0.68</v>
      </c>
      <c r="L2091">
        <v>1</v>
      </c>
      <c r="M2091">
        <v>75.400000000000006</v>
      </c>
      <c r="N2091">
        <v>44.6</v>
      </c>
      <c r="O2091">
        <v>55.4</v>
      </c>
      <c r="P2091">
        <v>43</v>
      </c>
      <c r="Q2091">
        <v>57</v>
      </c>
    </row>
    <row r="2092" spans="1:17" x14ac:dyDescent="0.25">
      <c r="A2092" s="2">
        <v>45555</v>
      </c>
      <c r="B2092" s="2" t="str">
        <f t="shared" si="64"/>
        <v>Friday</v>
      </c>
      <c r="C2092" s="2" t="b">
        <f t="shared" si="65"/>
        <v>0</v>
      </c>
      <c r="D2092">
        <v>3</v>
      </c>
      <c r="E2092" t="s">
        <v>7</v>
      </c>
      <c r="F2092">
        <v>254</v>
      </c>
      <c r="G2092" s="3">
        <v>4396.7</v>
      </c>
      <c r="H2092" s="3">
        <f>Miami_Retail[[#This Row],[sales_usd]] / Miami_Retail[[#This Row],[customers]]</f>
        <v>17.309842519685038</v>
      </c>
      <c r="I2092">
        <v>87.4</v>
      </c>
      <c r="J2092">
        <f>(Miami_Retail[[#This Row],[avg_temp_f]]-32) * (5/9)</f>
        <v>30.777777777777782</v>
      </c>
      <c r="K2092">
        <v>7.0000000000000007E-2</v>
      </c>
      <c r="L2092">
        <v>1</v>
      </c>
      <c r="M2092">
        <v>76.900000000000006</v>
      </c>
      <c r="N2092">
        <v>46.2</v>
      </c>
      <c r="O2092">
        <v>53.8</v>
      </c>
      <c r="P2092">
        <v>44.2</v>
      </c>
      <c r="Q2092">
        <v>55.8</v>
      </c>
    </row>
    <row r="2093" spans="1:17" x14ac:dyDescent="0.25">
      <c r="A2093" s="2">
        <v>45556</v>
      </c>
      <c r="B2093" s="2" t="str">
        <f t="shared" si="64"/>
        <v>Saturday</v>
      </c>
      <c r="C2093" s="2" t="b">
        <f t="shared" si="65"/>
        <v>1</v>
      </c>
      <c r="D2093">
        <v>3</v>
      </c>
      <c r="E2093" t="s">
        <v>7</v>
      </c>
      <c r="F2093">
        <v>296</v>
      </c>
      <c r="G2093" s="3">
        <v>4891.71</v>
      </c>
      <c r="H2093" s="3">
        <f>Miami_Retail[[#This Row],[sales_usd]] / Miami_Retail[[#This Row],[customers]]</f>
        <v>16.526047297297296</v>
      </c>
      <c r="I2093">
        <v>89.5</v>
      </c>
      <c r="J2093">
        <f>(Miami_Retail[[#This Row],[avg_temp_f]]-32) * (5/9)</f>
        <v>31.944444444444446</v>
      </c>
      <c r="K2093">
        <v>0</v>
      </c>
      <c r="L2093">
        <v>0</v>
      </c>
      <c r="M2093">
        <v>71.8</v>
      </c>
      <c r="N2093">
        <v>46.3</v>
      </c>
      <c r="O2093">
        <v>53.7</v>
      </c>
      <c r="P2093">
        <v>49.8</v>
      </c>
      <c r="Q2093">
        <v>50.2</v>
      </c>
    </row>
    <row r="2094" spans="1:17" x14ac:dyDescent="0.25">
      <c r="A2094" s="2">
        <v>45557</v>
      </c>
      <c r="B2094" s="2" t="str">
        <f t="shared" si="64"/>
        <v>Sunday</v>
      </c>
      <c r="C2094" s="2" t="b">
        <f t="shared" si="65"/>
        <v>1</v>
      </c>
      <c r="D2094">
        <v>3</v>
      </c>
      <c r="E2094" t="s">
        <v>7</v>
      </c>
      <c r="F2094">
        <v>269</v>
      </c>
      <c r="G2094" s="3">
        <v>4095.05</v>
      </c>
      <c r="H2094" s="3">
        <f>Miami_Retail[[#This Row],[sales_usd]] / Miami_Retail[[#This Row],[customers]]</f>
        <v>15.223234200743494</v>
      </c>
      <c r="I2094">
        <v>89.4</v>
      </c>
      <c r="J2094">
        <f>(Miami_Retail[[#This Row],[avg_temp_f]]-32) * (5/9)</f>
        <v>31.888888888888893</v>
      </c>
      <c r="K2094">
        <v>0</v>
      </c>
      <c r="L2094">
        <v>0</v>
      </c>
      <c r="M2094">
        <v>77.5</v>
      </c>
      <c r="N2094">
        <v>44.9</v>
      </c>
      <c r="O2094">
        <v>55.1</v>
      </c>
      <c r="P2094">
        <v>50</v>
      </c>
      <c r="Q2094">
        <v>50</v>
      </c>
    </row>
    <row r="2095" spans="1:17" x14ac:dyDescent="0.25">
      <c r="A2095" s="2">
        <v>45558</v>
      </c>
      <c r="B2095" s="2" t="str">
        <f t="shared" si="64"/>
        <v>Monday</v>
      </c>
      <c r="C2095" s="2" t="b">
        <f t="shared" si="65"/>
        <v>0</v>
      </c>
      <c r="D2095">
        <v>3</v>
      </c>
      <c r="E2095" t="s">
        <v>7</v>
      </c>
      <c r="F2095">
        <v>270</v>
      </c>
      <c r="G2095" s="3">
        <v>4809.32</v>
      </c>
      <c r="H2095" s="3">
        <f>Miami_Retail[[#This Row],[sales_usd]] / Miami_Retail[[#This Row],[customers]]</f>
        <v>17.812296296296296</v>
      </c>
      <c r="I2095">
        <v>91.2</v>
      </c>
      <c r="J2095">
        <f>(Miami_Retail[[#This Row],[avg_temp_f]]-32) * (5/9)</f>
        <v>32.888888888888893</v>
      </c>
      <c r="K2095">
        <v>0</v>
      </c>
      <c r="L2095">
        <v>0</v>
      </c>
      <c r="M2095">
        <v>78.400000000000006</v>
      </c>
      <c r="N2095">
        <v>45.6</v>
      </c>
      <c r="O2095">
        <v>54.4</v>
      </c>
      <c r="P2095">
        <v>46</v>
      </c>
      <c r="Q2095">
        <v>54</v>
      </c>
    </row>
    <row r="2096" spans="1:17" x14ac:dyDescent="0.25">
      <c r="A2096" s="2">
        <v>45559</v>
      </c>
      <c r="B2096" s="2" t="str">
        <f t="shared" si="64"/>
        <v>Tuesday</v>
      </c>
      <c r="C2096" s="2" t="b">
        <f t="shared" si="65"/>
        <v>0</v>
      </c>
      <c r="D2096">
        <v>3</v>
      </c>
      <c r="E2096" t="s">
        <v>7</v>
      </c>
      <c r="F2096">
        <v>224</v>
      </c>
      <c r="G2096" s="3">
        <v>3576.37</v>
      </c>
      <c r="H2096" s="3">
        <f>Miami_Retail[[#This Row],[sales_usd]] / Miami_Retail[[#This Row],[customers]]</f>
        <v>15.965937499999999</v>
      </c>
      <c r="I2096">
        <v>90.2</v>
      </c>
      <c r="J2096">
        <f>(Miami_Retail[[#This Row],[avg_temp_f]]-32) * (5/9)</f>
        <v>32.333333333333336</v>
      </c>
      <c r="K2096">
        <v>0</v>
      </c>
      <c r="L2096">
        <v>0</v>
      </c>
      <c r="M2096">
        <v>69.7</v>
      </c>
      <c r="N2096">
        <v>45.5</v>
      </c>
      <c r="O2096">
        <v>54.5</v>
      </c>
      <c r="P2096">
        <v>44</v>
      </c>
      <c r="Q2096">
        <v>56</v>
      </c>
    </row>
    <row r="2097" spans="1:17" x14ac:dyDescent="0.25">
      <c r="A2097" s="2">
        <v>45560</v>
      </c>
      <c r="B2097" s="2" t="str">
        <f t="shared" si="64"/>
        <v>Wednesday</v>
      </c>
      <c r="C2097" s="2" t="b">
        <f t="shared" si="65"/>
        <v>0</v>
      </c>
      <c r="D2097">
        <v>3</v>
      </c>
      <c r="E2097" t="s">
        <v>7</v>
      </c>
      <c r="F2097">
        <v>255</v>
      </c>
      <c r="G2097" s="3">
        <v>4135.6899999999996</v>
      </c>
      <c r="H2097" s="3">
        <f>Miami_Retail[[#This Row],[sales_usd]] / Miami_Retail[[#This Row],[customers]]</f>
        <v>16.218392156862745</v>
      </c>
      <c r="I2097">
        <v>87.6</v>
      </c>
      <c r="J2097">
        <f>(Miami_Retail[[#This Row],[avg_temp_f]]-32) * (5/9)</f>
        <v>30.888888888888886</v>
      </c>
      <c r="K2097">
        <v>0</v>
      </c>
      <c r="L2097">
        <v>0</v>
      </c>
      <c r="M2097">
        <v>82.3</v>
      </c>
      <c r="N2097">
        <v>47</v>
      </c>
      <c r="O2097">
        <v>53</v>
      </c>
      <c r="P2097">
        <v>44.5</v>
      </c>
      <c r="Q2097">
        <v>55.5</v>
      </c>
    </row>
    <row r="2098" spans="1:17" x14ac:dyDescent="0.25">
      <c r="A2098" s="2">
        <v>45561</v>
      </c>
      <c r="B2098" s="2" t="str">
        <f t="shared" si="64"/>
        <v>Thursday</v>
      </c>
      <c r="C2098" s="2" t="b">
        <f t="shared" si="65"/>
        <v>0</v>
      </c>
      <c r="D2098">
        <v>3</v>
      </c>
      <c r="E2098" t="s">
        <v>7</v>
      </c>
      <c r="F2098">
        <v>216</v>
      </c>
      <c r="G2098" s="3">
        <v>3523.75</v>
      </c>
      <c r="H2098" s="3">
        <f>Miami_Retail[[#This Row],[sales_usd]] / Miami_Retail[[#This Row],[customers]]</f>
        <v>16.313657407407408</v>
      </c>
      <c r="I2098">
        <v>89.3</v>
      </c>
      <c r="J2098">
        <f>(Miami_Retail[[#This Row],[avg_temp_f]]-32) * (5/9)</f>
        <v>31.833333333333332</v>
      </c>
      <c r="K2098">
        <v>0.8</v>
      </c>
      <c r="L2098">
        <v>1</v>
      </c>
      <c r="M2098">
        <v>79.099999999999994</v>
      </c>
      <c r="N2098">
        <v>45.9</v>
      </c>
      <c r="O2098">
        <v>54.1</v>
      </c>
      <c r="P2098">
        <v>44.9</v>
      </c>
      <c r="Q2098">
        <v>55.1</v>
      </c>
    </row>
    <row r="2099" spans="1:17" x14ac:dyDescent="0.25">
      <c r="A2099" s="2">
        <v>45562</v>
      </c>
      <c r="B2099" s="2" t="str">
        <f t="shared" si="64"/>
        <v>Friday</v>
      </c>
      <c r="C2099" s="2" t="b">
        <f t="shared" si="65"/>
        <v>0</v>
      </c>
      <c r="D2099">
        <v>3</v>
      </c>
      <c r="E2099" t="s">
        <v>7</v>
      </c>
      <c r="F2099">
        <v>248</v>
      </c>
      <c r="G2099" s="3">
        <v>4121.41</v>
      </c>
      <c r="H2099" s="3">
        <f>Miami_Retail[[#This Row],[sales_usd]] / Miami_Retail[[#This Row],[customers]]</f>
        <v>16.618588709677418</v>
      </c>
      <c r="I2099">
        <v>89.2</v>
      </c>
      <c r="J2099">
        <f>(Miami_Retail[[#This Row],[avg_temp_f]]-32) * (5/9)</f>
        <v>31.777777777777782</v>
      </c>
      <c r="K2099">
        <v>0.23</v>
      </c>
      <c r="L2099">
        <v>1</v>
      </c>
      <c r="M2099">
        <v>69.5</v>
      </c>
      <c r="N2099">
        <v>46.7</v>
      </c>
      <c r="O2099">
        <v>53.3</v>
      </c>
      <c r="P2099">
        <v>45.3</v>
      </c>
      <c r="Q2099">
        <v>54.7</v>
      </c>
    </row>
    <row r="2100" spans="1:17" x14ac:dyDescent="0.25">
      <c r="A2100" s="2">
        <v>45563</v>
      </c>
      <c r="B2100" s="2" t="str">
        <f t="shared" si="64"/>
        <v>Saturday</v>
      </c>
      <c r="C2100" s="2" t="b">
        <f t="shared" si="65"/>
        <v>1</v>
      </c>
      <c r="D2100">
        <v>3</v>
      </c>
      <c r="E2100" t="s">
        <v>7</v>
      </c>
      <c r="F2100">
        <v>270</v>
      </c>
      <c r="G2100" s="3">
        <v>4918.78</v>
      </c>
      <c r="H2100" s="3">
        <f>Miami_Retail[[#This Row],[sales_usd]] / Miami_Retail[[#This Row],[customers]]</f>
        <v>18.217703703703702</v>
      </c>
      <c r="I2100">
        <v>89.2</v>
      </c>
      <c r="J2100">
        <f>(Miami_Retail[[#This Row],[avg_temp_f]]-32) * (5/9)</f>
        <v>31.777777777777782</v>
      </c>
      <c r="K2100">
        <v>0</v>
      </c>
      <c r="L2100">
        <v>0</v>
      </c>
      <c r="M2100">
        <v>69.8</v>
      </c>
      <c r="N2100">
        <v>47</v>
      </c>
      <c r="O2100">
        <v>53</v>
      </c>
      <c r="P2100">
        <v>51.2</v>
      </c>
      <c r="Q2100">
        <v>48.8</v>
      </c>
    </row>
    <row r="2101" spans="1:17" x14ac:dyDescent="0.25">
      <c r="A2101" s="2">
        <v>45564</v>
      </c>
      <c r="B2101" s="2" t="str">
        <f t="shared" si="64"/>
        <v>Sunday</v>
      </c>
      <c r="C2101" s="2" t="b">
        <f t="shared" si="65"/>
        <v>1</v>
      </c>
      <c r="D2101">
        <v>3</v>
      </c>
      <c r="E2101" t="s">
        <v>7</v>
      </c>
      <c r="F2101">
        <v>294</v>
      </c>
      <c r="G2101" s="3">
        <v>4539.91</v>
      </c>
      <c r="H2101" s="3">
        <f>Miami_Retail[[#This Row],[sales_usd]] / Miami_Retail[[#This Row],[customers]]</f>
        <v>15.441870748299319</v>
      </c>
      <c r="I2101">
        <v>89.4</v>
      </c>
      <c r="J2101">
        <f>(Miami_Retail[[#This Row],[avg_temp_f]]-32) * (5/9)</f>
        <v>31.888888888888893</v>
      </c>
      <c r="K2101">
        <v>0</v>
      </c>
      <c r="L2101">
        <v>0</v>
      </c>
      <c r="M2101">
        <v>75</v>
      </c>
      <c r="N2101">
        <v>45.2</v>
      </c>
      <c r="O2101">
        <v>54.8</v>
      </c>
      <c r="P2101">
        <v>51.2</v>
      </c>
      <c r="Q2101">
        <v>48.8</v>
      </c>
    </row>
    <row r="2102" spans="1:17" x14ac:dyDescent="0.25">
      <c r="A2102" s="2">
        <v>45565</v>
      </c>
      <c r="B2102" s="2" t="str">
        <f t="shared" si="64"/>
        <v>Monday</v>
      </c>
      <c r="C2102" s="2" t="b">
        <f t="shared" si="65"/>
        <v>0</v>
      </c>
      <c r="D2102">
        <v>3</v>
      </c>
      <c r="E2102" t="s">
        <v>7</v>
      </c>
      <c r="F2102">
        <v>259</v>
      </c>
      <c r="G2102" s="3">
        <v>4246.6099999999997</v>
      </c>
      <c r="H2102" s="3">
        <f>Miami_Retail[[#This Row],[sales_usd]] / Miami_Retail[[#This Row],[customers]]</f>
        <v>16.396177606177606</v>
      </c>
      <c r="I2102">
        <v>91.3</v>
      </c>
      <c r="J2102">
        <f>(Miami_Retail[[#This Row],[avg_temp_f]]-32) * (5/9)</f>
        <v>32.944444444444443</v>
      </c>
      <c r="K2102">
        <v>0</v>
      </c>
      <c r="L2102">
        <v>0</v>
      </c>
      <c r="M2102">
        <v>59.2</v>
      </c>
      <c r="N2102">
        <v>46.5</v>
      </c>
      <c r="O2102">
        <v>53.5</v>
      </c>
      <c r="P2102">
        <v>45.1</v>
      </c>
      <c r="Q2102">
        <v>54.9</v>
      </c>
    </row>
    <row r="2103" spans="1:17" x14ac:dyDescent="0.25">
      <c r="A2103" s="2">
        <v>45566</v>
      </c>
      <c r="B2103" s="2" t="str">
        <f t="shared" si="64"/>
        <v>Tuesday</v>
      </c>
      <c r="C2103" s="2" t="b">
        <f t="shared" si="65"/>
        <v>0</v>
      </c>
      <c r="D2103">
        <v>3</v>
      </c>
      <c r="E2103" t="s">
        <v>7</v>
      </c>
      <c r="F2103">
        <v>241</v>
      </c>
      <c r="G2103" s="3">
        <v>3551.04</v>
      </c>
      <c r="H2103" s="3">
        <f>Miami_Retail[[#This Row],[sales_usd]] / Miami_Retail[[#This Row],[customers]]</f>
        <v>14.734605809128631</v>
      </c>
      <c r="I2103">
        <v>86.8</v>
      </c>
      <c r="J2103">
        <f>(Miami_Retail[[#This Row],[avg_temp_f]]-32) * (5/9)</f>
        <v>30.444444444444443</v>
      </c>
      <c r="K2103">
        <v>0</v>
      </c>
      <c r="L2103">
        <v>0</v>
      </c>
      <c r="M2103">
        <v>71</v>
      </c>
      <c r="N2103">
        <v>47.3</v>
      </c>
      <c r="O2103">
        <v>52.7</v>
      </c>
      <c r="P2103">
        <v>43.9</v>
      </c>
      <c r="Q2103">
        <v>56.1</v>
      </c>
    </row>
    <row r="2104" spans="1:17" x14ac:dyDescent="0.25">
      <c r="A2104" s="2">
        <v>45567</v>
      </c>
      <c r="B2104" s="2" t="str">
        <f t="shared" si="64"/>
        <v>Wednesday</v>
      </c>
      <c r="C2104" s="2" t="b">
        <f t="shared" si="65"/>
        <v>0</v>
      </c>
      <c r="D2104">
        <v>3</v>
      </c>
      <c r="E2104" t="s">
        <v>7</v>
      </c>
      <c r="F2104">
        <v>223</v>
      </c>
      <c r="G2104" s="3">
        <v>3645.85</v>
      </c>
      <c r="H2104" s="3">
        <f>Miami_Retail[[#This Row],[sales_usd]] / Miami_Retail[[#This Row],[customers]]</f>
        <v>16.349103139013451</v>
      </c>
      <c r="I2104">
        <v>88.1</v>
      </c>
      <c r="J2104">
        <f>(Miami_Retail[[#This Row],[avg_temp_f]]-32) * (5/9)</f>
        <v>31.166666666666664</v>
      </c>
      <c r="K2104">
        <v>0</v>
      </c>
      <c r="L2104">
        <v>0</v>
      </c>
      <c r="M2104">
        <v>73.8</v>
      </c>
      <c r="N2104">
        <v>44.7</v>
      </c>
      <c r="O2104">
        <v>55.3</v>
      </c>
      <c r="P2104">
        <v>45.3</v>
      </c>
      <c r="Q2104">
        <v>54.7</v>
      </c>
    </row>
    <row r="2105" spans="1:17" x14ac:dyDescent="0.25">
      <c r="A2105" s="2">
        <v>45568</v>
      </c>
      <c r="B2105" s="2" t="str">
        <f t="shared" si="64"/>
        <v>Thursday</v>
      </c>
      <c r="C2105" s="2" t="b">
        <f t="shared" si="65"/>
        <v>0</v>
      </c>
      <c r="D2105">
        <v>3</v>
      </c>
      <c r="E2105" t="s">
        <v>7</v>
      </c>
      <c r="F2105">
        <v>270</v>
      </c>
      <c r="G2105" s="3">
        <v>4587.2299999999996</v>
      </c>
      <c r="H2105" s="3">
        <f>Miami_Retail[[#This Row],[sales_usd]] / Miami_Retail[[#This Row],[customers]]</f>
        <v>16.989740740740739</v>
      </c>
      <c r="I2105">
        <v>94.9</v>
      </c>
      <c r="J2105">
        <f>(Miami_Retail[[#This Row],[avg_temp_f]]-32) * (5/9)</f>
        <v>34.94444444444445</v>
      </c>
      <c r="K2105">
        <v>0</v>
      </c>
      <c r="L2105">
        <v>0</v>
      </c>
      <c r="M2105">
        <v>64.900000000000006</v>
      </c>
      <c r="N2105">
        <v>44.6</v>
      </c>
      <c r="O2105">
        <v>55.4</v>
      </c>
      <c r="P2105">
        <v>42.6</v>
      </c>
      <c r="Q2105">
        <v>57.4</v>
      </c>
    </row>
    <row r="2106" spans="1:17" x14ac:dyDescent="0.25">
      <c r="A2106" s="2">
        <v>45569</v>
      </c>
      <c r="B2106" s="2" t="str">
        <f t="shared" si="64"/>
        <v>Friday</v>
      </c>
      <c r="C2106" s="2" t="b">
        <f t="shared" si="65"/>
        <v>0</v>
      </c>
      <c r="D2106">
        <v>3</v>
      </c>
      <c r="E2106" t="s">
        <v>7</v>
      </c>
      <c r="F2106">
        <v>232</v>
      </c>
      <c r="G2106" s="3">
        <v>3937.07</v>
      </c>
      <c r="H2106" s="3">
        <f>Miami_Retail[[#This Row],[sales_usd]] / Miami_Retail[[#This Row],[customers]]</f>
        <v>16.970129310344827</v>
      </c>
      <c r="I2106">
        <v>90</v>
      </c>
      <c r="J2106">
        <f>(Miami_Retail[[#This Row],[avg_temp_f]]-32) * (5/9)</f>
        <v>32.222222222222221</v>
      </c>
      <c r="K2106">
        <v>0</v>
      </c>
      <c r="L2106">
        <v>0</v>
      </c>
      <c r="M2106">
        <v>67.2</v>
      </c>
      <c r="N2106">
        <v>48</v>
      </c>
      <c r="O2106">
        <v>52</v>
      </c>
      <c r="P2106">
        <v>44.5</v>
      </c>
      <c r="Q2106">
        <v>55.5</v>
      </c>
    </row>
    <row r="2107" spans="1:17" x14ac:dyDescent="0.25">
      <c r="A2107" s="2">
        <v>45570</v>
      </c>
      <c r="B2107" s="2" t="str">
        <f t="shared" si="64"/>
        <v>Saturday</v>
      </c>
      <c r="C2107" s="2" t="b">
        <f t="shared" si="65"/>
        <v>1</v>
      </c>
      <c r="D2107">
        <v>3</v>
      </c>
      <c r="E2107" t="s">
        <v>7</v>
      </c>
      <c r="F2107">
        <v>330</v>
      </c>
      <c r="G2107" s="3">
        <v>5144.67</v>
      </c>
      <c r="H2107" s="3">
        <f>Miami_Retail[[#This Row],[sales_usd]] / Miami_Retail[[#This Row],[customers]]</f>
        <v>15.58990909090909</v>
      </c>
      <c r="I2107">
        <v>94.9</v>
      </c>
      <c r="J2107">
        <f>(Miami_Retail[[#This Row],[avg_temp_f]]-32) * (5/9)</f>
        <v>34.94444444444445</v>
      </c>
      <c r="K2107">
        <v>0</v>
      </c>
      <c r="L2107">
        <v>0</v>
      </c>
      <c r="M2107">
        <v>77.7</v>
      </c>
      <c r="N2107">
        <v>46.6</v>
      </c>
      <c r="O2107">
        <v>53.4</v>
      </c>
      <c r="P2107">
        <v>49.6</v>
      </c>
      <c r="Q2107">
        <v>50.4</v>
      </c>
    </row>
    <row r="2108" spans="1:17" x14ac:dyDescent="0.25">
      <c r="A2108" s="2">
        <v>45571</v>
      </c>
      <c r="B2108" s="2" t="str">
        <f t="shared" si="64"/>
        <v>Sunday</v>
      </c>
      <c r="C2108" s="2" t="b">
        <f t="shared" si="65"/>
        <v>1</v>
      </c>
      <c r="D2108">
        <v>3</v>
      </c>
      <c r="E2108" t="s">
        <v>7</v>
      </c>
      <c r="F2108">
        <v>265</v>
      </c>
      <c r="G2108" s="3">
        <v>4305.6000000000004</v>
      </c>
      <c r="H2108" s="3">
        <f>Miami_Retail[[#This Row],[sales_usd]] / Miami_Retail[[#This Row],[customers]]</f>
        <v>16.247547169811323</v>
      </c>
      <c r="I2108">
        <v>88</v>
      </c>
      <c r="J2108">
        <f>(Miami_Retail[[#This Row],[avg_temp_f]]-32) * (5/9)</f>
        <v>31.111111111111114</v>
      </c>
      <c r="K2108">
        <v>0</v>
      </c>
      <c r="L2108">
        <v>0</v>
      </c>
      <c r="M2108">
        <v>63.1</v>
      </c>
      <c r="N2108">
        <v>45.4</v>
      </c>
      <c r="O2108">
        <v>54.6</v>
      </c>
      <c r="P2108">
        <v>48.1</v>
      </c>
      <c r="Q2108">
        <v>51.9</v>
      </c>
    </row>
    <row r="2109" spans="1:17" x14ac:dyDescent="0.25">
      <c r="A2109" s="2">
        <v>45572</v>
      </c>
      <c r="B2109" s="2" t="str">
        <f t="shared" si="64"/>
        <v>Monday</v>
      </c>
      <c r="C2109" s="2" t="b">
        <f t="shared" si="65"/>
        <v>0</v>
      </c>
      <c r="D2109">
        <v>3</v>
      </c>
      <c r="E2109" t="s">
        <v>7</v>
      </c>
      <c r="F2109">
        <v>266</v>
      </c>
      <c r="G2109" s="3">
        <v>4419.45</v>
      </c>
      <c r="H2109" s="3">
        <f>Miami_Retail[[#This Row],[sales_usd]] / Miami_Retail[[#This Row],[customers]]</f>
        <v>16.614473684210527</v>
      </c>
      <c r="I2109">
        <v>89</v>
      </c>
      <c r="J2109">
        <f>(Miami_Retail[[#This Row],[avg_temp_f]]-32) * (5/9)</f>
        <v>31.666666666666668</v>
      </c>
      <c r="K2109">
        <v>0</v>
      </c>
      <c r="L2109">
        <v>0</v>
      </c>
      <c r="M2109">
        <v>72.2</v>
      </c>
      <c r="N2109">
        <v>47.2</v>
      </c>
      <c r="O2109">
        <v>52.8</v>
      </c>
      <c r="P2109">
        <v>44</v>
      </c>
      <c r="Q2109">
        <v>56</v>
      </c>
    </row>
    <row r="2110" spans="1:17" x14ac:dyDescent="0.25">
      <c r="A2110" s="2">
        <v>45573</v>
      </c>
      <c r="B2110" s="2" t="str">
        <f t="shared" si="64"/>
        <v>Tuesday</v>
      </c>
      <c r="C2110" s="2" t="b">
        <f t="shared" si="65"/>
        <v>0</v>
      </c>
      <c r="D2110">
        <v>3</v>
      </c>
      <c r="E2110" t="s">
        <v>7</v>
      </c>
      <c r="F2110">
        <v>283</v>
      </c>
      <c r="G2110" s="3">
        <v>4889.5200000000004</v>
      </c>
      <c r="H2110" s="3">
        <f>Miami_Retail[[#This Row],[sales_usd]] / Miami_Retail[[#This Row],[customers]]</f>
        <v>17.277455830388693</v>
      </c>
      <c r="I2110">
        <v>90.1</v>
      </c>
      <c r="J2110">
        <f>(Miami_Retail[[#This Row],[avg_temp_f]]-32) * (5/9)</f>
        <v>32.277777777777779</v>
      </c>
      <c r="K2110">
        <v>0</v>
      </c>
      <c r="L2110">
        <v>0</v>
      </c>
      <c r="M2110">
        <v>72.900000000000006</v>
      </c>
      <c r="N2110">
        <v>47.7</v>
      </c>
      <c r="O2110">
        <v>52.3</v>
      </c>
      <c r="P2110">
        <v>46.2</v>
      </c>
      <c r="Q2110">
        <v>53.8</v>
      </c>
    </row>
    <row r="2111" spans="1:17" x14ac:dyDescent="0.25">
      <c r="A2111" s="2">
        <v>45574</v>
      </c>
      <c r="B2111" s="2" t="str">
        <f t="shared" si="64"/>
        <v>Wednesday</v>
      </c>
      <c r="C2111" s="2" t="b">
        <f t="shared" si="65"/>
        <v>0</v>
      </c>
      <c r="D2111">
        <v>3</v>
      </c>
      <c r="E2111" t="s">
        <v>7</v>
      </c>
      <c r="F2111">
        <v>288</v>
      </c>
      <c r="G2111" s="3">
        <v>4927.16</v>
      </c>
      <c r="H2111" s="3">
        <f>Miami_Retail[[#This Row],[sales_usd]] / Miami_Retail[[#This Row],[customers]]</f>
        <v>17.108194444444443</v>
      </c>
      <c r="I2111">
        <v>86.9</v>
      </c>
      <c r="J2111">
        <f>(Miami_Retail[[#This Row],[avg_temp_f]]-32) * (5/9)</f>
        <v>30.500000000000004</v>
      </c>
      <c r="K2111">
        <v>0</v>
      </c>
      <c r="L2111">
        <v>0</v>
      </c>
      <c r="M2111">
        <v>69.400000000000006</v>
      </c>
      <c r="N2111">
        <v>46.8</v>
      </c>
      <c r="O2111">
        <v>53.2</v>
      </c>
      <c r="P2111">
        <v>43.4</v>
      </c>
      <c r="Q2111">
        <v>56.6</v>
      </c>
    </row>
    <row r="2112" spans="1:17" x14ac:dyDescent="0.25">
      <c r="A2112" s="2">
        <v>45575</v>
      </c>
      <c r="B2112" s="2" t="str">
        <f t="shared" si="64"/>
        <v>Thursday</v>
      </c>
      <c r="C2112" s="2" t="b">
        <f t="shared" si="65"/>
        <v>0</v>
      </c>
      <c r="D2112">
        <v>3</v>
      </c>
      <c r="E2112" t="s">
        <v>7</v>
      </c>
      <c r="F2112">
        <v>276</v>
      </c>
      <c r="G2112" s="3">
        <v>4445.68</v>
      </c>
      <c r="H2112" s="3">
        <f>Miami_Retail[[#This Row],[sales_usd]] / Miami_Retail[[#This Row],[customers]]</f>
        <v>16.107536231884058</v>
      </c>
      <c r="I2112">
        <v>87.9</v>
      </c>
      <c r="J2112">
        <f>(Miami_Retail[[#This Row],[avg_temp_f]]-32) * (5/9)</f>
        <v>31.055555555555561</v>
      </c>
      <c r="K2112">
        <v>0.08</v>
      </c>
      <c r="L2112">
        <v>1</v>
      </c>
      <c r="M2112">
        <v>73.2</v>
      </c>
      <c r="N2112">
        <v>45.4</v>
      </c>
      <c r="O2112">
        <v>54.6</v>
      </c>
      <c r="P2112">
        <v>44.7</v>
      </c>
      <c r="Q2112">
        <v>55.3</v>
      </c>
    </row>
    <row r="2113" spans="1:17" x14ac:dyDescent="0.25">
      <c r="A2113" s="2">
        <v>45576</v>
      </c>
      <c r="B2113" s="2" t="str">
        <f t="shared" si="64"/>
        <v>Friday</v>
      </c>
      <c r="C2113" s="2" t="b">
        <f t="shared" si="65"/>
        <v>0</v>
      </c>
      <c r="D2113">
        <v>3</v>
      </c>
      <c r="E2113" t="s">
        <v>7</v>
      </c>
      <c r="F2113">
        <v>225</v>
      </c>
      <c r="G2113" s="3">
        <v>3177.06</v>
      </c>
      <c r="H2113" s="3">
        <f>Miami_Retail[[#This Row],[sales_usd]] / Miami_Retail[[#This Row],[customers]]</f>
        <v>14.120266666666666</v>
      </c>
      <c r="I2113">
        <v>83.1</v>
      </c>
      <c r="J2113">
        <f>(Miami_Retail[[#This Row],[avg_temp_f]]-32) * (5/9)</f>
        <v>28.388888888888886</v>
      </c>
      <c r="K2113">
        <v>0</v>
      </c>
      <c r="L2113">
        <v>0</v>
      </c>
      <c r="M2113">
        <v>80.3</v>
      </c>
      <c r="N2113">
        <v>45.3</v>
      </c>
      <c r="O2113">
        <v>54.7</v>
      </c>
      <c r="P2113">
        <v>43.2</v>
      </c>
      <c r="Q2113">
        <v>56.8</v>
      </c>
    </row>
    <row r="2114" spans="1:17" x14ac:dyDescent="0.25">
      <c r="A2114" s="2">
        <v>45577</v>
      </c>
      <c r="B2114" s="2" t="str">
        <f t="shared" ref="B2114:B2177" si="66">TEXT(A2114, "dddd")</f>
        <v>Saturday</v>
      </c>
      <c r="C2114" s="2" t="b">
        <f t="shared" ref="C2114:C2177" si="67">IF(WEEKDAY(A2114,2)&gt;5,TRUE,FALSE)</f>
        <v>1</v>
      </c>
      <c r="D2114">
        <v>3</v>
      </c>
      <c r="E2114" t="s">
        <v>7</v>
      </c>
      <c r="F2114">
        <v>287</v>
      </c>
      <c r="G2114" s="3">
        <v>4963.57</v>
      </c>
      <c r="H2114" s="3">
        <f>Miami_Retail[[#This Row],[sales_usd]] / Miami_Retail[[#This Row],[customers]]</f>
        <v>17.294668989547038</v>
      </c>
      <c r="I2114">
        <v>87.8</v>
      </c>
      <c r="J2114">
        <f>(Miami_Retail[[#This Row],[avg_temp_f]]-32) * (5/9)</f>
        <v>31</v>
      </c>
      <c r="K2114">
        <v>0</v>
      </c>
      <c r="L2114">
        <v>0</v>
      </c>
      <c r="M2114">
        <v>78.8</v>
      </c>
      <c r="N2114">
        <v>45.3</v>
      </c>
      <c r="O2114">
        <v>54.7</v>
      </c>
      <c r="P2114">
        <v>49.4</v>
      </c>
      <c r="Q2114">
        <v>50.6</v>
      </c>
    </row>
    <row r="2115" spans="1:17" x14ac:dyDescent="0.25">
      <c r="A2115" s="2">
        <v>45578</v>
      </c>
      <c r="B2115" s="2" t="str">
        <f t="shared" si="66"/>
        <v>Sunday</v>
      </c>
      <c r="C2115" s="2" t="b">
        <f t="shared" si="67"/>
        <v>1</v>
      </c>
      <c r="D2115">
        <v>3</v>
      </c>
      <c r="E2115" t="s">
        <v>7</v>
      </c>
      <c r="F2115">
        <v>300</v>
      </c>
      <c r="G2115" s="3">
        <v>4857.87</v>
      </c>
      <c r="H2115" s="3">
        <f>Miami_Retail[[#This Row],[sales_usd]] / Miami_Retail[[#This Row],[customers]]</f>
        <v>16.192899999999998</v>
      </c>
      <c r="I2115">
        <v>87.7</v>
      </c>
      <c r="J2115">
        <f>(Miami_Retail[[#This Row],[avg_temp_f]]-32) * (5/9)</f>
        <v>30.944444444444446</v>
      </c>
      <c r="K2115">
        <v>0</v>
      </c>
      <c r="L2115">
        <v>0</v>
      </c>
      <c r="M2115">
        <v>71.8</v>
      </c>
      <c r="N2115">
        <v>44.2</v>
      </c>
      <c r="O2115">
        <v>55.8</v>
      </c>
      <c r="P2115">
        <v>50.3</v>
      </c>
      <c r="Q2115">
        <v>49.7</v>
      </c>
    </row>
    <row r="2116" spans="1:17" x14ac:dyDescent="0.25">
      <c r="A2116" s="2">
        <v>45579</v>
      </c>
      <c r="B2116" s="2" t="str">
        <f t="shared" si="66"/>
        <v>Monday</v>
      </c>
      <c r="C2116" s="2" t="b">
        <f t="shared" si="67"/>
        <v>0</v>
      </c>
      <c r="D2116">
        <v>3</v>
      </c>
      <c r="E2116" t="s">
        <v>7</v>
      </c>
      <c r="F2116">
        <v>256</v>
      </c>
      <c r="G2116" s="3">
        <v>3934.41</v>
      </c>
      <c r="H2116" s="3">
        <f>Miami_Retail[[#This Row],[sales_usd]] / Miami_Retail[[#This Row],[customers]]</f>
        <v>15.368789062499999</v>
      </c>
      <c r="I2116">
        <v>86.3</v>
      </c>
      <c r="J2116">
        <f>(Miami_Retail[[#This Row],[avg_temp_f]]-32) * (5/9)</f>
        <v>30.166666666666668</v>
      </c>
      <c r="K2116">
        <v>0</v>
      </c>
      <c r="L2116">
        <v>0</v>
      </c>
      <c r="M2116">
        <v>63.6</v>
      </c>
      <c r="N2116">
        <v>46.7</v>
      </c>
      <c r="O2116">
        <v>53.3</v>
      </c>
      <c r="P2116">
        <v>42.6</v>
      </c>
      <c r="Q2116">
        <v>57.4</v>
      </c>
    </row>
    <row r="2117" spans="1:17" x14ac:dyDescent="0.25">
      <c r="A2117" s="2">
        <v>45580</v>
      </c>
      <c r="B2117" s="2" t="str">
        <f t="shared" si="66"/>
        <v>Tuesday</v>
      </c>
      <c r="C2117" s="2" t="b">
        <f t="shared" si="67"/>
        <v>0</v>
      </c>
      <c r="D2117">
        <v>3</v>
      </c>
      <c r="E2117" t="s">
        <v>7</v>
      </c>
      <c r="F2117">
        <v>250</v>
      </c>
      <c r="G2117" s="3">
        <v>4218.37</v>
      </c>
      <c r="H2117" s="3">
        <f>Miami_Retail[[#This Row],[sales_usd]] / Miami_Retail[[#This Row],[customers]]</f>
        <v>16.873480000000001</v>
      </c>
      <c r="I2117">
        <v>88.5</v>
      </c>
      <c r="J2117">
        <f>(Miami_Retail[[#This Row],[avg_temp_f]]-32) * (5/9)</f>
        <v>31.388888888888889</v>
      </c>
      <c r="K2117">
        <v>0</v>
      </c>
      <c r="L2117">
        <v>0</v>
      </c>
      <c r="M2117">
        <v>63.3</v>
      </c>
      <c r="N2117">
        <v>45.5</v>
      </c>
      <c r="O2117">
        <v>54.5</v>
      </c>
      <c r="P2117">
        <v>44.4</v>
      </c>
      <c r="Q2117">
        <v>55.6</v>
      </c>
    </row>
    <row r="2118" spans="1:17" x14ac:dyDescent="0.25">
      <c r="A2118" s="2">
        <v>45581</v>
      </c>
      <c r="B2118" s="2" t="str">
        <f t="shared" si="66"/>
        <v>Wednesday</v>
      </c>
      <c r="C2118" s="2" t="b">
        <f t="shared" si="67"/>
        <v>0</v>
      </c>
      <c r="D2118">
        <v>3</v>
      </c>
      <c r="E2118" t="s">
        <v>7</v>
      </c>
      <c r="F2118">
        <v>263</v>
      </c>
      <c r="G2118" s="3">
        <v>4615.21</v>
      </c>
      <c r="H2118" s="3">
        <f>Miami_Retail[[#This Row],[sales_usd]] / Miami_Retail[[#This Row],[customers]]</f>
        <v>17.548326996197719</v>
      </c>
      <c r="I2118">
        <v>96.1</v>
      </c>
      <c r="J2118">
        <f>(Miami_Retail[[#This Row],[avg_temp_f]]-32) * (5/9)</f>
        <v>35.611111111111107</v>
      </c>
      <c r="K2118">
        <v>0</v>
      </c>
      <c r="L2118">
        <v>0</v>
      </c>
      <c r="M2118">
        <v>68.900000000000006</v>
      </c>
      <c r="N2118">
        <v>45.3</v>
      </c>
      <c r="O2118">
        <v>54.7</v>
      </c>
      <c r="P2118">
        <v>45.2</v>
      </c>
      <c r="Q2118">
        <v>54.8</v>
      </c>
    </row>
    <row r="2119" spans="1:17" x14ac:dyDescent="0.25">
      <c r="A2119" s="2">
        <v>45582</v>
      </c>
      <c r="B2119" s="2" t="str">
        <f t="shared" si="66"/>
        <v>Thursday</v>
      </c>
      <c r="C2119" s="2" t="b">
        <f t="shared" si="67"/>
        <v>0</v>
      </c>
      <c r="D2119">
        <v>3</v>
      </c>
      <c r="E2119" t="s">
        <v>7</v>
      </c>
      <c r="F2119">
        <v>257</v>
      </c>
      <c r="G2119" s="3">
        <v>4572.22</v>
      </c>
      <c r="H2119" s="3">
        <f>Miami_Retail[[#This Row],[sales_usd]] / Miami_Retail[[#This Row],[customers]]</f>
        <v>17.790739299610895</v>
      </c>
      <c r="I2119">
        <v>88.8</v>
      </c>
      <c r="J2119">
        <f>(Miami_Retail[[#This Row],[avg_temp_f]]-32) * (5/9)</f>
        <v>31.555555555555557</v>
      </c>
      <c r="K2119">
        <v>0</v>
      </c>
      <c r="L2119">
        <v>0</v>
      </c>
      <c r="M2119">
        <v>70</v>
      </c>
      <c r="N2119">
        <v>45.7</v>
      </c>
      <c r="O2119">
        <v>54.3</v>
      </c>
      <c r="P2119">
        <v>43.5</v>
      </c>
      <c r="Q2119">
        <v>56.5</v>
      </c>
    </row>
    <row r="2120" spans="1:17" x14ac:dyDescent="0.25">
      <c r="A2120" s="2">
        <v>45583</v>
      </c>
      <c r="B2120" s="2" t="str">
        <f t="shared" si="66"/>
        <v>Friday</v>
      </c>
      <c r="C2120" s="2" t="b">
        <f t="shared" si="67"/>
        <v>0</v>
      </c>
      <c r="D2120">
        <v>3</v>
      </c>
      <c r="E2120" t="s">
        <v>7</v>
      </c>
      <c r="F2120">
        <v>278</v>
      </c>
      <c r="G2120" s="3">
        <v>4767.1400000000003</v>
      </c>
      <c r="H2120" s="3">
        <f>Miami_Retail[[#This Row],[sales_usd]] / Miami_Retail[[#This Row],[customers]]</f>
        <v>17.147985611510794</v>
      </c>
      <c r="I2120">
        <v>89.4</v>
      </c>
      <c r="J2120">
        <f>(Miami_Retail[[#This Row],[avg_temp_f]]-32) * (5/9)</f>
        <v>31.888888888888893</v>
      </c>
      <c r="K2120">
        <v>0</v>
      </c>
      <c r="L2120">
        <v>0</v>
      </c>
      <c r="M2120">
        <v>78.400000000000006</v>
      </c>
      <c r="N2120">
        <v>46.3</v>
      </c>
      <c r="O2120">
        <v>53.7</v>
      </c>
      <c r="P2120">
        <v>43.9</v>
      </c>
      <c r="Q2120">
        <v>56.1</v>
      </c>
    </row>
    <row r="2121" spans="1:17" x14ac:dyDescent="0.25">
      <c r="A2121" s="2">
        <v>45584</v>
      </c>
      <c r="B2121" s="2" t="str">
        <f t="shared" si="66"/>
        <v>Saturday</v>
      </c>
      <c r="C2121" s="2" t="b">
        <f t="shared" si="67"/>
        <v>1</v>
      </c>
      <c r="D2121">
        <v>3</v>
      </c>
      <c r="E2121" t="s">
        <v>7</v>
      </c>
      <c r="F2121">
        <v>274</v>
      </c>
      <c r="G2121" s="3">
        <v>4443.2</v>
      </c>
      <c r="H2121" s="3">
        <f>Miami_Retail[[#This Row],[sales_usd]] / Miami_Retail[[#This Row],[customers]]</f>
        <v>16.216058394160584</v>
      </c>
      <c r="I2121">
        <v>88.6</v>
      </c>
      <c r="J2121">
        <f>(Miami_Retail[[#This Row],[avg_temp_f]]-32) * (5/9)</f>
        <v>31.444444444444443</v>
      </c>
      <c r="K2121">
        <v>0</v>
      </c>
      <c r="L2121">
        <v>0</v>
      </c>
      <c r="M2121">
        <v>69.599999999999994</v>
      </c>
      <c r="N2121">
        <v>46.5</v>
      </c>
      <c r="O2121">
        <v>53.5</v>
      </c>
      <c r="P2121">
        <v>50.7</v>
      </c>
      <c r="Q2121">
        <v>49.3</v>
      </c>
    </row>
    <row r="2122" spans="1:17" x14ac:dyDescent="0.25">
      <c r="A2122" s="2">
        <v>45585</v>
      </c>
      <c r="B2122" s="2" t="str">
        <f t="shared" si="66"/>
        <v>Sunday</v>
      </c>
      <c r="C2122" s="2" t="b">
        <f t="shared" si="67"/>
        <v>1</v>
      </c>
      <c r="D2122">
        <v>3</v>
      </c>
      <c r="E2122" t="s">
        <v>7</v>
      </c>
      <c r="F2122">
        <v>306</v>
      </c>
      <c r="G2122" s="3">
        <v>4788.2</v>
      </c>
      <c r="H2122" s="3">
        <f>Miami_Retail[[#This Row],[sales_usd]] / Miami_Retail[[#This Row],[customers]]</f>
        <v>15.647712418300653</v>
      </c>
      <c r="I2122">
        <v>87.6</v>
      </c>
      <c r="J2122">
        <f>(Miami_Retail[[#This Row],[avg_temp_f]]-32) * (5/9)</f>
        <v>30.888888888888886</v>
      </c>
      <c r="K2122">
        <v>0</v>
      </c>
      <c r="L2122">
        <v>0</v>
      </c>
      <c r="M2122">
        <v>75</v>
      </c>
      <c r="N2122">
        <v>46.2</v>
      </c>
      <c r="O2122">
        <v>53.8</v>
      </c>
      <c r="P2122">
        <v>51.6</v>
      </c>
      <c r="Q2122">
        <v>48.4</v>
      </c>
    </row>
    <row r="2123" spans="1:17" x14ac:dyDescent="0.25">
      <c r="A2123" s="2">
        <v>45586</v>
      </c>
      <c r="B2123" s="2" t="str">
        <f t="shared" si="66"/>
        <v>Monday</v>
      </c>
      <c r="C2123" s="2" t="b">
        <f t="shared" si="67"/>
        <v>0</v>
      </c>
      <c r="D2123">
        <v>3</v>
      </c>
      <c r="E2123" t="s">
        <v>7</v>
      </c>
      <c r="F2123">
        <v>270</v>
      </c>
      <c r="G2123" s="3">
        <v>4514.95</v>
      </c>
      <c r="H2123" s="3">
        <f>Miami_Retail[[#This Row],[sales_usd]] / Miami_Retail[[#This Row],[customers]]</f>
        <v>16.722037037037037</v>
      </c>
      <c r="I2123">
        <v>87.5</v>
      </c>
      <c r="J2123">
        <f>(Miami_Retail[[#This Row],[avg_temp_f]]-32) * (5/9)</f>
        <v>30.833333333333336</v>
      </c>
      <c r="K2123">
        <v>0</v>
      </c>
      <c r="L2123">
        <v>0</v>
      </c>
      <c r="M2123">
        <v>63.4</v>
      </c>
      <c r="N2123">
        <v>44.4</v>
      </c>
      <c r="O2123">
        <v>55.6</v>
      </c>
      <c r="P2123">
        <v>43.3</v>
      </c>
      <c r="Q2123">
        <v>56.7</v>
      </c>
    </row>
    <row r="2124" spans="1:17" x14ac:dyDescent="0.25">
      <c r="A2124" s="2">
        <v>45587</v>
      </c>
      <c r="B2124" s="2" t="str">
        <f t="shared" si="66"/>
        <v>Tuesday</v>
      </c>
      <c r="C2124" s="2" t="b">
        <f t="shared" si="67"/>
        <v>0</v>
      </c>
      <c r="D2124">
        <v>3</v>
      </c>
      <c r="E2124" t="s">
        <v>7</v>
      </c>
      <c r="F2124">
        <v>235</v>
      </c>
      <c r="G2124" s="3">
        <v>3968.27</v>
      </c>
      <c r="H2124" s="3">
        <f>Miami_Retail[[#This Row],[sales_usd]] / Miami_Retail[[#This Row],[customers]]</f>
        <v>16.886255319148937</v>
      </c>
      <c r="I2124">
        <v>86</v>
      </c>
      <c r="J2124">
        <f>(Miami_Retail[[#This Row],[avg_temp_f]]-32) * (5/9)</f>
        <v>30</v>
      </c>
      <c r="K2124">
        <v>0</v>
      </c>
      <c r="L2124">
        <v>0</v>
      </c>
      <c r="M2124">
        <v>59.2</v>
      </c>
      <c r="N2124">
        <v>46.2</v>
      </c>
      <c r="O2124">
        <v>53.8</v>
      </c>
      <c r="P2124">
        <v>43.5</v>
      </c>
      <c r="Q2124">
        <v>56.5</v>
      </c>
    </row>
    <row r="2125" spans="1:17" x14ac:dyDescent="0.25">
      <c r="A2125" s="2">
        <v>45588</v>
      </c>
      <c r="B2125" s="2" t="str">
        <f t="shared" si="66"/>
        <v>Wednesday</v>
      </c>
      <c r="C2125" s="2" t="b">
        <f t="shared" si="67"/>
        <v>0</v>
      </c>
      <c r="D2125">
        <v>3</v>
      </c>
      <c r="E2125" t="s">
        <v>7</v>
      </c>
      <c r="F2125">
        <v>264</v>
      </c>
      <c r="G2125" s="3">
        <v>4609.9399999999996</v>
      </c>
      <c r="H2125" s="3">
        <f>Miami_Retail[[#This Row],[sales_usd]] / Miami_Retail[[#This Row],[customers]]</f>
        <v>17.461893939393939</v>
      </c>
      <c r="I2125">
        <v>90.4</v>
      </c>
      <c r="J2125">
        <f>(Miami_Retail[[#This Row],[avg_temp_f]]-32) * (5/9)</f>
        <v>32.44444444444445</v>
      </c>
      <c r="K2125">
        <v>0.52</v>
      </c>
      <c r="L2125">
        <v>1</v>
      </c>
      <c r="M2125">
        <v>70.400000000000006</v>
      </c>
      <c r="N2125">
        <v>46.9</v>
      </c>
      <c r="O2125">
        <v>53.1</v>
      </c>
      <c r="P2125">
        <v>45.2</v>
      </c>
      <c r="Q2125">
        <v>54.8</v>
      </c>
    </row>
    <row r="2126" spans="1:17" x14ac:dyDescent="0.25">
      <c r="A2126" s="2">
        <v>45589</v>
      </c>
      <c r="B2126" s="2" t="str">
        <f t="shared" si="66"/>
        <v>Thursday</v>
      </c>
      <c r="C2126" s="2" t="b">
        <f t="shared" si="67"/>
        <v>0</v>
      </c>
      <c r="D2126">
        <v>3</v>
      </c>
      <c r="E2126" t="s">
        <v>7</v>
      </c>
      <c r="F2126">
        <v>265</v>
      </c>
      <c r="G2126" s="3">
        <v>4630.91</v>
      </c>
      <c r="H2126" s="3">
        <f>Miami_Retail[[#This Row],[sales_usd]] / Miami_Retail[[#This Row],[customers]]</f>
        <v>17.475132075471699</v>
      </c>
      <c r="I2126">
        <v>88.1</v>
      </c>
      <c r="J2126">
        <f>(Miami_Retail[[#This Row],[avg_temp_f]]-32) * (5/9)</f>
        <v>31.166666666666664</v>
      </c>
      <c r="K2126">
        <v>0</v>
      </c>
      <c r="L2126">
        <v>0</v>
      </c>
      <c r="M2126">
        <v>66.2</v>
      </c>
      <c r="N2126">
        <v>47.4</v>
      </c>
      <c r="O2126">
        <v>52.6</v>
      </c>
      <c r="P2126">
        <v>44</v>
      </c>
      <c r="Q2126">
        <v>56</v>
      </c>
    </row>
    <row r="2127" spans="1:17" x14ac:dyDescent="0.25">
      <c r="A2127" s="2">
        <v>45590</v>
      </c>
      <c r="B2127" s="2" t="str">
        <f t="shared" si="66"/>
        <v>Friday</v>
      </c>
      <c r="C2127" s="2" t="b">
        <f t="shared" si="67"/>
        <v>0</v>
      </c>
      <c r="D2127">
        <v>3</v>
      </c>
      <c r="E2127" t="s">
        <v>7</v>
      </c>
      <c r="F2127">
        <v>265</v>
      </c>
      <c r="G2127" s="3">
        <v>4526.0200000000004</v>
      </c>
      <c r="H2127" s="3">
        <f>Miami_Retail[[#This Row],[sales_usd]] / Miami_Retail[[#This Row],[customers]]</f>
        <v>17.079320754716981</v>
      </c>
      <c r="I2127">
        <v>87.7</v>
      </c>
      <c r="J2127">
        <f>(Miami_Retail[[#This Row],[avg_temp_f]]-32) * (5/9)</f>
        <v>30.944444444444446</v>
      </c>
      <c r="K2127">
        <v>0</v>
      </c>
      <c r="L2127">
        <v>0</v>
      </c>
      <c r="M2127">
        <v>67.099999999999994</v>
      </c>
      <c r="N2127">
        <v>45.4</v>
      </c>
      <c r="O2127">
        <v>54.6</v>
      </c>
      <c r="P2127">
        <v>43.4</v>
      </c>
      <c r="Q2127">
        <v>56.6</v>
      </c>
    </row>
    <row r="2128" spans="1:17" x14ac:dyDescent="0.25">
      <c r="A2128" s="2">
        <v>45591</v>
      </c>
      <c r="B2128" s="2" t="str">
        <f t="shared" si="66"/>
        <v>Saturday</v>
      </c>
      <c r="C2128" s="2" t="b">
        <f t="shared" si="67"/>
        <v>1</v>
      </c>
      <c r="D2128">
        <v>3</v>
      </c>
      <c r="E2128" t="s">
        <v>7</v>
      </c>
      <c r="F2128">
        <v>243</v>
      </c>
      <c r="G2128" s="3">
        <v>4180.43</v>
      </c>
      <c r="H2128" s="3">
        <f>Miami_Retail[[#This Row],[sales_usd]] / Miami_Retail[[#This Row],[customers]]</f>
        <v>17.203415637860083</v>
      </c>
      <c r="I2128">
        <v>82.8</v>
      </c>
      <c r="J2128">
        <f>(Miami_Retail[[#This Row],[avg_temp_f]]-32) * (5/9)</f>
        <v>28.222222222222221</v>
      </c>
      <c r="K2128">
        <v>0</v>
      </c>
      <c r="L2128">
        <v>0</v>
      </c>
      <c r="M2128">
        <v>69.8</v>
      </c>
      <c r="N2128">
        <v>46.4</v>
      </c>
      <c r="O2128">
        <v>53.6</v>
      </c>
      <c r="P2128">
        <v>50.9</v>
      </c>
      <c r="Q2128">
        <v>49.1</v>
      </c>
    </row>
    <row r="2129" spans="1:17" x14ac:dyDescent="0.25">
      <c r="A2129" s="2">
        <v>45592</v>
      </c>
      <c r="B2129" s="2" t="str">
        <f t="shared" si="66"/>
        <v>Sunday</v>
      </c>
      <c r="C2129" s="2" t="b">
        <f t="shared" si="67"/>
        <v>1</v>
      </c>
      <c r="D2129">
        <v>3</v>
      </c>
      <c r="E2129" t="s">
        <v>7</v>
      </c>
      <c r="F2129">
        <v>307</v>
      </c>
      <c r="G2129" s="3">
        <v>4897.8500000000004</v>
      </c>
      <c r="H2129" s="3">
        <f>Miami_Retail[[#This Row],[sales_usd]] / Miami_Retail[[#This Row],[customers]]</f>
        <v>15.953908794788275</v>
      </c>
      <c r="I2129">
        <v>85.7</v>
      </c>
      <c r="J2129">
        <f>(Miami_Retail[[#This Row],[avg_temp_f]]-32) * (5/9)</f>
        <v>29.833333333333336</v>
      </c>
      <c r="K2129">
        <v>0.14000000000000001</v>
      </c>
      <c r="L2129">
        <v>1</v>
      </c>
      <c r="M2129">
        <v>65.099999999999994</v>
      </c>
      <c r="N2129">
        <v>45.1</v>
      </c>
      <c r="O2129">
        <v>54.9</v>
      </c>
      <c r="P2129">
        <v>48.8</v>
      </c>
      <c r="Q2129">
        <v>51.2</v>
      </c>
    </row>
    <row r="2130" spans="1:17" x14ac:dyDescent="0.25">
      <c r="A2130" s="2">
        <v>45593</v>
      </c>
      <c r="B2130" s="2" t="str">
        <f t="shared" si="66"/>
        <v>Monday</v>
      </c>
      <c r="C2130" s="2" t="b">
        <f t="shared" si="67"/>
        <v>0</v>
      </c>
      <c r="D2130">
        <v>3</v>
      </c>
      <c r="E2130" t="s">
        <v>7</v>
      </c>
      <c r="F2130">
        <v>257</v>
      </c>
      <c r="G2130" s="3">
        <v>3972.98</v>
      </c>
      <c r="H2130" s="3">
        <f>Miami_Retail[[#This Row],[sales_usd]] / Miami_Retail[[#This Row],[customers]]</f>
        <v>15.459066147859922</v>
      </c>
      <c r="I2130">
        <v>87.5</v>
      </c>
      <c r="J2130">
        <f>(Miami_Retail[[#This Row],[avg_temp_f]]-32) * (5/9)</f>
        <v>30.833333333333336</v>
      </c>
      <c r="K2130">
        <v>0</v>
      </c>
      <c r="L2130">
        <v>0</v>
      </c>
      <c r="M2130">
        <v>66.3</v>
      </c>
      <c r="N2130">
        <v>44.6</v>
      </c>
      <c r="O2130">
        <v>55.4</v>
      </c>
      <c r="P2130">
        <v>45.3</v>
      </c>
      <c r="Q2130">
        <v>54.7</v>
      </c>
    </row>
    <row r="2131" spans="1:17" x14ac:dyDescent="0.25">
      <c r="A2131" s="2">
        <v>45594</v>
      </c>
      <c r="B2131" s="2" t="str">
        <f t="shared" si="66"/>
        <v>Tuesday</v>
      </c>
      <c r="C2131" s="2" t="b">
        <f t="shared" si="67"/>
        <v>0</v>
      </c>
      <c r="D2131">
        <v>3</v>
      </c>
      <c r="E2131" t="s">
        <v>7</v>
      </c>
      <c r="F2131">
        <v>253</v>
      </c>
      <c r="G2131" s="3">
        <v>3647.07</v>
      </c>
      <c r="H2131" s="3">
        <f>Miami_Retail[[#This Row],[sales_usd]] / Miami_Retail[[#This Row],[customers]]</f>
        <v>14.415296442687747</v>
      </c>
      <c r="I2131">
        <v>90.1</v>
      </c>
      <c r="J2131">
        <f>(Miami_Retail[[#This Row],[avg_temp_f]]-32) * (5/9)</f>
        <v>32.277777777777779</v>
      </c>
      <c r="K2131">
        <v>0</v>
      </c>
      <c r="L2131">
        <v>0</v>
      </c>
      <c r="M2131">
        <v>61.6</v>
      </c>
      <c r="N2131">
        <v>46.8</v>
      </c>
      <c r="O2131">
        <v>53.2</v>
      </c>
      <c r="P2131">
        <v>45</v>
      </c>
      <c r="Q2131">
        <v>55</v>
      </c>
    </row>
    <row r="2132" spans="1:17" x14ac:dyDescent="0.25">
      <c r="A2132" s="2">
        <v>45595</v>
      </c>
      <c r="B2132" s="2" t="str">
        <f t="shared" si="66"/>
        <v>Wednesday</v>
      </c>
      <c r="C2132" s="2" t="b">
        <f t="shared" si="67"/>
        <v>0</v>
      </c>
      <c r="D2132">
        <v>3</v>
      </c>
      <c r="E2132" t="s">
        <v>7</v>
      </c>
      <c r="F2132">
        <v>247</v>
      </c>
      <c r="G2132" s="3">
        <v>4144.3</v>
      </c>
      <c r="H2132" s="3">
        <f>Miami_Retail[[#This Row],[sales_usd]] / Miami_Retail[[#This Row],[customers]]</f>
        <v>16.778542510121458</v>
      </c>
      <c r="I2132">
        <v>83.3</v>
      </c>
      <c r="J2132">
        <f>(Miami_Retail[[#This Row],[avg_temp_f]]-32) * (5/9)</f>
        <v>28.5</v>
      </c>
      <c r="K2132">
        <v>1.25</v>
      </c>
      <c r="L2132">
        <v>1</v>
      </c>
      <c r="M2132">
        <v>66</v>
      </c>
      <c r="N2132">
        <v>46.6</v>
      </c>
      <c r="O2132">
        <v>53.4</v>
      </c>
      <c r="P2132">
        <v>42.7</v>
      </c>
      <c r="Q2132">
        <v>57.3</v>
      </c>
    </row>
    <row r="2133" spans="1:17" x14ac:dyDescent="0.25">
      <c r="A2133" s="2">
        <v>45596</v>
      </c>
      <c r="B2133" s="2" t="str">
        <f t="shared" si="66"/>
        <v>Thursday</v>
      </c>
      <c r="C2133" s="2" t="b">
        <f t="shared" si="67"/>
        <v>0</v>
      </c>
      <c r="D2133">
        <v>3</v>
      </c>
      <c r="E2133" t="s">
        <v>7</v>
      </c>
      <c r="F2133">
        <v>256</v>
      </c>
      <c r="G2133" s="3">
        <v>4183.53</v>
      </c>
      <c r="H2133" s="3">
        <f>Miami_Retail[[#This Row],[sales_usd]] / Miami_Retail[[#This Row],[customers]]</f>
        <v>16.341914062499999</v>
      </c>
      <c r="I2133">
        <v>86.7</v>
      </c>
      <c r="J2133">
        <f>(Miami_Retail[[#This Row],[avg_temp_f]]-32) * (5/9)</f>
        <v>30.388888888888893</v>
      </c>
      <c r="K2133">
        <v>0</v>
      </c>
      <c r="L2133">
        <v>0</v>
      </c>
      <c r="M2133">
        <v>64.2</v>
      </c>
      <c r="N2133">
        <v>44.6</v>
      </c>
      <c r="O2133">
        <v>55.4</v>
      </c>
      <c r="P2133">
        <v>44.6</v>
      </c>
      <c r="Q2133">
        <v>55.4</v>
      </c>
    </row>
    <row r="2134" spans="1:17" x14ac:dyDescent="0.25">
      <c r="A2134" s="2">
        <v>45597</v>
      </c>
      <c r="B2134" s="2" t="str">
        <f t="shared" si="66"/>
        <v>Friday</v>
      </c>
      <c r="C2134" s="2" t="b">
        <f t="shared" si="67"/>
        <v>0</v>
      </c>
      <c r="D2134">
        <v>3</v>
      </c>
      <c r="E2134" t="s">
        <v>7</v>
      </c>
      <c r="F2134">
        <v>259</v>
      </c>
      <c r="G2134" s="3">
        <v>3956.05</v>
      </c>
      <c r="H2134" s="3">
        <f>Miami_Retail[[#This Row],[sales_usd]] / Miami_Retail[[#This Row],[customers]]</f>
        <v>15.274324324324326</v>
      </c>
      <c r="I2134">
        <v>86.6</v>
      </c>
      <c r="J2134">
        <f>(Miami_Retail[[#This Row],[avg_temp_f]]-32) * (5/9)</f>
        <v>30.333333333333332</v>
      </c>
      <c r="K2134">
        <v>0.78</v>
      </c>
      <c r="L2134">
        <v>1</v>
      </c>
      <c r="M2134">
        <v>73.599999999999994</v>
      </c>
      <c r="N2134">
        <v>46.4</v>
      </c>
      <c r="O2134">
        <v>53.6</v>
      </c>
      <c r="P2134">
        <v>43.9</v>
      </c>
      <c r="Q2134">
        <v>56.1</v>
      </c>
    </row>
    <row r="2135" spans="1:17" x14ac:dyDescent="0.25">
      <c r="A2135" s="2">
        <v>45598</v>
      </c>
      <c r="B2135" s="2" t="str">
        <f t="shared" si="66"/>
        <v>Saturday</v>
      </c>
      <c r="C2135" s="2" t="b">
        <f t="shared" si="67"/>
        <v>1</v>
      </c>
      <c r="D2135">
        <v>3</v>
      </c>
      <c r="E2135" t="s">
        <v>7</v>
      </c>
      <c r="F2135">
        <v>289</v>
      </c>
      <c r="G2135" s="3">
        <v>4960.4799999999996</v>
      </c>
      <c r="H2135" s="3">
        <f>Miami_Retail[[#This Row],[sales_usd]] / Miami_Retail[[#This Row],[customers]]</f>
        <v>17.164290657439444</v>
      </c>
      <c r="I2135">
        <v>87.6</v>
      </c>
      <c r="J2135">
        <f>(Miami_Retail[[#This Row],[avg_temp_f]]-32) * (5/9)</f>
        <v>30.888888888888886</v>
      </c>
      <c r="K2135">
        <v>0</v>
      </c>
      <c r="L2135">
        <v>0</v>
      </c>
      <c r="M2135">
        <v>62.2</v>
      </c>
      <c r="N2135">
        <v>46.3</v>
      </c>
      <c r="O2135">
        <v>53.7</v>
      </c>
      <c r="P2135">
        <v>49</v>
      </c>
      <c r="Q2135">
        <v>51</v>
      </c>
    </row>
    <row r="2136" spans="1:17" x14ac:dyDescent="0.25">
      <c r="A2136" s="2">
        <v>45599</v>
      </c>
      <c r="B2136" s="2" t="str">
        <f t="shared" si="66"/>
        <v>Sunday</v>
      </c>
      <c r="C2136" s="2" t="b">
        <f t="shared" si="67"/>
        <v>1</v>
      </c>
      <c r="D2136">
        <v>3</v>
      </c>
      <c r="E2136" t="s">
        <v>7</v>
      </c>
      <c r="F2136">
        <v>283</v>
      </c>
      <c r="G2136" s="3">
        <v>4602.1899999999996</v>
      </c>
      <c r="H2136" s="3">
        <f>Miami_Retail[[#This Row],[sales_usd]] / Miami_Retail[[#This Row],[customers]]</f>
        <v>16.262155477031801</v>
      </c>
      <c r="I2136">
        <v>91.9</v>
      </c>
      <c r="J2136">
        <f>(Miami_Retail[[#This Row],[avg_temp_f]]-32) * (5/9)</f>
        <v>33.277777777777786</v>
      </c>
      <c r="K2136">
        <v>0</v>
      </c>
      <c r="L2136">
        <v>0</v>
      </c>
      <c r="M2136">
        <v>66.3</v>
      </c>
      <c r="N2136">
        <v>45.8</v>
      </c>
      <c r="O2136">
        <v>54.2</v>
      </c>
      <c r="P2136">
        <v>50.2</v>
      </c>
      <c r="Q2136">
        <v>49.8</v>
      </c>
    </row>
    <row r="2137" spans="1:17" x14ac:dyDescent="0.25">
      <c r="A2137" s="2">
        <v>45600</v>
      </c>
      <c r="B2137" s="2" t="str">
        <f t="shared" si="66"/>
        <v>Monday</v>
      </c>
      <c r="C2137" s="2" t="b">
        <f t="shared" si="67"/>
        <v>0</v>
      </c>
      <c r="D2137">
        <v>3</v>
      </c>
      <c r="E2137" t="s">
        <v>7</v>
      </c>
      <c r="F2137">
        <v>220</v>
      </c>
      <c r="G2137" s="3">
        <v>3597.4</v>
      </c>
      <c r="H2137" s="3">
        <f>Miami_Retail[[#This Row],[sales_usd]] / Miami_Retail[[#This Row],[customers]]</f>
        <v>16.351818181818182</v>
      </c>
      <c r="I2137">
        <v>83.3</v>
      </c>
      <c r="J2137">
        <f>(Miami_Retail[[#This Row],[avg_temp_f]]-32) * (5/9)</f>
        <v>28.5</v>
      </c>
      <c r="K2137">
        <v>0</v>
      </c>
      <c r="L2137">
        <v>0</v>
      </c>
      <c r="M2137">
        <v>72</v>
      </c>
      <c r="N2137">
        <v>47.1</v>
      </c>
      <c r="O2137">
        <v>52.9</v>
      </c>
      <c r="P2137">
        <v>44.3</v>
      </c>
      <c r="Q2137">
        <v>55.7</v>
      </c>
    </row>
    <row r="2138" spans="1:17" x14ac:dyDescent="0.25">
      <c r="A2138" s="2">
        <v>45601</v>
      </c>
      <c r="B2138" s="2" t="str">
        <f t="shared" si="66"/>
        <v>Tuesday</v>
      </c>
      <c r="C2138" s="2" t="b">
        <f t="shared" si="67"/>
        <v>0</v>
      </c>
      <c r="D2138">
        <v>3</v>
      </c>
      <c r="E2138" t="s">
        <v>7</v>
      </c>
      <c r="F2138">
        <v>241</v>
      </c>
      <c r="G2138" s="3">
        <v>4183.96</v>
      </c>
      <c r="H2138" s="3">
        <f>Miami_Retail[[#This Row],[sales_usd]] / Miami_Retail[[#This Row],[customers]]</f>
        <v>17.360829875518672</v>
      </c>
      <c r="I2138">
        <v>83.1</v>
      </c>
      <c r="J2138">
        <f>(Miami_Retail[[#This Row],[avg_temp_f]]-32) * (5/9)</f>
        <v>28.388888888888886</v>
      </c>
      <c r="K2138">
        <v>0.79</v>
      </c>
      <c r="L2138">
        <v>1</v>
      </c>
      <c r="M2138">
        <v>65.8</v>
      </c>
      <c r="N2138">
        <v>46.7</v>
      </c>
      <c r="O2138">
        <v>53.3</v>
      </c>
      <c r="P2138">
        <v>43.6</v>
      </c>
      <c r="Q2138">
        <v>56.4</v>
      </c>
    </row>
    <row r="2139" spans="1:17" x14ac:dyDescent="0.25">
      <c r="A2139" s="2">
        <v>45602</v>
      </c>
      <c r="B2139" s="2" t="str">
        <f t="shared" si="66"/>
        <v>Wednesday</v>
      </c>
      <c r="C2139" s="2" t="b">
        <f t="shared" si="67"/>
        <v>0</v>
      </c>
      <c r="D2139">
        <v>3</v>
      </c>
      <c r="E2139" t="s">
        <v>7</v>
      </c>
      <c r="F2139">
        <v>240</v>
      </c>
      <c r="G2139" s="3">
        <v>4246.57</v>
      </c>
      <c r="H2139" s="3">
        <f>Miami_Retail[[#This Row],[sales_usd]] / Miami_Retail[[#This Row],[customers]]</f>
        <v>17.694041666666667</v>
      </c>
      <c r="I2139">
        <v>86</v>
      </c>
      <c r="J2139">
        <f>(Miami_Retail[[#This Row],[avg_temp_f]]-32) * (5/9)</f>
        <v>30</v>
      </c>
      <c r="K2139">
        <v>0</v>
      </c>
      <c r="L2139">
        <v>0</v>
      </c>
      <c r="M2139">
        <v>58.8</v>
      </c>
      <c r="N2139">
        <v>45</v>
      </c>
      <c r="O2139">
        <v>55</v>
      </c>
      <c r="P2139">
        <v>43.4</v>
      </c>
      <c r="Q2139">
        <v>56.6</v>
      </c>
    </row>
    <row r="2140" spans="1:17" x14ac:dyDescent="0.25">
      <c r="A2140" s="2">
        <v>45603</v>
      </c>
      <c r="B2140" s="2" t="str">
        <f t="shared" si="66"/>
        <v>Thursday</v>
      </c>
      <c r="C2140" s="2" t="b">
        <f t="shared" si="67"/>
        <v>0</v>
      </c>
      <c r="D2140">
        <v>3</v>
      </c>
      <c r="E2140" t="s">
        <v>7</v>
      </c>
      <c r="F2140">
        <v>222</v>
      </c>
      <c r="G2140" s="3">
        <v>3921.75</v>
      </c>
      <c r="H2140" s="3">
        <f>Miami_Retail[[#This Row],[sales_usd]] / Miami_Retail[[#This Row],[customers]]</f>
        <v>17.66554054054054</v>
      </c>
      <c r="I2140">
        <v>83.8</v>
      </c>
      <c r="J2140">
        <f>(Miami_Retail[[#This Row],[avg_temp_f]]-32) * (5/9)</f>
        <v>28.777777777777779</v>
      </c>
      <c r="K2140">
        <v>1.64</v>
      </c>
      <c r="L2140">
        <v>1</v>
      </c>
      <c r="M2140">
        <v>61.6</v>
      </c>
      <c r="N2140">
        <v>45.6</v>
      </c>
      <c r="O2140">
        <v>54.4</v>
      </c>
      <c r="P2140">
        <v>41</v>
      </c>
      <c r="Q2140">
        <v>59</v>
      </c>
    </row>
    <row r="2141" spans="1:17" x14ac:dyDescent="0.25">
      <c r="A2141" s="2">
        <v>45604</v>
      </c>
      <c r="B2141" s="2" t="str">
        <f t="shared" si="66"/>
        <v>Friday</v>
      </c>
      <c r="C2141" s="2" t="b">
        <f t="shared" si="67"/>
        <v>0</v>
      </c>
      <c r="D2141">
        <v>3</v>
      </c>
      <c r="E2141" t="s">
        <v>7</v>
      </c>
      <c r="F2141">
        <v>269</v>
      </c>
      <c r="G2141" s="3">
        <v>4249.3599999999997</v>
      </c>
      <c r="H2141" s="3">
        <f>Miami_Retail[[#This Row],[sales_usd]] / Miami_Retail[[#This Row],[customers]]</f>
        <v>15.796877323420073</v>
      </c>
      <c r="I2141">
        <v>82.8</v>
      </c>
      <c r="J2141">
        <f>(Miami_Retail[[#This Row],[avg_temp_f]]-32) * (5/9)</f>
        <v>28.222222222222221</v>
      </c>
      <c r="K2141">
        <v>0</v>
      </c>
      <c r="L2141">
        <v>0</v>
      </c>
      <c r="M2141">
        <v>76</v>
      </c>
      <c r="N2141">
        <v>47.7</v>
      </c>
      <c r="O2141">
        <v>52.3</v>
      </c>
      <c r="P2141">
        <v>44.1</v>
      </c>
      <c r="Q2141">
        <v>55.9</v>
      </c>
    </row>
    <row r="2142" spans="1:17" x14ac:dyDescent="0.25">
      <c r="A2142" s="2">
        <v>45605</v>
      </c>
      <c r="B2142" s="2" t="str">
        <f t="shared" si="66"/>
        <v>Saturday</v>
      </c>
      <c r="C2142" s="2" t="b">
        <f t="shared" si="67"/>
        <v>1</v>
      </c>
      <c r="D2142">
        <v>3</v>
      </c>
      <c r="E2142" t="s">
        <v>7</v>
      </c>
      <c r="F2142">
        <v>295</v>
      </c>
      <c r="G2142" s="3">
        <v>4804</v>
      </c>
      <c r="H2142" s="3">
        <f>Miami_Retail[[#This Row],[sales_usd]] / Miami_Retail[[#This Row],[customers]]</f>
        <v>16.284745762711864</v>
      </c>
      <c r="I2142">
        <v>88</v>
      </c>
      <c r="J2142">
        <f>(Miami_Retail[[#This Row],[avg_temp_f]]-32) * (5/9)</f>
        <v>31.111111111111114</v>
      </c>
      <c r="K2142">
        <v>0</v>
      </c>
      <c r="L2142">
        <v>0</v>
      </c>
      <c r="M2142">
        <v>68.3</v>
      </c>
      <c r="N2142">
        <v>45.9</v>
      </c>
      <c r="O2142">
        <v>54.1</v>
      </c>
      <c r="P2142">
        <v>50</v>
      </c>
      <c r="Q2142">
        <v>50</v>
      </c>
    </row>
    <row r="2143" spans="1:17" x14ac:dyDescent="0.25">
      <c r="A2143" s="2">
        <v>45606</v>
      </c>
      <c r="B2143" s="2" t="str">
        <f t="shared" si="66"/>
        <v>Sunday</v>
      </c>
      <c r="C2143" s="2" t="b">
        <f t="shared" si="67"/>
        <v>1</v>
      </c>
      <c r="D2143">
        <v>3</v>
      </c>
      <c r="E2143" t="s">
        <v>7</v>
      </c>
      <c r="F2143">
        <v>263</v>
      </c>
      <c r="G2143" s="3">
        <v>4620.42</v>
      </c>
      <c r="H2143" s="3">
        <f>Miami_Retail[[#This Row],[sales_usd]] / Miami_Retail[[#This Row],[customers]]</f>
        <v>17.568136882129277</v>
      </c>
      <c r="I2143">
        <v>86.7</v>
      </c>
      <c r="J2143">
        <f>(Miami_Retail[[#This Row],[avg_temp_f]]-32) * (5/9)</f>
        <v>30.388888888888893</v>
      </c>
      <c r="K2143">
        <v>0</v>
      </c>
      <c r="L2143">
        <v>0</v>
      </c>
      <c r="M2143">
        <v>61.7</v>
      </c>
      <c r="N2143">
        <v>45.2</v>
      </c>
      <c r="O2143">
        <v>54.8</v>
      </c>
      <c r="P2143">
        <v>49.7</v>
      </c>
      <c r="Q2143">
        <v>50.3</v>
      </c>
    </row>
    <row r="2144" spans="1:17" x14ac:dyDescent="0.25">
      <c r="A2144" s="2">
        <v>45607</v>
      </c>
      <c r="B2144" s="2" t="str">
        <f t="shared" si="66"/>
        <v>Monday</v>
      </c>
      <c r="C2144" s="2" t="b">
        <f t="shared" si="67"/>
        <v>0</v>
      </c>
      <c r="D2144">
        <v>3</v>
      </c>
      <c r="E2144" t="s">
        <v>7</v>
      </c>
      <c r="F2144">
        <v>251</v>
      </c>
      <c r="G2144" s="3">
        <v>4271.51</v>
      </c>
      <c r="H2144" s="3">
        <f>Miami_Retail[[#This Row],[sales_usd]] / Miami_Retail[[#This Row],[customers]]</f>
        <v>17.01796812749004</v>
      </c>
      <c r="I2144">
        <v>85.1</v>
      </c>
      <c r="J2144">
        <f>(Miami_Retail[[#This Row],[avg_temp_f]]-32) * (5/9)</f>
        <v>29.499999999999996</v>
      </c>
      <c r="K2144">
        <v>0</v>
      </c>
      <c r="L2144">
        <v>0</v>
      </c>
      <c r="M2144">
        <v>62.7</v>
      </c>
      <c r="N2144">
        <v>46.2</v>
      </c>
      <c r="O2144">
        <v>53.8</v>
      </c>
      <c r="P2144">
        <v>44.5</v>
      </c>
      <c r="Q2144">
        <v>55.5</v>
      </c>
    </row>
    <row r="2145" spans="1:17" x14ac:dyDescent="0.25">
      <c r="A2145" s="2">
        <v>45608</v>
      </c>
      <c r="B2145" s="2" t="str">
        <f t="shared" si="66"/>
        <v>Tuesday</v>
      </c>
      <c r="C2145" s="2" t="b">
        <f t="shared" si="67"/>
        <v>0</v>
      </c>
      <c r="D2145">
        <v>3</v>
      </c>
      <c r="E2145" t="s">
        <v>7</v>
      </c>
      <c r="F2145">
        <v>265</v>
      </c>
      <c r="G2145" s="3">
        <v>4390.5600000000004</v>
      </c>
      <c r="H2145" s="3">
        <f>Miami_Retail[[#This Row],[sales_usd]] / Miami_Retail[[#This Row],[customers]]</f>
        <v>16.568150943396226</v>
      </c>
      <c r="I2145">
        <v>84.9</v>
      </c>
      <c r="J2145">
        <f>(Miami_Retail[[#This Row],[avg_temp_f]]-32) * (5/9)</f>
        <v>29.388888888888893</v>
      </c>
      <c r="K2145">
        <v>0</v>
      </c>
      <c r="L2145">
        <v>0</v>
      </c>
      <c r="M2145">
        <v>66.3</v>
      </c>
      <c r="N2145">
        <v>46.5</v>
      </c>
      <c r="O2145">
        <v>53.5</v>
      </c>
      <c r="P2145">
        <v>43.5</v>
      </c>
      <c r="Q2145">
        <v>56.5</v>
      </c>
    </row>
    <row r="2146" spans="1:17" x14ac:dyDescent="0.25">
      <c r="A2146" s="2">
        <v>45609</v>
      </c>
      <c r="B2146" s="2" t="str">
        <f t="shared" si="66"/>
        <v>Wednesday</v>
      </c>
      <c r="C2146" s="2" t="b">
        <f t="shared" si="67"/>
        <v>0</v>
      </c>
      <c r="D2146">
        <v>3</v>
      </c>
      <c r="E2146" t="s">
        <v>7</v>
      </c>
      <c r="F2146">
        <v>213</v>
      </c>
      <c r="G2146" s="3">
        <v>3134.19</v>
      </c>
      <c r="H2146" s="3">
        <f>Miami_Retail[[#This Row],[sales_usd]] / Miami_Retail[[#This Row],[customers]]</f>
        <v>14.714507042253521</v>
      </c>
      <c r="I2146">
        <v>85.9</v>
      </c>
      <c r="J2146">
        <f>(Miami_Retail[[#This Row],[avg_temp_f]]-32) * (5/9)</f>
        <v>29.94444444444445</v>
      </c>
      <c r="K2146">
        <v>0</v>
      </c>
      <c r="L2146">
        <v>0</v>
      </c>
      <c r="M2146">
        <v>62</v>
      </c>
      <c r="N2146">
        <v>46.2</v>
      </c>
      <c r="O2146">
        <v>53.8</v>
      </c>
      <c r="P2146">
        <v>43.3</v>
      </c>
      <c r="Q2146">
        <v>56.7</v>
      </c>
    </row>
    <row r="2147" spans="1:17" x14ac:dyDescent="0.25">
      <c r="A2147" s="2">
        <v>45610</v>
      </c>
      <c r="B2147" s="2" t="str">
        <f t="shared" si="66"/>
        <v>Thursday</v>
      </c>
      <c r="C2147" s="2" t="b">
        <f t="shared" si="67"/>
        <v>0</v>
      </c>
      <c r="D2147">
        <v>3</v>
      </c>
      <c r="E2147" t="s">
        <v>7</v>
      </c>
      <c r="F2147">
        <v>197</v>
      </c>
      <c r="G2147" s="3">
        <v>3296.08</v>
      </c>
      <c r="H2147" s="3">
        <f>Miami_Retail[[#This Row],[sales_usd]] / Miami_Retail[[#This Row],[customers]]</f>
        <v>16.731370558375634</v>
      </c>
      <c r="I2147">
        <v>76.2</v>
      </c>
      <c r="J2147">
        <f>(Miami_Retail[[#This Row],[avg_temp_f]]-32) * (5/9)</f>
        <v>24.555555555555557</v>
      </c>
      <c r="K2147">
        <v>0</v>
      </c>
      <c r="L2147">
        <v>0</v>
      </c>
      <c r="M2147">
        <v>61.6</v>
      </c>
      <c r="N2147">
        <v>45.9</v>
      </c>
      <c r="O2147">
        <v>54.1</v>
      </c>
      <c r="P2147">
        <v>42.4</v>
      </c>
      <c r="Q2147">
        <v>57.6</v>
      </c>
    </row>
    <row r="2148" spans="1:17" x14ac:dyDescent="0.25">
      <c r="A2148" s="2">
        <v>45611</v>
      </c>
      <c r="B2148" s="2" t="str">
        <f t="shared" si="66"/>
        <v>Friday</v>
      </c>
      <c r="C2148" s="2" t="b">
        <f t="shared" si="67"/>
        <v>0</v>
      </c>
      <c r="D2148">
        <v>3</v>
      </c>
      <c r="E2148" t="s">
        <v>7</v>
      </c>
      <c r="F2148">
        <v>226</v>
      </c>
      <c r="G2148" s="3">
        <v>3727.27</v>
      </c>
      <c r="H2148" s="3">
        <f>Miami_Retail[[#This Row],[sales_usd]] / Miami_Retail[[#This Row],[customers]]</f>
        <v>16.492345132743363</v>
      </c>
      <c r="I2148">
        <v>77.599999999999994</v>
      </c>
      <c r="J2148">
        <f>(Miami_Retail[[#This Row],[avg_temp_f]]-32) * (5/9)</f>
        <v>25.333333333333332</v>
      </c>
      <c r="K2148">
        <v>0</v>
      </c>
      <c r="L2148">
        <v>0</v>
      </c>
      <c r="M2148">
        <v>59.7</v>
      </c>
      <c r="N2148">
        <v>47.2</v>
      </c>
      <c r="O2148">
        <v>52.8</v>
      </c>
      <c r="P2148">
        <v>45</v>
      </c>
      <c r="Q2148">
        <v>55</v>
      </c>
    </row>
    <row r="2149" spans="1:17" x14ac:dyDescent="0.25">
      <c r="A2149" s="2">
        <v>45612</v>
      </c>
      <c r="B2149" s="2" t="str">
        <f t="shared" si="66"/>
        <v>Saturday</v>
      </c>
      <c r="C2149" s="2" t="b">
        <f t="shared" si="67"/>
        <v>1</v>
      </c>
      <c r="D2149">
        <v>3</v>
      </c>
      <c r="E2149" t="s">
        <v>7</v>
      </c>
      <c r="F2149">
        <v>286</v>
      </c>
      <c r="G2149" s="3">
        <v>4236.3999999999996</v>
      </c>
      <c r="H2149" s="3">
        <f>Miami_Retail[[#This Row],[sales_usd]] / Miami_Retail[[#This Row],[customers]]</f>
        <v>14.812587412587412</v>
      </c>
      <c r="I2149">
        <v>88.2</v>
      </c>
      <c r="J2149">
        <f>(Miami_Retail[[#This Row],[avg_temp_f]]-32) * (5/9)</f>
        <v>31.222222222222225</v>
      </c>
      <c r="K2149">
        <v>0</v>
      </c>
      <c r="L2149">
        <v>0</v>
      </c>
      <c r="M2149">
        <v>59.8</v>
      </c>
      <c r="N2149">
        <v>47.3</v>
      </c>
      <c r="O2149">
        <v>52.7</v>
      </c>
      <c r="P2149">
        <v>49</v>
      </c>
      <c r="Q2149">
        <v>51</v>
      </c>
    </row>
    <row r="2150" spans="1:17" x14ac:dyDescent="0.25">
      <c r="A2150" s="2">
        <v>45613</v>
      </c>
      <c r="B2150" s="2" t="str">
        <f t="shared" si="66"/>
        <v>Sunday</v>
      </c>
      <c r="C2150" s="2" t="b">
        <f t="shared" si="67"/>
        <v>1</v>
      </c>
      <c r="D2150">
        <v>3</v>
      </c>
      <c r="E2150" t="s">
        <v>7</v>
      </c>
      <c r="F2150">
        <v>280</v>
      </c>
      <c r="G2150" s="3">
        <v>4428.24</v>
      </c>
      <c r="H2150" s="3">
        <f>Miami_Retail[[#This Row],[sales_usd]] / Miami_Retail[[#This Row],[customers]]</f>
        <v>15.815142857142856</v>
      </c>
      <c r="I2150">
        <v>86.1</v>
      </c>
      <c r="J2150">
        <f>(Miami_Retail[[#This Row],[avg_temp_f]]-32) * (5/9)</f>
        <v>30.055555555555554</v>
      </c>
      <c r="K2150">
        <v>2.02</v>
      </c>
      <c r="L2150">
        <v>1</v>
      </c>
      <c r="M2150">
        <v>56.6</v>
      </c>
      <c r="N2150">
        <v>45.6</v>
      </c>
      <c r="O2150">
        <v>54.4</v>
      </c>
      <c r="P2150">
        <v>50.2</v>
      </c>
      <c r="Q2150">
        <v>49.8</v>
      </c>
    </row>
    <row r="2151" spans="1:17" x14ac:dyDescent="0.25">
      <c r="A2151" s="2">
        <v>45614</v>
      </c>
      <c r="B2151" s="2" t="str">
        <f t="shared" si="66"/>
        <v>Monday</v>
      </c>
      <c r="C2151" s="2" t="b">
        <f t="shared" si="67"/>
        <v>0</v>
      </c>
      <c r="D2151">
        <v>3</v>
      </c>
      <c r="E2151" t="s">
        <v>7</v>
      </c>
      <c r="F2151">
        <v>194</v>
      </c>
      <c r="G2151" s="3">
        <v>3010.88</v>
      </c>
      <c r="H2151" s="3">
        <f>Miami_Retail[[#This Row],[sales_usd]] / Miami_Retail[[#This Row],[customers]]</f>
        <v>15.520000000000001</v>
      </c>
      <c r="I2151">
        <v>81.099999999999994</v>
      </c>
      <c r="J2151">
        <f>(Miami_Retail[[#This Row],[avg_temp_f]]-32) * (5/9)</f>
        <v>27.277777777777775</v>
      </c>
      <c r="K2151">
        <v>0</v>
      </c>
      <c r="L2151">
        <v>0</v>
      </c>
      <c r="M2151">
        <v>58.6</v>
      </c>
      <c r="N2151">
        <v>46.2</v>
      </c>
      <c r="O2151">
        <v>53.8</v>
      </c>
      <c r="P2151">
        <v>44.5</v>
      </c>
      <c r="Q2151">
        <v>55.5</v>
      </c>
    </row>
    <row r="2152" spans="1:17" x14ac:dyDescent="0.25">
      <c r="A2152" s="2">
        <v>45615</v>
      </c>
      <c r="B2152" s="2" t="str">
        <f t="shared" si="66"/>
        <v>Tuesday</v>
      </c>
      <c r="C2152" s="2" t="b">
        <f t="shared" si="67"/>
        <v>0</v>
      </c>
      <c r="D2152">
        <v>3</v>
      </c>
      <c r="E2152" t="s">
        <v>7</v>
      </c>
      <c r="F2152">
        <v>222</v>
      </c>
      <c r="G2152" s="3">
        <v>3676.97</v>
      </c>
      <c r="H2152" s="3">
        <f>Miami_Retail[[#This Row],[sales_usd]] / Miami_Retail[[#This Row],[customers]]</f>
        <v>16.562927927927927</v>
      </c>
      <c r="I2152">
        <v>82.6</v>
      </c>
      <c r="J2152">
        <f>(Miami_Retail[[#This Row],[avg_temp_f]]-32) * (5/9)</f>
        <v>28.111111111111111</v>
      </c>
      <c r="K2152">
        <v>0</v>
      </c>
      <c r="L2152">
        <v>0</v>
      </c>
      <c r="M2152">
        <v>58.3</v>
      </c>
      <c r="N2152">
        <v>45.5</v>
      </c>
      <c r="O2152">
        <v>54.5</v>
      </c>
      <c r="P2152">
        <v>43.5</v>
      </c>
      <c r="Q2152">
        <v>56.5</v>
      </c>
    </row>
    <row r="2153" spans="1:17" x14ac:dyDescent="0.25">
      <c r="A2153" s="2">
        <v>45616</v>
      </c>
      <c r="B2153" s="2" t="str">
        <f t="shared" si="66"/>
        <v>Wednesday</v>
      </c>
      <c r="C2153" s="2" t="b">
        <f t="shared" si="67"/>
        <v>0</v>
      </c>
      <c r="D2153">
        <v>3</v>
      </c>
      <c r="E2153" t="s">
        <v>7</v>
      </c>
      <c r="F2153">
        <v>269</v>
      </c>
      <c r="G2153" s="3">
        <v>4546.46</v>
      </c>
      <c r="H2153" s="3">
        <f>Miami_Retail[[#This Row],[sales_usd]] / Miami_Retail[[#This Row],[customers]]</f>
        <v>16.901338289962826</v>
      </c>
      <c r="I2153">
        <v>85.9</v>
      </c>
      <c r="J2153">
        <f>(Miami_Retail[[#This Row],[avg_temp_f]]-32) * (5/9)</f>
        <v>29.94444444444445</v>
      </c>
      <c r="K2153">
        <v>0</v>
      </c>
      <c r="L2153">
        <v>0</v>
      </c>
      <c r="M2153">
        <v>67.400000000000006</v>
      </c>
      <c r="N2153">
        <v>46.7</v>
      </c>
      <c r="O2153">
        <v>53.3</v>
      </c>
      <c r="P2153">
        <v>43.8</v>
      </c>
      <c r="Q2153">
        <v>56.2</v>
      </c>
    </row>
    <row r="2154" spans="1:17" x14ac:dyDescent="0.25">
      <c r="A2154" s="2">
        <v>45617</v>
      </c>
      <c r="B2154" s="2" t="str">
        <f t="shared" si="66"/>
        <v>Thursday</v>
      </c>
      <c r="C2154" s="2" t="b">
        <f t="shared" si="67"/>
        <v>0</v>
      </c>
      <c r="D2154">
        <v>3</v>
      </c>
      <c r="E2154" t="s">
        <v>7</v>
      </c>
      <c r="F2154">
        <v>251</v>
      </c>
      <c r="G2154" s="3">
        <v>4494.05</v>
      </c>
      <c r="H2154" s="3">
        <f>Miami_Retail[[#This Row],[sales_usd]] / Miami_Retail[[#This Row],[customers]]</f>
        <v>17.904581673306772</v>
      </c>
      <c r="I2154">
        <v>82.3</v>
      </c>
      <c r="J2154">
        <f>(Miami_Retail[[#This Row],[avg_temp_f]]-32) * (5/9)</f>
        <v>27.944444444444443</v>
      </c>
      <c r="K2154">
        <v>0</v>
      </c>
      <c r="L2154">
        <v>0</v>
      </c>
      <c r="M2154">
        <v>60.6</v>
      </c>
      <c r="N2154">
        <v>46.9</v>
      </c>
      <c r="O2154">
        <v>53.1</v>
      </c>
      <c r="P2154">
        <v>44.5</v>
      </c>
      <c r="Q2154">
        <v>55.5</v>
      </c>
    </row>
    <row r="2155" spans="1:17" x14ac:dyDescent="0.25">
      <c r="A2155" s="2">
        <v>45618</v>
      </c>
      <c r="B2155" s="2" t="str">
        <f t="shared" si="66"/>
        <v>Friday</v>
      </c>
      <c r="C2155" s="2" t="b">
        <f t="shared" si="67"/>
        <v>0</v>
      </c>
      <c r="D2155">
        <v>3</v>
      </c>
      <c r="E2155" t="s">
        <v>7</v>
      </c>
      <c r="F2155">
        <v>212</v>
      </c>
      <c r="G2155" s="3">
        <v>3421.48</v>
      </c>
      <c r="H2155" s="3">
        <f>Miami_Retail[[#This Row],[sales_usd]] / Miami_Retail[[#This Row],[customers]]</f>
        <v>16.139056603773586</v>
      </c>
      <c r="I2155">
        <v>77.400000000000006</v>
      </c>
      <c r="J2155">
        <f>(Miami_Retail[[#This Row],[avg_temp_f]]-32) * (5/9)</f>
        <v>25.222222222222225</v>
      </c>
      <c r="K2155">
        <v>0</v>
      </c>
      <c r="L2155">
        <v>0</v>
      </c>
      <c r="M2155">
        <v>67</v>
      </c>
      <c r="N2155">
        <v>46</v>
      </c>
      <c r="O2155">
        <v>54</v>
      </c>
      <c r="P2155">
        <v>43.8</v>
      </c>
      <c r="Q2155">
        <v>56.2</v>
      </c>
    </row>
    <row r="2156" spans="1:17" x14ac:dyDescent="0.25">
      <c r="A2156" s="2">
        <v>45619</v>
      </c>
      <c r="B2156" s="2" t="str">
        <f t="shared" si="66"/>
        <v>Saturday</v>
      </c>
      <c r="C2156" s="2" t="b">
        <f t="shared" si="67"/>
        <v>1</v>
      </c>
      <c r="D2156">
        <v>3</v>
      </c>
      <c r="E2156" t="s">
        <v>7</v>
      </c>
      <c r="F2156">
        <v>292</v>
      </c>
      <c r="G2156" s="3">
        <v>4843.9799999999996</v>
      </c>
      <c r="H2156" s="3">
        <f>Miami_Retail[[#This Row],[sales_usd]] / Miami_Retail[[#This Row],[customers]]</f>
        <v>16.588972602739723</v>
      </c>
      <c r="I2156">
        <v>78.7</v>
      </c>
      <c r="J2156">
        <f>(Miami_Retail[[#This Row],[avg_temp_f]]-32) * (5/9)</f>
        <v>25.944444444444446</v>
      </c>
      <c r="K2156">
        <v>0</v>
      </c>
      <c r="L2156">
        <v>0</v>
      </c>
      <c r="M2156">
        <v>65.5</v>
      </c>
      <c r="N2156">
        <v>47.2</v>
      </c>
      <c r="O2156">
        <v>52.8</v>
      </c>
      <c r="P2156">
        <v>52</v>
      </c>
      <c r="Q2156">
        <v>48</v>
      </c>
    </row>
    <row r="2157" spans="1:17" x14ac:dyDescent="0.25">
      <c r="A2157" s="2">
        <v>45620</v>
      </c>
      <c r="B2157" s="2" t="str">
        <f t="shared" si="66"/>
        <v>Sunday</v>
      </c>
      <c r="C2157" s="2" t="b">
        <f t="shared" si="67"/>
        <v>1</v>
      </c>
      <c r="D2157">
        <v>3</v>
      </c>
      <c r="E2157" t="s">
        <v>7</v>
      </c>
      <c r="F2157">
        <v>252</v>
      </c>
      <c r="G2157" s="3">
        <v>4339.32</v>
      </c>
      <c r="H2157" s="3">
        <f>Miami_Retail[[#This Row],[sales_usd]] / Miami_Retail[[#This Row],[customers]]</f>
        <v>17.219523809523807</v>
      </c>
      <c r="I2157">
        <v>84.5</v>
      </c>
      <c r="J2157">
        <f>(Miami_Retail[[#This Row],[avg_temp_f]]-32) * (5/9)</f>
        <v>29.166666666666668</v>
      </c>
      <c r="K2157">
        <v>0</v>
      </c>
      <c r="L2157">
        <v>0</v>
      </c>
      <c r="M2157">
        <v>62.6</v>
      </c>
      <c r="N2157">
        <v>47.9</v>
      </c>
      <c r="O2157">
        <v>52.1</v>
      </c>
      <c r="P2157">
        <v>50.7</v>
      </c>
      <c r="Q2157">
        <v>49.3</v>
      </c>
    </row>
    <row r="2158" spans="1:17" x14ac:dyDescent="0.25">
      <c r="A2158" s="2">
        <v>45621</v>
      </c>
      <c r="B2158" s="2" t="str">
        <f t="shared" si="66"/>
        <v>Monday</v>
      </c>
      <c r="C2158" s="2" t="b">
        <f t="shared" si="67"/>
        <v>0</v>
      </c>
      <c r="D2158">
        <v>3</v>
      </c>
      <c r="E2158" t="s">
        <v>7</v>
      </c>
      <c r="F2158">
        <v>210</v>
      </c>
      <c r="G2158" s="3">
        <v>3601.71</v>
      </c>
      <c r="H2158" s="3">
        <f>Miami_Retail[[#This Row],[sales_usd]] / Miami_Retail[[#This Row],[customers]]</f>
        <v>17.151</v>
      </c>
      <c r="I2158">
        <v>83.9</v>
      </c>
      <c r="J2158">
        <f>(Miami_Retail[[#This Row],[avg_temp_f]]-32) * (5/9)</f>
        <v>28.833333333333339</v>
      </c>
      <c r="K2158">
        <v>0</v>
      </c>
      <c r="L2158">
        <v>0</v>
      </c>
      <c r="M2158">
        <v>56.8</v>
      </c>
      <c r="N2158">
        <v>47.4</v>
      </c>
      <c r="O2158">
        <v>52.6</v>
      </c>
      <c r="P2158">
        <v>43.4</v>
      </c>
      <c r="Q2158">
        <v>56.6</v>
      </c>
    </row>
    <row r="2159" spans="1:17" x14ac:dyDescent="0.25">
      <c r="A2159" s="2">
        <v>45622</v>
      </c>
      <c r="B2159" s="2" t="str">
        <f t="shared" si="66"/>
        <v>Tuesday</v>
      </c>
      <c r="C2159" s="2" t="b">
        <f t="shared" si="67"/>
        <v>0</v>
      </c>
      <c r="D2159">
        <v>3</v>
      </c>
      <c r="E2159" t="s">
        <v>7</v>
      </c>
      <c r="F2159">
        <v>253</v>
      </c>
      <c r="G2159" s="3">
        <v>4426.83</v>
      </c>
      <c r="H2159" s="3">
        <f>Miami_Retail[[#This Row],[sales_usd]] / Miami_Retail[[#This Row],[customers]]</f>
        <v>17.497351778656125</v>
      </c>
      <c r="I2159">
        <v>84.8</v>
      </c>
      <c r="J2159">
        <f>(Miami_Retail[[#This Row],[avg_temp_f]]-32) * (5/9)</f>
        <v>29.333333333333332</v>
      </c>
      <c r="K2159">
        <v>0.74</v>
      </c>
      <c r="L2159">
        <v>1</v>
      </c>
      <c r="M2159">
        <v>59</v>
      </c>
      <c r="N2159">
        <v>48</v>
      </c>
      <c r="O2159">
        <v>52</v>
      </c>
      <c r="P2159">
        <v>42.4</v>
      </c>
      <c r="Q2159">
        <v>57.6</v>
      </c>
    </row>
    <row r="2160" spans="1:17" x14ac:dyDescent="0.25">
      <c r="A2160" s="2">
        <v>45623</v>
      </c>
      <c r="B2160" s="2" t="str">
        <f t="shared" si="66"/>
        <v>Wednesday</v>
      </c>
      <c r="C2160" s="2" t="b">
        <f t="shared" si="67"/>
        <v>0</v>
      </c>
      <c r="D2160">
        <v>3</v>
      </c>
      <c r="E2160" t="s">
        <v>7</v>
      </c>
      <c r="F2160">
        <v>292</v>
      </c>
      <c r="G2160" s="3">
        <v>4647.17</v>
      </c>
      <c r="H2160" s="3">
        <f>Miami_Retail[[#This Row],[sales_usd]] / Miami_Retail[[#This Row],[customers]]</f>
        <v>15.914965753424658</v>
      </c>
      <c r="I2160">
        <v>92.3</v>
      </c>
      <c r="J2160">
        <f>(Miami_Retail[[#This Row],[avg_temp_f]]-32) * (5/9)</f>
        <v>33.5</v>
      </c>
      <c r="K2160">
        <v>0</v>
      </c>
      <c r="L2160">
        <v>0</v>
      </c>
      <c r="M2160">
        <v>61.9</v>
      </c>
      <c r="N2160">
        <v>47.9</v>
      </c>
      <c r="O2160">
        <v>52.1</v>
      </c>
      <c r="P2160">
        <v>45</v>
      </c>
      <c r="Q2160">
        <v>55</v>
      </c>
    </row>
    <row r="2161" spans="1:17" x14ac:dyDescent="0.25">
      <c r="A2161" s="2">
        <v>45624</v>
      </c>
      <c r="B2161" s="2" t="str">
        <f t="shared" si="66"/>
        <v>Thursday</v>
      </c>
      <c r="C2161" s="2" t="b">
        <f t="shared" si="67"/>
        <v>0</v>
      </c>
      <c r="D2161">
        <v>3</v>
      </c>
      <c r="E2161" t="s">
        <v>7</v>
      </c>
      <c r="F2161">
        <v>214</v>
      </c>
      <c r="G2161" s="3">
        <v>3296.53</v>
      </c>
      <c r="H2161" s="3">
        <f>Miami_Retail[[#This Row],[sales_usd]] / Miami_Retail[[#This Row],[customers]]</f>
        <v>15.404345794392524</v>
      </c>
      <c r="I2161">
        <v>77.3</v>
      </c>
      <c r="J2161">
        <f>(Miami_Retail[[#This Row],[avg_temp_f]]-32) * (5/9)</f>
        <v>25.166666666666668</v>
      </c>
      <c r="K2161">
        <v>0</v>
      </c>
      <c r="L2161">
        <v>0</v>
      </c>
      <c r="M2161">
        <v>56.7</v>
      </c>
      <c r="N2161">
        <v>48.3</v>
      </c>
      <c r="O2161">
        <v>51.7</v>
      </c>
      <c r="P2161">
        <v>43.1</v>
      </c>
      <c r="Q2161">
        <v>56.9</v>
      </c>
    </row>
    <row r="2162" spans="1:17" x14ac:dyDescent="0.25">
      <c r="A2162" s="2">
        <v>45625</v>
      </c>
      <c r="B2162" s="2" t="str">
        <f t="shared" si="66"/>
        <v>Friday</v>
      </c>
      <c r="C2162" s="2" t="b">
        <f t="shared" si="67"/>
        <v>0</v>
      </c>
      <c r="D2162">
        <v>3</v>
      </c>
      <c r="E2162" t="s">
        <v>7</v>
      </c>
      <c r="F2162">
        <v>199</v>
      </c>
      <c r="G2162" s="3">
        <v>3544.72</v>
      </c>
      <c r="H2162" s="3">
        <f>Miami_Retail[[#This Row],[sales_usd]] / Miami_Retail[[#This Row],[customers]]</f>
        <v>17.812663316582913</v>
      </c>
      <c r="I2162">
        <v>82.8</v>
      </c>
      <c r="J2162">
        <f>(Miami_Retail[[#This Row],[avg_temp_f]]-32) * (5/9)</f>
        <v>28.222222222222221</v>
      </c>
      <c r="K2162">
        <v>0</v>
      </c>
      <c r="L2162">
        <v>0</v>
      </c>
      <c r="M2162">
        <v>67.900000000000006</v>
      </c>
      <c r="N2162">
        <v>48.8</v>
      </c>
      <c r="O2162">
        <v>51.2</v>
      </c>
      <c r="P2162">
        <v>43.7</v>
      </c>
      <c r="Q2162">
        <v>56.3</v>
      </c>
    </row>
    <row r="2163" spans="1:17" x14ac:dyDescent="0.25">
      <c r="A2163" s="2">
        <v>45626</v>
      </c>
      <c r="B2163" s="2" t="str">
        <f t="shared" si="66"/>
        <v>Saturday</v>
      </c>
      <c r="C2163" s="2" t="b">
        <f t="shared" si="67"/>
        <v>1</v>
      </c>
      <c r="D2163">
        <v>3</v>
      </c>
      <c r="E2163" t="s">
        <v>7</v>
      </c>
      <c r="F2163">
        <v>269</v>
      </c>
      <c r="G2163" s="3">
        <v>4404.8999999999996</v>
      </c>
      <c r="H2163" s="3">
        <f>Miami_Retail[[#This Row],[sales_usd]] / Miami_Retail[[#This Row],[customers]]</f>
        <v>16.375092936802972</v>
      </c>
      <c r="I2163">
        <v>81.400000000000006</v>
      </c>
      <c r="J2163">
        <f>(Miami_Retail[[#This Row],[avg_temp_f]]-32) * (5/9)</f>
        <v>27.44444444444445</v>
      </c>
      <c r="K2163">
        <v>0</v>
      </c>
      <c r="L2163">
        <v>0</v>
      </c>
      <c r="M2163">
        <v>57.2</v>
      </c>
      <c r="N2163">
        <v>47.6</v>
      </c>
      <c r="O2163">
        <v>52.4</v>
      </c>
      <c r="P2163">
        <v>50.4</v>
      </c>
      <c r="Q2163">
        <v>49.6</v>
      </c>
    </row>
    <row r="2164" spans="1:17" x14ac:dyDescent="0.25">
      <c r="A2164" s="2">
        <v>45627</v>
      </c>
      <c r="B2164" s="2" t="str">
        <f t="shared" si="66"/>
        <v>Sunday</v>
      </c>
      <c r="C2164" s="2" t="b">
        <f t="shared" si="67"/>
        <v>1</v>
      </c>
      <c r="D2164">
        <v>3</v>
      </c>
      <c r="E2164" t="s">
        <v>7</v>
      </c>
      <c r="F2164">
        <v>252</v>
      </c>
      <c r="G2164" s="3">
        <v>3663.65</v>
      </c>
      <c r="H2164" s="3">
        <f>Miami_Retail[[#This Row],[sales_usd]] / Miami_Retail[[#This Row],[customers]]</f>
        <v>14.538293650793651</v>
      </c>
      <c r="I2164">
        <v>80.5</v>
      </c>
      <c r="J2164">
        <f>(Miami_Retail[[#This Row],[avg_temp_f]]-32) * (5/9)</f>
        <v>26.944444444444446</v>
      </c>
      <c r="K2164">
        <v>0</v>
      </c>
      <c r="L2164">
        <v>0</v>
      </c>
      <c r="M2164">
        <v>57.8</v>
      </c>
      <c r="N2164">
        <v>48.5</v>
      </c>
      <c r="O2164">
        <v>51.5</v>
      </c>
      <c r="P2164">
        <v>50</v>
      </c>
      <c r="Q2164">
        <v>50</v>
      </c>
    </row>
    <row r="2165" spans="1:17" x14ac:dyDescent="0.25">
      <c r="A2165" s="2">
        <v>45628</v>
      </c>
      <c r="B2165" s="2" t="str">
        <f t="shared" si="66"/>
        <v>Monday</v>
      </c>
      <c r="C2165" s="2" t="b">
        <f t="shared" si="67"/>
        <v>0</v>
      </c>
      <c r="D2165">
        <v>3</v>
      </c>
      <c r="E2165" t="s">
        <v>7</v>
      </c>
      <c r="F2165">
        <v>229</v>
      </c>
      <c r="G2165" s="3">
        <v>3513.89</v>
      </c>
      <c r="H2165" s="3">
        <f>Miami_Retail[[#This Row],[sales_usd]] / Miami_Retail[[#This Row],[customers]]</f>
        <v>15.344497816593886</v>
      </c>
      <c r="I2165">
        <v>83.8</v>
      </c>
      <c r="J2165">
        <f>(Miami_Retail[[#This Row],[avg_temp_f]]-32) * (5/9)</f>
        <v>28.777777777777779</v>
      </c>
      <c r="K2165">
        <v>0</v>
      </c>
      <c r="L2165">
        <v>0</v>
      </c>
      <c r="M2165">
        <v>60.4</v>
      </c>
      <c r="N2165">
        <v>48</v>
      </c>
      <c r="O2165">
        <v>52</v>
      </c>
      <c r="P2165">
        <v>45.5</v>
      </c>
      <c r="Q2165">
        <v>54.5</v>
      </c>
    </row>
    <row r="2166" spans="1:17" x14ac:dyDescent="0.25">
      <c r="A2166" s="2">
        <v>45629</v>
      </c>
      <c r="B2166" s="2" t="str">
        <f t="shared" si="66"/>
        <v>Tuesday</v>
      </c>
      <c r="C2166" s="2" t="b">
        <f t="shared" si="67"/>
        <v>0</v>
      </c>
      <c r="D2166">
        <v>3</v>
      </c>
      <c r="E2166" t="s">
        <v>7</v>
      </c>
      <c r="F2166">
        <v>254</v>
      </c>
      <c r="G2166" s="3">
        <v>4695.5600000000004</v>
      </c>
      <c r="H2166" s="3">
        <f>Miami_Retail[[#This Row],[sales_usd]] / Miami_Retail[[#This Row],[customers]]</f>
        <v>18.486456692913386</v>
      </c>
      <c r="I2166">
        <v>82.8</v>
      </c>
      <c r="J2166">
        <f>(Miami_Retail[[#This Row],[avg_temp_f]]-32) * (5/9)</f>
        <v>28.222222222222221</v>
      </c>
      <c r="K2166">
        <v>0.22</v>
      </c>
      <c r="L2166">
        <v>1</v>
      </c>
      <c r="M2166">
        <v>68.400000000000006</v>
      </c>
      <c r="N2166">
        <v>45.8</v>
      </c>
      <c r="O2166">
        <v>54.2</v>
      </c>
      <c r="P2166">
        <v>43.3</v>
      </c>
      <c r="Q2166">
        <v>56.7</v>
      </c>
    </row>
    <row r="2167" spans="1:17" x14ac:dyDescent="0.25">
      <c r="A2167" s="2">
        <v>45630</v>
      </c>
      <c r="B2167" s="2" t="str">
        <f t="shared" si="66"/>
        <v>Wednesday</v>
      </c>
      <c r="C2167" s="2" t="b">
        <f t="shared" si="67"/>
        <v>0</v>
      </c>
      <c r="D2167">
        <v>3</v>
      </c>
      <c r="E2167" t="s">
        <v>7</v>
      </c>
      <c r="F2167">
        <v>229</v>
      </c>
      <c r="G2167" s="3">
        <v>3590.07</v>
      </c>
      <c r="H2167" s="3">
        <f>Miami_Retail[[#This Row],[sales_usd]] / Miami_Retail[[#This Row],[customers]]</f>
        <v>15.677161572052402</v>
      </c>
      <c r="I2167">
        <v>83.7</v>
      </c>
      <c r="J2167">
        <f>(Miami_Retail[[#This Row],[avg_temp_f]]-32) * (5/9)</f>
        <v>28.722222222222225</v>
      </c>
      <c r="K2167">
        <v>1.73</v>
      </c>
      <c r="L2167">
        <v>1</v>
      </c>
      <c r="M2167">
        <v>50</v>
      </c>
      <c r="N2167">
        <v>48.4</v>
      </c>
      <c r="O2167">
        <v>51.6</v>
      </c>
      <c r="P2167">
        <v>44.9</v>
      </c>
      <c r="Q2167">
        <v>55.1</v>
      </c>
    </row>
    <row r="2168" spans="1:17" x14ac:dyDescent="0.25">
      <c r="A2168" s="2">
        <v>45631</v>
      </c>
      <c r="B2168" s="2" t="str">
        <f t="shared" si="66"/>
        <v>Thursday</v>
      </c>
      <c r="C2168" s="2" t="b">
        <f t="shared" si="67"/>
        <v>0</v>
      </c>
      <c r="D2168">
        <v>3</v>
      </c>
      <c r="E2168" t="s">
        <v>7</v>
      </c>
      <c r="F2168">
        <v>221</v>
      </c>
      <c r="G2168" s="3">
        <v>3556.27</v>
      </c>
      <c r="H2168" s="3">
        <f>Miami_Retail[[#This Row],[sales_usd]] / Miami_Retail[[#This Row],[customers]]</f>
        <v>16.091719457013575</v>
      </c>
      <c r="I2168">
        <v>77.5</v>
      </c>
      <c r="J2168">
        <f>(Miami_Retail[[#This Row],[avg_temp_f]]-32) * (5/9)</f>
        <v>25.277777777777779</v>
      </c>
      <c r="K2168">
        <v>0</v>
      </c>
      <c r="L2168">
        <v>0</v>
      </c>
      <c r="M2168">
        <v>56.5</v>
      </c>
      <c r="N2168">
        <v>48.5</v>
      </c>
      <c r="O2168">
        <v>51.5</v>
      </c>
      <c r="P2168">
        <v>44.7</v>
      </c>
      <c r="Q2168">
        <v>55.3</v>
      </c>
    </row>
    <row r="2169" spans="1:17" x14ac:dyDescent="0.25">
      <c r="A2169" s="2">
        <v>45632</v>
      </c>
      <c r="B2169" s="2" t="str">
        <f t="shared" si="66"/>
        <v>Friday</v>
      </c>
      <c r="C2169" s="2" t="b">
        <f t="shared" si="67"/>
        <v>0</v>
      </c>
      <c r="D2169">
        <v>3</v>
      </c>
      <c r="E2169" t="s">
        <v>7</v>
      </c>
      <c r="F2169">
        <v>212</v>
      </c>
      <c r="G2169" s="3">
        <v>3449.15</v>
      </c>
      <c r="H2169" s="3">
        <f>Miami_Retail[[#This Row],[sales_usd]] / Miami_Retail[[#This Row],[customers]]</f>
        <v>16.269575471698115</v>
      </c>
      <c r="I2169">
        <v>79.900000000000006</v>
      </c>
      <c r="J2169">
        <f>(Miami_Retail[[#This Row],[avg_temp_f]]-32) * (5/9)</f>
        <v>26.611111111111114</v>
      </c>
      <c r="K2169">
        <v>0.02</v>
      </c>
      <c r="L2169">
        <v>1</v>
      </c>
      <c r="M2169">
        <v>56.4</v>
      </c>
      <c r="N2169">
        <v>47</v>
      </c>
      <c r="O2169">
        <v>53</v>
      </c>
      <c r="P2169">
        <v>44.4</v>
      </c>
      <c r="Q2169">
        <v>55.6</v>
      </c>
    </row>
    <row r="2170" spans="1:17" x14ac:dyDescent="0.25">
      <c r="A2170" s="2">
        <v>45633</v>
      </c>
      <c r="B2170" s="2" t="str">
        <f t="shared" si="66"/>
        <v>Saturday</v>
      </c>
      <c r="C2170" s="2" t="b">
        <f t="shared" si="67"/>
        <v>1</v>
      </c>
      <c r="D2170">
        <v>3</v>
      </c>
      <c r="E2170" t="s">
        <v>7</v>
      </c>
      <c r="F2170">
        <v>209</v>
      </c>
      <c r="G2170" s="3">
        <v>3648.02</v>
      </c>
      <c r="H2170" s="3">
        <f>Miami_Retail[[#This Row],[sales_usd]] / Miami_Retail[[#This Row],[customers]]</f>
        <v>17.454641148325358</v>
      </c>
      <c r="I2170">
        <v>74.599999999999994</v>
      </c>
      <c r="J2170">
        <f>(Miami_Retail[[#This Row],[avg_temp_f]]-32) * (5/9)</f>
        <v>23.666666666666664</v>
      </c>
      <c r="K2170">
        <v>0.86</v>
      </c>
      <c r="L2170">
        <v>1</v>
      </c>
      <c r="M2170">
        <v>52</v>
      </c>
      <c r="N2170">
        <v>47.1</v>
      </c>
      <c r="O2170">
        <v>52.9</v>
      </c>
      <c r="P2170">
        <v>50.3</v>
      </c>
      <c r="Q2170">
        <v>49.7</v>
      </c>
    </row>
    <row r="2171" spans="1:17" x14ac:dyDescent="0.25">
      <c r="A2171" s="2">
        <v>45634</v>
      </c>
      <c r="B2171" s="2" t="str">
        <f t="shared" si="66"/>
        <v>Sunday</v>
      </c>
      <c r="C2171" s="2" t="b">
        <f t="shared" si="67"/>
        <v>1</v>
      </c>
      <c r="D2171">
        <v>3</v>
      </c>
      <c r="E2171" t="s">
        <v>7</v>
      </c>
      <c r="F2171">
        <v>206</v>
      </c>
      <c r="G2171" s="3">
        <v>3326.34</v>
      </c>
      <c r="H2171" s="3">
        <f>Miami_Retail[[#This Row],[sales_usd]] / Miami_Retail[[#This Row],[customers]]</f>
        <v>16.147281553398059</v>
      </c>
      <c r="I2171">
        <v>73.2</v>
      </c>
      <c r="J2171">
        <f>(Miami_Retail[[#This Row],[avg_temp_f]]-32) * (5/9)</f>
        <v>22.888888888888893</v>
      </c>
      <c r="K2171">
        <v>0</v>
      </c>
      <c r="L2171">
        <v>0</v>
      </c>
      <c r="M2171">
        <v>57.6</v>
      </c>
      <c r="N2171">
        <v>48</v>
      </c>
      <c r="O2171">
        <v>52</v>
      </c>
      <c r="P2171">
        <v>52.5</v>
      </c>
      <c r="Q2171">
        <v>47.5</v>
      </c>
    </row>
    <row r="2172" spans="1:17" x14ac:dyDescent="0.25">
      <c r="A2172" s="2">
        <v>45635</v>
      </c>
      <c r="B2172" s="2" t="str">
        <f t="shared" si="66"/>
        <v>Monday</v>
      </c>
      <c r="C2172" s="2" t="b">
        <f t="shared" si="67"/>
        <v>0</v>
      </c>
      <c r="D2172">
        <v>3</v>
      </c>
      <c r="E2172" t="s">
        <v>7</v>
      </c>
      <c r="F2172">
        <v>242</v>
      </c>
      <c r="G2172" s="3">
        <v>4342.34</v>
      </c>
      <c r="H2172" s="3">
        <f>Miami_Retail[[#This Row],[sales_usd]] / Miami_Retail[[#This Row],[customers]]</f>
        <v>17.943553719008264</v>
      </c>
      <c r="I2172">
        <v>83.7</v>
      </c>
      <c r="J2172">
        <f>(Miami_Retail[[#This Row],[avg_temp_f]]-32) * (5/9)</f>
        <v>28.722222222222225</v>
      </c>
      <c r="K2172">
        <v>0</v>
      </c>
      <c r="L2172">
        <v>0</v>
      </c>
      <c r="M2172">
        <v>56.6</v>
      </c>
      <c r="N2172">
        <v>48.7</v>
      </c>
      <c r="O2172">
        <v>51.3</v>
      </c>
      <c r="P2172">
        <v>43.9</v>
      </c>
      <c r="Q2172">
        <v>56.1</v>
      </c>
    </row>
    <row r="2173" spans="1:17" x14ac:dyDescent="0.25">
      <c r="A2173" s="2">
        <v>45636</v>
      </c>
      <c r="B2173" s="2" t="str">
        <f t="shared" si="66"/>
        <v>Tuesday</v>
      </c>
      <c r="C2173" s="2" t="b">
        <f t="shared" si="67"/>
        <v>0</v>
      </c>
      <c r="D2173">
        <v>3</v>
      </c>
      <c r="E2173" t="s">
        <v>7</v>
      </c>
      <c r="F2173">
        <v>217</v>
      </c>
      <c r="G2173" s="3">
        <v>3660.51</v>
      </c>
      <c r="H2173" s="3">
        <f>Miami_Retail[[#This Row],[sales_usd]] / Miami_Retail[[#This Row],[customers]]</f>
        <v>16.868709677419357</v>
      </c>
      <c r="I2173">
        <v>74.7</v>
      </c>
      <c r="J2173">
        <f>(Miami_Retail[[#This Row],[avg_temp_f]]-32) * (5/9)</f>
        <v>23.722222222222225</v>
      </c>
      <c r="K2173">
        <v>0</v>
      </c>
      <c r="L2173">
        <v>0</v>
      </c>
      <c r="M2173">
        <v>59.1</v>
      </c>
      <c r="N2173">
        <v>47.4</v>
      </c>
      <c r="O2173">
        <v>52.6</v>
      </c>
      <c r="P2173">
        <v>45.6</v>
      </c>
      <c r="Q2173">
        <v>54.4</v>
      </c>
    </row>
    <row r="2174" spans="1:17" x14ac:dyDescent="0.25">
      <c r="A2174" s="2">
        <v>45637</v>
      </c>
      <c r="B2174" s="2" t="str">
        <f t="shared" si="66"/>
        <v>Wednesday</v>
      </c>
      <c r="C2174" s="2" t="b">
        <f t="shared" si="67"/>
        <v>0</v>
      </c>
      <c r="D2174">
        <v>3</v>
      </c>
      <c r="E2174" t="s">
        <v>7</v>
      </c>
      <c r="F2174">
        <v>202</v>
      </c>
      <c r="G2174" s="3">
        <v>3730.7</v>
      </c>
      <c r="H2174" s="3">
        <f>Miami_Retail[[#This Row],[sales_usd]] / Miami_Retail[[#This Row],[customers]]</f>
        <v>18.468811881188117</v>
      </c>
      <c r="I2174">
        <v>78.900000000000006</v>
      </c>
      <c r="J2174">
        <f>(Miami_Retail[[#This Row],[avg_temp_f]]-32) * (5/9)</f>
        <v>26.055555555555561</v>
      </c>
      <c r="K2174">
        <v>0</v>
      </c>
      <c r="L2174">
        <v>0</v>
      </c>
      <c r="M2174">
        <v>49.3</v>
      </c>
      <c r="N2174">
        <v>48.8</v>
      </c>
      <c r="O2174">
        <v>51.2</v>
      </c>
      <c r="P2174">
        <v>42.4</v>
      </c>
      <c r="Q2174">
        <v>57.6</v>
      </c>
    </row>
    <row r="2175" spans="1:17" x14ac:dyDescent="0.25">
      <c r="A2175" s="2">
        <v>45638</v>
      </c>
      <c r="B2175" s="2" t="str">
        <f t="shared" si="66"/>
        <v>Thursday</v>
      </c>
      <c r="C2175" s="2" t="b">
        <f t="shared" si="67"/>
        <v>0</v>
      </c>
      <c r="D2175">
        <v>3</v>
      </c>
      <c r="E2175" t="s">
        <v>7</v>
      </c>
      <c r="F2175">
        <v>177</v>
      </c>
      <c r="G2175" s="3">
        <v>2925.38</v>
      </c>
      <c r="H2175" s="3">
        <f>Miami_Retail[[#This Row],[sales_usd]] / Miami_Retail[[#This Row],[customers]]</f>
        <v>16.527570621468929</v>
      </c>
      <c r="I2175">
        <v>75.7</v>
      </c>
      <c r="J2175">
        <f>(Miami_Retail[[#This Row],[avg_temp_f]]-32) * (5/9)</f>
        <v>24.277777777777782</v>
      </c>
      <c r="K2175">
        <v>0</v>
      </c>
      <c r="L2175">
        <v>0</v>
      </c>
      <c r="M2175">
        <v>56.8</v>
      </c>
      <c r="N2175">
        <v>49.4</v>
      </c>
      <c r="O2175">
        <v>50.6</v>
      </c>
      <c r="P2175">
        <v>45.7</v>
      </c>
      <c r="Q2175">
        <v>54.3</v>
      </c>
    </row>
    <row r="2176" spans="1:17" x14ac:dyDescent="0.25">
      <c r="A2176" s="2">
        <v>45639</v>
      </c>
      <c r="B2176" s="2" t="str">
        <f t="shared" si="66"/>
        <v>Friday</v>
      </c>
      <c r="C2176" s="2" t="b">
        <f t="shared" si="67"/>
        <v>0</v>
      </c>
      <c r="D2176">
        <v>3</v>
      </c>
      <c r="E2176" t="s">
        <v>7</v>
      </c>
      <c r="F2176">
        <v>186</v>
      </c>
      <c r="G2176" s="3">
        <v>2986.53</v>
      </c>
      <c r="H2176" s="3">
        <f>Miami_Retail[[#This Row],[sales_usd]] / Miami_Retail[[#This Row],[customers]]</f>
        <v>16.056612903225808</v>
      </c>
      <c r="I2176">
        <v>72.099999999999994</v>
      </c>
      <c r="J2176">
        <f>(Miami_Retail[[#This Row],[avg_temp_f]]-32) * (5/9)</f>
        <v>22.277777777777775</v>
      </c>
      <c r="K2176">
        <v>0</v>
      </c>
      <c r="L2176">
        <v>0</v>
      </c>
      <c r="M2176">
        <v>54.4</v>
      </c>
      <c r="N2176">
        <v>49.7</v>
      </c>
      <c r="O2176">
        <v>50.3</v>
      </c>
      <c r="P2176">
        <v>46</v>
      </c>
      <c r="Q2176">
        <v>54</v>
      </c>
    </row>
    <row r="2177" spans="1:17" x14ac:dyDescent="0.25">
      <c r="A2177" s="2">
        <v>45640</v>
      </c>
      <c r="B2177" s="2" t="str">
        <f t="shared" si="66"/>
        <v>Saturday</v>
      </c>
      <c r="C2177" s="2" t="b">
        <f t="shared" si="67"/>
        <v>1</v>
      </c>
      <c r="D2177">
        <v>3</v>
      </c>
      <c r="E2177" t="s">
        <v>7</v>
      </c>
      <c r="F2177">
        <v>249</v>
      </c>
      <c r="G2177" s="3">
        <v>4130.05</v>
      </c>
      <c r="H2177" s="3">
        <f>Miami_Retail[[#This Row],[sales_usd]] / Miami_Retail[[#This Row],[customers]]</f>
        <v>16.586546184738957</v>
      </c>
      <c r="I2177">
        <v>79</v>
      </c>
      <c r="J2177">
        <f>(Miami_Retail[[#This Row],[avg_temp_f]]-32) * (5/9)</f>
        <v>26.111111111111111</v>
      </c>
      <c r="K2177">
        <v>0</v>
      </c>
      <c r="L2177">
        <v>0</v>
      </c>
      <c r="M2177">
        <v>55.3</v>
      </c>
      <c r="N2177">
        <v>48.9</v>
      </c>
      <c r="O2177">
        <v>51.1</v>
      </c>
      <c r="P2177">
        <v>50.4</v>
      </c>
      <c r="Q2177">
        <v>49.6</v>
      </c>
    </row>
    <row r="2178" spans="1:17" x14ac:dyDescent="0.25">
      <c r="A2178" s="2">
        <v>45641</v>
      </c>
      <c r="B2178" s="2" t="str">
        <f t="shared" ref="B2178:B2241" si="68">TEXT(A2178, "dddd")</f>
        <v>Sunday</v>
      </c>
      <c r="C2178" s="2" t="b">
        <f t="shared" ref="C2178:C2241" si="69">IF(WEEKDAY(A2178,2)&gt;5,TRUE,FALSE)</f>
        <v>1</v>
      </c>
      <c r="D2178">
        <v>3</v>
      </c>
      <c r="E2178" t="s">
        <v>7</v>
      </c>
      <c r="F2178">
        <v>247</v>
      </c>
      <c r="G2178" s="3">
        <v>3805.85</v>
      </c>
      <c r="H2178" s="3">
        <f>Miami_Retail[[#This Row],[sales_usd]] / Miami_Retail[[#This Row],[customers]]</f>
        <v>15.408299595141701</v>
      </c>
      <c r="I2178">
        <v>78.5</v>
      </c>
      <c r="J2178">
        <f>(Miami_Retail[[#This Row],[avg_temp_f]]-32) * (5/9)</f>
        <v>25.833333333333336</v>
      </c>
      <c r="K2178">
        <v>1.52</v>
      </c>
      <c r="L2178">
        <v>1</v>
      </c>
      <c r="M2178">
        <v>49</v>
      </c>
      <c r="N2178">
        <v>47.8</v>
      </c>
      <c r="O2178">
        <v>52.2</v>
      </c>
      <c r="P2178">
        <v>49.3</v>
      </c>
      <c r="Q2178">
        <v>50.7</v>
      </c>
    </row>
    <row r="2179" spans="1:17" x14ac:dyDescent="0.25">
      <c r="A2179" s="2">
        <v>45642</v>
      </c>
      <c r="B2179" s="2" t="str">
        <f t="shared" si="68"/>
        <v>Monday</v>
      </c>
      <c r="C2179" s="2" t="b">
        <f t="shared" si="69"/>
        <v>0</v>
      </c>
      <c r="D2179">
        <v>3</v>
      </c>
      <c r="E2179" t="s">
        <v>7</v>
      </c>
      <c r="F2179">
        <v>249</v>
      </c>
      <c r="G2179" s="3">
        <v>4078.72</v>
      </c>
      <c r="H2179" s="3">
        <f>Miami_Retail[[#This Row],[sales_usd]] / Miami_Retail[[#This Row],[customers]]</f>
        <v>16.380401606425703</v>
      </c>
      <c r="I2179">
        <v>78.8</v>
      </c>
      <c r="J2179">
        <f>(Miami_Retail[[#This Row],[avg_temp_f]]-32) * (5/9)</f>
        <v>26</v>
      </c>
      <c r="K2179">
        <v>0</v>
      </c>
      <c r="L2179">
        <v>0</v>
      </c>
      <c r="M2179">
        <v>59.7</v>
      </c>
      <c r="N2179">
        <v>47.8</v>
      </c>
      <c r="O2179">
        <v>52.2</v>
      </c>
      <c r="P2179">
        <v>44.3</v>
      </c>
      <c r="Q2179">
        <v>55.7</v>
      </c>
    </row>
    <row r="2180" spans="1:17" x14ac:dyDescent="0.25">
      <c r="A2180" s="2">
        <v>45643</v>
      </c>
      <c r="B2180" s="2" t="str">
        <f t="shared" si="68"/>
        <v>Tuesday</v>
      </c>
      <c r="C2180" s="2" t="b">
        <f t="shared" si="69"/>
        <v>0</v>
      </c>
      <c r="D2180">
        <v>3</v>
      </c>
      <c r="E2180" t="s">
        <v>7</v>
      </c>
      <c r="F2180">
        <v>201</v>
      </c>
      <c r="G2180" s="3">
        <v>3140.34</v>
      </c>
      <c r="H2180" s="3">
        <f>Miami_Retail[[#This Row],[sales_usd]] / Miami_Retail[[#This Row],[customers]]</f>
        <v>15.62358208955224</v>
      </c>
      <c r="I2180">
        <v>77</v>
      </c>
      <c r="J2180">
        <f>(Miami_Retail[[#This Row],[avg_temp_f]]-32) * (5/9)</f>
        <v>25</v>
      </c>
      <c r="K2180">
        <v>1.75</v>
      </c>
      <c r="L2180">
        <v>1</v>
      </c>
      <c r="M2180">
        <v>47.3</v>
      </c>
      <c r="N2180">
        <v>47.7</v>
      </c>
      <c r="O2180">
        <v>52.3</v>
      </c>
      <c r="P2180">
        <v>41.3</v>
      </c>
      <c r="Q2180">
        <v>58.7</v>
      </c>
    </row>
    <row r="2181" spans="1:17" x14ac:dyDescent="0.25">
      <c r="A2181" s="2">
        <v>45644</v>
      </c>
      <c r="B2181" s="2" t="str">
        <f t="shared" si="68"/>
        <v>Wednesday</v>
      </c>
      <c r="C2181" s="2" t="b">
        <f t="shared" si="69"/>
        <v>0</v>
      </c>
      <c r="D2181">
        <v>3</v>
      </c>
      <c r="E2181" t="s">
        <v>7</v>
      </c>
      <c r="F2181">
        <v>214</v>
      </c>
      <c r="G2181" s="3">
        <v>3518.55</v>
      </c>
      <c r="H2181" s="3">
        <f>Miami_Retail[[#This Row],[sales_usd]] / Miami_Retail[[#This Row],[customers]]</f>
        <v>16.441822429906544</v>
      </c>
      <c r="I2181">
        <v>76.400000000000006</v>
      </c>
      <c r="J2181">
        <f>(Miami_Retail[[#This Row],[avg_temp_f]]-32) * (5/9)</f>
        <v>24.666666666666671</v>
      </c>
      <c r="K2181">
        <v>2.21</v>
      </c>
      <c r="L2181">
        <v>1</v>
      </c>
      <c r="M2181">
        <v>47</v>
      </c>
      <c r="N2181">
        <v>50.5</v>
      </c>
      <c r="O2181">
        <v>49.5</v>
      </c>
      <c r="P2181">
        <v>46.5</v>
      </c>
      <c r="Q2181">
        <v>53.5</v>
      </c>
    </row>
    <row r="2182" spans="1:17" x14ac:dyDescent="0.25">
      <c r="A2182" s="2">
        <v>45645</v>
      </c>
      <c r="B2182" s="2" t="str">
        <f t="shared" si="68"/>
        <v>Thursday</v>
      </c>
      <c r="C2182" s="2" t="b">
        <f t="shared" si="69"/>
        <v>0</v>
      </c>
      <c r="D2182">
        <v>3</v>
      </c>
      <c r="E2182" t="s">
        <v>7</v>
      </c>
      <c r="F2182">
        <v>206</v>
      </c>
      <c r="G2182" s="3">
        <v>3418.26</v>
      </c>
      <c r="H2182" s="3">
        <f>Miami_Retail[[#This Row],[sales_usd]] / Miami_Retail[[#This Row],[customers]]</f>
        <v>16.593495145631071</v>
      </c>
      <c r="I2182">
        <v>73.8</v>
      </c>
      <c r="J2182">
        <f>(Miami_Retail[[#This Row],[avg_temp_f]]-32) * (5/9)</f>
        <v>23.222222222222221</v>
      </c>
      <c r="K2182">
        <v>0</v>
      </c>
      <c r="L2182">
        <v>0</v>
      </c>
      <c r="M2182">
        <v>49</v>
      </c>
      <c r="N2182">
        <v>49.1</v>
      </c>
      <c r="O2182">
        <v>50.9</v>
      </c>
      <c r="P2182">
        <v>43</v>
      </c>
      <c r="Q2182">
        <v>57</v>
      </c>
    </row>
    <row r="2183" spans="1:17" x14ac:dyDescent="0.25">
      <c r="A2183" s="2">
        <v>45646</v>
      </c>
      <c r="B2183" s="2" t="str">
        <f t="shared" si="68"/>
        <v>Friday</v>
      </c>
      <c r="C2183" s="2" t="b">
        <f t="shared" si="69"/>
        <v>0</v>
      </c>
      <c r="D2183">
        <v>3</v>
      </c>
      <c r="E2183" t="s">
        <v>7</v>
      </c>
      <c r="F2183">
        <v>200</v>
      </c>
      <c r="G2183" s="3">
        <v>3408.04</v>
      </c>
      <c r="H2183" s="3">
        <f>Miami_Retail[[#This Row],[sales_usd]] / Miami_Retail[[#This Row],[customers]]</f>
        <v>17.040199999999999</v>
      </c>
      <c r="I2183">
        <v>73.5</v>
      </c>
      <c r="J2183">
        <f>(Miami_Retail[[#This Row],[avg_temp_f]]-32) * (5/9)</f>
        <v>23.055555555555557</v>
      </c>
      <c r="K2183">
        <v>0</v>
      </c>
      <c r="L2183">
        <v>0</v>
      </c>
      <c r="M2183">
        <v>55.1</v>
      </c>
      <c r="N2183">
        <v>46.1</v>
      </c>
      <c r="O2183">
        <v>53.9</v>
      </c>
      <c r="P2183">
        <v>44.4</v>
      </c>
      <c r="Q2183">
        <v>55.6</v>
      </c>
    </row>
    <row r="2184" spans="1:17" x14ac:dyDescent="0.25">
      <c r="A2184" s="2">
        <v>45647</v>
      </c>
      <c r="B2184" s="2" t="str">
        <f t="shared" si="68"/>
        <v>Saturday</v>
      </c>
      <c r="C2184" s="2" t="b">
        <f t="shared" si="69"/>
        <v>1</v>
      </c>
      <c r="D2184">
        <v>3</v>
      </c>
      <c r="E2184" t="s">
        <v>7</v>
      </c>
      <c r="F2184">
        <v>254</v>
      </c>
      <c r="G2184" s="3">
        <v>4063.16</v>
      </c>
      <c r="H2184" s="3">
        <f>Miami_Retail[[#This Row],[sales_usd]] / Miami_Retail[[#This Row],[customers]]</f>
        <v>15.996692913385827</v>
      </c>
      <c r="I2184">
        <v>76.7</v>
      </c>
      <c r="J2184">
        <f>(Miami_Retail[[#This Row],[avg_temp_f]]-32) * (5/9)</f>
        <v>24.833333333333336</v>
      </c>
      <c r="K2184">
        <v>0</v>
      </c>
      <c r="L2184">
        <v>0</v>
      </c>
      <c r="M2184">
        <v>50.8</v>
      </c>
      <c r="N2184">
        <v>49.7</v>
      </c>
      <c r="O2184">
        <v>50.3</v>
      </c>
      <c r="P2184">
        <v>51.9</v>
      </c>
      <c r="Q2184">
        <v>48.1</v>
      </c>
    </row>
    <row r="2185" spans="1:17" x14ac:dyDescent="0.25">
      <c r="A2185" s="2">
        <v>45648</v>
      </c>
      <c r="B2185" s="2" t="str">
        <f t="shared" si="68"/>
        <v>Sunday</v>
      </c>
      <c r="C2185" s="2" t="b">
        <f t="shared" si="69"/>
        <v>1</v>
      </c>
      <c r="D2185">
        <v>3</v>
      </c>
      <c r="E2185" t="s">
        <v>7</v>
      </c>
      <c r="F2185">
        <v>262</v>
      </c>
      <c r="G2185" s="3">
        <v>4431</v>
      </c>
      <c r="H2185" s="3">
        <f>Miami_Retail[[#This Row],[sales_usd]] / Miami_Retail[[#This Row],[customers]]</f>
        <v>16.912213740458014</v>
      </c>
      <c r="I2185">
        <v>77.900000000000006</v>
      </c>
      <c r="J2185">
        <f>(Miami_Retail[[#This Row],[avg_temp_f]]-32) * (5/9)</f>
        <v>25.500000000000004</v>
      </c>
      <c r="K2185">
        <v>0</v>
      </c>
      <c r="L2185">
        <v>0</v>
      </c>
      <c r="M2185">
        <v>53.3</v>
      </c>
      <c r="N2185">
        <v>48.3</v>
      </c>
      <c r="O2185">
        <v>51.7</v>
      </c>
      <c r="P2185">
        <v>49</v>
      </c>
      <c r="Q2185">
        <v>51</v>
      </c>
    </row>
    <row r="2186" spans="1:17" x14ac:dyDescent="0.25">
      <c r="A2186" s="2">
        <v>45649</v>
      </c>
      <c r="B2186" s="2" t="str">
        <f t="shared" si="68"/>
        <v>Monday</v>
      </c>
      <c r="C2186" s="2" t="b">
        <f t="shared" si="69"/>
        <v>0</v>
      </c>
      <c r="D2186">
        <v>3</v>
      </c>
      <c r="E2186" t="s">
        <v>7</v>
      </c>
      <c r="F2186">
        <v>194</v>
      </c>
      <c r="G2186" s="3">
        <v>3207.12</v>
      </c>
      <c r="H2186" s="3">
        <f>Miami_Retail[[#This Row],[sales_usd]] / Miami_Retail[[#This Row],[customers]]</f>
        <v>16.531546391752578</v>
      </c>
      <c r="I2186">
        <v>74.400000000000006</v>
      </c>
      <c r="J2186">
        <f>(Miami_Retail[[#This Row],[avg_temp_f]]-32) * (5/9)</f>
        <v>23.555555555555561</v>
      </c>
      <c r="K2186">
        <v>0</v>
      </c>
      <c r="L2186">
        <v>0</v>
      </c>
      <c r="M2186">
        <v>49.2</v>
      </c>
      <c r="N2186">
        <v>48.5</v>
      </c>
      <c r="O2186">
        <v>51.5</v>
      </c>
      <c r="P2186">
        <v>44.8</v>
      </c>
      <c r="Q2186">
        <v>55.2</v>
      </c>
    </row>
    <row r="2187" spans="1:17" x14ac:dyDescent="0.25">
      <c r="A2187" s="2">
        <v>45650</v>
      </c>
      <c r="B2187" s="2" t="str">
        <f t="shared" si="68"/>
        <v>Tuesday</v>
      </c>
      <c r="C2187" s="2" t="b">
        <f t="shared" si="69"/>
        <v>0</v>
      </c>
      <c r="D2187">
        <v>3</v>
      </c>
      <c r="E2187" t="s">
        <v>7</v>
      </c>
      <c r="F2187">
        <v>210</v>
      </c>
      <c r="G2187" s="3">
        <v>3379.5</v>
      </c>
      <c r="H2187" s="3">
        <f>Miami_Retail[[#This Row],[sales_usd]] / Miami_Retail[[#This Row],[customers]]</f>
        <v>16.092857142857142</v>
      </c>
      <c r="I2187">
        <v>77.7</v>
      </c>
      <c r="J2187">
        <f>(Miami_Retail[[#This Row],[avg_temp_f]]-32) * (5/9)</f>
        <v>25.388888888888893</v>
      </c>
      <c r="K2187">
        <v>0</v>
      </c>
      <c r="L2187">
        <v>0</v>
      </c>
      <c r="M2187">
        <v>47.7</v>
      </c>
      <c r="N2187">
        <v>49.3</v>
      </c>
      <c r="O2187">
        <v>50.7</v>
      </c>
      <c r="P2187">
        <v>43.8</v>
      </c>
      <c r="Q2187">
        <v>56.2</v>
      </c>
    </row>
    <row r="2188" spans="1:17" x14ac:dyDescent="0.25">
      <c r="A2188" s="2">
        <v>45651</v>
      </c>
      <c r="B2188" s="2" t="str">
        <f t="shared" si="68"/>
        <v>Wednesday</v>
      </c>
      <c r="C2188" s="2" t="b">
        <f t="shared" si="69"/>
        <v>0</v>
      </c>
      <c r="D2188">
        <v>3</v>
      </c>
      <c r="E2188" t="s">
        <v>7</v>
      </c>
      <c r="F2188">
        <v>227</v>
      </c>
      <c r="G2188" s="3">
        <v>3727.81</v>
      </c>
      <c r="H2188" s="3">
        <f>Miami_Retail[[#This Row],[sales_usd]] / Miami_Retail[[#This Row],[customers]]</f>
        <v>16.422070484581496</v>
      </c>
      <c r="I2188">
        <v>76.099999999999994</v>
      </c>
      <c r="J2188">
        <f>(Miami_Retail[[#This Row],[avg_temp_f]]-32) * (5/9)</f>
        <v>24.499999999999996</v>
      </c>
      <c r="K2188">
        <v>0.67</v>
      </c>
      <c r="L2188">
        <v>1</v>
      </c>
      <c r="M2188">
        <v>53.5</v>
      </c>
      <c r="N2188">
        <v>49.7</v>
      </c>
      <c r="O2188">
        <v>50.3</v>
      </c>
      <c r="P2188">
        <v>44.5</v>
      </c>
      <c r="Q2188">
        <v>55.5</v>
      </c>
    </row>
    <row r="2189" spans="1:17" x14ac:dyDescent="0.25">
      <c r="A2189" s="2">
        <v>45652</v>
      </c>
      <c r="B2189" s="2" t="str">
        <f t="shared" si="68"/>
        <v>Thursday</v>
      </c>
      <c r="C2189" s="2" t="b">
        <f t="shared" si="69"/>
        <v>0</v>
      </c>
      <c r="D2189">
        <v>3</v>
      </c>
      <c r="E2189" t="s">
        <v>7</v>
      </c>
      <c r="F2189">
        <v>218</v>
      </c>
      <c r="G2189" s="3">
        <v>3313.8</v>
      </c>
      <c r="H2189" s="3">
        <f>Miami_Retail[[#This Row],[sales_usd]] / Miami_Retail[[#This Row],[customers]]</f>
        <v>15.200917431192661</v>
      </c>
      <c r="I2189">
        <v>79.099999999999994</v>
      </c>
      <c r="J2189">
        <f>(Miami_Retail[[#This Row],[avg_temp_f]]-32) * (5/9)</f>
        <v>26.166666666666664</v>
      </c>
      <c r="K2189">
        <v>0</v>
      </c>
      <c r="L2189">
        <v>0</v>
      </c>
      <c r="M2189">
        <v>35</v>
      </c>
      <c r="N2189">
        <v>50.3</v>
      </c>
      <c r="O2189">
        <v>49.7</v>
      </c>
      <c r="P2189">
        <v>44.2</v>
      </c>
      <c r="Q2189">
        <v>55.8</v>
      </c>
    </row>
    <row r="2190" spans="1:17" x14ac:dyDescent="0.25">
      <c r="A2190" s="2">
        <v>45653</v>
      </c>
      <c r="B2190" s="2" t="str">
        <f t="shared" si="68"/>
        <v>Friday</v>
      </c>
      <c r="C2190" s="2" t="b">
        <f t="shared" si="69"/>
        <v>0</v>
      </c>
      <c r="D2190">
        <v>3</v>
      </c>
      <c r="E2190" t="s">
        <v>7</v>
      </c>
      <c r="F2190">
        <v>251</v>
      </c>
      <c r="G2190" s="3">
        <v>4315.84</v>
      </c>
      <c r="H2190" s="3">
        <f>Miami_Retail[[#This Row],[sales_usd]] / Miami_Retail[[#This Row],[customers]]</f>
        <v>17.194581673306775</v>
      </c>
      <c r="I2190">
        <v>82.2</v>
      </c>
      <c r="J2190">
        <f>(Miami_Retail[[#This Row],[avg_temp_f]]-32) * (5/9)</f>
        <v>27.888888888888893</v>
      </c>
      <c r="K2190">
        <v>0</v>
      </c>
      <c r="L2190">
        <v>0</v>
      </c>
      <c r="M2190">
        <v>51.6</v>
      </c>
      <c r="N2190">
        <v>48.5</v>
      </c>
      <c r="O2190">
        <v>51.5</v>
      </c>
      <c r="P2190">
        <v>44.5</v>
      </c>
      <c r="Q2190">
        <v>55.5</v>
      </c>
    </row>
    <row r="2191" spans="1:17" x14ac:dyDescent="0.25">
      <c r="A2191" s="2">
        <v>45654</v>
      </c>
      <c r="B2191" s="2" t="str">
        <f t="shared" si="68"/>
        <v>Saturday</v>
      </c>
      <c r="C2191" s="2" t="b">
        <f t="shared" si="69"/>
        <v>1</v>
      </c>
      <c r="D2191">
        <v>3</v>
      </c>
      <c r="E2191" t="s">
        <v>7</v>
      </c>
      <c r="F2191">
        <v>231</v>
      </c>
      <c r="G2191" s="3">
        <v>4001.96</v>
      </c>
      <c r="H2191" s="3">
        <f>Miami_Retail[[#This Row],[sales_usd]] / Miami_Retail[[#This Row],[customers]]</f>
        <v>17.324502164502164</v>
      </c>
      <c r="I2191">
        <v>78.5</v>
      </c>
      <c r="J2191">
        <f>(Miami_Retail[[#This Row],[avg_temp_f]]-32) * (5/9)</f>
        <v>25.833333333333336</v>
      </c>
      <c r="K2191">
        <v>1.83</v>
      </c>
      <c r="L2191">
        <v>1</v>
      </c>
      <c r="M2191">
        <v>43.6</v>
      </c>
      <c r="N2191">
        <v>48.2</v>
      </c>
      <c r="O2191">
        <v>51.8</v>
      </c>
      <c r="P2191">
        <v>51.9</v>
      </c>
      <c r="Q2191">
        <v>48.1</v>
      </c>
    </row>
    <row r="2192" spans="1:17" x14ac:dyDescent="0.25">
      <c r="A2192" s="2">
        <v>45655</v>
      </c>
      <c r="B2192" s="2" t="str">
        <f t="shared" si="68"/>
        <v>Sunday</v>
      </c>
      <c r="C2192" s="2" t="b">
        <f t="shared" si="69"/>
        <v>1</v>
      </c>
      <c r="D2192">
        <v>3</v>
      </c>
      <c r="E2192" t="s">
        <v>7</v>
      </c>
      <c r="F2192">
        <v>208</v>
      </c>
      <c r="G2192" s="3">
        <v>3422.5</v>
      </c>
      <c r="H2192" s="3">
        <f>Miami_Retail[[#This Row],[sales_usd]] / Miami_Retail[[#This Row],[customers]]</f>
        <v>16.454326923076923</v>
      </c>
      <c r="I2192">
        <v>74</v>
      </c>
      <c r="J2192">
        <f>(Miami_Retail[[#This Row],[avg_temp_f]]-32) * (5/9)</f>
        <v>23.333333333333336</v>
      </c>
      <c r="K2192">
        <v>0</v>
      </c>
      <c r="L2192">
        <v>0</v>
      </c>
      <c r="M2192">
        <v>52.1</v>
      </c>
      <c r="N2192">
        <v>50</v>
      </c>
      <c r="O2192">
        <v>50</v>
      </c>
      <c r="P2192">
        <v>51.9</v>
      </c>
      <c r="Q2192">
        <v>48.1</v>
      </c>
    </row>
    <row r="2193" spans="1:17" x14ac:dyDescent="0.25">
      <c r="A2193" s="2">
        <v>45656</v>
      </c>
      <c r="B2193" s="2" t="str">
        <f t="shared" si="68"/>
        <v>Monday</v>
      </c>
      <c r="C2193" s="2" t="b">
        <f t="shared" si="69"/>
        <v>0</v>
      </c>
      <c r="D2193">
        <v>3</v>
      </c>
      <c r="E2193" t="s">
        <v>7</v>
      </c>
      <c r="F2193">
        <v>205</v>
      </c>
      <c r="G2193" s="3">
        <v>3217.04</v>
      </c>
      <c r="H2193" s="3">
        <f>Miami_Retail[[#This Row],[sales_usd]] / Miami_Retail[[#This Row],[customers]]</f>
        <v>15.692878048780488</v>
      </c>
      <c r="I2193">
        <v>75.5</v>
      </c>
      <c r="J2193">
        <f>(Miami_Retail[[#This Row],[avg_temp_f]]-32) * (5/9)</f>
        <v>24.166666666666668</v>
      </c>
      <c r="K2193">
        <v>0.48</v>
      </c>
      <c r="L2193">
        <v>1</v>
      </c>
      <c r="M2193">
        <v>39.299999999999997</v>
      </c>
      <c r="N2193">
        <v>48.9</v>
      </c>
      <c r="O2193">
        <v>51.1</v>
      </c>
      <c r="P2193">
        <v>46.1</v>
      </c>
      <c r="Q2193">
        <v>53.9</v>
      </c>
    </row>
    <row r="2194" spans="1:17" x14ac:dyDescent="0.25">
      <c r="A2194" s="2">
        <v>45657</v>
      </c>
      <c r="B2194" s="2" t="str">
        <f t="shared" si="68"/>
        <v>Tuesday</v>
      </c>
      <c r="C2194" s="2" t="b">
        <f t="shared" si="69"/>
        <v>0</v>
      </c>
      <c r="D2194">
        <v>3</v>
      </c>
      <c r="E2194" t="s">
        <v>7</v>
      </c>
      <c r="F2194">
        <v>155</v>
      </c>
      <c r="G2194" s="3">
        <v>2844.47</v>
      </c>
      <c r="H2194" s="3">
        <f>Miami_Retail[[#This Row],[sales_usd]] / Miami_Retail[[#This Row],[customers]]</f>
        <v>18.351419354838708</v>
      </c>
      <c r="I2194">
        <v>70.900000000000006</v>
      </c>
      <c r="J2194">
        <f>(Miami_Retail[[#This Row],[avg_temp_f]]-32) * (5/9)</f>
        <v>21.611111111111114</v>
      </c>
      <c r="K2194">
        <v>0</v>
      </c>
      <c r="L2194">
        <v>0</v>
      </c>
      <c r="M2194">
        <v>47.8</v>
      </c>
      <c r="N2194">
        <v>50.2</v>
      </c>
      <c r="O2194">
        <v>49.8</v>
      </c>
      <c r="P2194">
        <v>43.8</v>
      </c>
      <c r="Q2194">
        <v>56.2</v>
      </c>
    </row>
    <row r="2195" spans="1:17" x14ac:dyDescent="0.25">
      <c r="A2195" s="2">
        <v>44927</v>
      </c>
      <c r="B2195" s="2" t="str">
        <f t="shared" si="68"/>
        <v>Sunday</v>
      </c>
      <c r="C2195" s="2" t="b">
        <f t="shared" si="69"/>
        <v>1</v>
      </c>
      <c r="D2195">
        <v>4</v>
      </c>
      <c r="E2195" t="s">
        <v>8</v>
      </c>
      <c r="F2195">
        <v>250</v>
      </c>
      <c r="G2195" s="3">
        <v>3972.4</v>
      </c>
      <c r="H2195" s="3">
        <f>Miami_Retail[[#This Row],[sales_usd]] / Miami_Retail[[#This Row],[customers]]</f>
        <v>15.8896</v>
      </c>
      <c r="I2195">
        <v>77.900000000000006</v>
      </c>
      <c r="J2195">
        <f>(Miami_Retail[[#This Row],[avg_temp_f]]-32) * (5/9)</f>
        <v>25.500000000000004</v>
      </c>
      <c r="K2195">
        <v>0</v>
      </c>
      <c r="L2195">
        <v>0</v>
      </c>
      <c r="M2195">
        <v>46.3</v>
      </c>
      <c r="N2195">
        <v>47.9</v>
      </c>
      <c r="O2195">
        <v>52.1</v>
      </c>
      <c r="P2195">
        <v>49.4</v>
      </c>
      <c r="Q2195">
        <v>50.6</v>
      </c>
    </row>
    <row r="2196" spans="1:17" x14ac:dyDescent="0.25">
      <c r="A2196" s="2">
        <v>44928</v>
      </c>
      <c r="B2196" s="2" t="str">
        <f t="shared" si="68"/>
        <v>Monday</v>
      </c>
      <c r="C2196" s="2" t="b">
        <f t="shared" si="69"/>
        <v>0</v>
      </c>
      <c r="D2196">
        <v>4</v>
      </c>
      <c r="E2196" t="s">
        <v>8</v>
      </c>
      <c r="F2196">
        <v>189</v>
      </c>
      <c r="G2196" s="3">
        <v>2805.14</v>
      </c>
      <c r="H2196" s="3">
        <f>Miami_Retail[[#This Row],[sales_usd]] / Miami_Retail[[#This Row],[customers]]</f>
        <v>14.842010582010582</v>
      </c>
      <c r="I2196">
        <v>73.900000000000006</v>
      </c>
      <c r="J2196">
        <f>(Miami_Retail[[#This Row],[avg_temp_f]]-32) * (5/9)</f>
        <v>23.277777777777782</v>
      </c>
      <c r="K2196">
        <v>0.31</v>
      </c>
      <c r="L2196">
        <v>1</v>
      </c>
      <c r="M2196">
        <v>51.1</v>
      </c>
      <c r="N2196">
        <v>47.4</v>
      </c>
      <c r="O2196">
        <v>52.6</v>
      </c>
      <c r="P2196">
        <v>45.6</v>
      </c>
      <c r="Q2196">
        <v>54.4</v>
      </c>
    </row>
    <row r="2197" spans="1:17" x14ac:dyDescent="0.25">
      <c r="A2197" s="2">
        <v>44929</v>
      </c>
      <c r="B2197" s="2" t="str">
        <f t="shared" si="68"/>
        <v>Tuesday</v>
      </c>
      <c r="C2197" s="2" t="b">
        <f t="shared" si="69"/>
        <v>0</v>
      </c>
      <c r="D2197">
        <v>4</v>
      </c>
      <c r="E2197" t="s">
        <v>8</v>
      </c>
      <c r="F2197">
        <v>197</v>
      </c>
      <c r="G2197" s="3">
        <v>3149.25</v>
      </c>
      <c r="H2197" s="3">
        <f>Miami_Retail[[#This Row],[sales_usd]] / Miami_Retail[[#This Row],[customers]]</f>
        <v>15.986040609137056</v>
      </c>
      <c r="I2197">
        <v>76.3</v>
      </c>
      <c r="J2197">
        <f>(Miami_Retail[[#This Row],[avg_temp_f]]-32) * (5/9)</f>
        <v>24.611111111111111</v>
      </c>
      <c r="K2197">
        <v>0</v>
      </c>
      <c r="L2197">
        <v>0</v>
      </c>
      <c r="M2197">
        <v>51.6</v>
      </c>
      <c r="N2197">
        <v>50.3</v>
      </c>
      <c r="O2197">
        <v>49.7</v>
      </c>
      <c r="P2197">
        <v>43.9</v>
      </c>
      <c r="Q2197">
        <v>56.1</v>
      </c>
    </row>
    <row r="2198" spans="1:17" x14ac:dyDescent="0.25">
      <c r="A2198" s="2">
        <v>44930</v>
      </c>
      <c r="B2198" s="2" t="str">
        <f t="shared" si="68"/>
        <v>Wednesday</v>
      </c>
      <c r="C2198" s="2" t="b">
        <f t="shared" si="69"/>
        <v>0</v>
      </c>
      <c r="D2198">
        <v>4</v>
      </c>
      <c r="E2198" t="s">
        <v>8</v>
      </c>
      <c r="F2198">
        <v>159</v>
      </c>
      <c r="G2198" s="3">
        <v>2301.54</v>
      </c>
      <c r="H2198" s="3">
        <f>Miami_Retail[[#This Row],[sales_usd]] / Miami_Retail[[#This Row],[customers]]</f>
        <v>14.475094339622641</v>
      </c>
      <c r="I2198">
        <v>74.2</v>
      </c>
      <c r="J2198">
        <f>(Miami_Retail[[#This Row],[avg_temp_f]]-32) * (5/9)</f>
        <v>23.444444444444446</v>
      </c>
      <c r="K2198">
        <v>0</v>
      </c>
      <c r="L2198">
        <v>0</v>
      </c>
      <c r="M2198">
        <v>51.6</v>
      </c>
      <c r="N2198">
        <v>48.6</v>
      </c>
      <c r="O2198">
        <v>51.4</v>
      </c>
      <c r="P2198">
        <v>44.8</v>
      </c>
      <c r="Q2198">
        <v>55.2</v>
      </c>
    </row>
    <row r="2199" spans="1:17" x14ac:dyDescent="0.25">
      <c r="A2199" s="2">
        <v>44931</v>
      </c>
      <c r="B2199" s="2" t="str">
        <f t="shared" si="68"/>
        <v>Thursday</v>
      </c>
      <c r="C2199" s="2" t="b">
        <f t="shared" si="69"/>
        <v>0</v>
      </c>
      <c r="D2199">
        <v>4</v>
      </c>
      <c r="E2199" t="s">
        <v>8</v>
      </c>
      <c r="F2199">
        <v>195</v>
      </c>
      <c r="G2199" s="3">
        <v>3129.23</v>
      </c>
      <c r="H2199" s="3">
        <f>Miami_Retail[[#This Row],[sales_usd]] / Miami_Retail[[#This Row],[customers]]</f>
        <v>16.047333333333334</v>
      </c>
      <c r="I2199">
        <v>72.7</v>
      </c>
      <c r="J2199">
        <f>(Miami_Retail[[#This Row],[avg_temp_f]]-32) * (5/9)</f>
        <v>22.611111111111114</v>
      </c>
      <c r="K2199">
        <v>0</v>
      </c>
      <c r="L2199">
        <v>0</v>
      </c>
      <c r="M2199">
        <v>54.8</v>
      </c>
      <c r="N2199">
        <v>50.4</v>
      </c>
      <c r="O2199">
        <v>49.6</v>
      </c>
      <c r="P2199">
        <v>43.6</v>
      </c>
      <c r="Q2199">
        <v>56.4</v>
      </c>
    </row>
    <row r="2200" spans="1:17" x14ac:dyDescent="0.25">
      <c r="A2200" s="2">
        <v>44932</v>
      </c>
      <c r="B2200" s="2" t="str">
        <f t="shared" si="68"/>
        <v>Friday</v>
      </c>
      <c r="C2200" s="2" t="b">
        <f t="shared" si="69"/>
        <v>0</v>
      </c>
      <c r="D2200">
        <v>4</v>
      </c>
      <c r="E2200" t="s">
        <v>8</v>
      </c>
      <c r="F2200">
        <v>170</v>
      </c>
      <c r="G2200" s="3">
        <v>2783.74</v>
      </c>
      <c r="H2200" s="3">
        <f>Miami_Retail[[#This Row],[sales_usd]] / Miami_Retail[[#This Row],[customers]]</f>
        <v>16.374941176470585</v>
      </c>
      <c r="I2200">
        <v>73.099999999999994</v>
      </c>
      <c r="J2200">
        <f>(Miami_Retail[[#This Row],[avg_temp_f]]-32) * (5/9)</f>
        <v>22.833333333333332</v>
      </c>
      <c r="K2200">
        <v>0.33</v>
      </c>
      <c r="L2200">
        <v>1</v>
      </c>
      <c r="M2200">
        <v>44.1</v>
      </c>
      <c r="N2200">
        <v>50.7</v>
      </c>
      <c r="O2200">
        <v>49.3</v>
      </c>
      <c r="P2200">
        <v>45.3</v>
      </c>
      <c r="Q2200">
        <v>54.7</v>
      </c>
    </row>
    <row r="2201" spans="1:17" x14ac:dyDescent="0.25">
      <c r="A2201" s="2">
        <v>44933</v>
      </c>
      <c r="B2201" s="2" t="str">
        <f t="shared" si="68"/>
        <v>Saturday</v>
      </c>
      <c r="C2201" s="2" t="b">
        <f t="shared" si="69"/>
        <v>1</v>
      </c>
      <c r="D2201">
        <v>4</v>
      </c>
      <c r="E2201" t="s">
        <v>8</v>
      </c>
      <c r="F2201">
        <v>193</v>
      </c>
      <c r="G2201" s="3">
        <v>2847.72</v>
      </c>
      <c r="H2201" s="3">
        <f>Miami_Retail[[#This Row],[sales_usd]] / Miami_Retail[[#This Row],[customers]]</f>
        <v>14.755025906735749</v>
      </c>
      <c r="I2201">
        <v>74.900000000000006</v>
      </c>
      <c r="J2201">
        <f>(Miami_Retail[[#This Row],[avg_temp_f]]-32) * (5/9)</f>
        <v>23.833333333333339</v>
      </c>
      <c r="K2201">
        <v>0</v>
      </c>
      <c r="L2201">
        <v>0</v>
      </c>
      <c r="M2201">
        <v>48.3</v>
      </c>
      <c r="N2201">
        <v>49</v>
      </c>
      <c r="O2201">
        <v>51</v>
      </c>
      <c r="P2201">
        <v>52.5</v>
      </c>
      <c r="Q2201">
        <v>47.5</v>
      </c>
    </row>
    <row r="2202" spans="1:17" x14ac:dyDescent="0.25">
      <c r="A2202" s="2">
        <v>44934</v>
      </c>
      <c r="B2202" s="2" t="str">
        <f t="shared" si="68"/>
        <v>Sunday</v>
      </c>
      <c r="C2202" s="2" t="b">
        <f t="shared" si="69"/>
        <v>1</v>
      </c>
      <c r="D2202">
        <v>4</v>
      </c>
      <c r="E2202" t="s">
        <v>8</v>
      </c>
      <c r="F2202">
        <v>167</v>
      </c>
      <c r="G2202" s="3">
        <v>2361.04</v>
      </c>
      <c r="H2202" s="3">
        <f>Miami_Retail[[#This Row],[sales_usd]] / Miami_Retail[[#This Row],[customers]]</f>
        <v>14.137964071856286</v>
      </c>
      <c r="I2202">
        <v>68.400000000000006</v>
      </c>
      <c r="J2202">
        <f>(Miami_Retail[[#This Row],[avg_temp_f]]-32) * (5/9)</f>
        <v>20.222222222222225</v>
      </c>
      <c r="K2202">
        <v>0.48</v>
      </c>
      <c r="L2202">
        <v>1</v>
      </c>
      <c r="M2202">
        <v>39.700000000000003</v>
      </c>
      <c r="N2202">
        <v>49.1</v>
      </c>
      <c r="O2202">
        <v>50.9</v>
      </c>
      <c r="P2202">
        <v>50.9</v>
      </c>
      <c r="Q2202">
        <v>49.1</v>
      </c>
    </row>
    <row r="2203" spans="1:17" x14ac:dyDescent="0.25">
      <c r="A2203" s="2">
        <v>44935</v>
      </c>
      <c r="B2203" s="2" t="str">
        <f t="shared" si="68"/>
        <v>Monday</v>
      </c>
      <c r="C2203" s="2" t="b">
        <f t="shared" si="69"/>
        <v>0</v>
      </c>
      <c r="D2203">
        <v>4</v>
      </c>
      <c r="E2203" t="s">
        <v>8</v>
      </c>
      <c r="F2203">
        <v>186</v>
      </c>
      <c r="G2203" s="3">
        <v>2927.95</v>
      </c>
      <c r="H2203" s="3">
        <f>Miami_Retail[[#This Row],[sales_usd]] / Miami_Retail[[#This Row],[customers]]</f>
        <v>15.741666666666665</v>
      </c>
      <c r="I2203">
        <v>74.3</v>
      </c>
      <c r="J2203">
        <f>(Miami_Retail[[#This Row],[avg_temp_f]]-32) * (5/9)</f>
        <v>23.5</v>
      </c>
      <c r="K2203">
        <v>0</v>
      </c>
      <c r="L2203">
        <v>0</v>
      </c>
      <c r="M2203">
        <v>49.8</v>
      </c>
      <c r="N2203">
        <v>49.2</v>
      </c>
      <c r="O2203">
        <v>50.8</v>
      </c>
      <c r="P2203">
        <v>45.9</v>
      </c>
      <c r="Q2203">
        <v>54.1</v>
      </c>
    </row>
    <row r="2204" spans="1:17" x14ac:dyDescent="0.25">
      <c r="A2204" s="2">
        <v>44936</v>
      </c>
      <c r="B2204" s="2" t="str">
        <f t="shared" si="68"/>
        <v>Tuesday</v>
      </c>
      <c r="C2204" s="2" t="b">
        <f t="shared" si="69"/>
        <v>0</v>
      </c>
      <c r="D2204">
        <v>4</v>
      </c>
      <c r="E2204" t="s">
        <v>8</v>
      </c>
      <c r="F2204">
        <v>172</v>
      </c>
      <c r="G2204" s="3">
        <v>2625.44</v>
      </c>
      <c r="H2204" s="3">
        <f>Miami_Retail[[#This Row],[sales_usd]] / Miami_Retail[[#This Row],[customers]]</f>
        <v>15.264186046511629</v>
      </c>
      <c r="I2204">
        <v>70.3</v>
      </c>
      <c r="J2204">
        <f>(Miami_Retail[[#This Row],[avg_temp_f]]-32) * (5/9)</f>
        <v>21.277777777777779</v>
      </c>
      <c r="K2204">
        <v>0</v>
      </c>
      <c r="L2204">
        <v>0</v>
      </c>
      <c r="M2204">
        <v>37.1</v>
      </c>
      <c r="N2204">
        <v>48.5</v>
      </c>
      <c r="O2204">
        <v>51.5</v>
      </c>
      <c r="P2204">
        <v>42.5</v>
      </c>
      <c r="Q2204">
        <v>57.5</v>
      </c>
    </row>
    <row r="2205" spans="1:17" x14ac:dyDescent="0.25">
      <c r="A2205" s="2">
        <v>44937</v>
      </c>
      <c r="B2205" s="2" t="str">
        <f t="shared" si="68"/>
        <v>Wednesday</v>
      </c>
      <c r="C2205" s="2" t="b">
        <f t="shared" si="69"/>
        <v>0</v>
      </c>
      <c r="D2205">
        <v>4</v>
      </c>
      <c r="E2205" t="s">
        <v>8</v>
      </c>
      <c r="F2205">
        <v>220</v>
      </c>
      <c r="G2205" s="3">
        <v>3312.33</v>
      </c>
      <c r="H2205" s="3">
        <f>Miami_Retail[[#This Row],[sales_usd]] / Miami_Retail[[#This Row],[customers]]</f>
        <v>15.056045454545455</v>
      </c>
      <c r="I2205">
        <v>71.900000000000006</v>
      </c>
      <c r="J2205">
        <f>(Miami_Retail[[#This Row],[avg_temp_f]]-32) * (5/9)</f>
        <v>22.166666666666671</v>
      </c>
      <c r="K2205">
        <v>0</v>
      </c>
      <c r="L2205">
        <v>0</v>
      </c>
      <c r="M2205">
        <v>44.6</v>
      </c>
      <c r="N2205">
        <v>50.6</v>
      </c>
      <c r="O2205">
        <v>49.4</v>
      </c>
      <c r="P2205">
        <v>44.1</v>
      </c>
      <c r="Q2205">
        <v>55.9</v>
      </c>
    </row>
    <row r="2206" spans="1:17" x14ac:dyDescent="0.25">
      <c r="A2206" s="2">
        <v>44938</v>
      </c>
      <c r="B2206" s="2" t="str">
        <f t="shared" si="68"/>
        <v>Thursday</v>
      </c>
      <c r="C2206" s="2" t="b">
        <f t="shared" si="69"/>
        <v>0</v>
      </c>
      <c r="D2206">
        <v>4</v>
      </c>
      <c r="E2206" t="s">
        <v>8</v>
      </c>
      <c r="F2206">
        <v>205</v>
      </c>
      <c r="G2206" s="3">
        <v>3331.17</v>
      </c>
      <c r="H2206" s="3">
        <f>Miami_Retail[[#This Row],[sales_usd]] / Miami_Retail[[#This Row],[customers]]</f>
        <v>16.249609756097563</v>
      </c>
      <c r="I2206">
        <v>72</v>
      </c>
      <c r="J2206">
        <f>(Miami_Retail[[#This Row],[avg_temp_f]]-32) * (5/9)</f>
        <v>22.222222222222221</v>
      </c>
      <c r="K2206">
        <v>0</v>
      </c>
      <c r="L2206">
        <v>0</v>
      </c>
      <c r="M2206">
        <v>42.7</v>
      </c>
      <c r="N2206">
        <v>49.7</v>
      </c>
      <c r="O2206">
        <v>50.3</v>
      </c>
      <c r="P2206">
        <v>45.6</v>
      </c>
      <c r="Q2206">
        <v>54.4</v>
      </c>
    </row>
    <row r="2207" spans="1:17" x14ac:dyDescent="0.25">
      <c r="A2207" s="2">
        <v>44939</v>
      </c>
      <c r="B2207" s="2" t="str">
        <f t="shared" si="68"/>
        <v>Friday</v>
      </c>
      <c r="C2207" s="2" t="b">
        <f t="shared" si="69"/>
        <v>0</v>
      </c>
      <c r="D2207">
        <v>4</v>
      </c>
      <c r="E2207" t="s">
        <v>8</v>
      </c>
      <c r="F2207">
        <v>168</v>
      </c>
      <c r="G2207" s="3">
        <v>2668.55</v>
      </c>
      <c r="H2207" s="3">
        <f>Miami_Retail[[#This Row],[sales_usd]] / Miami_Retail[[#This Row],[customers]]</f>
        <v>15.884226190476191</v>
      </c>
      <c r="I2207">
        <v>76.2</v>
      </c>
      <c r="J2207">
        <f>(Miami_Retail[[#This Row],[avg_temp_f]]-32) * (5/9)</f>
        <v>24.555555555555557</v>
      </c>
      <c r="K2207">
        <v>0</v>
      </c>
      <c r="L2207">
        <v>0</v>
      </c>
      <c r="M2207">
        <v>40.200000000000003</v>
      </c>
      <c r="N2207">
        <v>49.5</v>
      </c>
      <c r="O2207">
        <v>50.5</v>
      </c>
      <c r="P2207">
        <v>47.3</v>
      </c>
      <c r="Q2207">
        <v>52.7</v>
      </c>
    </row>
    <row r="2208" spans="1:17" x14ac:dyDescent="0.25">
      <c r="A2208" s="2">
        <v>44940</v>
      </c>
      <c r="B2208" s="2" t="str">
        <f t="shared" si="68"/>
        <v>Saturday</v>
      </c>
      <c r="C2208" s="2" t="b">
        <f t="shared" si="69"/>
        <v>1</v>
      </c>
      <c r="D2208">
        <v>4</v>
      </c>
      <c r="E2208" t="s">
        <v>8</v>
      </c>
      <c r="F2208">
        <v>246</v>
      </c>
      <c r="G2208" s="3">
        <v>4152.18</v>
      </c>
      <c r="H2208" s="3">
        <f>Miami_Retail[[#This Row],[sales_usd]] / Miami_Retail[[#This Row],[customers]]</f>
        <v>16.878780487804878</v>
      </c>
      <c r="I2208">
        <v>71.2</v>
      </c>
      <c r="J2208">
        <f>(Miami_Retail[[#This Row],[avg_temp_f]]-32) * (5/9)</f>
        <v>21.777777777777779</v>
      </c>
      <c r="K2208">
        <v>0</v>
      </c>
      <c r="L2208">
        <v>0</v>
      </c>
      <c r="M2208">
        <v>38.4</v>
      </c>
      <c r="N2208">
        <v>50.4</v>
      </c>
      <c r="O2208">
        <v>49.6</v>
      </c>
      <c r="P2208">
        <v>50.6</v>
      </c>
      <c r="Q2208">
        <v>49.4</v>
      </c>
    </row>
    <row r="2209" spans="1:17" x14ac:dyDescent="0.25">
      <c r="A2209" s="2">
        <v>44941</v>
      </c>
      <c r="B2209" s="2" t="str">
        <f t="shared" si="68"/>
        <v>Sunday</v>
      </c>
      <c r="C2209" s="2" t="b">
        <f t="shared" si="69"/>
        <v>1</v>
      </c>
      <c r="D2209">
        <v>4</v>
      </c>
      <c r="E2209" t="s">
        <v>8</v>
      </c>
      <c r="F2209">
        <v>169</v>
      </c>
      <c r="G2209" s="3">
        <v>2671.57</v>
      </c>
      <c r="H2209" s="3">
        <f>Miami_Retail[[#This Row],[sales_usd]] / Miami_Retail[[#This Row],[customers]]</f>
        <v>15.80810650887574</v>
      </c>
      <c r="I2209">
        <v>69.2</v>
      </c>
      <c r="J2209">
        <f>(Miami_Retail[[#This Row],[avg_temp_f]]-32) * (5/9)</f>
        <v>20.666666666666668</v>
      </c>
      <c r="K2209">
        <v>0</v>
      </c>
      <c r="L2209">
        <v>0</v>
      </c>
      <c r="M2209">
        <v>39.700000000000003</v>
      </c>
      <c r="N2209">
        <v>49</v>
      </c>
      <c r="O2209">
        <v>51</v>
      </c>
      <c r="P2209">
        <v>51.5</v>
      </c>
      <c r="Q2209">
        <v>48.5</v>
      </c>
    </row>
    <row r="2210" spans="1:17" x14ac:dyDescent="0.25">
      <c r="A2210" s="2">
        <v>44942</v>
      </c>
      <c r="B2210" s="2" t="str">
        <f t="shared" si="68"/>
        <v>Monday</v>
      </c>
      <c r="C2210" s="2" t="b">
        <f t="shared" si="69"/>
        <v>0</v>
      </c>
      <c r="D2210">
        <v>4</v>
      </c>
      <c r="E2210" t="s">
        <v>8</v>
      </c>
      <c r="F2210">
        <v>168</v>
      </c>
      <c r="G2210" s="3">
        <v>2637.18</v>
      </c>
      <c r="H2210" s="3">
        <f>Miami_Retail[[#This Row],[sales_usd]] / Miami_Retail[[#This Row],[customers]]</f>
        <v>15.6975</v>
      </c>
      <c r="I2210">
        <v>72.5</v>
      </c>
      <c r="J2210">
        <f>(Miami_Retail[[#This Row],[avg_temp_f]]-32) * (5/9)</f>
        <v>22.5</v>
      </c>
      <c r="K2210">
        <v>0</v>
      </c>
      <c r="L2210">
        <v>0</v>
      </c>
      <c r="M2210">
        <v>42.2</v>
      </c>
      <c r="N2210">
        <v>50.9</v>
      </c>
      <c r="O2210">
        <v>49.1</v>
      </c>
      <c r="P2210">
        <v>45.1</v>
      </c>
      <c r="Q2210">
        <v>54.9</v>
      </c>
    </row>
    <row r="2211" spans="1:17" x14ac:dyDescent="0.25">
      <c r="A2211" s="2">
        <v>44943</v>
      </c>
      <c r="B2211" s="2" t="str">
        <f t="shared" si="68"/>
        <v>Tuesday</v>
      </c>
      <c r="C2211" s="2" t="b">
        <f t="shared" si="69"/>
        <v>0</v>
      </c>
      <c r="D2211">
        <v>4</v>
      </c>
      <c r="E2211" t="s">
        <v>8</v>
      </c>
      <c r="F2211">
        <v>201</v>
      </c>
      <c r="G2211" s="3">
        <v>2990.26</v>
      </c>
      <c r="H2211" s="3">
        <f>Miami_Retail[[#This Row],[sales_usd]] / Miami_Retail[[#This Row],[customers]]</f>
        <v>14.876915422885574</v>
      </c>
      <c r="I2211">
        <v>75.2</v>
      </c>
      <c r="J2211">
        <f>(Miami_Retail[[#This Row],[avg_temp_f]]-32) * (5/9)</f>
        <v>24.000000000000004</v>
      </c>
      <c r="K2211">
        <v>0</v>
      </c>
      <c r="L2211">
        <v>0</v>
      </c>
      <c r="M2211">
        <v>40.9</v>
      </c>
      <c r="N2211">
        <v>48.3</v>
      </c>
      <c r="O2211">
        <v>51.7</v>
      </c>
      <c r="P2211">
        <v>43</v>
      </c>
      <c r="Q2211">
        <v>57</v>
      </c>
    </row>
    <row r="2212" spans="1:17" x14ac:dyDescent="0.25">
      <c r="A2212" s="2">
        <v>44944</v>
      </c>
      <c r="B2212" s="2" t="str">
        <f t="shared" si="68"/>
        <v>Wednesday</v>
      </c>
      <c r="C2212" s="2" t="b">
        <f t="shared" si="69"/>
        <v>0</v>
      </c>
      <c r="D2212">
        <v>4</v>
      </c>
      <c r="E2212" t="s">
        <v>8</v>
      </c>
      <c r="F2212">
        <v>139</v>
      </c>
      <c r="G2212" s="3">
        <v>2248.94</v>
      </c>
      <c r="H2212" s="3">
        <f>Miami_Retail[[#This Row],[sales_usd]] / Miami_Retail[[#This Row],[customers]]</f>
        <v>16.179424460431655</v>
      </c>
      <c r="I2212">
        <v>69.2</v>
      </c>
      <c r="J2212">
        <f>(Miami_Retail[[#This Row],[avg_temp_f]]-32) * (5/9)</f>
        <v>20.666666666666668</v>
      </c>
      <c r="K2212">
        <v>2.5099999999999998</v>
      </c>
      <c r="L2212">
        <v>1</v>
      </c>
      <c r="M2212">
        <v>44.2</v>
      </c>
      <c r="N2212">
        <v>49.7</v>
      </c>
      <c r="O2212">
        <v>50.3</v>
      </c>
      <c r="P2212">
        <v>44.7</v>
      </c>
      <c r="Q2212">
        <v>55.3</v>
      </c>
    </row>
    <row r="2213" spans="1:17" x14ac:dyDescent="0.25">
      <c r="A2213" s="2">
        <v>44945</v>
      </c>
      <c r="B2213" s="2" t="str">
        <f t="shared" si="68"/>
        <v>Thursday</v>
      </c>
      <c r="C2213" s="2" t="b">
        <f t="shared" si="69"/>
        <v>0</v>
      </c>
      <c r="D2213">
        <v>4</v>
      </c>
      <c r="E2213" t="s">
        <v>8</v>
      </c>
      <c r="F2213">
        <v>195</v>
      </c>
      <c r="G2213" s="3">
        <v>2941.11</v>
      </c>
      <c r="H2213" s="3">
        <f>Miami_Retail[[#This Row],[sales_usd]] / Miami_Retail[[#This Row],[customers]]</f>
        <v>15.082615384615385</v>
      </c>
      <c r="I2213">
        <v>77.599999999999994</v>
      </c>
      <c r="J2213">
        <f>(Miami_Retail[[#This Row],[avg_temp_f]]-32) * (5/9)</f>
        <v>25.333333333333332</v>
      </c>
      <c r="K2213">
        <v>0</v>
      </c>
      <c r="L2213">
        <v>0</v>
      </c>
      <c r="M2213">
        <v>49.8</v>
      </c>
      <c r="N2213">
        <v>49.4</v>
      </c>
      <c r="O2213">
        <v>50.6</v>
      </c>
      <c r="P2213">
        <v>45.5</v>
      </c>
      <c r="Q2213">
        <v>54.5</v>
      </c>
    </row>
    <row r="2214" spans="1:17" x14ac:dyDescent="0.25">
      <c r="A2214" s="2">
        <v>44946</v>
      </c>
      <c r="B2214" s="2" t="str">
        <f t="shared" si="68"/>
        <v>Friday</v>
      </c>
      <c r="C2214" s="2" t="b">
        <f t="shared" si="69"/>
        <v>0</v>
      </c>
      <c r="D2214">
        <v>4</v>
      </c>
      <c r="E2214" t="s">
        <v>8</v>
      </c>
      <c r="F2214">
        <v>149</v>
      </c>
      <c r="G2214" s="3">
        <v>2384.54</v>
      </c>
      <c r="H2214" s="3">
        <f>Miami_Retail[[#This Row],[sales_usd]] / Miami_Retail[[#This Row],[customers]]</f>
        <v>16.003624161073827</v>
      </c>
      <c r="I2214">
        <v>72</v>
      </c>
      <c r="J2214">
        <f>(Miami_Retail[[#This Row],[avg_temp_f]]-32) * (5/9)</f>
        <v>22.222222222222221</v>
      </c>
      <c r="K2214">
        <v>0</v>
      </c>
      <c r="L2214">
        <v>0</v>
      </c>
      <c r="M2214">
        <v>45.2</v>
      </c>
      <c r="N2214">
        <v>50.2</v>
      </c>
      <c r="O2214">
        <v>49.8</v>
      </c>
      <c r="P2214">
        <v>43.6</v>
      </c>
      <c r="Q2214">
        <v>56.4</v>
      </c>
    </row>
    <row r="2215" spans="1:17" x14ac:dyDescent="0.25">
      <c r="A2215" s="2">
        <v>44947</v>
      </c>
      <c r="B2215" s="2" t="str">
        <f t="shared" si="68"/>
        <v>Saturday</v>
      </c>
      <c r="C2215" s="2" t="b">
        <f t="shared" si="69"/>
        <v>1</v>
      </c>
      <c r="D2215">
        <v>4</v>
      </c>
      <c r="E2215" t="s">
        <v>8</v>
      </c>
      <c r="F2215">
        <v>186</v>
      </c>
      <c r="G2215" s="3">
        <v>2411.7399999999998</v>
      </c>
      <c r="H2215" s="3">
        <f>Miami_Retail[[#This Row],[sales_usd]] / Miami_Retail[[#This Row],[customers]]</f>
        <v>12.966344086021504</v>
      </c>
      <c r="I2215">
        <v>70.7</v>
      </c>
      <c r="J2215">
        <f>(Miami_Retail[[#This Row],[avg_temp_f]]-32) * (5/9)</f>
        <v>21.500000000000004</v>
      </c>
      <c r="K2215">
        <v>0</v>
      </c>
      <c r="L2215">
        <v>0</v>
      </c>
      <c r="M2215">
        <v>36.700000000000003</v>
      </c>
      <c r="N2215">
        <v>51.2</v>
      </c>
      <c r="O2215">
        <v>48.8</v>
      </c>
      <c r="P2215">
        <v>50.4</v>
      </c>
      <c r="Q2215">
        <v>49.6</v>
      </c>
    </row>
    <row r="2216" spans="1:17" x14ac:dyDescent="0.25">
      <c r="A2216" s="2">
        <v>44948</v>
      </c>
      <c r="B2216" s="2" t="str">
        <f t="shared" si="68"/>
        <v>Sunday</v>
      </c>
      <c r="C2216" s="2" t="b">
        <f t="shared" si="69"/>
        <v>1</v>
      </c>
      <c r="D2216">
        <v>4</v>
      </c>
      <c r="E2216" t="s">
        <v>8</v>
      </c>
      <c r="F2216">
        <v>166</v>
      </c>
      <c r="G2216" s="3">
        <v>2619.17</v>
      </c>
      <c r="H2216" s="3">
        <f>Miami_Retail[[#This Row],[sales_usd]] / Miami_Retail[[#This Row],[customers]]</f>
        <v>15.778132530120482</v>
      </c>
      <c r="I2216">
        <v>69.8</v>
      </c>
      <c r="J2216">
        <f>(Miami_Retail[[#This Row],[avg_temp_f]]-32) * (5/9)</f>
        <v>21</v>
      </c>
      <c r="K2216">
        <v>0</v>
      </c>
      <c r="L2216">
        <v>0</v>
      </c>
      <c r="M2216">
        <v>42.4</v>
      </c>
      <c r="N2216">
        <v>49.7</v>
      </c>
      <c r="O2216">
        <v>50.3</v>
      </c>
      <c r="P2216">
        <v>50.7</v>
      </c>
      <c r="Q2216">
        <v>49.3</v>
      </c>
    </row>
    <row r="2217" spans="1:17" x14ac:dyDescent="0.25">
      <c r="A2217" s="2">
        <v>44949</v>
      </c>
      <c r="B2217" s="2" t="str">
        <f t="shared" si="68"/>
        <v>Monday</v>
      </c>
      <c r="C2217" s="2" t="b">
        <f t="shared" si="69"/>
        <v>0</v>
      </c>
      <c r="D2217">
        <v>4</v>
      </c>
      <c r="E2217" t="s">
        <v>8</v>
      </c>
      <c r="F2217">
        <v>185</v>
      </c>
      <c r="G2217" s="3">
        <v>3032.42</v>
      </c>
      <c r="H2217" s="3">
        <f>Miami_Retail[[#This Row],[sales_usd]] / Miami_Retail[[#This Row],[customers]]</f>
        <v>16.391459459459458</v>
      </c>
      <c r="I2217">
        <v>72</v>
      </c>
      <c r="J2217">
        <f>(Miami_Retail[[#This Row],[avg_temp_f]]-32) * (5/9)</f>
        <v>22.222222222222221</v>
      </c>
      <c r="K2217">
        <v>0</v>
      </c>
      <c r="L2217">
        <v>0</v>
      </c>
      <c r="M2217">
        <v>42.4</v>
      </c>
      <c r="N2217">
        <v>49.9</v>
      </c>
      <c r="O2217">
        <v>50.1</v>
      </c>
      <c r="P2217">
        <v>44.1</v>
      </c>
      <c r="Q2217">
        <v>55.9</v>
      </c>
    </row>
    <row r="2218" spans="1:17" x14ac:dyDescent="0.25">
      <c r="A2218" s="2">
        <v>44950</v>
      </c>
      <c r="B2218" s="2" t="str">
        <f t="shared" si="68"/>
        <v>Tuesday</v>
      </c>
      <c r="C2218" s="2" t="b">
        <f t="shared" si="69"/>
        <v>0</v>
      </c>
      <c r="D2218">
        <v>4</v>
      </c>
      <c r="E2218" t="s">
        <v>8</v>
      </c>
      <c r="F2218">
        <v>214</v>
      </c>
      <c r="G2218" s="3">
        <v>3116.52</v>
      </c>
      <c r="H2218" s="3">
        <f>Miami_Retail[[#This Row],[sales_usd]] / Miami_Retail[[#This Row],[customers]]</f>
        <v>14.563177570093458</v>
      </c>
      <c r="I2218">
        <v>69.099999999999994</v>
      </c>
      <c r="J2218">
        <f>(Miami_Retail[[#This Row],[avg_temp_f]]-32) * (5/9)</f>
        <v>20.611111111111107</v>
      </c>
      <c r="K2218">
        <v>0</v>
      </c>
      <c r="L2218">
        <v>0</v>
      </c>
      <c r="M2218">
        <v>46.4</v>
      </c>
      <c r="N2218">
        <v>49.9</v>
      </c>
      <c r="O2218">
        <v>50.1</v>
      </c>
      <c r="P2218">
        <v>45.2</v>
      </c>
      <c r="Q2218">
        <v>54.8</v>
      </c>
    </row>
    <row r="2219" spans="1:17" x14ac:dyDescent="0.25">
      <c r="A2219" s="2">
        <v>44951</v>
      </c>
      <c r="B2219" s="2" t="str">
        <f t="shared" si="68"/>
        <v>Wednesday</v>
      </c>
      <c r="C2219" s="2" t="b">
        <f t="shared" si="69"/>
        <v>0</v>
      </c>
      <c r="D2219">
        <v>4</v>
      </c>
      <c r="E2219" t="s">
        <v>8</v>
      </c>
      <c r="F2219">
        <v>139</v>
      </c>
      <c r="G2219" s="3">
        <v>2302.6799999999998</v>
      </c>
      <c r="H2219" s="3">
        <f>Miami_Retail[[#This Row],[sales_usd]] / Miami_Retail[[#This Row],[customers]]</f>
        <v>16.566043165467626</v>
      </c>
      <c r="I2219">
        <v>65.8</v>
      </c>
      <c r="J2219">
        <f>(Miami_Retail[[#This Row],[avg_temp_f]]-32) * (5/9)</f>
        <v>18.777777777777779</v>
      </c>
      <c r="K2219">
        <v>3.11</v>
      </c>
      <c r="L2219">
        <v>1</v>
      </c>
      <c r="M2219">
        <v>46.7</v>
      </c>
      <c r="N2219">
        <v>48.7</v>
      </c>
      <c r="O2219">
        <v>51.3</v>
      </c>
      <c r="P2219">
        <v>46</v>
      </c>
      <c r="Q2219">
        <v>54</v>
      </c>
    </row>
    <row r="2220" spans="1:17" x14ac:dyDescent="0.25">
      <c r="A2220" s="2">
        <v>44952</v>
      </c>
      <c r="B2220" s="2" t="str">
        <f t="shared" si="68"/>
        <v>Thursday</v>
      </c>
      <c r="C2220" s="2" t="b">
        <f t="shared" si="69"/>
        <v>0</v>
      </c>
      <c r="D2220">
        <v>4</v>
      </c>
      <c r="E2220" t="s">
        <v>8</v>
      </c>
      <c r="F2220">
        <v>141</v>
      </c>
      <c r="G2220" s="3">
        <v>2298.0500000000002</v>
      </c>
      <c r="H2220" s="3">
        <f>Miami_Retail[[#This Row],[sales_usd]] / Miami_Retail[[#This Row],[customers]]</f>
        <v>16.298226950354611</v>
      </c>
      <c r="I2220">
        <v>68.5</v>
      </c>
      <c r="J2220">
        <f>(Miami_Retail[[#This Row],[avg_temp_f]]-32) * (5/9)</f>
        <v>20.277777777777779</v>
      </c>
      <c r="K2220">
        <v>0</v>
      </c>
      <c r="L2220">
        <v>0</v>
      </c>
      <c r="M2220">
        <v>35</v>
      </c>
      <c r="N2220">
        <v>51</v>
      </c>
      <c r="O2220">
        <v>49</v>
      </c>
      <c r="P2220">
        <v>46.8</v>
      </c>
      <c r="Q2220">
        <v>53.2</v>
      </c>
    </row>
    <row r="2221" spans="1:17" x14ac:dyDescent="0.25">
      <c r="A2221" s="2">
        <v>44953</v>
      </c>
      <c r="B2221" s="2" t="str">
        <f t="shared" si="68"/>
        <v>Friday</v>
      </c>
      <c r="C2221" s="2" t="b">
        <f t="shared" si="69"/>
        <v>0</v>
      </c>
      <c r="D2221">
        <v>4</v>
      </c>
      <c r="E2221" t="s">
        <v>8</v>
      </c>
      <c r="F2221">
        <v>171</v>
      </c>
      <c r="G2221" s="3">
        <v>2578.02</v>
      </c>
      <c r="H2221" s="3">
        <f>Miami_Retail[[#This Row],[sales_usd]] / Miami_Retail[[#This Row],[customers]]</f>
        <v>15.076140350877193</v>
      </c>
      <c r="I2221">
        <v>67.400000000000006</v>
      </c>
      <c r="J2221">
        <f>(Miami_Retail[[#This Row],[avg_temp_f]]-32) * (5/9)</f>
        <v>19.666666666666671</v>
      </c>
      <c r="K2221">
        <v>1.5</v>
      </c>
      <c r="L2221">
        <v>1</v>
      </c>
      <c r="M2221">
        <v>42.3</v>
      </c>
      <c r="N2221">
        <v>50.2</v>
      </c>
      <c r="O2221">
        <v>49.8</v>
      </c>
      <c r="P2221">
        <v>46.3</v>
      </c>
      <c r="Q2221">
        <v>53.7</v>
      </c>
    </row>
    <row r="2222" spans="1:17" x14ac:dyDescent="0.25">
      <c r="A2222" s="2">
        <v>44954</v>
      </c>
      <c r="B2222" s="2" t="str">
        <f t="shared" si="68"/>
        <v>Saturday</v>
      </c>
      <c r="C2222" s="2" t="b">
        <f t="shared" si="69"/>
        <v>1</v>
      </c>
      <c r="D2222">
        <v>4</v>
      </c>
      <c r="E2222" t="s">
        <v>8</v>
      </c>
      <c r="F2222">
        <v>181</v>
      </c>
      <c r="G2222" s="3">
        <v>2780.52</v>
      </c>
      <c r="H2222" s="3">
        <f>Miami_Retail[[#This Row],[sales_usd]] / Miami_Retail[[#This Row],[customers]]</f>
        <v>15.361988950276244</v>
      </c>
      <c r="I2222">
        <v>70.3</v>
      </c>
      <c r="J2222">
        <f>(Miami_Retail[[#This Row],[avg_temp_f]]-32) * (5/9)</f>
        <v>21.277777777777779</v>
      </c>
      <c r="K2222">
        <v>0</v>
      </c>
      <c r="L2222">
        <v>0</v>
      </c>
      <c r="M2222">
        <v>44</v>
      </c>
      <c r="N2222">
        <v>51.1</v>
      </c>
      <c r="O2222">
        <v>48.9</v>
      </c>
      <c r="P2222">
        <v>51.5</v>
      </c>
      <c r="Q2222">
        <v>48.5</v>
      </c>
    </row>
    <row r="2223" spans="1:17" x14ac:dyDescent="0.25">
      <c r="A2223" s="2">
        <v>44955</v>
      </c>
      <c r="B2223" s="2" t="str">
        <f t="shared" si="68"/>
        <v>Sunday</v>
      </c>
      <c r="C2223" s="2" t="b">
        <f t="shared" si="69"/>
        <v>1</v>
      </c>
      <c r="D2223">
        <v>4</v>
      </c>
      <c r="E2223" t="s">
        <v>8</v>
      </c>
      <c r="F2223">
        <v>216</v>
      </c>
      <c r="G2223" s="3">
        <v>3333.6</v>
      </c>
      <c r="H2223" s="3">
        <f>Miami_Retail[[#This Row],[sales_usd]] / Miami_Retail[[#This Row],[customers]]</f>
        <v>15.433333333333334</v>
      </c>
      <c r="I2223">
        <v>75.099999999999994</v>
      </c>
      <c r="J2223">
        <f>(Miami_Retail[[#This Row],[avg_temp_f]]-32) * (5/9)</f>
        <v>23.944444444444443</v>
      </c>
      <c r="K2223">
        <v>0</v>
      </c>
      <c r="L2223">
        <v>0</v>
      </c>
      <c r="M2223">
        <v>35</v>
      </c>
      <c r="N2223">
        <v>51.1</v>
      </c>
      <c r="O2223">
        <v>48.9</v>
      </c>
      <c r="P2223">
        <v>52.8</v>
      </c>
      <c r="Q2223">
        <v>47.2</v>
      </c>
    </row>
    <row r="2224" spans="1:17" x14ac:dyDescent="0.25">
      <c r="A2224" s="2">
        <v>44956</v>
      </c>
      <c r="B2224" s="2" t="str">
        <f t="shared" si="68"/>
        <v>Monday</v>
      </c>
      <c r="C2224" s="2" t="b">
        <f t="shared" si="69"/>
        <v>0</v>
      </c>
      <c r="D2224">
        <v>4</v>
      </c>
      <c r="E2224" t="s">
        <v>8</v>
      </c>
      <c r="F2224">
        <v>189</v>
      </c>
      <c r="G2224" s="3">
        <v>2719.15</v>
      </c>
      <c r="H2224" s="3">
        <f>Miami_Retail[[#This Row],[sales_usd]] / Miami_Retail[[#This Row],[customers]]</f>
        <v>14.387037037037038</v>
      </c>
      <c r="I2224">
        <v>75.5</v>
      </c>
      <c r="J2224">
        <f>(Miami_Retail[[#This Row],[avg_temp_f]]-32) * (5/9)</f>
        <v>24.166666666666668</v>
      </c>
      <c r="K2224">
        <v>0</v>
      </c>
      <c r="L2224">
        <v>0</v>
      </c>
      <c r="M2224">
        <v>38.700000000000003</v>
      </c>
      <c r="N2224">
        <v>49.6</v>
      </c>
      <c r="O2224">
        <v>50.4</v>
      </c>
      <c r="P2224">
        <v>45.8</v>
      </c>
      <c r="Q2224">
        <v>54.2</v>
      </c>
    </row>
    <row r="2225" spans="1:17" x14ac:dyDescent="0.25">
      <c r="A2225" s="2">
        <v>44957</v>
      </c>
      <c r="B2225" s="2" t="str">
        <f t="shared" si="68"/>
        <v>Tuesday</v>
      </c>
      <c r="C2225" s="2" t="b">
        <f t="shared" si="69"/>
        <v>0</v>
      </c>
      <c r="D2225">
        <v>4</v>
      </c>
      <c r="E2225" t="s">
        <v>8</v>
      </c>
      <c r="F2225">
        <v>175</v>
      </c>
      <c r="G2225" s="3">
        <v>2658.04</v>
      </c>
      <c r="H2225" s="3">
        <f>Miami_Retail[[#This Row],[sales_usd]] / Miami_Retail[[#This Row],[customers]]</f>
        <v>15.188800000000001</v>
      </c>
      <c r="I2225">
        <v>69.2</v>
      </c>
      <c r="J2225">
        <f>(Miami_Retail[[#This Row],[avg_temp_f]]-32) * (5/9)</f>
        <v>20.666666666666668</v>
      </c>
      <c r="K2225">
        <v>0</v>
      </c>
      <c r="L2225">
        <v>0</v>
      </c>
      <c r="M2225">
        <v>35</v>
      </c>
      <c r="N2225">
        <v>49.5</v>
      </c>
      <c r="O2225">
        <v>50.5</v>
      </c>
      <c r="P2225">
        <v>45.4</v>
      </c>
      <c r="Q2225">
        <v>54.6</v>
      </c>
    </row>
    <row r="2226" spans="1:17" x14ac:dyDescent="0.25">
      <c r="A2226" s="2">
        <v>44958</v>
      </c>
      <c r="B2226" s="2" t="str">
        <f t="shared" si="68"/>
        <v>Wednesday</v>
      </c>
      <c r="C2226" s="2" t="b">
        <f t="shared" si="69"/>
        <v>0</v>
      </c>
      <c r="D2226">
        <v>4</v>
      </c>
      <c r="E2226" t="s">
        <v>8</v>
      </c>
      <c r="F2226">
        <v>149</v>
      </c>
      <c r="G2226" s="3">
        <v>2485.71</v>
      </c>
      <c r="H2226" s="3">
        <f>Miami_Retail[[#This Row],[sales_usd]] / Miami_Retail[[#This Row],[customers]]</f>
        <v>16.682617449664431</v>
      </c>
      <c r="I2226">
        <v>68.8</v>
      </c>
      <c r="J2226">
        <f>(Miami_Retail[[#This Row],[avg_temp_f]]-32) * (5/9)</f>
        <v>20.444444444444443</v>
      </c>
      <c r="K2226">
        <v>0</v>
      </c>
      <c r="L2226">
        <v>0</v>
      </c>
      <c r="M2226">
        <v>46.9</v>
      </c>
      <c r="N2226">
        <v>50.5</v>
      </c>
      <c r="O2226">
        <v>49.5</v>
      </c>
      <c r="P2226">
        <v>46.4</v>
      </c>
      <c r="Q2226">
        <v>53.6</v>
      </c>
    </row>
    <row r="2227" spans="1:17" x14ac:dyDescent="0.25">
      <c r="A2227" s="2">
        <v>44959</v>
      </c>
      <c r="B2227" s="2" t="str">
        <f t="shared" si="68"/>
        <v>Thursday</v>
      </c>
      <c r="C2227" s="2" t="b">
        <f t="shared" si="69"/>
        <v>0</v>
      </c>
      <c r="D2227">
        <v>4</v>
      </c>
      <c r="E2227" t="s">
        <v>8</v>
      </c>
      <c r="F2227">
        <v>209</v>
      </c>
      <c r="G2227" s="3">
        <v>3328.36</v>
      </c>
      <c r="H2227" s="3">
        <f>Miami_Retail[[#This Row],[sales_usd]] / Miami_Retail[[#This Row],[customers]]</f>
        <v>15.925167464114834</v>
      </c>
      <c r="I2227">
        <v>73.400000000000006</v>
      </c>
      <c r="J2227">
        <f>(Miami_Retail[[#This Row],[avg_temp_f]]-32) * (5/9)</f>
        <v>23.000000000000004</v>
      </c>
      <c r="K2227">
        <v>0</v>
      </c>
      <c r="L2227">
        <v>0</v>
      </c>
      <c r="M2227">
        <v>42.2</v>
      </c>
      <c r="N2227">
        <v>50.3</v>
      </c>
      <c r="O2227">
        <v>49.7</v>
      </c>
      <c r="P2227">
        <v>45.2</v>
      </c>
      <c r="Q2227">
        <v>54.8</v>
      </c>
    </row>
    <row r="2228" spans="1:17" x14ac:dyDescent="0.25">
      <c r="A2228" s="2">
        <v>44960</v>
      </c>
      <c r="B2228" s="2" t="str">
        <f t="shared" si="68"/>
        <v>Friday</v>
      </c>
      <c r="C2228" s="2" t="b">
        <f t="shared" si="69"/>
        <v>0</v>
      </c>
      <c r="D2228">
        <v>4</v>
      </c>
      <c r="E2228" t="s">
        <v>8</v>
      </c>
      <c r="F2228">
        <v>175</v>
      </c>
      <c r="G2228" s="3">
        <v>2673.35</v>
      </c>
      <c r="H2228" s="3">
        <f>Miami_Retail[[#This Row],[sales_usd]] / Miami_Retail[[#This Row],[customers]]</f>
        <v>15.276285714285713</v>
      </c>
      <c r="I2228">
        <v>74.7</v>
      </c>
      <c r="J2228">
        <f>(Miami_Retail[[#This Row],[avg_temp_f]]-32) * (5/9)</f>
        <v>23.722222222222225</v>
      </c>
      <c r="K2228">
        <v>0</v>
      </c>
      <c r="L2228">
        <v>0</v>
      </c>
      <c r="M2228">
        <v>35</v>
      </c>
      <c r="N2228">
        <v>51</v>
      </c>
      <c r="O2228">
        <v>49</v>
      </c>
      <c r="P2228">
        <v>46</v>
      </c>
      <c r="Q2228">
        <v>54</v>
      </c>
    </row>
    <row r="2229" spans="1:17" x14ac:dyDescent="0.25">
      <c r="A2229" s="2">
        <v>44961</v>
      </c>
      <c r="B2229" s="2" t="str">
        <f t="shared" si="68"/>
        <v>Saturday</v>
      </c>
      <c r="C2229" s="2" t="b">
        <f t="shared" si="69"/>
        <v>1</v>
      </c>
      <c r="D2229">
        <v>4</v>
      </c>
      <c r="E2229" t="s">
        <v>8</v>
      </c>
      <c r="F2229">
        <v>201</v>
      </c>
      <c r="G2229" s="3">
        <v>2871.8</v>
      </c>
      <c r="H2229" s="3">
        <f>Miami_Retail[[#This Row],[sales_usd]] / Miami_Retail[[#This Row],[customers]]</f>
        <v>14.287562189054727</v>
      </c>
      <c r="I2229">
        <v>66.2</v>
      </c>
      <c r="J2229">
        <f>(Miami_Retail[[#This Row],[avg_temp_f]]-32) * (5/9)</f>
        <v>19.000000000000004</v>
      </c>
      <c r="K2229">
        <v>0</v>
      </c>
      <c r="L2229">
        <v>0</v>
      </c>
      <c r="M2229">
        <v>43.6</v>
      </c>
      <c r="N2229">
        <v>49.4</v>
      </c>
      <c r="O2229">
        <v>50.6</v>
      </c>
      <c r="P2229">
        <v>52.9</v>
      </c>
      <c r="Q2229">
        <v>47.1</v>
      </c>
    </row>
    <row r="2230" spans="1:17" x14ac:dyDescent="0.25">
      <c r="A2230" s="2">
        <v>44962</v>
      </c>
      <c r="B2230" s="2" t="str">
        <f t="shared" si="68"/>
        <v>Sunday</v>
      </c>
      <c r="C2230" s="2" t="b">
        <f t="shared" si="69"/>
        <v>1</v>
      </c>
      <c r="D2230">
        <v>4</v>
      </c>
      <c r="E2230" t="s">
        <v>8</v>
      </c>
      <c r="F2230">
        <v>179</v>
      </c>
      <c r="G2230" s="3">
        <v>2790.81</v>
      </c>
      <c r="H2230" s="3">
        <f>Miami_Retail[[#This Row],[sales_usd]] / Miami_Retail[[#This Row],[customers]]</f>
        <v>15.591117318435755</v>
      </c>
      <c r="I2230">
        <v>66.8</v>
      </c>
      <c r="J2230">
        <f>(Miami_Retail[[#This Row],[avg_temp_f]]-32) * (5/9)</f>
        <v>19.333333333333332</v>
      </c>
      <c r="K2230">
        <v>0.79</v>
      </c>
      <c r="L2230">
        <v>1</v>
      </c>
      <c r="M2230">
        <v>36.9</v>
      </c>
      <c r="N2230">
        <v>50.2</v>
      </c>
      <c r="O2230">
        <v>49.8</v>
      </c>
      <c r="P2230">
        <v>51.7</v>
      </c>
      <c r="Q2230">
        <v>48.3</v>
      </c>
    </row>
    <row r="2231" spans="1:17" x14ac:dyDescent="0.25">
      <c r="A2231" s="2">
        <v>44963</v>
      </c>
      <c r="B2231" s="2" t="str">
        <f t="shared" si="68"/>
        <v>Monday</v>
      </c>
      <c r="C2231" s="2" t="b">
        <f t="shared" si="69"/>
        <v>0</v>
      </c>
      <c r="D2231">
        <v>4</v>
      </c>
      <c r="E2231" t="s">
        <v>8</v>
      </c>
      <c r="F2231">
        <v>149</v>
      </c>
      <c r="G2231" s="3">
        <v>2355.46</v>
      </c>
      <c r="H2231" s="3">
        <f>Miami_Retail[[#This Row],[sales_usd]] / Miami_Retail[[#This Row],[customers]]</f>
        <v>15.808456375838926</v>
      </c>
      <c r="I2231">
        <v>62</v>
      </c>
      <c r="J2231">
        <f>(Miami_Retail[[#This Row],[avg_temp_f]]-32) * (5/9)</f>
        <v>16.666666666666668</v>
      </c>
      <c r="K2231">
        <v>0</v>
      </c>
      <c r="L2231">
        <v>0</v>
      </c>
      <c r="M2231">
        <v>42.5</v>
      </c>
      <c r="N2231">
        <v>51.2</v>
      </c>
      <c r="O2231">
        <v>48.8</v>
      </c>
      <c r="P2231">
        <v>44.9</v>
      </c>
      <c r="Q2231">
        <v>55.1</v>
      </c>
    </row>
    <row r="2232" spans="1:17" x14ac:dyDescent="0.25">
      <c r="A2232" s="2">
        <v>44964</v>
      </c>
      <c r="B2232" s="2" t="str">
        <f t="shared" si="68"/>
        <v>Tuesday</v>
      </c>
      <c r="C2232" s="2" t="b">
        <f t="shared" si="69"/>
        <v>0</v>
      </c>
      <c r="D2232">
        <v>4</v>
      </c>
      <c r="E2232" t="s">
        <v>8</v>
      </c>
      <c r="F2232">
        <v>195</v>
      </c>
      <c r="G2232" s="3">
        <v>3043.02</v>
      </c>
      <c r="H2232" s="3">
        <f>Miami_Retail[[#This Row],[sales_usd]] / Miami_Retail[[#This Row],[customers]]</f>
        <v>15.605230769230769</v>
      </c>
      <c r="I2232">
        <v>66.099999999999994</v>
      </c>
      <c r="J2232">
        <f>(Miami_Retail[[#This Row],[avg_temp_f]]-32) * (5/9)</f>
        <v>18.944444444444443</v>
      </c>
      <c r="K2232">
        <v>0</v>
      </c>
      <c r="L2232">
        <v>0</v>
      </c>
      <c r="M2232">
        <v>35</v>
      </c>
      <c r="N2232">
        <v>50.6</v>
      </c>
      <c r="O2232">
        <v>49.4</v>
      </c>
      <c r="P2232">
        <v>46.9</v>
      </c>
      <c r="Q2232">
        <v>53.1</v>
      </c>
    </row>
    <row r="2233" spans="1:17" x14ac:dyDescent="0.25">
      <c r="A2233" s="2">
        <v>44965</v>
      </c>
      <c r="B2233" s="2" t="str">
        <f t="shared" si="68"/>
        <v>Wednesday</v>
      </c>
      <c r="C2233" s="2" t="b">
        <f t="shared" si="69"/>
        <v>0</v>
      </c>
      <c r="D2233">
        <v>4</v>
      </c>
      <c r="E2233" t="s">
        <v>8</v>
      </c>
      <c r="F2233">
        <v>155</v>
      </c>
      <c r="G2233" s="3">
        <v>2388.56</v>
      </c>
      <c r="H2233" s="3">
        <f>Miami_Retail[[#This Row],[sales_usd]] / Miami_Retail[[#This Row],[customers]]</f>
        <v>15.410064516129031</v>
      </c>
      <c r="I2233">
        <v>65.5</v>
      </c>
      <c r="J2233">
        <f>(Miami_Retail[[#This Row],[avg_temp_f]]-32) * (5/9)</f>
        <v>18.611111111111111</v>
      </c>
      <c r="K2233">
        <v>3.29</v>
      </c>
      <c r="L2233">
        <v>1</v>
      </c>
      <c r="M2233">
        <v>41.9</v>
      </c>
      <c r="N2233">
        <v>51.8</v>
      </c>
      <c r="O2233">
        <v>48.2</v>
      </c>
      <c r="P2233">
        <v>45.3</v>
      </c>
      <c r="Q2233">
        <v>54.7</v>
      </c>
    </row>
    <row r="2234" spans="1:17" x14ac:dyDescent="0.25">
      <c r="A2234" s="2">
        <v>44966</v>
      </c>
      <c r="B2234" s="2" t="str">
        <f t="shared" si="68"/>
        <v>Thursday</v>
      </c>
      <c r="C2234" s="2" t="b">
        <f t="shared" si="69"/>
        <v>0</v>
      </c>
      <c r="D2234">
        <v>4</v>
      </c>
      <c r="E2234" t="s">
        <v>8</v>
      </c>
      <c r="F2234">
        <v>186</v>
      </c>
      <c r="G2234" s="3">
        <v>2747.24</v>
      </c>
      <c r="H2234" s="3">
        <f>Miami_Retail[[#This Row],[sales_usd]] / Miami_Retail[[#This Row],[customers]]</f>
        <v>14.77010752688172</v>
      </c>
      <c r="I2234">
        <v>70.400000000000006</v>
      </c>
      <c r="J2234">
        <f>(Miami_Retail[[#This Row],[avg_temp_f]]-32) * (5/9)</f>
        <v>21.333333333333336</v>
      </c>
      <c r="K2234">
        <v>0</v>
      </c>
      <c r="L2234">
        <v>0</v>
      </c>
      <c r="M2234">
        <v>36.9</v>
      </c>
      <c r="N2234">
        <v>49.7</v>
      </c>
      <c r="O2234">
        <v>50.3</v>
      </c>
      <c r="P2234">
        <v>43.9</v>
      </c>
      <c r="Q2234">
        <v>56.1</v>
      </c>
    </row>
    <row r="2235" spans="1:17" x14ac:dyDescent="0.25">
      <c r="A2235" s="2">
        <v>44967</v>
      </c>
      <c r="B2235" s="2" t="str">
        <f t="shared" si="68"/>
        <v>Friday</v>
      </c>
      <c r="C2235" s="2" t="b">
        <f t="shared" si="69"/>
        <v>0</v>
      </c>
      <c r="D2235">
        <v>4</v>
      </c>
      <c r="E2235" t="s">
        <v>8</v>
      </c>
      <c r="F2235">
        <v>129</v>
      </c>
      <c r="G2235" s="3">
        <v>1972.29</v>
      </c>
      <c r="H2235" s="3">
        <f>Miami_Retail[[#This Row],[sales_usd]] / Miami_Retail[[#This Row],[customers]]</f>
        <v>15.289069767441861</v>
      </c>
      <c r="I2235">
        <v>65.7</v>
      </c>
      <c r="J2235">
        <f>(Miami_Retail[[#This Row],[avg_temp_f]]-32) * (5/9)</f>
        <v>18.722222222222225</v>
      </c>
      <c r="K2235">
        <v>0</v>
      </c>
      <c r="L2235">
        <v>0</v>
      </c>
      <c r="M2235">
        <v>35</v>
      </c>
      <c r="N2235">
        <v>51.7</v>
      </c>
      <c r="O2235">
        <v>48.3</v>
      </c>
      <c r="P2235">
        <v>45.9</v>
      </c>
      <c r="Q2235">
        <v>54.1</v>
      </c>
    </row>
    <row r="2236" spans="1:17" x14ac:dyDescent="0.25">
      <c r="A2236" s="2">
        <v>44968</v>
      </c>
      <c r="B2236" s="2" t="str">
        <f t="shared" si="68"/>
        <v>Saturday</v>
      </c>
      <c r="C2236" s="2" t="b">
        <f t="shared" si="69"/>
        <v>1</v>
      </c>
      <c r="D2236">
        <v>4</v>
      </c>
      <c r="E2236" t="s">
        <v>8</v>
      </c>
      <c r="F2236">
        <v>186</v>
      </c>
      <c r="G2236" s="3">
        <v>2927.56</v>
      </c>
      <c r="H2236" s="3">
        <f>Miami_Retail[[#This Row],[sales_usd]] / Miami_Retail[[#This Row],[customers]]</f>
        <v>15.739569892473117</v>
      </c>
      <c r="I2236">
        <v>64.7</v>
      </c>
      <c r="J2236">
        <f>(Miami_Retail[[#This Row],[avg_temp_f]]-32) * (5/9)</f>
        <v>18.166666666666668</v>
      </c>
      <c r="K2236">
        <v>2.4700000000000002</v>
      </c>
      <c r="L2236">
        <v>1</v>
      </c>
      <c r="M2236">
        <v>40.6</v>
      </c>
      <c r="N2236">
        <v>50.1</v>
      </c>
      <c r="O2236">
        <v>49.9</v>
      </c>
      <c r="P2236">
        <v>50.7</v>
      </c>
      <c r="Q2236">
        <v>49.3</v>
      </c>
    </row>
    <row r="2237" spans="1:17" x14ac:dyDescent="0.25">
      <c r="A2237" s="2">
        <v>44969</v>
      </c>
      <c r="B2237" s="2" t="str">
        <f t="shared" si="68"/>
        <v>Sunday</v>
      </c>
      <c r="C2237" s="2" t="b">
        <f t="shared" si="69"/>
        <v>1</v>
      </c>
      <c r="D2237">
        <v>4</v>
      </c>
      <c r="E2237" t="s">
        <v>8</v>
      </c>
      <c r="F2237">
        <v>186</v>
      </c>
      <c r="G2237" s="3">
        <v>2831.51</v>
      </c>
      <c r="H2237" s="3">
        <f>Miami_Retail[[#This Row],[sales_usd]] / Miami_Retail[[#This Row],[customers]]</f>
        <v>15.223172043010754</v>
      </c>
      <c r="I2237">
        <v>68.099999999999994</v>
      </c>
      <c r="J2237">
        <f>(Miami_Retail[[#This Row],[avg_temp_f]]-32) * (5/9)</f>
        <v>20.055555555555554</v>
      </c>
      <c r="K2237">
        <v>0</v>
      </c>
      <c r="L2237">
        <v>0</v>
      </c>
      <c r="M2237">
        <v>35.700000000000003</v>
      </c>
      <c r="N2237">
        <v>51.2</v>
      </c>
      <c r="O2237">
        <v>48.8</v>
      </c>
      <c r="P2237">
        <v>52.1</v>
      </c>
      <c r="Q2237">
        <v>47.9</v>
      </c>
    </row>
    <row r="2238" spans="1:17" x14ac:dyDescent="0.25">
      <c r="A2238" s="2">
        <v>44970</v>
      </c>
      <c r="B2238" s="2" t="str">
        <f t="shared" si="68"/>
        <v>Monday</v>
      </c>
      <c r="C2238" s="2" t="b">
        <f t="shared" si="69"/>
        <v>0</v>
      </c>
      <c r="D2238">
        <v>4</v>
      </c>
      <c r="E2238" t="s">
        <v>8</v>
      </c>
      <c r="F2238">
        <v>214</v>
      </c>
      <c r="G2238" s="3">
        <v>3327.76</v>
      </c>
      <c r="H2238" s="3">
        <f>Miami_Retail[[#This Row],[sales_usd]] / Miami_Retail[[#This Row],[customers]]</f>
        <v>15.550280373831777</v>
      </c>
      <c r="I2238">
        <v>69.7</v>
      </c>
      <c r="J2238">
        <f>(Miami_Retail[[#This Row],[avg_temp_f]]-32) * (5/9)</f>
        <v>20.944444444444446</v>
      </c>
      <c r="K2238">
        <v>0</v>
      </c>
      <c r="L2238">
        <v>0</v>
      </c>
      <c r="M2238">
        <v>35</v>
      </c>
      <c r="N2238">
        <v>52</v>
      </c>
      <c r="O2238">
        <v>48</v>
      </c>
      <c r="P2238">
        <v>47.6</v>
      </c>
      <c r="Q2238">
        <v>52.4</v>
      </c>
    </row>
    <row r="2239" spans="1:17" x14ac:dyDescent="0.25">
      <c r="A2239" s="2">
        <v>44971</v>
      </c>
      <c r="B2239" s="2" t="str">
        <f t="shared" si="68"/>
        <v>Tuesday</v>
      </c>
      <c r="C2239" s="2" t="b">
        <f t="shared" si="69"/>
        <v>0</v>
      </c>
      <c r="D2239">
        <v>4</v>
      </c>
      <c r="E2239" t="s">
        <v>8</v>
      </c>
      <c r="F2239">
        <v>206</v>
      </c>
      <c r="G2239" s="3">
        <v>3517.45</v>
      </c>
      <c r="H2239" s="3">
        <f>Miami_Retail[[#This Row],[sales_usd]] / Miami_Retail[[#This Row],[customers]]</f>
        <v>17.074999999999999</v>
      </c>
      <c r="I2239">
        <v>63.7</v>
      </c>
      <c r="J2239">
        <f>(Miami_Retail[[#This Row],[avg_temp_f]]-32) * (5/9)</f>
        <v>17.611111111111114</v>
      </c>
      <c r="K2239">
        <v>0</v>
      </c>
      <c r="L2239">
        <v>0</v>
      </c>
      <c r="M2239">
        <v>35</v>
      </c>
      <c r="N2239">
        <v>51.4</v>
      </c>
      <c r="O2239">
        <v>48.6</v>
      </c>
      <c r="P2239">
        <v>45.8</v>
      </c>
      <c r="Q2239">
        <v>54.2</v>
      </c>
    </row>
    <row r="2240" spans="1:17" x14ac:dyDescent="0.25">
      <c r="A2240" s="2">
        <v>44972</v>
      </c>
      <c r="B2240" s="2" t="str">
        <f t="shared" si="68"/>
        <v>Wednesday</v>
      </c>
      <c r="C2240" s="2" t="b">
        <f t="shared" si="69"/>
        <v>0</v>
      </c>
      <c r="D2240">
        <v>4</v>
      </c>
      <c r="E2240" t="s">
        <v>8</v>
      </c>
      <c r="F2240">
        <v>166</v>
      </c>
      <c r="G2240" s="3">
        <v>2810.23</v>
      </c>
      <c r="H2240" s="3">
        <f>Miami_Retail[[#This Row],[sales_usd]] / Miami_Retail[[#This Row],[customers]]</f>
        <v>16.92909638554217</v>
      </c>
      <c r="I2240">
        <v>59.8</v>
      </c>
      <c r="J2240">
        <f>(Miami_Retail[[#This Row],[avg_temp_f]]-32) * (5/9)</f>
        <v>15.444444444444443</v>
      </c>
      <c r="K2240">
        <v>0</v>
      </c>
      <c r="L2240">
        <v>0</v>
      </c>
      <c r="M2240">
        <v>35</v>
      </c>
      <c r="N2240">
        <v>52.4</v>
      </c>
      <c r="O2240">
        <v>47.6</v>
      </c>
      <c r="P2240">
        <v>47.6</v>
      </c>
      <c r="Q2240">
        <v>52.4</v>
      </c>
    </row>
    <row r="2241" spans="1:17" x14ac:dyDescent="0.25">
      <c r="A2241" s="2">
        <v>44973</v>
      </c>
      <c r="B2241" s="2" t="str">
        <f t="shared" si="68"/>
        <v>Thursday</v>
      </c>
      <c r="C2241" s="2" t="b">
        <f t="shared" si="69"/>
        <v>0</v>
      </c>
      <c r="D2241">
        <v>4</v>
      </c>
      <c r="E2241" t="s">
        <v>8</v>
      </c>
      <c r="F2241">
        <v>186</v>
      </c>
      <c r="G2241" s="3">
        <v>2897.94</v>
      </c>
      <c r="H2241" s="3">
        <f>Miami_Retail[[#This Row],[sales_usd]] / Miami_Retail[[#This Row],[customers]]</f>
        <v>15.580322580645161</v>
      </c>
      <c r="I2241">
        <v>69.400000000000006</v>
      </c>
      <c r="J2241">
        <f>(Miami_Retail[[#This Row],[avg_temp_f]]-32) * (5/9)</f>
        <v>20.777777777777782</v>
      </c>
      <c r="K2241">
        <v>0.8</v>
      </c>
      <c r="L2241">
        <v>1</v>
      </c>
      <c r="M2241">
        <v>37.1</v>
      </c>
      <c r="N2241">
        <v>50.9</v>
      </c>
      <c r="O2241">
        <v>49.1</v>
      </c>
      <c r="P2241">
        <v>45.8</v>
      </c>
      <c r="Q2241">
        <v>54.2</v>
      </c>
    </row>
    <row r="2242" spans="1:17" x14ac:dyDescent="0.25">
      <c r="A2242" s="2">
        <v>44974</v>
      </c>
      <c r="B2242" s="2" t="str">
        <f t="shared" ref="B2242:B2305" si="70">TEXT(A2242, "dddd")</f>
        <v>Friday</v>
      </c>
      <c r="C2242" s="2" t="b">
        <f t="shared" ref="C2242:C2305" si="71">IF(WEEKDAY(A2242,2)&gt;5,TRUE,FALSE)</f>
        <v>0</v>
      </c>
      <c r="D2242">
        <v>4</v>
      </c>
      <c r="E2242" t="s">
        <v>8</v>
      </c>
      <c r="F2242">
        <v>209</v>
      </c>
      <c r="G2242" s="3">
        <v>2984.18</v>
      </c>
      <c r="H2242" s="3">
        <f>Miami_Retail[[#This Row],[sales_usd]] / Miami_Retail[[#This Row],[customers]]</f>
        <v>14.278373205741627</v>
      </c>
      <c r="I2242">
        <v>59.8</v>
      </c>
      <c r="J2242">
        <f>(Miami_Retail[[#This Row],[avg_temp_f]]-32) * (5/9)</f>
        <v>15.444444444444443</v>
      </c>
      <c r="K2242">
        <v>0</v>
      </c>
      <c r="L2242">
        <v>0</v>
      </c>
      <c r="M2242">
        <v>37.200000000000003</v>
      </c>
      <c r="N2242">
        <v>52.5</v>
      </c>
      <c r="O2242">
        <v>47.5</v>
      </c>
      <c r="P2242">
        <v>45.9</v>
      </c>
      <c r="Q2242">
        <v>54.1</v>
      </c>
    </row>
    <row r="2243" spans="1:17" x14ac:dyDescent="0.25">
      <c r="A2243" s="2">
        <v>44975</v>
      </c>
      <c r="B2243" s="2" t="str">
        <f t="shared" si="70"/>
        <v>Saturday</v>
      </c>
      <c r="C2243" s="2" t="b">
        <f t="shared" si="71"/>
        <v>1</v>
      </c>
      <c r="D2243">
        <v>4</v>
      </c>
      <c r="E2243" t="s">
        <v>8</v>
      </c>
      <c r="F2243">
        <v>224</v>
      </c>
      <c r="G2243" s="3">
        <v>3330</v>
      </c>
      <c r="H2243" s="3">
        <f>Miami_Retail[[#This Row],[sales_usd]] / Miami_Retail[[#This Row],[customers]]</f>
        <v>14.866071428571429</v>
      </c>
      <c r="I2243">
        <v>73.5</v>
      </c>
      <c r="J2243">
        <f>(Miami_Retail[[#This Row],[avg_temp_f]]-32) * (5/9)</f>
        <v>23.055555555555557</v>
      </c>
      <c r="K2243">
        <v>0</v>
      </c>
      <c r="L2243">
        <v>0</v>
      </c>
      <c r="M2243">
        <v>35</v>
      </c>
      <c r="N2243">
        <v>52.4</v>
      </c>
      <c r="O2243">
        <v>47.6</v>
      </c>
      <c r="P2243">
        <v>52</v>
      </c>
      <c r="Q2243">
        <v>48</v>
      </c>
    </row>
    <row r="2244" spans="1:17" x14ac:dyDescent="0.25">
      <c r="A2244" s="2">
        <v>44976</v>
      </c>
      <c r="B2244" s="2" t="str">
        <f t="shared" si="70"/>
        <v>Sunday</v>
      </c>
      <c r="C2244" s="2" t="b">
        <f t="shared" si="71"/>
        <v>1</v>
      </c>
      <c r="D2244">
        <v>4</v>
      </c>
      <c r="E2244" t="s">
        <v>8</v>
      </c>
      <c r="F2244">
        <v>214</v>
      </c>
      <c r="G2244" s="3">
        <v>3131.82</v>
      </c>
      <c r="H2244" s="3">
        <f>Miami_Retail[[#This Row],[sales_usd]] / Miami_Retail[[#This Row],[customers]]</f>
        <v>14.634672897196262</v>
      </c>
      <c r="I2244">
        <v>67.8</v>
      </c>
      <c r="J2244">
        <f>(Miami_Retail[[#This Row],[avg_temp_f]]-32) * (5/9)</f>
        <v>19.888888888888889</v>
      </c>
      <c r="K2244">
        <v>0</v>
      </c>
      <c r="L2244">
        <v>0</v>
      </c>
      <c r="M2244">
        <v>35.200000000000003</v>
      </c>
      <c r="N2244">
        <v>52.1</v>
      </c>
      <c r="O2244">
        <v>47.9</v>
      </c>
      <c r="P2244">
        <v>53.8</v>
      </c>
      <c r="Q2244">
        <v>46.2</v>
      </c>
    </row>
    <row r="2245" spans="1:17" x14ac:dyDescent="0.25">
      <c r="A2245" s="2">
        <v>44977</v>
      </c>
      <c r="B2245" s="2" t="str">
        <f t="shared" si="70"/>
        <v>Monday</v>
      </c>
      <c r="C2245" s="2" t="b">
        <f t="shared" si="71"/>
        <v>0</v>
      </c>
      <c r="D2245">
        <v>4</v>
      </c>
      <c r="E2245" t="s">
        <v>8</v>
      </c>
      <c r="F2245">
        <v>163</v>
      </c>
      <c r="G2245" s="3">
        <v>2668.59</v>
      </c>
      <c r="H2245" s="3">
        <f>Miami_Retail[[#This Row],[sales_usd]] / Miami_Retail[[#This Row],[customers]]</f>
        <v>16.371717791411044</v>
      </c>
      <c r="I2245">
        <v>70.900000000000006</v>
      </c>
      <c r="J2245">
        <f>(Miami_Retail[[#This Row],[avg_temp_f]]-32) * (5/9)</f>
        <v>21.611111111111114</v>
      </c>
      <c r="K2245">
        <v>0.32</v>
      </c>
      <c r="L2245">
        <v>1</v>
      </c>
      <c r="M2245">
        <v>35.9</v>
      </c>
      <c r="N2245">
        <v>51.8</v>
      </c>
      <c r="O2245">
        <v>48.2</v>
      </c>
      <c r="P2245">
        <v>47.9</v>
      </c>
      <c r="Q2245">
        <v>52.1</v>
      </c>
    </row>
    <row r="2246" spans="1:17" x14ac:dyDescent="0.25">
      <c r="A2246" s="2">
        <v>44978</v>
      </c>
      <c r="B2246" s="2" t="str">
        <f t="shared" si="70"/>
        <v>Tuesday</v>
      </c>
      <c r="C2246" s="2" t="b">
        <f t="shared" si="71"/>
        <v>0</v>
      </c>
      <c r="D2246">
        <v>4</v>
      </c>
      <c r="E2246" t="s">
        <v>8</v>
      </c>
      <c r="F2246">
        <v>166</v>
      </c>
      <c r="G2246" s="3">
        <v>2582.02</v>
      </c>
      <c r="H2246" s="3">
        <f>Miami_Retail[[#This Row],[sales_usd]] / Miami_Retail[[#This Row],[customers]]</f>
        <v>15.55433734939759</v>
      </c>
      <c r="I2246">
        <v>69.5</v>
      </c>
      <c r="J2246">
        <f>(Miami_Retail[[#This Row],[avg_temp_f]]-32) * (5/9)</f>
        <v>20.833333333333336</v>
      </c>
      <c r="K2246">
        <v>0.59</v>
      </c>
      <c r="L2246">
        <v>1</v>
      </c>
      <c r="M2246">
        <v>35</v>
      </c>
      <c r="N2246">
        <v>50.7</v>
      </c>
      <c r="O2246">
        <v>49.3</v>
      </c>
      <c r="P2246">
        <v>46.5</v>
      </c>
      <c r="Q2246">
        <v>53.5</v>
      </c>
    </row>
    <row r="2247" spans="1:17" x14ac:dyDescent="0.25">
      <c r="A2247" s="2">
        <v>44979</v>
      </c>
      <c r="B2247" s="2" t="str">
        <f t="shared" si="70"/>
        <v>Wednesday</v>
      </c>
      <c r="C2247" s="2" t="b">
        <f t="shared" si="71"/>
        <v>0</v>
      </c>
      <c r="D2247">
        <v>4</v>
      </c>
      <c r="E2247" t="s">
        <v>8</v>
      </c>
      <c r="F2247">
        <v>173</v>
      </c>
      <c r="G2247" s="3">
        <v>2465.37</v>
      </c>
      <c r="H2247" s="3">
        <f>Miami_Retail[[#This Row],[sales_usd]] / Miami_Retail[[#This Row],[customers]]</f>
        <v>14.250693641618497</v>
      </c>
      <c r="I2247">
        <v>69.5</v>
      </c>
      <c r="J2247">
        <f>(Miami_Retail[[#This Row],[avg_temp_f]]-32) * (5/9)</f>
        <v>20.833333333333336</v>
      </c>
      <c r="K2247">
        <v>0</v>
      </c>
      <c r="L2247">
        <v>0</v>
      </c>
      <c r="M2247">
        <v>38.6</v>
      </c>
      <c r="N2247">
        <v>50.3</v>
      </c>
      <c r="O2247">
        <v>49.7</v>
      </c>
      <c r="P2247">
        <v>46.2</v>
      </c>
      <c r="Q2247">
        <v>53.8</v>
      </c>
    </row>
    <row r="2248" spans="1:17" x14ac:dyDescent="0.25">
      <c r="A2248" s="2">
        <v>44980</v>
      </c>
      <c r="B2248" s="2" t="str">
        <f t="shared" si="70"/>
        <v>Thursday</v>
      </c>
      <c r="C2248" s="2" t="b">
        <f t="shared" si="71"/>
        <v>0</v>
      </c>
      <c r="D2248">
        <v>4</v>
      </c>
      <c r="E2248" t="s">
        <v>8</v>
      </c>
      <c r="F2248">
        <v>175</v>
      </c>
      <c r="G2248" s="3">
        <v>2749.36</v>
      </c>
      <c r="H2248" s="3">
        <f>Miami_Retail[[#This Row],[sales_usd]] / Miami_Retail[[#This Row],[customers]]</f>
        <v>15.710628571428572</v>
      </c>
      <c r="I2248">
        <v>67.8</v>
      </c>
      <c r="J2248">
        <f>(Miami_Retail[[#This Row],[avg_temp_f]]-32) * (5/9)</f>
        <v>19.888888888888889</v>
      </c>
      <c r="K2248">
        <v>0</v>
      </c>
      <c r="L2248">
        <v>0</v>
      </c>
      <c r="M2248">
        <v>35</v>
      </c>
      <c r="N2248">
        <v>50.8</v>
      </c>
      <c r="O2248">
        <v>49.2</v>
      </c>
      <c r="P2248">
        <v>46.6</v>
      </c>
      <c r="Q2248">
        <v>53.4</v>
      </c>
    </row>
    <row r="2249" spans="1:17" x14ac:dyDescent="0.25">
      <c r="A2249" s="2">
        <v>44981</v>
      </c>
      <c r="B2249" s="2" t="str">
        <f t="shared" si="70"/>
        <v>Friday</v>
      </c>
      <c r="C2249" s="2" t="b">
        <f t="shared" si="71"/>
        <v>0</v>
      </c>
      <c r="D2249">
        <v>4</v>
      </c>
      <c r="E2249" t="s">
        <v>8</v>
      </c>
      <c r="F2249">
        <v>175</v>
      </c>
      <c r="G2249" s="3">
        <v>3036.95</v>
      </c>
      <c r="H2249" s="3">
        <f>Miami_Retail[[#This Row],[sales_usd]] / Miami_Retail[[#This Row],[customers]]</f>
        <v>17.353999999999999</v>
      </c>
      <c r="I2249">
        <v>55.5</v>
      </c>
      <c r="J2249">
        <f>(Miami_Retail[[#This Row],[avg_temp_f]]-32) * (5/9)</f>
        <v>13.055555555555555</v>
      </c>
      <c r="K2249">
        <v>0</v>
      </c>
      <c r="L2249">
        <v>0</v>
      </c>
      <c r="M2249">
        <v>37.6</v>
      </c>
      <c r="N2249">
        <v>52.5</v>
      </c>
      <c r="O2249">
        <v>47.5</v>
      </c>
      <c r="P2249">
        <v>46.6</v>
      </c>
      <c r="Q2249">
        <v>53.4</v>
      </c>
    </row>
    <row r="2250" spans="1:17" x14ac:dyDescent="0.25">
      <c r="A2250" s="2">
        <v>44982</v>
      </c>
      <c r="B2250" s="2" t="str">
        <f t="shared" si="70"/>
        <v>Saturday</v>
      </c>
      <c r="C2250" s="2" t="b">
        <f t="shared" si="71"/>
        <v>1</v>
      </c>
      <c r="D2250">
        <v>4</v>
      </c>
      <c r="E2250" t="s">
        <v>8</v>
      </c>
      <c r="F2250">
        <v>184</v>
      </c>
      <c r="G2250" s="3">
        <v>2776.1</v>
      </c>
      <c r="H2250" s="3">
        <f>Miami_Retail[[#This Row],[sales_usd]] / Miami_Retail[[#This Row],[customers]]</f>
        <v>15.0875</v>
      </c>
      <c r="I2250">
        <v>62.7</v>
      </c>
      <c r="J2250">
        <f>(Miami_Retail[[#This Row],[avg_temp_f]]-32) * (5/9)</f>
        <v>17.055555555555557</v>
      </c>
      <c r="K2250">
        <v>0.24</v>
      </c>
      <c r="L2250">
        <v>1</v>
      </c>
      <c r="M2250">
        <v>35.200000000000003</v>
      </c>
      <c r="N2250">
        <v>50.5</v>
      </c>
      <c r="O2250">
        <v>49.5</v>
      </c>
      <c r="P2250">
        <v>54.2</v>
      </c>
      <c r="Q2250">
        <v>45.8</v>
      </c>
    </row>
    <row r="2251" spans="1:17" x14ac:dyDescent="0.25">
      <c r="A2251" s="2">
        <v>44983</v>
      </c>
      <c r="B2251" s="2" t="str">
        <f t="shared" si="70"/>
        <v>Sunday</v>
      </c>
      <c r="C2251" s="2" t="b">
        <f t="shared" si="71"/>
        <v>1</v>
      </c>
      <c r="D2251">
        <v>4</v>
      </c>
      <c r="E2251" t="s">
        <v>8</v>
      </c>
      <c r="F2251">
        <v>175</v>
      </c>
      <c r="G2251" s="3">
        <v>2895.77</v>
      </c>
      <c r="H2251" s="3">
        <f>Miami_Retail[[#This Row],[sales_usd]] / Miami_Retail[[#This Row],[customers]]</f>
        <v>16.547257142857141</v>
      </c>
      <c r="I2251">
        <v>71.8</v>
      </c>
      <c r="J2251">
        <f>(Miami_Retail[[#This Row],[avg_temp_f]]-32) * (5/9)</f>
        <v>22.111111111111111</v>
      </c>
      <c r="K2251">
        <v>0</v>
      </c>
      <c r="L2251">
        <v>0</v>
      </c>
      <c r="M2251">
        <v>41.9</v>
      </c>
      <c r="N2251">
        <v>50.6</v>
      </c>
      <c r="O2251">
        <v>49.4</v>
      </c>
      <c r="P2251">
        <v>51.7</v>
      </c>
      <c r="Q2251">
        <v>48.3</v>
      </c>
    </row>
    <row r="2252" spans="1:17" x14ac:dyDescent="0.25">
      <c r="A2252" s="2">
        <v>44984</v>
      </c>
      <c r="B2252" s="2" t="str">
        <f t="shared" si="70"/>
        <v>Monday</v>
      </c>
      <c r="C2252" s="2" t="b">
        <f t="shared" si="71"/>
        <v>0</v>
      </c>
      <c r="D2252">
        <v>4</v>
      </c>
      <c r="E2252" t="s">
        <v>8</v>
      </c>
      <c r="F2252">
        <v>203</v>
      </c>
      <c r="G2252" s="3">
        <v>3385.25</v>
      </c>
      <c r="H2252" s="3">
        <f>Miami_Retail[[#This Row],[sales_usd]] / Miami_Retail[[#This Row],[customers]]</f>
        <v>16.676108374384235</v>
      </c>
      <c r="I2252">
        <v>61.3</v>
      </c>
      <c r="J2252">
        <f>(Miami_Retail[[#This Row],[avg_temp_f]]-32) * (5/9)</f>
        <v>16.277777777777779</v>
      </c>
      <c r="K2252">
        <v>0</v>
      </c>
      <c r="L2252">
        <v>0</v>
      </c>
      <c r="M2252">
        <v>39.1</v>
      </c>
      <c r="N2252">
        <v>53.1</v>
      </c>
      <c r="O2252">
        <v>46.9</v>
      </c>
      <c r="P2252">
        <v>48.7</v>
      </c>
      <c r="Q2252">
        <v>51.3</v>
      </c>
    </row>
    <row r="2253" spans="1:17" x14ac:dyDescent="0.25">
      <c r="A2253" s="2">
        <v>44985</v>
      </c>
      <c r="B2253" s="2" t="str">
        <f t="shared" si="70"/>
        <v>Tuesday</v>
      </c>
      <c r="C2253" s="2" t="b">
        <f t="shared" si="71"/>
        <v>0</v>
      </c>
      <c r="D2253">
        <v>4</v>
      </c>
      <c r="E2253" t="s">
        <v>8</v>
      </c>
      <c r="F2253">
        <v>197</v>
      </c>
      <c r="G2253" s="3">
        <v>3092.5</v>
      </c>
      <c r="H2253" s="3">
        <f>Miami_Retail[[#This Row],[sales_usd]] / Miami_Retail[[#This Row],[customers]]</f>
        <v>15.697969543147208</v>
      </c>
      <c r="I2253">
        <v>65.8</v>
      </c>
      <c r="J2253">
        <f>(Miami_Retail[[#This Row],[avg_temp_f]]-32) * (5/9)</f>
        <v>18.777777777777779</v>
      </c>
      <c r="K2253">
        <v>0</v>
      </c>
      <c r="L2253">
        <v>0</v>
      </c>
      <c r="M2253">
        <v>35</v>
      </c>
      <c r="N2253">
        <v>50.3</v>
      </c>
      <c r="O2253">
        <v>49.7</v>
      </c>
      <c r="P2253">
        <v>47.1</v>
      </c>
      <c r="Q2253">
        <v>52.9</v>
      </c>
    </row>
    <row r="2254" spans="1:17" x14ac:dyDescent="0.25">
      <c r="A2254" s="2">
        <v>44986</v>
      </c>
      <c r="B2254" s="2" t="str">
        <f t="shared" si="70"/>
        <v>Wednesday</v>
      </c>
      <c r="C2254" s="2" t="b">
        <f t="shared" si="71"/>
        <v>0</v>
      </c>
      <c r="D2254">
        <v>4</v>
      </c>
      <c r="E2254" t="s">
        <v>8</v>
      </c>
      <c r="F2254">
        <v>181</v>
      </c>
      <c r="G2254" s="3">
        <v>3142.11</v>
      </c>
      <c r="H2254" s="3">
        <f>Miami_Retail[[#This Row],[sales_usd]] / Miami_Retail[[#This Row],[customers]]</f>
        <v>17.359723756906078</v>
      </c>
      <c r="I2254">
        <v>71.3</v>
      </c>
      <c r="J2254">
        <f>(Miami_Retail[[#This Row],[avg_temp_f]]-32) * (5/9)</f>
        <v>21.833333333333332</v>
      </c>
      <c r="K2254">
        <v>0.09</v>
      </c>
      <c r="L2254">
        <v>1</v>
      </c>
      <c r="M2254">
        <v>35</v>
      </c>
      <c r="N2254">
        <v>52.8</v>
      </c>
      <c r="O2254">
        <v>47.2</v>
      </c>
      <c r="P2254">
        <v>45.3</v>
      </c>
      <c r="Q2254">
        <v>54.7</v>
      </c>
    </row>
    <row r="2255" spans="1:17" x14ac:dyDescent="0.25">
      <c r="A2255" s="2">
        <v>44987</v>
      </c>
      <c r="B2255" s="2" t="str">
        <f t="shared" si="70"/>
        <v>Thursday</v>
      </c>
      <c r="C2255" s="2" t="b">
        <f t="shared" si="71"/>
        <v>0</v>
      </c>
      <c r="D2255">
        <v>4</v>
      </c>
      <c r="E2255" t="s">
        <v>8</v>
      </c>
      <c r="F2255">
        <v>159</v>
      </c>
      <c r="G2255" s="3">
        <v>2496.11</v>
      </c>
      <c r="H2255" s="3">
        <f>Miami_Retail[[#This Row],[sales_usd]] / Miami_Retail[[#This Row],[customers]]</f>
        <v>15.698805031446541</v>
      </c>
      <c r="I2255">
        <v>65.599999999999994</v>
      </c>
      <c r="J2255">
        <f>(Miami_Retail[[#This Row],[avg_temp_f]]-32) * (5/9)</f>
        <v>18.666666666666664</v>
      </c>
      <c r="K2255">
        <v>0</v>
      </c>
      <c r="L2255">
        <v>0</v>
      </c>
      <c r="M2255">
        <v>37.200000000000003</v>
      </c>
      <c r="N2255">
        <v>50.9</v>
      </c>
      <c r="O2255">
        <v>49.1</v>
      </c>
      <c r="P2255">
        <v>46.8</v>
      </c>
      <c r="Q2255">
        <v>53.2</v>
      </c>
    </row>
    <row r="2256" spans="1:17" x14ac:dyDescent="0.25">
      <c r="A2256" s="2">
        <v>44988</v>
      </c>
      <c r="B2256" s="2" t="str">
        <f t="shared" si="70"/>
        <v>Friday</v>
      </c>
      <c r="C2256" s="2" t="b">
        <f t="shared" si="71"/>
        <v>0</v>
      </c>
      <c r="D2256">
        <v>4</v>
      </c>
      <c r="E2256" t="s">
        <v>8</v>
      </c>
      <c r="F2256">
        <v>164</v>
      </c>
      <c r="G2256" s="3">
        <v>2663.58</v>
      </c>
      <c r="H2256" s="3">
        <f>Miami_Retail[[#This Row],[sales_usd]] / Miami_Retail[[#This Row],[customers]]</f>
        <v>16.241341463414635</v>
      </c>
      <c r="I2256">
        <v>66.900000000000006</v>
      </c>
      <c r="J2256">
        <f>(Miami_Retail[[#This Row],[avg_temp_f]]-32) * (5/9)</f>
        <v>19.388888888888893</v>
      </c>
      <c r="K2256">
        <v>0</v>
      </c>
      <c r="L2256">
        <v>0</v>
      </c>
      <c r="M2256">
        <v>40.4</v>
      </c>
      <c r="N2256">
        <v>51</v>
      </c>
      <c r="O2256">
        <v>49</v>
      </c>
      <c r="P2256">
        <v>46.8</v>
      </c>
      <c r="Q2256">
        <v>53.2</v>
      </c>
    </row>
    <row r="2257" spans="1:17" x14ac:dyDescent="0.25">
      <c r="A2257" s="2">
        <v>44989</v>
      </c>
      <c r="B2257" s="2" t="str">
        <f t="shared" si="70"/>
        <v>Saturday</v>
      </c>
      <c r="C2257" s="2" t="b">
        <f t="shared" si="71"/>
        <v>1</v>
      </c>
      <c r="D2257">
        <v>4</v>
      </c>
      <c r="E2257" t="s">
        <v>8</v>
      </c>
      <c r="F2257">
        <v>195</v>
      </c>
      <c r="G2257" s="3">
        <v>2942.91</v>
      </c>
      <c r="H2257" s="3">
        <f>Miami_Retail[[#This Row],[sales_usd]] / Miami_Retail[[#This Row],[customers]]</f>
        <v>15.091846153846154</v>
      </c>
      <c r="I2257">
        <v>67.5</v>
      </c>
      <c r="J2257">
        <f>(Miami_Retail[[#This Row],[avg_temp_f]]-32) * (5/9)</f>
        <v>19.722222222222221</v>
      </c>
      <c r="K2257">
        <v>0</v>
      </c>
      <c r="L2257">
        <v>0</v>
      </c>
      <c r="M2257">
        <v>35</v>
      </c>
      <c r="N2257">
        <v>51.1</v>
      </c>
      <c r="O2257">
        <v>48.9</v>
      </c>
      <c r="P2257">
        <v>51.9</v>
      </c>
      <c r="Q2257">
        <v>48.1</v>
      </c>
    </row>
    <row r="2258" spans="1:17" x14ac:dyDescent="0.25">
      <c r="A2258" s="2">
        <v>44990</v>
      </c>
      <c r="B2258" s="2" t="str">
        <f t="shared" si="70"/>
        <v>Sunday</v>
      </c>
      <c r="C2258" s="2" t="b">
        <f t="shared" si="71"/>
        <v>1</v>
      </c>
      <c r="D2258">
        <v>4</v>
      </c>
      <c r="E2258" t="s">
        <v>8</v>
      </c>
      <c r="F2258">
        <v>146</v>
      </c>
      <c r="G2258" s="3">
        <v>2286.5300000000002</v>
      </c>
      <c r="H2258" s="3">
        <f>Miami_Retail[[#This Row],[sales_usd]] / Miami_Retail[[#This Row],[customers]]</f>
        <v>15.661164383561646</v>
      </c>
      <c r="I2258">
        <v>62.1</v>
      </c>
      <c r="J2258">
        <f>(Miami_Retail[[#This Row],[avg_temp_f]]-32) * (5/9)</f>
        <v>16.722222222222225</v>
      </c>
      <c r="K2258">
        <v>0</v>
      </c>
      <c r="L2258">
        <v>0</v>
      </c>
      <c r="M2258">
        <v>38</v>
      </c>
      <c r="N2258">
        <v>50.8</v>
      </c>
      <c r="O2258">
        <v>49.2</v>
      </c>
      <c r="P2258">
        <v>53.6</v>
      </c>
      <c r="Q2258">
        <v>46.4</v>
      </c>
    </row>
    <row r="2259" spans="1:17" x14ac:dyDescent="0.25">
      <c r="A2259" s="2">
        <v>44991</v>
      </c>
      <c r="B2259" s="2" t="str">
        <f t="shared" si="70"/>
        <v>Monday</v>
      </c>
      <c r="C2259" s="2" t="b">
        <f t="shared" si="71"/>
        <v>0</v>
      </c>
      <c r="D2259">
        <v>4</v>
      </c>
      <c r="E2259" t="s">
        <v>8</v>
      </c>
      <c r="F2259">
        <v>212</v>
      </c>
      <c r="G2259" s="3">
        <v>3540.72</v>
      </c>
      <c r="H2259" s="3">
        <f>Miami_Retail[[#This Row],[sales_usd]] / Miami_Retail[[#This Row],[customers]]</f>
        <v>16.701509433962265</v>
      </c>
      <c r="I2259">
        <v>64.7</v>
      </c>
      <c r="J2259">
        <f>(Miami_Retail[[#This Row],[avg_temp_f]]-32) * (5/9)</f>
        <v>18.166666666666668</v>
      </c>
      <c r="K2259">
        <v>0.44</v>
      </c>
      <c r="L2259">
        <v>1</v>
      </c>
      <c r="M2259">
        <v>35</v>
      </c>
      <c r="N2259">
        <v>51.3</v>
      </c>
      <c r="O2259">
        <v>48.7</v>
      </c>
      <c r="P2259">
        <v>46.9</v>
      </c>
      <c r="Q2259">
        <v>53.1</v>
      </c>
    </row>
    <row r="2260" spans="1:17" x14ac:dyDescent="0.25">
      <c r="A2260" s="2">
        <v>44992</v>
      </c>
      <c r="B2260" s="2" t="str">
        <f t="shared" si="70"/>
        <v>Tuesday</v>
      </c>
      <c r="C2260" s="2" t="b">
        <f t="shared" si="71"/>
        <v>0</v>
      </c>
      <c r="D2260">
        <v>4</v>
      </c>
      <c r="E2260" t="s">
        <v>8</v>
      </c>
      <c r="F2260">
        <v>176</v>
      </c>
      <c r="G2260" s="3">
        <v>2909.55</v>
      </c>
      <c r="H2260" s="3">
        <f>Miami_Retail[[#This Row],[sales_usd]] / Miami_Retail[[#This Row],[customers]]</f>
        <v>16.531534090909091</v>
      </c>
      <c r="I2260">
        <v>61</v>
      </c>
      <c r="J2260">
        <f>(Miami_Retail[[#This Row],[avg_temp_f]]-32) * (5/9)</f>
        <v>16.111111111111111</v>
      </c>
      <c r="K2260">
        <v>0.65</v>
      </c>
      <c r="L2260">
        <v>1</v>
      </c>
      <c r="M2260">
        <v>37.200000000000003</v>
      </c>
      <c r="N2260">
        <v>51.4</v>
      </c>
      <c r="O2260">
        <v>48.6</v>
      </c>
      <c r="P2260">
        <v>46.6</v>
      </c>
      <c r="Q2260">
        <v>53.4</v>
      </c>
    </row>
    <row r="2261" spans="1:17" x14ac:dyDescent="0.25">
      <c r="A2261" s="2">
        <v>44993</v>
      </c>
      <c r="B2261" s="2" t="str">
        <f t="shared" si="70"/>
        <v>Wednesday</v>
      </c>
      <c r="C2261" s="2" t="b">
        <f t="shared" si="71"/>
        <v>0</v>
      </c>
      <c r="D2261">
        <v>4</v>
      </c>
      <c r="E2261" t="s">
        <v>8</v>
      </c>
      <c r="F2261">
        <v>176</v>
      </c>
      <c r="G2261" s="3">
        <v>2665.6</v>
      </c>
      <c r="H2261" s="3">
        <f>Miami_Retail[[#This Row],[sales_usd]] / Miami_Retail[[#This Row],[customers]]</f>
        <v>15.145454545454545</v>
      </c>
      <c r="I2261">
        <v>66.5</v>
      </c>
      <c r="J2261">
        <f>(Miami_Retail[[#This Row],[avg_temp_f]]-32) * (5/9)</f>
        <v>19.166666666666668</v>
      </c>
      <c r="K2261">
        <v>0</v>
      </c>
      <c r="L2261">
        <v>0</v>
      </c>
      <c r="M2261">
        <v>35</v>
      </c>
      <c r="N2261">
        <v>51.7</v>
      </c>
      <c r="O2261">
        <v>48.3</v>
      </c>
      <c r="P2261">
        <v>45.4</v>
      </c>
      <c r="Q2261">
        <v>54.6</v>
      </c>
    </row>
    <row r="2262" spans="1:17" x14ac:dyDescent="0.25">
      <c r="A2262" s="2">
        <v>44994</v>
      </c>
      <c r="B2262" s="2" t="str">
        <f t="shared" si="70"/>
        <v>Thursday</v>
      </c>
      <c r="C2262" s="2" t="b">
        <f t="shared" si="71"/>
        <v>0</v>
      </c>
      <c r="D2262">
        <v>4</v>
      </c>
      <c r="E2262" t="s">
        <v>8</v>
      </c>
      <c r="F2262">
        <v>170</v>
      </c>
      <c r="G2262" s="3">
        <v>2760.7</v>
      </c>
      <c r="H2262" s="3">
        <f>Miami_Retail[[#This Row],[sales_usd]] / Miami_Retail[[#This Row],[customers]]</f>
        <v>16.239411764705881</v>
      </c>
      <c r="I2262">
        <v>63.7</v>
      </c>
      <c r="J2262">
        <f>(Miami_Retail[[#This Row],[avg_temp_f]]-32) * (5/9)</f>
        <v>17.611111111111114</v>
      </c>
      <c r="K2262">
        <v>0</v>
      </c>
      <c r="L2262">
        <v>0</v>
      </c>
      <c r="M2262">
        <v>36.9</v>
      </c>
      <c r="N2262">
        <v>53.2</v>
      </c>
      <c r="O2262">
        <v>46.8</v>
      </c>
      <c r="P2262">
        <v>47.9</v>
      </c>
      <c r="Q2262">
        <v>52.1</v>
      </c>
    </row>
    <row r="2263" spans="1:17" x14ac:dyDescent="0.25">
      <c r="A2263" s="2">
        <v>44995</v>
      </c>
      <c r="B2263" s="2" t="str">
        <f t="shared" si="70"/>
        <v>Friday</v>
      </c>
      <c r="C2263" s="2" t="b">
        <f t="shared" si="71"/>
        <v>0</v>
      </c>
      <c r="D2263">
        <v>4</v>
      </c>
      <c r="E2263" t="s">
        <v>8</v>
      </c>
      <c r="F2263">
        <v>167</v>
      </c>
      <c r="G2263" s="3">
        <v>2375.5</v>
      </c>
      <c r="H2263" s="3">
        <f>Miami_Retail[[#This Row],[sales_usd]] / Miami_Retail[[#This Row],[customers]]</f>
        <v>14.224550898203592</v>
      </c>
      <c r="I2263">
        <v>63.4</v>
      </c>
      <c r="J2263">
        <f>(Miami_Retail[[#This Row],[avg_temp_f]]-32) * (5/9)</f>
        <v>17.444444444444443</v>
      </c>
      <c r="K2263">
        <v>0</v>
      </c>
      <c r="L2263">
        <v>0</v>
      </c>
      <c r="M2263">
        <v>35</v>
      </c>
      <c r="N2263">
        <v>50.5</v>
      </c>
      <c r="O2263">
        <v>49.5</v>
      </c>
      <c r="P2263">
        <v>47.2</v>
      </c>
      <c r="Q2263">
        <v>52.8</v>
      </c>
    </row>
    <row r="2264" spans="1:17" x14ac:dyDescent="0.25">
      <c r="A2264" s="2">
        <v>44996</v>
      </c>
      <c r="B2264" s="2" t="str">
        <f t="shared" si="70"/>
        <v>Saturday</v>
      </c>
      <c r="C2264" s="2" t="b">
        <f t="shared" si="71"/>
        <v>1</v>
      </c>
      <c r="D2264">
        <v>4</v>
      </c>
      <c r="E2264" t="s">
        <v>8</v>
      </c>
      <c r="F2264">
        <v>203</v>
      </c>
      <c r="G2264" s="3">
        <v>3054.32</v>
      </c>
      <c r="H2264" s="3">
        <f>Miami_Retail[[#This Row],[sales_usd]] / Miami_Retail[[#This Row],[customers]]</f>
        <v>15.045911330049261</v>
      </c>
      <c r="I2264">
        <v>68.7</v>
      </c>
      <c r="J2264">
        <f>(Miami_Retail[[#This Row],[avg_temp_f]]-32) * (5/9)</f>
        <v>20.388888888888893</v>
      </c>
      <c r="K2264">
        <v>0.03</v>
      </c>
      <c r="L2264">
        <v>1</v>
      </c>
      <c r="M2264">
        <v>35</v>
      </c>
      <c r="N2264">
        <v>50.4</v>
      </c>
      <c r="O2264">
        <v>49.6</v>
      </c>
      <c r="P2264">
        <v>53.2</v>
      </c>
      <c r="Q2264">
        <v>46.8</v>
      </c>
    </row>
    <row r="2265" spans="1:17" x14ac:dyDescent="0.25">
      <c r="A2265" s="2">
        <v>44997</v>
      </c>
      <c r="B2265" s="2" t="str">
        <f t="shared" si="70"/>
        <v>Sunday</v>
      </c>
      <c r="C2265" s="2" t="b">
        <f t="shared" si="71"/>
        <v>1</v>
      </c>
      <c r="D2265">
        <v>4</v>
      </c>
      <c r="E2265" t="s">
        <v>8</v>
      </c>
      <c r="F2265">
        <v>201</v>
      </c>
      <c r="G2265" s="3">
        <v>2967.05</v>
      </c>
      <c r="H2265" s="3">
        <f>Miami_Retail[[#This Row],[sales_usd]] / Miami_Retail[[#This Row],[customers]]</f>
        <v>14.761442786069653</v>
      </c>
      <c r="I2265">
        <v>71.900000000000006</v>
      </c>
      <c r="J2265">
        <f>(Miami_Retail[[#This Row],[avg_temp_f]]-32) * (5/9)</f>
        <v>22.166666666666671</v>
      </c>
      <c r="K2265">
        <v>0</v>
      </c>
      <c r="L2265">
        <v>0</v>
      </c>
      <c r="M2265">
        <v>35</v>
      </c>
      <c r="N2265">
        <v>51.7</v>
      </c>
      <c r="O2265">
        <v>48.3</v>
      </c>
      <c r="P2265">
        <v>53.2</v>
      </c>
      <c r="Q2265">
        <v>46.8</v>
      </c>
    </row>
    <row r="2266" spans="1:17" x14ac:dyDescent="0.25">
      <c r="A2266" s="2">
        <v>44998</v>
      </c>
      <c r="B2266" s="2" t="str">
        <f t="shared" si="70"/>
        <v>Monday</v>
      </c>
      <c r="C2266" s="2" t="b">
        <f t="shared" si="71"/>
        <v>0</v>
      </c>
      <c r="D2266">
        <v>4</v>
      </c>
      <c r="E2266" t="s">
        <v>8</v>
      </c>
      <c r="F2266">
        <v>175</v>
      </c>
      <c r="G2266" s="3">
        <v>2584.52</v>
      </c>
      <c r="H2266" s="3">
        <f>Miami_Retail[[#This Row],[sales_usd]] / Miami_Retail[[#This Row],[customers]]</f>
        <v>14.768685714285715</v>
      </c>
      <c r="I2266">
        <v>66.5</v>
      </c>
      <c r="J2266">
        <f>(Miami_Retail[[#This Row],[avg_temp_f]]-32) * (5/9)</f>
        <v>19.166666666666668</v>
      </c>
      <c r="K2266">
        <v>0.21</v>
      </c>
      <c r="L2266">
        <v>1</v>
      </c>
      <c r="M2266">
        <v>43.3</v>
      </c>
      <c r="N2266">
        <v>52.4</v>
      </c>
      <c r="O2266">
        <v>47.6</v>
      </c>
      <c r="P2266">
        <v>49.2</v>
      </c>
      <c r="Q2266">
        <v>50.8</v>
      </c>
    </row>
    <row r="2267" spans="1:17" x14ac:dyDescent="0.25">
      <c r="A2267" s="2">
        <v>44999</v>
      </c>
      <c r="B2267" s="2" t="str">
        <f t="shared" si="70"/>
        <v>Tuesday</v>
      </c>
      <c r="C2267" s="2" t="b">
        <f t="shared" si="71"/>
        <v>0</v>
      </c>
      <c r="D2267">
        <v>4</v>
      </c>
      <c r="E2267" t="s">
        <v>8</v>
      </c>
      <c r="F2267">
        <v>177</v>
      </c>
      <c r="G2267" s="3">
        <v>2761.39</v>
      </c>
      <c r="H2267" s="3">
        <f>Miami_Retail[[#This Row],[sales_usd]] / Miami_Retail[[#This Row],[customers]]</f>
        <v>15.601073446327684</v>
      </c>
      <c r="I2267">
        <v>65.400000000000006</v>
      </c>
      <c r="J2267">
        <f>(Miami_Retail[[#This Row],[avg_temp_f]]-32) * (5/9)</f>
        <v>18.555555555555561</v>
      </c>
      <c r="K2267">
        <v>0</v>
      </c>
      <c r="L2267">
        <v>0</v>
      </c>
      <c r="M2267">
        <v>38.799999999999997</v>
      </c>
      <c r="N2267">
        <v>52.5</v>
      </c>
      <c r="O2267">
        <v>47.5</v>
      </c>
      <c r="P2267">
        <v>46.5</v>
      </c>
      <c r="Q2267">
        <v>53.5</v>
      </c>
    </row>
    <row r="2268" spans="1:17" x14ac:dyDescent="0.25">
      <c r="A2268" s="2">
        <v>45000</v>
      </c>
      <c r="B2268" s="2" t="str">
        <f t="shared" si="70"/>
        <v>Wednesday</v>
      </c>
      <c r="C2268" s="2" t="b">
        <f t="shared" si="71"/>
        <v>0</v>
      </c>
      <c r="D2268">
        <v>4</v>
      </c>
      <c r="E2268" t="s">
        <v>8</v>
      </c>
      <c r="F2268">
        <v>168</v>
      </c>
      <c r="G2268" s="3">
        <v>2538.21</v>
      </c>
      <c r="H2268" s="3">
        <f>Miami_Retail[[#This Row],[sales_usd]] / Miami_Retail[[#This Row],[customers]]</f>
        <v>15.108392857142857</v>
      </c>
      <c r="I2268">
        <v>66.900000000000006</v>
      </c>
      <c r="J2268">
        <f>(Miami_Retail[[#This Row],[avg_temp_f]]-32) * (5/9)</f>
        <v>19.388888888888893</v>
      </c>
      <c r="K2268">
        <v>0</v>
      </c>
      <c r="L2268">
        <v>0</v>
      </c>
      <c r="M2268">
        <v>35</v>
      </c>
      <c r="N2268">
        <v>50.5</v>
      </c>
      <c r="O2268">
        <v>49.5</v>
      </c>
      <c r="P2268">
        <v>47.9</v>
      </c>
      <c r="Q2268">
        <v>52.1</v>
      </c>
    </row>
    <row r="2269" spans="1:17" x14ac:dyDescent="0.25">
      <c r="A2269" s="2">
        <v>45001</v>
      </c>
      <c r="B2269" s="2" t="str">
        <f t="shared" si="70"/>
        <v>Thursday</v>
      </c>
      <c r="C2269" s="2" t="b">
        <f t="shared" si="71"/>
        <v>0</v>
      </c>
      <c r="D2269">
        <v>4</v>
      </c>
      <c r="E2269" t="s">
        <v>8</v>
      </c>
      <c r="F2269">
        <v>168</v>
      </c>
      <c r="G2269" s="3">
        <v>2629.34</v>
      </c>
      <c r="H2269" s="3">
        <f>Miami_Retail[[#This Row],[sales_usd]] / Miami_Retail[[#This Row],[customers]]</f>
        <v>15.650833333333335</v>
      </c>
      <c r="I2269">
        <v>72.3</v>
      </c>
      <c r="J2269">
        <f>(Miami_Retail[[#This Row],[avg_temp_f]]-32) * (5/9)</f>
        <v>22.388888888888889</v>
      </c>
      <c r="K2269">
        <v>0</v>
      </c>
      <c r="L2269">
        <v>0</v>
      </c>
      <c r="M2269">
        <v>35</v>
      </c>
      <c r="N2269">
        <v>51.4</v>
      </c>
      <c r="O2269">
        <v>48.6</v>
      </c>
      <c r="P2269">
        <v>47.1</v>
      </c>
      <c r="Q2269">
        <v>52.9</v>
      </c>
    </row>
    <row r="2270" spans="1:17" x14ac:dyDescent="0.25">
      <c r="A2270" s="2">
        <v>45002</v>
      </c>
      <c r="B2270" s="2" t="str">
        <f t="shared" si="70"/>
        <v>Friday</v>
      </c>
      <c r="C2270" s="2" t="b">
        <f t="shared" si="71"/>
        <v>0</v>
      </c>
      <c r="D2270">
        <v>4</v>
      </c>
      <c r="E2270" t="s">
        <v>8</v>
      </c>
      <c r="F2270">
        <v>191</v>
      </c>
      <c r="G2270" s="3">
        <v>2953.97</v>
      </c>
      <c r="H2270" s="3">
        <f>Miami_Retail[[#This Row],[sales_usd]] / Miami_Retail[[#This Row],[customers]]</f>
        <v>15.465811518324607</v>
      </c>
      <c r="I2270">
        <v>65</v>
      </c>
      <c r="J2270">
        <f>(Miami_Retail[[#This Row],[avg_temp_f]]-32) * (5/9)</f>
        <v>18.333333333333336</v>
      </c>
      <c r="K2270">
        <v>0</v>
      </c>
      <c r="L2270">
        <v>0</v>
      </c>
      <c r="M2270">
        <v>39.700000000000003</v>
      </c>
      <c r="N2270">
        <v>51.9</v>
      </c>
      <c r="O2270">
        <v>48.1</v>
      </c>
      <c r="P2270">
        <v>47.6</v>
      </c>
      <c r="Q2270">
        <v>52.4</v>
      </c>
    </row>
    <row r="2271" spans="1:17" x14ac:dyDescent="0.25">
      <c r="A2271" s="2">
        <v>45003</v>
      </c>
      <c r="B2271" s="2" t="str">
        <f t="shared" si="70"/>
        <v>Saturday</v>
      </c>
      <c r="C2271" s="2" t="b">
        <f t="shared" si="71"/>
        <v>1</v>
      </c>
      <c r="D2271">
        <v>4</v>
      </c>
      <c r="E2271" t="s">
        <v>8</v>
      </c>
      <c r="F2271">
        <v>178</v>
      </c>
      <c r="G2271" s="3">
        <v>2692.24</v>
      </c>
      <c r="H2271" s="3">
        <f>Miami_Retail[[#This Row],[sales_usd]] / Miami_Retail[[#This Row],[customers]]</f>
        <v>15.124943820224718</v>
      </c>
      <c r="I2271">
        <v>62.4</v>
      </c>
      <c r="J2271">
        <f>(Miami_Retail[[#This Row],[avg_temp_f]]-32) * (5/9)</f>
        <v>16.888888888888889</v>
      </c>
      <c r="K2271">
        <v>2.29</v>
      </c>
      <c r="L2271">
        <v>1</v>
      </c>
      <c r="M2271">
        <v>35</v>
      </c>
      <c r="N2271">
        <v>53.2</v>
      </c>
      <c r="O2271">
        <v>46.8</v>
      </c>
      <c r="P2271">
        <v>52.2</v>
      </c>
      <c r="Q2271">
        <v>47.8</v>
      </c>
    </row>
    <row r="2272" spans="1:17" x14ac:dyDescent="0.25">
      <c r="A2272" s="2">
        <v>45004</v>
      </c>
      <c r="B2272" s="2" t="str">
        <f t="shared" si="70"/>
        <v>Sunday</v>
      </c>
      <c r="C2272" s="2" t="b">
        <f t="shared" si="71"/>
        <v>1</v>
      </c>
      <c r="D2272">
        <v>4</v>
      </c>
      <c r="E2272" t="s">
        <v>8</v>
      </c>
      <c r="F2272">
        <v>197</v>
      </c>
      <c r="G2272" s="3">
        <v>2868.1</v>
      </c>
      <c r="H2272" s="3">
        <f>Miami_Retail[[#This Row],[sales_usd]] / Miami_Retail[[#This Row],[customers]]</f>
        <v>14.558883248730965</v>
      </c>
      <c r="I2272">
        <v>64.3</v>
      </c>
      <c r="J2272">
        <f>(Miami_Retail[[#This Row],[avg_temp_f]]-32) * (5/9)</f>
        <v>17.944444444444443</v>
      </c>
      <c r="K2272">
        <v>0</v>
      </c>
      <c r="L2272">
        <v>0</v>
      </c>
      <c r="M2272">
        <v>35</v>
      </c>
      <c r="N2272">
        <v>51.9</v>
      </c>
      <c r="O2272">
        <v>48.1</v>
      </c>
      <c r="P2272">
        <v>52.8</v>
      </c>
      <c r="Q2272">
        <v>47.2</v>
      </c>
    </row>
    <row r="2273" spans="1:17" x14ac:dyDescent="0.25">
      <c r="A2273" s="2">
        <v>45005</v>
      </c>
      <c r="B2273" s="2" t="str">
        <f t="shared" si="70"/>
        <v>Monday</v>
      </c>
      <c r="C2273" s="2" t="b">
        <f t="shared" si="71"/>
        <v>0</v>
      </c>
      <c r="D2273">
        <v>4</v>
      </c>
      <c r="E2273" t="s">
        <v>8</v>
      </c>
      <c r="F2273">
        <v>175</v>
      </c>
      <c r="G2273" s="3">
        <v>2901.6</v>
      </c>
      <c r="H2273" s="3">
        <f>Miami_Retail[[#This Row],[sales_usd]] / Miami_Retail[[#This Row],[customers]]</f>
        <v>16.580571428571428</v>
      </c>
      <c r="I2273">
        <v>68.8</v>
      </c>
      <c r="J2273">
        <f>(Miami_Retail[[#This Row],[avg_temp_f]]-32) * (5/9)</f>
        <v>20.444444444444443</v>
      </c>
      <c r="K2273">
        <v>0.67</v>
      </c>
      <c r="L2273">
        <v>1</v>
      </c>
      <c r="M2273">
        <v>38.700000000000003</v>
      </c>
      <c r="N2273">
        <v>52.6</v>
      </c>
      <c r="O2273">
        <v>47.4</v>
      </c>
      <c r="P2273">
        <v>47.3</v>
      </c>
      <c r="Q2273">
        <v>52.7</v>
      </c>
    </row>
    <row r="2274" spans="1:17" x14ac:dyDescent="0.25">
      <c r="A2274" s="2">
        <v>45006</v>
      </c>
      <c r="B2274" s="2" t="str">
        <f t="shared" si="70"/>
        <v>Tuesday</v>
      </c>
      <c r="C2274" s="2" t="b">
        <f t="shared" si="71"/>
        <v>0</v>
      </c>
      <c r="D2274">
        <v>4</v>
      </c>
      <c r="E2274" t="s">
        <v>8</v>
      </c>
      <c r="F2274">
        <v>138</v>
      </c>
      <c r="G2274" s="3">
        <v>2128.66</v>
      </c>
      <c r="H2274" s="3">
        <f>Miami_Retail[[#This Row],[sales_usd]] / Miami_Retail[[#This Row],[customers]]</f>
        <v>15.425072463768116</v>
      </c>
      <c r="I2274">
        <v>69.8</v>
      </c>
      <c r="J2274">
        <f>(Miami_Retail[[#This Row],[avg_temp_f]]-32) * (5/9)</f>
        <v>21</v>
      </c>
      <c r="K2274">
        <v>0</v>
      </c>
      <c r="L2274">
        <v>0</v>
      </c>
      <c r="M2274">
        <v>39.299999999999997</v>
      </c>
      <c r="N2274">
        <v>53.8</v>
      </c>
      <c r="O2274">
        <v>46.2</v>
      </c>
      <c r="P2274">
        <v>48.2</v>
      </c>
      <c r="Q2274">
        <v>51.8</v>
      </c>
    </row>
    <row r="2275" spans="1:17" x14ac:dyDescent="0.25">
      <c r="A2275" s="2">
        <v>45007</v>
      </c>
      <c r="B2275" s="2" t="str">
        <f t="shared" si="70"/>
        <v>Wednesday</v>
      </c>
      <c r="C2275" s="2" t="b">
        <f t="shared" si="71"/>
        <v>0</v>
      </c>
      <c r="D2275">
        <v>4</v>
      </c>
      <c r="E2275" t="s">
        <v>8</v>
      </c>
      <c r="F2275">
        <v>158</v>
      </c>
      <c r="G2275" s="3">
        <v>2516.33</v>
      </c>
      <c r="H2275" s="3">
        <f>Miami_Retail[[#This Row],[sales_usd]] / Miami_Retail[[#This Row],[customers]]</f>
        <v>15.926139240506329</v>
      </c>
      <c r="I2275">
        <v>60.4</v>
      </c>
      <c r="J2275">
        <f>(Miami_Retail[[#This Row],[avg_temp_f]]-32) * (5/9)</f>
        <v>15.777777777777779</v>
      </c>
      <c r="K2275">
        <v>0</v>
      </c>
      <c r="L2275">
        <v>0</v>
      </c>
      <c r="M2275">
        <v>35</v>
      </c>
      <c r="N2275">
        <v>53.6</v>
      </c>
      <c r="O2275">
        <v>46.4</v>
      </c>
      <c r="P2275">
        <v>46.4</v>
      </c>
      <c r="Q2275">
        <v>53.6</v>
      </c>
    </row>
    <row r="2276" spans="1:17" x14ac:dyDescent="0.25">
      <c r="A2276" s="2">
        <v>45008</v>
      </c>
      <c r="B2276" s="2" t="str">
        <f t="shared" si="70"/>
        <v>Thursday</v>
      </c>
      <c r="C2276" s="2" t="b">
        <f t="shared" si="71"/>
        <v>0</v>
      </c>
      <c r="D2276">
        <v>4</v>
      </c>
      <c r="E2276" t="s">
        <v>8</v>
      </c>
      <c r="F2276">
        <v>156</v>
      </c>
      <c r="G2276" s="3">
        <v>2423.88</v>
      </c>
      <c r="H2276" s="3">
        <f>Miami_Retail[[#This Row],[sales_usd]] / Miami_Retail[[#This Row],[customers]]</f>
        <v>15.537692307692309</v>
      </c>
      <c r="I2276">
        <v>67.900000000000006</v>
      </c>
      <c r="J2276">
        <f>(Miami_Retail[[#This Row],[avg_temp_f]]-32) * (5/9)</f>
        <v>19.94444444444445</v>
      </c>
      <c r="K2276">
        <v>0</v>
      </c>
      <c r="L2276">
        <v>0</v>
      </c>
      <c r="M2276">
        <v>38.200000000000003</v>
      </c>
      <c r="N2276">
        <v>52.9</v>
      </c>
      <c r="O2276">
        <v>47.1</v>
      </c>
      <c r="P2276">
        <v>48.6</v>
      </c>
      <c r="Q2276">
        <v>51.4</v>
      </c>
    </row>
    <row r="2277" spans="1:17" x14ac:dyDescent="0.25">
      <c r="A2277" s="2">
        <v>45009</v>
      </c>
      <c r="B2277" s="2" t="str">
        <f t="shared" si="70"/>
        <v>Friday</v>
      </c>
      <c r="C2277" s="2" t="b">
        <f t="shared" si="71"/>
        <v>0</v>
      </c>
      <c r="D2277">
        <v>4</v>
      </c>
      <c r="E2277" t="s">
        <v>8</v>
      </c>
      <c r="F2277">
        <v>143</v>
      </c>
      <c r="G2277" s="3">
        <v>2327.87</v>
      </c>
      <c r="H2277" s="3">
        <f>Miami_Retail[[#This Row],[sales_usd]] / Miami_Retail[[#This Row],[customers]]</f>
        <v>16.278811188811186</v>
      </c>
      <c r="I2277">
        <v>63.6</v>
      </c>
      <c r="J2277">
        <f>(Miami_Retail[[#This Row],[avg_temp_f]]-32) * (5/9)</f>
        <v>17.555555555555557</v>
      </c>
      <c r="K2277">
        <v>0</v>
      </c>
      <c r="L2277">
        <v>0</v>
      </c>
      <c r="M2277">
        <v>39.299999999999997</v>
      </c>
      <c r="N2277">
        <v>53.2</v>
      </c>
      <c r="O2277">
        <v>46.8</v>
      </c>
      <c r="P2277">
        <v>47</v>
      </c>
      <c r="Q2277">
        <v>53</v>
      </c>
    </row>
    <row r="2278" spans="1:17" x14ac:dyDescent="0.25">
      <c r="A2278" s="2">
        <v>45010</v>
      </c>
      <c r="B2278" s="2" t="str">
        <f t="shared" si="70"/>
        <v>Saturday</v>
      </c>
      <c r="C2278" s="2" t="b">
        <f t="shared" si="71"/>
        <v>1</v>
      </c>
      <c r="D2278">
        <v>4</v>
      </c>
      <c r="E2278" t="s">
        <v>8</v>
      </c>
      <c r="F2278">
        <v>167</v>
      </c>
      <c r="G2278" s="3">
        <v>2436.91</v>
      </c>
      <c r="H2278" s="3">
        <f>Miami_Retail[[#This Row],[sales_usd]] / Miami_Retail[[#This Row],[customers]]</f>
        <v>14.592275449101795</v>
      </c>
      <c r="I2278">
        <v>61.9</v>
      </c>
      <c r="J2278">
        <f>(Miami_Retail[[#This Row],[avg_temp_f]]-32) * (5/9)</f>
        <v>16.611111111111111</v>
      </c>
      <c r="K2278">
        <v>0</v>
      </c>
      <c r="L2278">
        <v>0</v>
      </c>
      <c r="M2278">
        <v>41.9</v>
      </c>
      <c r="N2278">
        <v>51</v>
      </c>
      <c r="O2278">
        <v>49</v>
      </c>
      <c r="P2278">
        <v>52.7</v>
      </c>
      <c r="Q2278">
        <v>47.3</v>
      </c>
    </row>
    <row r="2279" spans="1:17" x14ac:dyDescent="0.25">
      <c r="A2279" s="2">
        <v>45011</v>
      </c>
      <c r="B2279" s="2" t="str">
        <f t="shared" si="70"/>
        <v>Sunday</v>
      </c>
      <c r="C2279" s="2" t="b">
        <f t="shared" si="71"/>
        <v>1</v>
      </c>
      <c r="D2279">
        <v>4</v>
      </c>
      <c r="E2279" t="s">
        <v>8</v>
      </c>
      <c r="F2279">
        <v>199</v>
      </c>
      <c r="G2279" s="3">
        <v>3212.74</v>
      </c>
      <c r="H2279" s="3">
        <f>Miami_Retail[[#This Row],[sales_usd]] / Miami_Retail[[#This Row],[customers]]</f>
        <v>16.144422110552764</v>
      </c>
      <c r="I2279">
        <v>66.5</v>
      </c>
      <c r="J2279">
        <f>(Miami_Retail[[#This Row],[avg_temp_f]]-32) * (5/9)</f>
        <v>19.166666666666668</v>
      </c>
      <c r="K2279">
        <v>0</v>
      </c>
      <c r="L2279">
        <v>0</v>
      </c>
      <c r="M2279">
        <v>35</v>
      </c>
      <c r="N2279">
        <v>52.6</v>
      </c>
      <c r="O2279">
        <v>47.4</v>
      </c>
      <c r="P2279">
        <v>53.1</v>
      </c>
      <c r="Q2279">
        <v>46.9</v>
      </c>
    </row>
    <row r="2280" spans="1:17" x14ac:dyDescent="0.25">
      <c r="A2280" s="2">
        <v>45012</v>
      </c>
      <c r="B2280" s="2" t="str">
        <f t="shared" si="70"/>
        <v>Monday</v>
      </c>
      <c r="C2280" s="2" t="b">
        <f t="shared" si="71"/>
        <v>0</v>
      </c>
      <c r="D2280">
        <v>4</v>
      </c>
      <c r="E2280" t="s">
        <v>8</v>
      </c>
      <c r="F2280">
        <v>136</v>
      </c>
      <c r="G2280" s="3">
        <v>2109.86</v>
      </c>
      <c r="H2280" s="3">
        <f>Miami_Retail[[#This Row],[sales_usd]] / Miami_Retail[[#This Row],[customers]]</f>
        <v>15.513676470588237</v>
      </c>
      <c r="I2280">
        <v>67.8</v>
      </c>
      <c r="J2280">
        <f>(Miami_Retail[[#This Row],[avg_temp_f]]-32) * (5/9)</f>
        <v>19.888888888888889</v>
      </c>
      <c r="K2280">
        <v>0</v>
      </c>
      <c r="L2280">
        <v>0</v>
      </c>
      <c r="M2280">
        <v>38.299999999999997</v>
      </c>
      <c r="N2280">
        <v>53.3</v>
      </c>
      <c r="O2280">
        <v>46.7</v>
      </c>
      <c r="P2280">
        <v>47.5</v>
      </c>
      <c r="Q2280">
        <v>52.5</v>
      </c>
    </row>
    <row r="2281" spans="1:17" x14ac:dyDescent="0.25">
      <c r="A2281" s="2">
        <v>45013</v>
      </c>
      <c r="B2281" s="2" t="str">
        <f t="shared" si="70"/>
        <v>Tuesday</v>
      </c>
      <c r="C2281" s="2" t="b">
        <f t="shared" si="71"/>
        <v>0</v>
      </c>
      <c r="D2281">
        <v>4</v>
      </c>
      <c r="E2281" t="s">
        <v>8</v>
      </c>
      <c r="F2281">
        <v>149</v>
      </c>
      <c r="G2281" s="3">
        <v>2302.79</v>
      </c>
      <c r="H2281" s="3">
        <f>Miami_Retail[[#This Row],[sales_usd]] / Miami_Retail[[#This Row],[customers]]</f>
        <v>15.454966442953021</v>
      </c>
      <c r="I2281">
        <v>62.2</v>
      </c>
      <c r="J2281">
        <f>(Miami_Retail[[#This Row],[avg_temp_f]]-32) * (5/9)</f>
        <v>16.777777777777779</v>
      </c>
      <c r="K2281">
        <v>0</v>
      </c>
      <c r="L2281">
        <v>0</v>
      </c>
      <c r="M2281">
        <v>43.5</v>
      </c>
      <c r="N2281">
        <v>52.2</v>
      </c>
      <c r="O2281">
        <v>47.8</v>
      </c>
      <c r="P2281">
        <v>47.7</v>
      </c>
      <c r="Q2281">
        <v>52.3</v>
      </c>
    </row>
    <row r="2282" spans="1:17" x14ac:dyDescent="0.25">
      <c r="A2282" s="2">
        <v>45014</v>
      </c>
      <c r="B2282" s="2" t="str">
        <f t="shared" si="70"/>
        <v>Wednesday</v>
      </c>
      <c r="C2282" s="2" t="b">
        <f t="shared" si="71"/>
        <v>0</v>
      </c>
      <c r="D2282">
        <v>4</v>
      </c>
      <c r="E2282" t="s">
        <v>8</v>
      </c>
      <c r="F2282">
        <v>181</v>
      </c>
      <c r="G2282" s="3">
        <v>2948.08</v>
      </c>
      <c r="H2282" s="3">
        <f>Miami_Retail[[#This Row],[sales_usd]] / Miami_Retail[[#This Row],[customers]]</f>
        <v>16.287734806629835</v>
      </c>
      <c r="I2282">
        <v>62.5</v>
      </c>
      <c r="J2282">
        <f>(Miami_Retail[[#This Row],[avg_temp_f]]-32) * (5/9)</f>
        <v>16.944444444444446</v>
      </c>
      <c r="K2282">
        <v>0</v>
      </c>
      <c r="L2282">
        <v>0</v>
      </c>
      <c r="M2282">
        <v>39.200000000000003</v>
      </c>
      <c r="N2282">
        <v>52.5</v>
      </c>
      <c r="O2282">
        <v>47.5</v>
      </c>
      <c r="P2282">
        <v>45.7</v>
      </c>
      <c r="Q2282">
        <v>54.3</v>
      </c>
    </row>
    <row r="2283" spans="1:17" x14ac:dyDescent="0.25">
      <c r="A2283" s="2">
        <v>45015</v>
      </c>
      <c r="B2283" s="2" t="str">
        <f t="shared" si="70"/>
        <v>Thursday</v>
      </c>
      <c r="C2283" s="2" t="b">
        <f t="shared" si="71"/>
        <v>0</v>
      </c>
      <c r="D2283">
        <v>4</v>
      </c>
      <c r="E2283" t="s">
        <v>8</v>
      </c>
      <c r="F2283">
        <v>161</v>
      </c>
      <c r="G2283" s="3">
        <v>2662.72</v>
      </c>
      <c r="H2283" s="3">
        <f>Miami_Retail[[#This Row],[sales_usd]] / Miami_Retail[[#This Row],[customers]]</f>
        <v>16.538633540372668</v>
      </c>
      <c r="I2283">
        <v>70.3</v>
      </c>
      <c r="J2283">
        <f>(Miami_Retail[[#This Row],[avg_temp_f]]-32) * (5/9)</f>
        <v>21.277777777777779</v>
      </c>
      <c r="K2283">
        <v>0</v>
      </c>
      <c r="L2283">
        <v>0</v>
      </c>
      <c r="M2283">
        <v>40.5</v>
      </c>
      <c r="N2283">
        <v>52.7</v>
      </c>
      <c r="O2283">
        <v>47.3</v>
      </c>
      <c r="P2283">
        <v>45.7</v>
      </c>
      <c r="Q2283">
        <v>54.3</v>
      </c>
    </row>
    <row r="2284" spans="1:17" x14ac:dyDescent="0.25">
      <c r="A2284" s="2">
        <v>45016</v>
      </c>
      <c r="B2284" s="2" t="str">
        <f t="shared" si="70"/>
        <v>Friday</v>
      </c>
      <c r="C2284" s="2" t="b">
        <f t="shared" si="71"/>
        <v>0</v>
      </c>
      <c r="D2284">
        <v>4</v>
      </c>
      <c r="E2284" t="s">
        <v>8</v>
      </c>
      <c r="F2284">
        <v>159</v>
      </c>
      <c r="G2284" s="3">
        <v>2774.07</v>
      </c>
      <c r="H2284" s="3">
        <f>Miami_Retail[[#This Row],[sales_usd]] / Miami_Retail[[#This Row],[customers]]</f>
        <v>17.446981132075472</v>
      </c>
      <c r="I2284">
        <v>66.5</v>
      </c>
      <c r="J2284">
        <f>(Miami_Retail[[#This Row],[avg_temp_f]]-32) * (5/9)</f>
        <v>19.166666666666668</v>
      </c>
      <c r="K2284">
        <v>0</v>
      </c>
      <c r="L2284">
        <v>0</v>
      </c>
      <c r="M2284">
        <v>42.4</v>
      </c>
      <c r="N2284">
        <v>51.8</v>
      </c>
      <c r="O2284">
        <v>48.2</v>
      </c>
      <c r="P2284">
        <v>47.2</v>
      </c>
      <c r="Q2284">
        <v>52.8</v>
      </c>
    </row>
    <row r="2285" spans="1:17" x14ac:dyDescent="0.25">
      <c r="A2285" s="2">
        <v>45017</v>
      </c>
      <c r="B2285" s="2" t="str">
        <f t="shared" si="70"/>
        <v>Saturday</v>
      </c>
      <c r="C2285" s="2" t="b">
        <f t="shared" si="71"/>
        <v>1</v>
      </c>
      <c r="D2285">
        <v>4</v>
      </c>
      <c r="E2285" t="s">
        <v>8</v>
      </c>
      <c r="F2285">
        <v>218</v>
      </c>
      <c r="G2285" s="3">
        <v>3227.26</v>
      </c>
      <c r="H2285" s="3">
        <f>Miami_Retail[[#This Row],[sales_usd]] / Miami_Retail[[#This Row],[customers]]</f>
        <v>14.803944954128442</v>
      </c>
      <c r="I2285">
        <v>65.8</v>
      </c>
      <c r="J2285">
        <f>(Miami_Retail[[#This Row],[avg_temp_f]]-32) * (5/9)</f>
        <v>18.777777777777779</v>
      </c>
      <c r="K2285">
        <v>0</v>
      </c>
      <c r="L2285">
        <v>0</v>
      </c>
      <c r="M2285">
        <v>37</v>
      </c>
      <c r="N2285">
        <v>50.9</v>
      </c>
      <c r="O2285">
        <v>49.1</v>
      </c>
      <c r="P2285">
        <v>53.4</v>
      </c>
      <c r="Q2285">
        <v>46.6</v>
      </c>
    </row>
    <row r="2286" spans="1:17" x14ac:dyDescent="0.25">
      <c r="A2286" s="2">
        <v>45018</v>
      </c>
      <c r="B2286" s="2" t="str">
        <f t="shared" si="70"/>
        <v>Sunday</v>
      </c>
      <c r="C2286" s="2" t="b">
        <f t="shared" si="71"/>
        <v>1</v>
      </c>
      <c r="D2286">
        <v>4</v>
      </c>
      <c r="E2286" t="s">
        <v>8</v>
      </c>
      <c r="F2286">
        <v>172</v>
      </c>
      <c r="G2286" s="3">
        <v>2804.81</v>
      </c>
      <c r="H2286" s="3">
        <f>Miami_Retail[[#This Row],[sales_usd]] / Miami_Retail[[#This Row],[customers]]</f>
        <v>16.307034883720931</v>
      </c>
      <c r="I2286">
        <v>67.099999999999994</v>
      </c>
      <c r="J2286">
        <f>(Miami_Retail[[#This Row],[avg_temp_f]]-32) * (5/9)</f>
        <v>19.499999999999996</v>
      </c>
      <c r="K2286">
        <v>0</v>
      </c>
      <c r="L2286">
        <v>0</v>
      </c>
      <c r="M2286">
        <v>35</v>
      </c>
      <c r="N2286">
        <v>51.6</v>
      </c>
      <c r="O2286">
        <v>48.4</v>
      </c>
      <c r="P2286">
        <v>52.3</v>
      </c>
      <c r="Q2286">
        <v>47.7</v>
      </c>
    </row>
    <row r="2287" spans="1:17" x14ac:dyDescent="0.25">
      <c r="A2287" s="2">
        <v>45019</v>
      </c>
      <c r="B2287" s="2" t="str">
        <f t="shared" si="70"/>
        <v>Monday</v>
      </c>
      <c r="C2287" s="2" t="b">
        <f t="shared" si="71"/>
        <v>0</v>
      </c>
      <c r="D2287">
        <v>4</v>
      </c>
      <c r="E2287" t="s">
        <v>8</v>
      </c>
      <c r="F2287">
        <v>164</v>
      </c>
      <c r="G2287" s="3">
        <v>2374.7199999999998</v>
      </c>
      <c r="H2287" s="3">
        <f>Miami_Retail[[#This Row],[sales_usd]] / Miami_Retail[[#This Row],[customers]]</f>
        <v>14.479999999999999</v>
      </c>
      <c r="I2287">
        <v>70.5</v>
      </c>
      <c r="J2287">
        <f>(Miami_Retail[[#This Row],[avg_temp_f]]-32) * (5/9)</f>
        <v>21.388888888888889</v>
      </c>
      <c r="K2287">
        <v>0</v>
      </c>
      <c r="L2287">
        <v>0</v>
      </c>
      <c r="M2287">
        <v>44</v>
      </c>
      <c r="N2287">
        <v>53.3</v>
      </c>
      <c r="O2287">
        <v>46.7</v>
      </c>
      <c r="P2287">
        <v>46.2</v>
      </c>
      <c r="Q2287">
        <v>53.8</v>
      </c>
    </row>
    <row r="2288" spans="1:17" x14ac:dyDescent="0.25">
      <c r="A2288" s="2">
        <v>45020</v>
      </c>
      <c r="B2288" s="2" t="str">
        <f t="shared" si="70"/>
        <v>Tuesday</v>
      </c>
      <c r="C2288" s="2" t="b">
        <f t="shared" si="71"/>
        <v>0</v>
      </c>
      <c r="D2288">
        <v>4</v>
      </c>
      <c r="E2288" t="s">
        <v>8</v>
      </c>
      <c r="F2288">
        <v>161</v>
      </c>
      <c r="G2288" s="3">
        <v>2324.92</v>
      </c>
      <c r="H2288" s="3">
        <f>Miami_Retail[[#This Row],[sales_usd]] / Miami_Retail[[#This Row],[customers]]</f>
        <v>14.440496894409938</v>
      </c>
      <c r="I2288">
        <v>68</v>
      </c>
      <c r="J2288">
        <f>(Miami_Retail[[#This Row],[avg_temp_f]]-32) * (5/9)</f>
        <v>20</v>
      </c>
      <c r="K2288">
        <v>0.17</v>
      </c>
      <c r="L2288">
        <v>1</v>
      </c>
      <c r="M2288">
        <v>38.1</v>
      </c>
      <c r="N2288">
        <v>50.9</v>
      </c>
      <c r="O2288">
        <v>49.1</v>
      </c>
      <c r="P2288">
        <v>46.7</v>
      </c>
      <c r="Q2288">
        <v>53.3</v>
      </c>
    </row>
    <row r="2289" spans="1:17" x14ac:dyDescent="0.25">
      <c r="A2289" s="2">
        <v>45021</v>
      </c>
      <c r="B2289" s="2" t="str">
        <f t="shared" si="70"/>
        <v>Wednesday</v>
      </c>
      <c r="C2289" s="2" t="b">
        <f t="shared" si="71"/>
        <v>0</v>
      </c>
      <c r="D2289">
        <v>4</v>
      </c>
      <c r="E2289" t="s">
        <v>8</v>
      </c>
      <c r="F2289">
        <v>136</v>
      </c>
      <c r="G2289" s="3">
        <v>2247.9</v>
      </c>
      <c r="H2289" s="3">
        <f>Miami_Retail[[#This Row],[sales_usd]] / Miami_Retail[[#This Row],[customers]]</f>
        <v>16.528676470588238</v>
      </c>
      <c r="I2289">
        <v>62.9</v>
      </c>
      <c r="J2289">
        <f>(Miami_Retail[[#This Row],[avg_temp_f]]-32) * (5/9)</f>
        <v>17.166666666666668</v>
      </c>
      <c r="K2289">
        <v>0</v>
      </c>
      <c r="L2289">
        <v>0</v>
      </c>
      <c r="M2289">
        <v>45.5</v>
      </c>
      <c r="N2289">
        <v>53.3</v>
      </c>
      <c r="O2289">
        <v>46.7</v>
      </c>
      <c r="P2289">
        <v>47.7</v>
      </c>
      <c r="Q2289">
        <v>52.3</v>
      </c>
    </row>
    <row r="2290" spans="1:17" x14ac:dyDescent="0.25">
      <c r="A2290" s="2">
        <v>45022</v>
      </c>
      <c r="B2290" s="2" t="str">
        <f t="shared" si="70"/>
        <v>Thursday</v>
      </c>
      <c r="C2290" s="2" t="b">
        <f t="shared" si="71"/>
        <v>0</v>
      </c>
      <c r="D2290">
        <v>4</v>
      </c>
      <c r="E2290" t="s">
        <v>8</v>
      </c>
      <c r="F2290">
        <v>148</v>
      </c>
      <c r="G2290" s="3">
        <v>2046.18</v>
      </c>
      <c r="H2290" s="3">
        <f>Miami_Retail[[#This Row],[sales_usd]] / Miami_Retail[[#This Row],[customers]]</f>
        <v>13.82554054054054</v>
      </c>
      <c r="I2290">
        <v>62.9</v>
      </c>
      <c r="J2290">
        <f>(Miami_Retail[[#This Row],[avg_temp_f]]-32) * (5/9)</f>
        <v>17.166666666666668</v>
      </c>
      <c r="K2290">
        <v>0</v>
      </c>
      <c r="L2290">
        <v>0</v>
      </c>
      <c r="M2290">
        <v>36.9</v>
      </c>
      <c r="N2290">
        <v>51.2</v>
      </c>
      <c r="O2290">
        <v>48.8</v>
      </c>
      <c r="P2290">
        <v>47.4</v>
      </c>
      <c r="Q2290">
        <v>52.6</v>
      </c>
    </row>
    <row r="2291" spans="1:17" x14ac:dyDescent="0.25">
      <c r="A2291" s="2">
        <v>45023</v>
      </c>
      <c r="B2291" s="2" t="str">
        <f t="shared" si="70"/>
        <v>Friday</v>
      </c>
      <c r="C2291" s="2" t="b">
        <f t="shared" si="71"/>
        <v>0</v>
      </c>
      <c r="D2291">
        <v>4</v>
      </c>
      <c r="E2291" t="s">
        <v>8</v>
      </c>
      <c r="F2291">
        <v>185</v>
      </c>
      <c r="G2291" s="3">
        <v>2881.94</v>
      </c>
      <c r="H2291" s="3">
        <f>Miami_Retail[[#This Row],[sales_usd]] / Miami_Retail[[#This Row],[customers]]</f>
        <v>15.578054054054054</v>
      </c>
      <c r="I2291">
        <v>65.3</v>
      </c>
      <c r="J2291">
        <f>(Miami_Retail[[#This Row],[avg_temp_f]]-32) * (5/9)</f>
        <v>18.5</v>
      </c>
      <c r="K2291">
        <v>0</v>
      </c>
      <c r="L2291">
        <v>0</v>
      </c>
      <c r="M2291">
        <v>35.4</v>
      </c>
      <c r="N2291">
        <v>51.6</v>
      </c>
      <c r="O2291">
        <v>48.4</v>
      </c>
      <c r="P2291">
        <v>48.5</v>
      </c>
      <c r="Q2291">
        <v>51.5</v>
      </c>
    </row>
    <row r="2292" spans="1:17" x14ac:dyDescent="0.25">
      <c r="A2292" s="2">
        <v>45024</v>
      </c>
      <c r="B2292" s="2" t="str">
        <f t="shared" si="70"/>
        <v>Saturday</v>
      </c>
      <c r="C2292" s="2" t="b">
        <f t="shared" si="71"/>
        <v>1</v>
      </c>
      <c r="D2292">
        <v>4</v>
      </c>
      <c r="E2292" t="s">
        <v>8</v>
      </c>
      <c r="F2292">
        <v>206</v>
      </c>
      <c r="G2292" s="3">
        <v>2931.53</v>
      </c>
      <c r="H2292" s="3">
        <f>Miami_Retail[[#This Row],[sales_usd]] / Miami_Retail[[#This Row],[customers]]</f>
        <v>14.230728155339806</v>
      </c>
      <c r="I2292">
        <v>61.2</v>
      </c>
      <c r="J2292">
        <f>(Miami_Retail[[#This Row],[avg_temp_f]]-32) * (5/9)</f>
        <v>16.222222222222225</v>
      </c>
      <c r="K2292">
        <v>0</v>
      </c>
      <c r="L2292">
        <v>0</v>
      </c>
      <c r="M2292">
        <v>38.4</v>
      </c>
      <c r="N2292">
        <v>50.8</v>
      </c>
      <c r="O2292">
        <v>49.2</v>
      </c>
      <c r="P2292">
        <v>54</v>
      </c>
      <c r="Q2292">
        <v>46</v>
      </c>
    </row>
    <row r="2293" spans="1:17" x14ac:dyDescent="0.25">
      <c r="A2293" s="2">
        <v>45025</v>
      </c>
      <c r="B2293" s="2" t="str">
        <f t="shared" si="70"/>
        <v>Sunday</v>
      </c>
      <c r="C2293" s="2" t="b">
        <f t="shared" si="71"/>
        <v>1</v>
      </c>
      <c r="D2293">
        <v>4</v>
      </c>
      <c r="E2293" t="s">
        <v>8</v>
      </c>
      <c r="F2293">
        <v>203</v>
      </c>
      <c r="G2293" s="3">
        <v>2962.05</v>
      </c>
      <c r="H2293" s="3">
        <f>Miami_Retail[[#This Row],[sales_usd]] / Miami_Retail[[#This Row],[customers]]</f>
        <v>14.591379310344829</v>
      </c>
      <c r="I2293">
        <v>64.900000000000006</v>
      </c>
      <c r="J2293">
        <f>(Miami_Retail[[#This Row],[avg_temp_f]]-32) * (5/9)</f>
        <v>18.277777777777782</v>
      </c>
      <c r="K2293">
        <v>0</v>
      </c>
      <c r="L2293">
        <v>0</v>
      </c>
      <c r="M2293">
        <v>48</v>
      </c>
      <c r="N2293">
        <v>52.5</v>
      </c>
      <c r="O2293">
        <v>47.5</v>
      </c>
      <c r="P2293">
        <v>52.6</v>
      </c>
      <c r="Q2293">
        <v>47.4</v>
      </c>
    </row>
    <row r="2294" spans="1:17" x14ac:dyDescent="0.25">
      <c r="A2294" s="2">
        <v>45026</v>
      </c>
      <c r="B2294" s="2" t="str">
        <f t="shared" si="70"/>
        <v>Monday</v>
      </c>
      <c r="C2294" s="2" t="b">
        <f t="shared" si="71"/>
        <v>0</v>
      </c>
      <c r="D2294">
        <v>4</v>
      </c>
      <c r="E2294" t="s">
        <v>8</v>
      </c>
      <c r="F2294">
        <v>164</v>
      </c>
      <c r="G2294" s="3">
        <v>2701.26</v>
      </c>
      <c r="H2294" s="3">
        <f>Miami_Retail[[#This Row],[sales_usd]] / Miami_Retail[[#This Row],[customers]]</f>
        <v>16.471097560975611</v>
      </c>
      <c r="I2294">
        <v>63.2</v>
      </c>
      <c r="J2294">
        <f>(Miami_Retail[[#This Row],[avg_temp_f]]-32) * (5/9)</f>
        <v>17.333333333333336</v>
      </c>
      <c r="K2294">
        <v>0</v>
      </c>
      <c r="L2294">
        <v>0</v>
      </c>
      <c r="M2294">
        <v>35</v>
      </c>
      <c r="N2294">
        <v>52.4</v>
      </c>
      <c r="O2294">
        <v>47.6</v>
      </c>
      <c r="P2294">
        <v>49.3</v>
      </c>
      <c r="Q2294">
        <v>50.7</v>
      </c>
    </row>
    <row r="2295" spans="1:17" x14ac:dyDescent="0.25">
      <c r="A2295" s="2">
        <v>45027</v>
      </c>
      <c r="B2295" s="2" t="str">
        <f t="shared" si="70"/>
        <v>Tuesday</v>
      </c>
      <c r="C2295" s="2" t="b">
        <f t="shared" si="71"/>
        <v>0</v>
      </c>
      <c r="D2295">
        <v>4</v>
      </c>
      <c r="E2295" t="s">
        <v>8</v>
      </c>
      <c r="F2295">
        <v>139</v>
      </c>
      <c r="G2295" s="3">
        <v>2207.46</v>
      </c>
      <c r="H2295" s="3">
        <f>Miami_Retail[[#This Row],[sales_usd]] / Miami_Retail[[#This Row],[customers]]</f>
        <v>15.881007194244605</v>
      </c>
      <c r="I2295">
        <v>64.3</v>
      </c>
      <c r="J2295">
        <f>(Miami_Retail[[#This Row],[avg_temp_f]]-32) * (5/9)</f>
        <v>17.944444444444443</v>
      </c>
      <c r="K2295">
        <v>0</v>
      </c>
      <c r="L2295">
        <v>0</v>
      </c>
      <c r="M2295">
        <v>41.6</v>
      </c>
      <c r="N2295">
        <v>52.8</v>
      </c>
      <c r="O2295">
        <v>47.2</v>
      </c>
      <c r="P2295">
        <v>47.2</v>
      </c>
      <c r="Q2295">
        <v>52.8</v>
      </c>
    </row>
    <row r="2296" spans="1:17" x14ac:dyDescent="0.25">
      <c r="A2296" s="2">
        <v>45028</v>
      </c>
      <c r="B2296" s="2" t="str">
        <f t="shared" si="70"/>
        <v>Wednesday</v>
      </c>
      <c r="C2296" s="2" t="b">
        <f t="shared" si="71"/>
        <v>0</v>
      </c>
      <c r="D2296">
        <v>4</v>
      </c>
      <c r="E2296" t="s">
        <v>8</v>
      </c>
      <c r="F2296">
        <v>179</v>
      </c>
      <c r="G2296" s="3">
        <v>2676.78</v>
      </c>
      <c r="H2296" s="3">
        <f>Miami_Retail[[#This Row],[sales_usd]] / Miami_Retail[[#This Row],[customers]]</f>
        <v>14.954078212290504</v>
      </c>
      <c r="I2296">
        <v>71.099999999999994</v>
      </c>
      <c r="J2296">
        <f>(Miami_Retail[[#This Row],[avg_temp_f]]-32) * (5/9)</f>
        <v>21.722222222222221</v>
      </c>
      <c r="K2296">
        <v>0</v>
      </c>
      <c r="L2296">
        <v>0</v>
      </c>
      <c r="M2296">
        <v>35</v>
      </c>
      <c r="N2296">
        <v>51.3</v>
      </c>
      <c r="O2296">
        <v>48.7</v>
      </c>
      <c r="P2296">
        <v>48.3</v>
      </c>
      <c r="Q2296">
        <v>51.7</v>
      </c>
    </row>
    <row r="2297" spans="1:17" x14ac:dyDescent="0.25">
      <c r="A2297" s="2">
        <v>45029</v>
      </c>
      <c r="B2297" s="2" t="str">
        <f t="shared" si="70"/>
        <v>Thursday</v>
      </c>
      <c r="C2297" s="2" t="b">
        <f t="shared" si="71"/>
        <v>0</v>
      </c>
      <c r="D2297">
        <v>4</v>
      </c>
      <c r="E2297" t="s">
        <v>8</v>
      </c>
      <c r="F2297">
        <v>199</v>
      </c>
      <c r="G2297" s="3">
        <v>3181.8</v>
      </c>
      <c r="H2297" s="3">
        <f>Miami_Retail[[#This Row],[sales_usd]] / Miami_Retail[[#This Row],[customers]]</f>
        <v>15.988944723618092</v>
      </c>
      <c r="I2297">
        <v>73.5</v>
      </c>
      <c r="J2297">
        <f>(Miami_Retail[[#This Row],[avg_temp_f]]-32) * (5/9)</f>
        <v>23.055555555555557</v>
      </c>
      <c r="K2297">
        <v>0</v>
      </c>
      <c r="L2297">
        <v>0</v>
      </c>
      <c r="M2297">
        <v>42.1</v>
      </c>
      <c r="N2297">
        <v>52.7</v>
      </c>
      <c r="O2297">
        <v>47.3</v>
      </c>
      <c r="P2297">
        <v>46.8</v>
      </c>
      <c r="Q2297">
        <v>53.2</v>
      </c>
    </row>
    <row r="2298" spans="1:17" x14ac:dyDescent="0.25">
      <c r="A2298" s="2">
        <v>45030</v>
      </c>
      <c r="B2298" s="2" t="str">
        <f t="shared" si="70"/>
        <v>Friday</v>
      </c>
      <c r="C2298" s="2" t="b">
        <f t="shared" si="71"/>
        <v>0</v>
      </c>
      <c r="D2298">
        <v>4</v>
      </c>
      <c r="E2298" t="s">
        <v>8</v>
      </c>
      <c r="F2298">
        <v>163</v>
      </c>
      <c r="G2298" s="3">
        <v>2407.7399999999998</v>
      </c>
      <c r="H2298" s="3">
        <f>Miami_Retail[[#This Row],[sales_usd]] / Miami_Retail[[#This Row],[customers]]</f>
        <v>14.771411042944784</v>
      </c>
      <c r="I2298">
        <v>65</v>
      </c>
      <c r="J2298">
        <f>(Miami_Retail[[#This Row],[avg_temp_f]]-32) * (5/9)</f>
        <v>18.333333333333336</v>
      </c>
      <c r="K2298">
        <v>3.1</v>
      </c>
      <c r="L2298">
        <v>1</v>
      </c>
      <c r="M2298">
        <v>48.6</v>
      </c>
      <c r="N2298">
        <v>53.1</v>
      </c>
      <c r="O2298">
        <v>46.9</v>
      </c>
      <c r="P2298">
        <v>48.3</v>
      </c>
      <c r="Q2298">
        <v>51.7</v>
      </c>
    </row>
    <row r="2299" spans="1:17" x14ac:dyDescent="0.25">
      <c r="A2299" s="2">
        <v>45031</v>
      </c>
      <c r="B2299" s="2" t="str">
        <f t="shared" si="70"/>
        <v>Saturday</v>
      </c>
      <c r="C2299" s="2" t="b">
        <f t="shared" si="71"/>
        <v>1</v>
      </c>
      <c r="D2299">
        <v>4</v>
      </c>
      <c r="E2299" t="s">
        <v>8</v>
      </c>
      <c r="F2299">
        <v>197</v>
      </c>
      <c r="G2299" s="3">
        <v>2956.31</v>
      </c>
      <c r="H2299" s="3">
        <f>Miami_Retail[[#This Row],[sales_usd]] / Miami_Retail[[#This Row],[customers]]</f>
        <v>15.006649746192894</v>
      </c>
      <c r="I2299">
        <v>69.599999999999994</v>
      </c>
      <c r="J2299">
        <f>(Miami_Retail[[#This Row],[avg_temp_f]]-32) * (5/9)</f>
        <v>20.888888888888886</v>
      </c>
      <c r="K2299">
        <v>1.46</v>
      </c>
      <c r="L2299">
        <v>1</v>
      </c>
      <c r="M2299">
        <v>37.200000000000003</v>
      </c>
      <c r="N2299">
        <v>50.9</v>
      </c>
      <c r="O2299">
        <v>49.1</v>
      </c>
      <c r="P2299">
        <v>53.4</v>
      </c>
      <c r="Q2299">
        <v>46.6</v>
      </c>
    </row>
    <row r="2300" spans="1:17" x14ac:dyDescent="0.25">
      <c r="A2300" s="2">
        <v>45032</v>
      </c>
      <c r="B2300" s="2" t="str">
        <f t="shared" si="70"/>
        <v>Sunday</v>
      </c>
      <c r="C2300" s="2" t="b">
        <f t="shared" si="71"/>
        <v>1</v>
      </c>
      <c r="D2300">
        <v>4</v>
      </c>
      <c r="E2300" t="s">
        <v>8</v>
      </c>
      <c r="F2300">
        <v>166</v>
      </c>
      <c r="G2300" s="3">
        <v>2346.4699999999998</v>
      </c>
      <c r="H2300" s="3">
        <f>Miami_Retail[[#This Row],[sales_usd]] / Miami_Retail[[#This Row],[customers]]</f>
        <v>14.135361445783131</v>
      </c>
      <c r="I2300">
        <v>61</v>
      </c>
      <c r="J2300">
        <f>(Miami_Retail[[#This Row],[avg_temp_f]]-32) * (5/9)</f>
        <v>16.111111111111111</v>
      </c>
      <c r="K2300">
        <v>0</v>
      </c>
      <c r="L2300">
        <v>0</v>
      </c>
      <c r="M2300">
        <v>39</v>
      </c>
      <c r="N2300">
        <v>51.3</v>
      </c>
      <c r="O2300">
        <v>48.7</v>
      </c>
      <c r="P2300">
        <v>53.1</v>
      </c>
      <c r="Q2300">
        <v>46.9</v>
      </c>
    </row>
    <row r="2301" spans="1:17" x14ac:dyDescent="0.25">
      <c r="A2301" s="2">
        <v>45033</v>
      </c>
      <c r="B2301" s="2" t="str">
        <f t="shared" si="70"/>
        <v>Monday</v>
      </c>
      <c r="C2301" s="2" t="b">
        <f t="shared" si="71"/>
        <v>0</v>
      </c>
      <c r="D2301">
        <v>4</v>
      </c>
      <c r="E2301" t="s">
        <v>8</v>
      </c>
      <c r="F2301">
        <v>142</v>
      </c>
      <c r="G2301" s="3">
        <v>2252.2399999999998</v>
      </c>
      <c r="H2301" s="3">
        <f>Miami_Retail[[#This Row],[sales_usd]] / Miami_Retail[[#This Row],[customers]]</f>
        <v>15.860845070422533</v>
      </c>
      <c r="I2301">
        <v>64.599999999999994</v>
      </c>
      <c r="J2301">
        <f>(Miami_Retail[[#This Row],[avg_temp_f]]-32) * (5/9)</f>
        <v>18.111111111111107</v>
      </c>
      <c r="K2301">
        <v>0</v>
      </c>
      <c r="L2301">
        <v>0</v>
      </c>
      <c r="M2301">
        <v>46.1</v>
      </c>
      <c r="N2301">
        <v>51.7</v>
      </c>
      <c r="O2301">
        <v>48.3</v>
      </c>
      <c r="P2301">
        <v>46.6</v>
      </c>
      <c r="Q2301">
        <v>53.4</v>
      </c>
    </row>
    <row r="2302" spans="1:17" x14ac:dyDescent="0.25">
      <c r="A2302" s="2">
        <v>45034</v>
      </c>
      <c r="B2302" s="2" t="str">
        <f t="shared" si="70"/>
        <v>Tuesday</v>
      </c>
      <c r="C2302" s="2" t="b">
        <f t="shared" si="71"/>
        <v>0</v>
      </c>
      <c r="D2302">
        <v>4</v>
      </c>
      <c r="E2302" t="s">
        <v>8</v>
      </c>
      <c r="F2302">
        <v>165</v>
      </c>
      <c r="G2302" s="3">
        <v>2652.25</v>
      </c>
      <c r="H2302" s="3">
        <f>Miami_Retail[[#This Row],[sales_usd]] / Miami_Retail[[#This Row],[customers]]</f>
        <v>16.074242424242424</v>
      </c>
      <c r="I2302">
        <v>70.099999999999994</v>
      </c>
      <c r="J2302">
        <f>(Miami_Retail[[#This Row],[avg_temp_f]]-32) * (5/9)</f>
        <v>21.166666666666664</v>
      </c>
      <c r="K2302">
        <v>0</v>
      </c>
      <c r="L2302">
        <v>0</v>
      </c>
      <c r="M2302">
        <v>37</v>
      </c>
      <c r="N2302">
        <v>52.9</v>
      </c>
      <c r="O2302">
        <v>47.1</v>
      </c>
      <c r="P2302">
        <v>45.8</v>
      </c>
      <c r="Q2302">
        <v>54.2</v>
      </c>
    </row>
    <row r="2303" spans="1:17" x14ac:dyDescent="0.25">
      <c r="A2303" s="2">
        <v>45035</v>
      </c>
      <c r="B2303" s="2" t="str">
        <f t="shared" si="70"/>
        <v>Wednesday</v>
      </c>
      <c r="C2303" s="2" t="b">
        <f t="shared" si="71"/>
        <v>0</v>
      </c>
      <c r="D2303">
        <v>4</v>
      </c>
      <c r="E2303" t="s">
        <v>8</v>
      </c>
      <c r="F2303">
        <v>152</v>
      </c>
      <c r="G2303" s="3">
        <v>2400.9899999999998</v>
      </c>
      <c r="H2303" s="3">
        <f>Miami_Retail[[#This Row],[sales_usd]] / Miami_Retail[[#This Row],[customers]]</f>
        <v>15.795986842105261</v>
      </c>
      <c r="I2303">
        <v>67.2</v>
      </c>
      <c r="J2303">
        <f>(Miami_Retail[[#This Row],[avg_temp_f]]-32) * (5/9)</f>
        <v>19.555555555555557</v>
      </c>
      <c r="K2303">
        <v>0</v>
      </c>
      <c r="L2303">
        <v>0</v>
      </c>
      <c r="M2303">
        <v>41.2</v>
      </c>
      <c r="N2303">
        <v>51.5</v>
      </c>
      <c r="O2303">
        <v>48.5</v>
      </c>
      <c r="P2303">
        <v>47.2</v>
      </c>
      <c r="Q2303">
        <v>52.8</v>
      </c>
    </row>
    <row r="2304" spans="1:17" x14ac:dyDescent="0.25">
      <c r="A2304" s="2">
        <v>45036</v>
      </c>
      <c r="B2304" s="2" t="str">
        <f t="shared" si="70"/>
        <v>Thursday</v>
      </c>
      <c r="C2304" s="2" t="b">
        <f t="shared" si="71"/>
        <v>0</v>
      </c>
      <c r="D2304">
        <v>4</v>
      </c>
      <c r="E2304" t="s">
        <v>8</v>
      </c>
      <c r="F2304">
        <v>192</v>
      </c>
      <c r="G2304" s="3">
        <v>2934.7</v>
      </c>
      <c r="H2304" s="3">
        <f>Miami_Retail[[#This Row],[sales_usd]] / Miami_Retail[[#This Row],[customers]]</f>
        <v>15.284895833333332</v>
      </c>
      <c r="I2304">
        <v>70.400000000000006</v>
      </c>
      <c r="J2304">
        <f>(Miami_Retail[[#This Row],[avg_temp_f]]-32) * (5/9)</f>
        <v>21.333333333333336</v>
      </c>
      <c r="K2304">
        <v>0.35</v>
      </c>
      <c r="L2304">
        <v>1</v>
      </c>
      <c r="M2304">
        <v>35.5</v>
      </c>
      <c r="N2304">
        <v>50.2</v>
      </c>
      <c r="O2304">
        <v>49.8</v>
      </c>
      <c r="P2304">
        <v>48.7</v>
      </c>
      <c r="Q2304">
        <v>51.3</v>
      </c>
    </row>
    <row r="2305" spans="1:17" x14ac:dyDescent="0.25">
      <c r="A2305" s="2">
        <v>45037</v>
      </c>
      <c r="B2305" s="2" t="str">
        <f t="shared" si="70"/>
        <v>Friday</v>
      </c>
      <c r="C2305" s="2" t="b">
        <f t="shared" si="71"/>
        <v>0</v>
      </c>
      <c r="D2305">
        <v>4</v>
      </c>
      <c r="E2305" t="s">
        <v>8</v>
      </c>
      <c r="F2305">
        <v>168</v>
      </c>
      <c r="G2305" s="3">
        <v>2717.76</v>
      </c>
      <c r="H2305" s="3">
        <f>Miami_Retail[[#This Row],[sales_usd]] / Miami_Retail[[#This Row],[customers]]</f>
        <v>16.177142857142858</v>
      </c>
      <c r="I2305">
        <v>71.900000000000006</v>
      </c>
      <c r="J2305">
        <f>(Miami_Retail[[#This Row],[avg_temp_f]]-32) * (5/9)</f>
        <v>22.166666666666671</v>
      </c>
      <c r="K2305">
        <v>0</v>
      </c>
      <c r="L2305">
        <v>0</v>
      </c>
      <c r="M2305">
        <v>37.5</v>
      </c>
      <c r="N2305">
        <v>52.1</v>
      </c>
      <c r="O2305">
        <v>47.9</v>
      </c>
      <c r="P2305">
        <v>48.6</v>
      </c>
      <c r="Q2305">
        <v>51.4</v>
      </c>
    </row>
    <row r="2306" spans="1:17" x14ac:dyDescent="0.25">
      <c r="A2306" s="2">
        <v>45038</v>
      </c>
      <c r="B2306" s="2" t="str">
        <f t="shared" ref="B2306:B2369" si="72">TEXT(A2306, "dddd")</f>
        <v>Saturday</v>
      </c>
      <c r="C2306" s="2" t="b">
        <f t="shared" ref="C2306:C2369" si="73">IF(WEEKDAY(A2306,2)&gt;5,TRUE,FALSE)</f>
        <v>1</v>
      </c>
      <c r="D2306">
        <v>4</v>
      </c>
      <c r="E2306" t="s">
        <v>8</v>
      </c>
      <c r="F2306">
        <v>177</v>
      </c>
      <c r="G2306" s="3">
        <v>2839.86</v>
      </c>
      <c r="H2306" s="3">
        <f>Miami_Retail[[#This Row],[sales_usd]] / Miami_Retail[[#This Row],[customers]]</f>
        <v>16.044406779661017</v>
      </c>
      <c r="I2306">
        <v>66.400000000000006</v>
      </c>
      <c r="J2306">
        <f>(Miami_Retail[[#This Row],[avg_temp_f]]-32) * (5/9)</f>
        <v>19.111111111111114</v>
      </c>
      <c r="K2306">
        <v>0</v>
      </c>
      <c r="L2306">
        <v>0</v>
      </c>
      <c r="M2306">
        <v>35</v>
      </c>
      <c r="N2306">
        <v>53.1</v>
      </c>
      <c r="O2306">
        <v>46.9</v>
      </c>
      <c r="P2306">
        <v>54.9</v>
      </c>
      <c r="Q2306">
        <v>45.1</v>
      </c>
    </row>
    <row r="2307" spans="1:17" x14ac:dyDescent="0.25">
      <c r="A2307" s="2">
        <v>45039</v>
      </c>
      <c r="B2307" s="2" t="str">
        <f t="shared" si="72"/>
        <v>Sunday</v>
      </c>
      <c r="C2307" s="2" t="b">
        <f t="shared" si="73"/>
        <v>1</v>
      </c>
      <c r="D2307">
        <v>4</v>
      </c>
      <c r="E2307" t="s">
        <v>8</v>
      </c>
      <c r="F2307">
        <v>192</v>
      </c>
      <c r="G2307" s="3">
        <v>2693.95</v>
      </c>
      <c r="H2307" s="3">
        <f>Miami_Retail[[#This Row],[sales_usd]] / Miami_Retail[[#This Row],[customers]]</f>
        <v>14.030989583333332</v>
      </c>
      <c r="I2307">
        <v>71.099999999999994</v>
      </c>
      <c r="J2307">
        <f>(Miami_Retail[[#This Row],[avg_temp_f]]-32) * (5/9)</f>
        <v>21.722222222222221</v>
      </c>
      <c r="K2307">
        <v>0</v>
      </c>
      <c r="L2307">
        <v>0</v>
      </c>
      <c r="M2307">
        <v>35</v>
      </c>
      <c r="N2307">
        <v>51.3</v>
      </c>
      <c r="O2307">
        <v>48.7</v>
      </c>
      <c r="P2307">
        <v>53.2</v>
      </c>
      <c r="Q2307">
        <v>46.8</v>
      </c>
    </row>
    <row r="2308" spans="1:17" x14ac:dyDescent="0.25">
      <c r="A2308" s="2">
        <v>45040</v>
      </c>
      <c r="B2308" s="2" t="str">
        <f t="shared" si="72"/>
        <v>Monday</v>
      </c>
      <c r="C2308" s="2" t="b">
        <f t="shared" si="73"/>
        <v>0</v>
      </c>
      <c r="D2308">
        <v>4</v>
      </c>
      <c r="E2308" t="s">
        <v>8</v>
      </c>
      <c r="F2308">
        <v>159</v>
      </c>
      <c r="G2308" s="3">
        <v>2370.6</v>
      </c>
      <c r="H2308" s="3">
        <f>Miami_Retail[[#This Row],[sales_usd]] / Miami_Retail[[#This Row],[customers]]</f>
        <v>14.909433962264151</v>
      </c>
      <c r="I2308">
        <v>68.599999999999994</v>
      </c>
      <c r="J2308">
        <f>(Miami_Retail[[#This Row],[avg_temp_f]]-32) * (5/9)</f>
        <v>20.333333333333332</v>
      </c>
      <c r="K2308">
        <v>0</v>
      </c>
      <c r="L2308">
        <v>0</v>
      </c>
      <c r="M2308">
        <v>41.2</v>
      </c>
      <c r="N2308">
        <v>50.8</v>
      </c>
      <c r="O2308">
        <v>49.2</v>
      </c>
      <c r="P2308">
        <v>49.2</v>
      </c>
      <c r="Q2308">
        <v>50.8</v>
      </c>
    </row>
    <row r="2309" spans="1:17" x14ac:dyDescent="0.25">
      <c r="A2309" s="2">
        <v>45041</v>
      </c>
      <c r="B2309" s="2" t="str">
        <f t="shared" si="72"/>
        <v>Tuesday</v>
      </c>
      <c r="C2309" s="2" t="b">
        <f t="shared" si="73"/>
        <v>0</v>
      </c>
      <c r="D2309">
        <v>4</v>
      </c>
      <c r="E2309" t="s">
        <v>8</v>
      </c>
      <c r="F2309">
        <v>167</v>
      </c>
      <c r="G2309" s="3">
        <v>2628.95</v>
      </c>
      <c r="H2309" s="3">
        <f>Miami_Retail[[#This Row],[sales_usd]] / Miami_Retail[[#This Row],[customers]]</f>
        <v>15.742215568862274</v>
      </c>
      <c r="I2309">
        <v>70.5</v>
      </c>
      <c r="J2309">
        <f>(Miami_Retail[[#This Row],[avg_temp_f]]-32) * (5/9)</f>
        <v>21.388888888888889</v>
      </c>
      <c r="K2309">
        <v>1.79</v>
      </c>
      <c r="L2309">
        <v>1</v>
      </c>
      <c r="M2309">
        <v>46.2</v>
      </c>
      <c r="N2309">
        <v>50.6</v>
      </c>
      <c r="O2309">
        <v>49.4</v>
      </c>
      <c r="P2309">
        <v>47.3</v>
      </c>
      <c r="Q2309">
        <v>52.7</v>
      </c>
    </row>
    <row r="2310" spans="1:17" x14ac:dyDescent="0.25">
      <c r="A2310" s="2">
        <v>45042</v>
      </c>
      <c r="B2310" s="2" t="str">
        <f t="shared" si="72"/>
        <v>Wednesday</v>
      </c>
      <c r="C2310" s="2" t="b">
        <f t="shared" si="73"/>
        <v>0</v>
      </c>
      <c r="D2310">
        <v>4</v>
      </c>
      <c r="E2310" t="s">
        <v>8</v>
      </c>
      <c r="F2310">
        <v>178</v>
      </c>
      <c r="G2310" s="3">
        <v>2829.46</v>
      </c>
      <c r="H2310" s="3">
        <f>Miami_Retail[[#This Row],[sales_usd]] / Miami_Retail[[#This Row],[customers]]</f>
        <v>15.895842696629213</v>
      </c>
      <c r="I2310">
        <v>63.6</v>
      </c>
      <c r="J2310">
        <f>(Miami_Retail[[#This Row],[avg_temp_f]]-32) * (5/9)</f>
        <v>17.555555555555557</v>
      </c>
      <c r="K2310">
        <v>0</v>
      </c>
      <c r="L2310">
        <v>0</v>
      </c>
      <c r="M2310">
        <v>38.4</v>
      </c>
      <c r="N2310">
        <v>51.6</v>
      </c>
      <c r="O2310">
        <v>48.4</v>
      </c>
      <c r="P2310">
        <v>47.8</v>
      </c>
      <c r="Q2310">
        <v>52.2</v>
      </c>
    </row>
    <row r="2311" spans="1:17" x14ac:dyDescent="0.25">
      <c r="A2311" s="2">
        <v>45043</v>
      </c>
      <c r="B2311" s="2" t="str">
        <f t="shared" si="72"/>
        <v>Thursday</v>
      </c>
      <c r="C2311" s="2" t="b">
        <f t="shared" si="73"/>
        <v>0</v>
      </c>
      <c r="D2311">
        <v>4</v>
      </c>
      <c r="E2311" t="s">
        <v>8</v>
      </c>
      <c r="F2311">
        <v>168</v>
      </c>
      <c r="G2311" s="3">
        <v>2614.19</v>
      </c>
      <c r="H2311" s="3">
        <f>Miami_Retail[[#This Row],[sales_usd]] / Miami_Retail[[#This Row],[customers]]</f>
        <v>15.560654761904763</v>
      </c>
      <c r="I2311">
        <v>72.2</v>
      </c>
      <c r="J2311">
        <f>(Miami_Retail[[#This Row],[avg_temp_f]]-32) * (5/9)</f>
        <v>22.333333333333336</v>
      </c>
      <c r="K2311">
        <v>0.37</v>
      </c>
      <c r="L2311">
        <v>1</v>
      </c>
      <c r="M2311">
        <v>40.5</v>
      </c>
      <c r="N2311">
        <v>51.3</v>
      </c>
      <c r="O2311">
        <v>48.7</v>
      </c>
      <c r="P2311">
        <v>48.5</v>
      </c>
      <c r="Q2311">
        <v>51.5</v>
      </c>
    </row>
    <row r="2312" spans="1:17" x14ac:dyDescent="0.25">
      <c r="A2312" s="2">
        <v>45044</v>
      </c>
      <c r="B2312" s="2" t="str">
        <f t="shared" si="72"/>
        <v>Friday</v>
      </c>
      <c r="C2312" s="2" t="b">
        <f t="shared" si="73"/>
        <v>0</v>
      </c>
      <c r="D2312">
        <v>4</v>
      </c>
      <c r="E2312" t="s">
        <v>8</v>
      </c>
      <c r="F2312">
        <v>191</v>
      </c>
      <c r="G2312" s="3">
        <v>2945.47</v>
      </c>
      <c r="H2312" s="3">
        <f>Miami_Retail[[#This Row],[sales_usd]] / Miami_Retail[[#This Row],[customers]]</f>
        <v>15.42130890052356</v>
      </c>
      <c r="I2312">
        <v>68.3</v>
      </c>
      <c r="J2312">
        <f>(Miami_Retail[[#This Row],[avg_temp_f]]-32) * (5/9)</f>
        <v>20.166666666666664</v>
      </c>
      <c r="K2312">
        <v>0</v>
      </c>
      <c r="L2312">
        <v>0</v>
      </c>
      <c r="M2312">
        <v>39.9</v>
      </c>
      <c r="N2312">
        <v>52.4</v>
      </c>
      <c r="O2312">
        <v>47.6</v>
      </c>
      <c r="P2312">
        <v>48.1</v>
      </c>
      <c r="Q2312">
        <v>51.9</v>
      </c>
    </row>
    <row r="2313" spans="1:17" x14ac:dyDescent="0.25">
      <c r="A2313" s="2">
        <v>45045</v>
      </c>
      <c r="B2313" s="2" t="str">
        <f t="shared" si="72"/>
        <v>Saturday</v>
      </c>
      <c r="C2313" s="2" t="b">
        <f t="shared" si="73"/>
        <v>1</v>
      </c>
      <c r="D2313">
        <v>4</v>
      </c>
      <c r="E2313" t="s">
        <v>8</v>
      </c>
      <c r="F2313">
        <v>222</v>
      </c>
      <c r="G2313" s="3">
        <v>3332.62</v>
      </c>
      <c r="H2313" s="3">
        <f>Miami_Retail[[#This Row],[sales_usd]] / Miami_Retail[[#This Row],[customers]]</f>
        <v>15.011801801801802</v>
      </c>
      <c r="I2313">
        <v>72.900000000000006</v>
      </c>
      <c r="J2313">
        <f>(Miami_Retail[[#This Row],[avg_temp_f]]-32) * (5/9)</f>
        <v>22.722222222222225</v>
      </c>
      <c r="K2313">
        <v>0</v>
      </c>
      <c r="L2313">
        <v>0</v>
      </c>
      <c r="M2313">
        <v>41</v>
      </c>
      <c r="N2313">
        <v>50.4</v>
      </c>
      <c r="O2313">
        <v>49.6</v>
      </c>
      <c r="P2313">
        <v>53</v>
      </c>
      <c r="Q2313">
        <v>47</v>
      </c>
    </row>
    <row r="2314" spans="1:17" x14ac:dyDescent="0.25">
      <c r="A2314" s="2">
        <v>45046</v>
      </c>
      <c r="B2314" s="2" t="str">
        <f t="shared" si="72"/>
        <v>Sunday</v>
      </c>
      <c r="C2314" s="2" t="b">
        <f t="shared" si="73"/>
        <v>1</v>
      </c>
      <c r="D2314">
        <v>4</v>
      </c>
      <c r="E2314" t="s">
        <v>8</v>
      </c>
      <c r="F2314">
        <v>186</v>
      </c>
      <c r="G2314" s="3">
        <v>2854.02</v>
      </c>
      <c r="H2314" s="3">
        <f>Miami_Retail[[#This Row],[sales_usd]] / Miami_Retail[[#This Row],[customers]]</f>
        <v>15.344193548387096</v>
      </c>
      <c r="I2314">
        <v>69.400000000000006</v>
      </c>
      <c r="J2314">
        <f>(Miami_Retail[[#This Row],[avg_temp_f]]-32) * (5/9)</f>
        <v>20.777777777777782</v>
      </c>
      <c r="K2314">
        <v>0</v>
      </c>
      <c r="L2314">
        <v>0</v>
      </c>
      <c r="M2314">
        <v>48</v>
      </c>
      <c r="N2314">
        <v>52.3</v>
      </c>
      <c r="O2314">
        <v>47.7</v>
      </c>
      <c r="P2314">
        <v>54.7</v>
      </c>
      <c r="Q2314">
        <v>45.3</v>
      </c>
    </row>
    <row r="2315" spans="1:17" x14ac:dyDescent="0.25">
      <c r="A2315" s="2">
        <v>45047</v>
      </c>
      <c r="B2315" s="2" t="str">
        <f t="shared" si="72"/>
        <v>Monday</v>
      </c>
      <c r="C2315" s="2" t="b">
        <f t="shared" si="73"/>
        <v>0</v>
      </c>
      <c r="D2315">
        <v>4</v>
      </c>
      <c r="E2315" t="s">
        <v>8</v>
      </c>
      <c r="F2315">
        <v>175</v>
      </c>
      <c r="G2315" s="3">
        <v>2949.04</v>
      </c>
      <c r="H2315" s="3">
        <f>Miami_Retail[[#This Row],[sales_usd]] / Miami_Retail[[#This Row],[customers]]</f>
        <v>16.851657142857142</v>
      </c>
      <c r="I2315">
        <v>68.2</v>
      </c>
      <c r="J2315">
        <f>(Miami_Retail[[#This Row],[avg_temp_f]]-32) * (5/9)</f>
        <v>20.111111111111114</v>
      </c>
      <c r="K2315">
        <v>0.9</v>
      </c>
      <c r="L2315">
        <v>1</v>
      </c>
      <c r="M2315">
        <v>40.700000000000003</v>
      </c>
      <c r="N2315">
        <v>50.7</v>
      </c>
      <c r="O2315">
        <v>49.3</v>
      </c>
      <c r="P2315">
        <v>47.2</v>
      </c>
      <c r="Q2315">
        <v>52.8</v>
      </c>
    </row>
    <row r="2316" spans="1:17" x14ac:dyDescent="0.25">
      <c r="A2316" s="2">
        <v>45048</v>
      </c>
      <c r="B2316" s="2" t="str">
        <f t="shared" si="72"/>
        <v>Tuesday</v>
      </c>
      <c r="C2316" s="2" t="b">
        <f t="shared" si="73"/>
        <v>0</v>
      </c>
      <c r="D2316">
        <v>4</v>
      </c>
      <c r="E2316" t="s">
        <v>8</v>
      </c>
      <c r="F2316">
        <v>131</v>
      </c>
      <c r="G2316" s="3">
        <v>2299.8200000000002</v>
      </c>
      <c r="H2316" s="3">
        <f>Miami_Retail[[#This Row],[sales_usd]] / Miami_Retail[[#This Row],[customers]]</f>
        <v>17.55587786259542</v>
      </c>
      <c r="I2316">
        <v>66</v>
      </c>
      <c r="J2316">
        <f>(Miami_Retail[[#This Row],[avg_temp_f]]-32) * (5/9)</f>
        <v>18.888888888888889</v>
      </c>
      <c r="K2316">
        <v>0.72</v>
      </c>
      <c r="L2316">
        <v>1</v>
      </c>
      <c r="M2316">
        <v>43.7</v>
      </c>
      <c r="N2316">
        <v>52.1</v>
      </c>
      <c r="O2316">
        <v>47.9</v>
      </c>
      <c r="P2316">
        <v>46.3</v>
      </c>
      <c r="Q2316">
        <v>53.7</v>
      </c>
    </row>
    <row r="2317" spans="1:17" x14ac:dyDescent="0.25">
      <c r="A2317" s="2">
        <v>45049</v>
      </c>
      <c r="B2317" s="2" t="str">
        <f t="shared" si="72"/>
        <v>Wednesday</v>
      </c>
      <c r="C2317" s="2" t="b">
        <f t="shared" si="73"/>
        <v>0</v>
      </c>
      <c r="D2317">
        <v>4</v>
      </c>
      <c r="E2317" t="s">
        <v>8</v>
      </c>
      <c r="F2317">
        <v>129</v>
      </c>
      <c r="G2317" s="3">
        <v>1935.94</v>
      </c>
      <c r="H2317" s="3">
        <f>Miami_Retail[[#This Row],[sales_usd]] / Miami_Retail[[#This Row],[customers]]</f>
        <v>15.007286821705426</v>
      </c>
      <c r="I2317">
        <v>70.400000000000006</v>
      </c>
      <c r="J2317">
        <f>(Miami_Retail[[#This Row],[avg_temp_f]]-32) * (5/9)</f>
        <v>21.333333333333336</v>
      </c>
      <c r="K2317">
        <v>2.17</v>
      </c>
      <c r="L2317">
        <v>1</v>
      </c>
      <c r="M2317">
        <v>40.200000000000003</v>
      </c>
      <c r="N2317">
        <v>50.1</v>
      </c>
      <c r="O2317">
        <v>49.9</v>
      </c>
      <c r="P2317">
        <v>47.5</v>
      </c>
      <c r="Q2317">
        <v>52.5</v>
      </c>
    </row>
    <row r="2318" spans="1:17" x14ac:dyDescent="0.25">
      <c r="A2318" s="2">
        <v>45050</v>
      </c>
      <c r="B2318" s="2" t="str">
        <f t="shared" si="72"/>
        <v>Thursday</v>
      </c>
      <c r="C2318" s="2" t="b">
        <f t="shared" si="73"/>
        <v>0</v>
      </c>
      <c r="D2318">
        <v>4</v>
      </c>
      <c r="E2318" t="s">
        <v>8</v>
      </c>
      <c r="F2318">
        <v>159</v>
      </c>
      <c r="G2318" s="3">
        <v>2488.08</v>
      </c>
      <c r="H2318" s="3">
        <f>Miami_Retail[[#This Row],[sales_usd]] / Miami_Retail[[#This Row],[customers]]</f>
        <v>15.648301886792453</v>
      </c>
      <c r="I2318">
        <v>69.8</v>
      </c>
      <c r="J2318">
        <f>(Miami_Retail[[#This Row],[avg_temp_f]]-32) * (5/9)</f>
        <v>21</v>
      </c>
      <c r="K2318">
        <v>0</v>
      </c>
      <c r="L2318">
        <v>0</v>
      </c>
      <c r="M2318">
        <v>48.8</v>
      </c>
      <c r="N2318">
        <v>51</v>
      </c>
      <c r="O2318">
        <v>49</v>
      </c>
      <c r="P2318">
        <v>47.4</v>
      </c>
      <c r="Q2318">
        <v>52.6</v>
      </c>
    </row>
    <row r="2319" spans="1:17" x14ac:dyDescent="0.25">
      <c r="A2319" s="2">
        <v>45051</v>
      </c>
      <c r="B2319" s="2" t="str">
        <f t="shared" si="72"/>
        <v>Friday</v>
      </c>
      <c r="C2319" s="2" t="b">
        <f t="shared" si="73"/>
        <v>0</v>
      </c>
      <c r="D2319">
        <v>4</v>
      </c>
      <c r="E2319" t="s">
        <v>8</v>
      </c>
      <c r="F2319">
        <v>178</v>
      </c>
      <c r="G2319" s="3">
        <v>2950.12</v>
      </c>
      <c r="H2319" s="3">
        <f>Miami_Retail[[#This Row],[sales_usd]] / Miami_Retail[[#This Row],[customers]]</f>
        <v>16.57370786516854</v>
      </c>
      <c r="I2319">
        <v>67.400000000000006</v>
      </c>
      <c r="J2319">
        <f>(Miami_Retail[[#This Row],[avg_temp_f]]-32) * (5/9)</f>
        <v>19.666666666666671</v>
      </c>
      <c r="K2319">
        <v>1.58</v>
      </c>
      <c r="L2319">
        <v>1</v>
      </c>
      <c r="M2319">
        <v>37</v>
      </c>
      <c r="N2319">
        <v>50.5</v>
      </c>
      <c r="O2319">
        <v>49.5</v>
      </c>
      <c r="P2319">
        <v>47.5</v>
      </c>
      <c r="Q2319">
        <v>52.5</v>
      </c>
    </row>
    <row r="2320" spans="1:17" x14ac:dyDescent="0.25">
      <c r="A2320" s="2">
        <v>45052</v>
      </c>
      <c r="B2320" s="2" t="str">
        <f t="shared" si="72"/>
        <v>Saturday</v>
      </c>
      <c r="C2320" s="2" t="b">
        <f t="shared" si="73"/>
        <v>1</v>
      </c>
      <c r="D2320">
        <v>4</v>
      </c>
      <c r="E2320" t="s">
        <v>8</v>
      </c>
      <c r="F2320">
        <v>176</v>
      </c>
      <c r="G2320" s="3">
        <v>2692.35</v>
      </c>
      <c r="H2320" s="3">
        <f>Miami_Retail[[#This Row],[sales_usd]] / Miami_Retail[[#This Row],[customers]]</f>
        <v>15.297443181818181</v>
      </c>
      <c r="I2320">
        <v>70.5</v>
      </c>
      <c r="J2320">
        <f>(Miami_Retail[[#This Row],[avg_temp_f]]-32) * (5/9)</f>
        <v>21.388888888888889</v>
      </c>
      <c r="K2320">
        <v>0.53</v>
      </c>
      <c r="L2320">
        <v>1</v>
      </c>
      <c r="M2320">
        <v>44.3</v>
      </c>
      <c r="N2320">
        <v>52.4</v>
      </c>
      <c r="O2320">
        <v>47.6</v>
      </c>
      <c r="P2320">
        <v>55.3</v>
      </c>
      <c r="Q2320">
        <v>44.7</v>
      </c>
    </row>
    <row r="2321" spans="1:17" x14ac:dyDescent="0.25">
      <c r="A2321" s="2">
        <v>45053</v>
      </c>
      <c r="B2321" s="2" t="str">
        <f t="shared" si="72"/>
        <v>Sunday</v>
      </c>
      <c r="C2321" s="2" t="b">
        <f t="shared" si="73"/>
        <v>1</v>
      </c>
      <c r="D2321">
        <v>4</v>
      </c>
      <c r="E2321" t="s">
        <v>8</v>
      </c>
      <c r="F2321">
        <v>207</v>
      </c>
      <c r="G2321" s="3">
        <v>3094.46</v>
      </c>
      <c r="H2321" s="3">
        <f>Miami_Retail[[#This Row],[sales_usd]] / Miami_Retail[[#This Row],[customers]]</f>
        <v>14.949082125603866</v>
      </c>
      <c r="I2321">
        <v>64.5</v>
      </c>
      <c r="J2321">
        <f>(Miami_Retail[[#This Row],[avg_temp_f]]-32) * (5/9)</f>
        <v>18.055555555555557</v>
      </c>
      <c r="K2321">
        <v>0</v>
      </c>
      <c r="L2321">
        <v>0</v>
      </c>
      <c r="M2321">
        <v>44.8</v>
      </c>
      <c r="N2321">
        <v>52.9</v>
      </c>
      <c r="O2321">
        <v>47.1</v>
      </c>
      <c r="P2321">
        <v>53.5</v>
      </c>
      <c r="Q2321">
        <v>46.5</v>
      </c>
    </row>
    <row r="2322" spans="1:17" x14ac:dyDescent="0.25">
      <c r="A2322" s="2">
        <v>45054</v>
      </c>
      <c r="B2322" s="2" t="str">
        <f t="shared" si="72"/>
        <v>Monday</v>
      </c>
      <c r="C2322" s="2" t="b">
        <f t="shared" si="73"/>
        <v>0</v>
      </c>
      <c r="D2322">
        <v>4</v>
      </c>
      <c r="E2322" t="s">
        <v>8</v>
      </c>
      <c r="F2322">
        <v>180</v>
      </c>
      <c r="G2322" s="3">
        <v>2703.94</v>
      </c>
      <c r="H2322" s="3">
        <f>Miami_Retail[[#This Row],[sales_usd]] / Miami_Retail[[#This Row],[customers]]</f>
        <v>15.021888888888888</v>
      </c>
      <c r="I2322">
        <v>70</v>
      </c>
      <c r="J2322">
        <f>(Miami_Retail[[#This Row],[avg_temp_f]]-32) * (5/9)</f>
        <v>21.111111111111111</v>
      </c>
      <c r="K2322">
        <v>0</v>
      </c>
      <c r="L2322">
        <v>0</v>
      </c>
      <c r="M2322">
        <v>43.8</v>
      </c>
      <c r="N2322">
        <v>51.4</v>
      </c>
      <c r="O2322">
        <v>48.6</v>
      </c>
      <c r="P2322">
        <v>48.3</v>
      </c>
      <c r="Q2322">
        <v>51.7</v>
      </c>
    </row>
    <row r="2323" spans="1:17" x14ac:dyDescent="0.25">
      <c r="A2323" s="2">
        <v>45055</v>
      </c>
      <c r="B2323" s="2" t="str">
        <f t="shared" si="72"/>
        <v>Tuesday</v>
      </c>
      <c r="C2323" s="2" t="b">
        <f t="shared" si="73"/>
        <v>0</v>
      </c>
      <c r="D2323">
        <v>4</v>
      </c>
      <c r="E2323" t="s">
        <v>8</v>
      </c>
      <c r="F2323">
        <v>183</v>
      </c>
      <c r="G2323" s="3">
        <v>2771.65</v>
      </c>
      <c r="H2323" s="3">
        <f>Miami_Retail[[#This Row],[sales_usd]] / Miami_Retail[[#This Row],[customers]]</f>
        <v>15.145628415300546</v>
      </c>
      <c r="I2323">
        <v>70.3</v>
      </c>
      <c r="J2323">
        <f>(Miami_Retail[[#This Row],[avg_temp_f]]-32) * (5/9)</f>
        <v>21.277777777777779</v>
      </c>
      <c r="K2323">
        <v>0.69</v>
      </c>
      <c r="L2323">
        <v>1</v>
      </c>
      <c r="M2323">
        <v>36.700000000000003</v>
      </c>
      <c r="N2323">
        <v>51.6</v>
      </c>
      <c r="O2323">
        <v>48.4</v>
      </c>
      <c r="P2323">
        <v>50</v>
      </c>
      <c r="Q2323">
        <v>50</v>
      </c>
    </row>
    <row r="2324" spans="1:17" x14ac:dyDescent="0.25">
      <c r="A2324" s="2">
        <v>45056</v>
      </c>
      <c r="B2324" s="2" t="str">
        <f t="shared" si="72"/>
        <v>Wednesday</v>
      </c>
      <c r="C2324" s="2" t="b">
        <f t="shared" si="73"/>
        <v>0</v>
      </c>
      <c r="D2324">
        <v>4</v>
      </c>
      <c r="E2324" t="s">
        <v>8</v>
      </c>
      <c r="F2324">
        <v>159</v>
      </c>
      <c r="G2324" s="3">
        <v>2572.65</v>
      </c>
      <c r="H2324" s="3">
        <f>Miami_Retail[[#This Row],[sales_usd]] / Miami_Retail[[#This Row],[customers]]</f>
        <v>16.180188679245283</v>
      </c>
      <c r="I2324">
        <v>69.599999999999994</v>
      </c>
      <c r="J2324">
        <f>(Miami_Retail[[#This Row],[avg_temp_f]]-32) * (5/9)</f>
        <v>20.888888888888886</v>
      </c>
      <c r="K2324">
        <v>0</v>
      </c>
      <c r="L2324">
        <v>0</v>
      </c>
      <c r="M2324">
        <v>43.3</v>
      </c>
      <c r="N2324">
        <v>50.9</v>
      </c>
      <c r="O2324">
        <v>49.1</v>
      </c>
      <c r="P2324">
        <v>48.2</v>
      </c>
      <c r="Q2324">
        <v>51.8</v>
      </c>
    </row>
    <row r="2325" spans="1:17" x14ac:dyDescent="0.25">
      <c r="A2325" s="2">
        <v>45057</v>
      </c>
      <c r="B2325" s="2" t="str">
        <f t="shared" si="72"/>
        <v>Thursday</v>
      </c>
      <c r="C2325" s="2" t="b">
        <f t="shared" si="73"/>
        <v>0</v>
      </c>
      <c r="D2325">
        <v>4</v>
      </c>
      <c r="E2325" t="s">
        <v>8</v>
      </c>
      <c r="F2325">
        <v>162</v>
      </c>
      <c r="G2325" s="3">
        <v>2634.5</v>
      </c>
      <c r="H2325" s="3">
        <f>Miami_Retail[[#This Row],[sales_usd]] / Miami_Retail[[#This Row],[customers]]</f>
        <v>16.262345679012345</v>
      </c>
      <c r="I2325">
        <v>67.3</v>
      </c>
      <c r="J2325">
        <f>(Miami_Retail[[#This Row],[avg_temp_f]]-32) * (5/9)</f>
        <v>19.611111111111111</v>
      </c>
      <c r="K2325">
        <v>0</v>
      </c>
      <c r="L2325">
        <v>0</v>
      </c>
      <c r="M2325">
        <v>46.5</v>
      </c>
      <c r="N2325">
        <v>51.7</v>
      </c>
      <c r="O2325">
        <v>48.3</v>
      </c>
      <c r="P2325">
        <v>48.4</v>
      </c>
      <c r="Q2325">
        <v>51.6</v>
      </c>
    </row>
    <row r="2326" spans="1:17" x14ac:dyDescent="0.25">
      <c r="A2326" s="2">
        <v>45058</v>
      </c>
      <c r="B2326" s="2" t="str">
        <f t="shared" si="72"/>
        <v>Friday</v>
      </c>
      <c r="C2326" s="2" t="b">
        <f t="shared" si="73"/>
        <v>0</v>
      </c>
      <c r="D2326">
        <v>4</v>
      </c>
      <c r="E2326" t="s">
        <v>8</v>
      </c>
      <c r="F2326">
        <v>164</v>
      </c>
      <c r="G2326" s="3">
        <v>2384.7600000000002</v>
      </c>
      <c r="H2326" s="3">
        <f>Miami_Retail[[#This Row],[sales_usd]] / Miami_Retail[[#This Row],[customers]]</f>
        <v>14.541219512195124</v>
      </c>
      <c r="I2326">
        <v>65.400000000000006</v>
      </c>
      <c r="J2326">
        <f>(Miami_Retail[[#This Row],[avg_temp_f]]-32) * (5/9)</f>
        <v>18.555555555555561</v>
      </c>
      <c r="K2326">
        <v>0</v>
      </c>
      <c r="L2326">
        <v>0</v>
      </c>
      <c r="M2326">
        <v>41.1</v>
      </c>
      <c r="N2326">
        <v>49.4</v>
      </c>
      <c r="O2326">
        <v>50.6</v>
      </c>
      <c r="P2326">
        <v>47.5</v>
      </c>
      <c r="Q2326">
        <v>52.5</v>
      </c>
    </row>
    <row r="2327" spans="1:17" x14ac:dyDescent="0.25">
      <c r="A2327" s="2">
        <v>45059</v>
      </c>
      <c r="B2327" s="2" t="str">
        <f t="shared" si="72"/>
        <v>Saturday</v>
      </c>
      <c r="C2327" s="2" t="b">
        <f t="shared" si="73"/>
        <v>1</v>
      </c>
      <c r="D2327">
        <v>4</v>
      </c>
      <c r="E2327" t="s">
        <v>8</v>
      </c>
      <c r="F2327">
        <v>195</v>
      </c>
      <c r="G2327" s="3">
        <v>2708.78</v>
      </c>
      <c r="H2327" s="3">
        <f>Miami_Retail[[#This Row],[sales_usd]] / Miami_Retail[[#This Row],[customers]]</f>
        <v>13.891179487179489</v>
      </c>
      <c r="I2327">
        <v>70</v>
      </c>
      <c r="J2327">
        <f>(Miami_Retail[[#This Row],[avg_temp_f]]-32) * (5/9)</f>
        <v>21.111111111111111</v>
      </c>
      <c r="K2327">
        <v>0.88</v>
      </c>
      <c r="L2327">
        <v>1</v>
      </c>
      <c r="M2327">
        <v>38.1</v>
      </c>
      <c r="N2327">
        <v>49.8</v>
      </c>
      <c r="O2327">
        <v>50.2</v>
      </c>
      <c r="P2327">
        <v>53.1</v>
      </c>
      <c r="Q2327">
        <v>46.9</v>
      </c>
    </row>
    <row r="2328" spans="1:17" x14ac:dyDescent="0.25">
      <c r="A2328" s="2">
        <v>45060</v>
      </c>
      <c r="B2328" s="2" t="str">
        <f t="shared" si="72"/>
        <v>Sunday</v>
      </c>
      <c r="C2328" s="2" t="b">
        <f t="shared" si="73"/>
        <v>1</v>
      </c>
      <c r="D2328">
        <v>4</v>
      </c>
      <c r="E2328" t="s">
        <v>8</v>
      </c>
      <c r="F2328">
        <v>195</v>
      </c>
      <c r="G2328" s="3">
        <v>2880.94</v>
      </c>
      <c r="H2328" s="3">
        <f>Miami_Retail[[#This Row],[sales_usd]] / Miami_Retail[[#This Row],[customers]]</f>
        <v>14.774051282051282</v>
      </c>
      <c r="I2328">
        <v>72.900000000000006</v>
      </c>
      <c r="J2328">
        <f>(Miami_Retail[[#This Row],[avg_temp_f]]-32) * (5/9)</f>
        <v>22.722222222222225</v>
      </c>
      <c r="K2328">
        <v>0</v>
      </c>
      <c r="L2328">
        <v>0</v>
      </c>
      <c r="M2328">
        <v>44.8</v>
      </c>
      <c r="N2328">
        <v>53.5</v>
      </c>
      <c r="O2328">
        <v>46.5</v>
      </c>
      <c r="P2328">
        <v>54.3</v>
      </c>
      <c r="Q2328">
        <v>45.7</v>
      </c>
    </row>
    <row r="2329" spans="1:17" x14ac:dyDescent="0.25">
      <c r="A2329" s="2">
        <v>45061</v>
      </c>
      <c r="B2329" s="2" t="str">
        <f t="shared" si="72"/>
        <v>Monday</v>
      </c>
      <c r="C2329" s="2" t="b">
        <f t="shared" si="73"/>
        <v>0</v>
      </c>
      <c r="D2329">
        <v>4</v>
      </c>
      <c r="E2329" t="s">
        <v>8</v>
      </c>
      <c r="F2329">
        <v>193</v>
      </c>
      <c r="G2329" s="3">
        <v>3066.24</v>
      </c>
      <c r="H2329" s="3">
        <f>Miami_Retail[[#This Row],[sales_usd]] / Miami_Retail[[#This Row],[customers]]</f>
        <v>15.887253886010361</v>
      </c>
      <c r="I2329">
        <v>74.8</v>
      </c>
      <c r="J2329">
        <f>(Miami_Retail[[#This Row],[avg_temp_f]]-32) * (5/9)</f>
        <v>23.777777777777779</v>
      </c>
      <c r="K2329">
        <v>0</v>
      </c>
      <c r="L2329">
        <v>0</v>
      </c>
      <c r="M2329">
        <v>49</v>
      </c>
      <c r="N2329">
        <v>52.2</v>
      </c>
      <c r="O2329">
        <v>47.8</v>
      </c>
      <c r="P2329">
        <v>47.8</v>
      </c>
      <c r="Q2329">
        <v>52.2</v>
      </c>
    </row>
    <row r="2330" spans="1:17" x14ac:dyDescent="0.25">
      <c r="A2330" s="2">
        <v>45062</v>
      </c>
      <c r="B2330" s="2" t="str">
        <f t="shared" si="72"/>
        <v>Tuesday</v>
      </c>
      <c r="C2330" s="2" t="b">
        <f t="shared" si="73"/>
        <v>0</v>
      </c>
      <c r="D2330">
        <v>4</v>
      </c>
      <c r="E2330" t="s">
        <v>8</v>
      </c>
      <c r="F2330">
        <v>160</v>
      </c>
      <c r="G2330" s="3">
        <v>2572.11</v>
      </c>
      <c r="H2330" s="3">
        <f>Miami_Retail[[#This Row],[sales_usd]] / Miami_Retail[[#This Row],[customers]]</f>
        <v>16.075687500000001</v>
      </c>
      <c r="I2330">
        <v>74.8</v>
      </c>
      <c r="J2330">
        <f>(Miami_Retail[[#This Row],[avg_temp_f]]-32) * (5/9)</f>
        <v>23.777777777777779</v>
      </c>
      <c r="K2330">
        <v>0</v>
      </c>
      <c r="L2330">
        <v>0</v>
      </c>
      <c r="M2330">
        <v>40.5</v>
      </c>
      <c r="N2330">
        <v>50.5</v>
      </c>
      <c r="O2330">
        <v>49.5</v>
      </c>
      <c r="P2330">
        <v>47.4</v>
      </c>
      <c r="Q2330">
        <v>52.6</v>
      </c>
    </row>
    <row r="2331" spans="1:17" x14ac:dyDescent="0.25">
      <c r="A2331" s="2">
        <v>45063</v>
      </c>
      <c r="B2331" s="2" t="str">
        <f t="shared" si="72"/>
        <v>Wednesday</v>
      </c>
      <c r="C2331" s="2" t="b">
        <f t="shared" si="73"/>
        <v>0</v>
      </c>
      <c r="D2331">
        <v>4</v>
      </c>
      <c r="E2331" t="s">
        <v>8</v>
      </c>
      <c r="F2331">
        <v>190</v>
      </c>
      <c r="G2331" s="3">
        <v>2933.6</v>
      </c>
      <c r="H2331" s="3">
        <f>Miami_Retail[[#This Row],[sales_usd]] / Miami_Retail[[#This Row],[customers]]</f>
        <v>15.44</v>
      </c>
      <c r="I2331">
        <v>72.400000000000006</v>
      </c>
      <c r="J2331">
        <f>(Miami_Retail[[#This Row],[avg_temp_f]]-32) * (5/9)</f>
        <v>22.44444444444445</v>
      </c>
      <c r="K2331">
        <v>0.79</v>
      </c>
      <c r="L2331">
        <v>1</v>
      </c>
      <c r="M2331">
        <v>47.5</v>
      </c>
      <c r="N2331">
        <v>51.2</v>
      </c>
      <c r="O2331">
        <v>48.8</v>
      </c>
      <c r="P2331">
        <v>46.5</v>
      </c>
      <c r="Q2331">
        <v>53.5</v>
      </c>
    </row>
    <row r="2332" spans="1:17" x14ac:dyDescent="0.25">
      <c r="A2332" s="2">
        <v>45064</v>
      </c>
      <c r="B2332" s="2" t="str">
        <f t="shared" si="72"/>
        <v>Thursday</v>
      </c>
      <c r="C2332" s="2" t="b">
        <f t="shared" si="73"/>
        <v>0</v>
      </c>
      <c r="D2332">
        <v>4</v>
      </c>
      <c r="E2332" t="s">
        <v>8</v>
      </c>
      <c r="F2332">
        <v>167</v>
      </c>
      <c r="G2332" s="3">
        <v>2453.61</v>
      </c>
      <c r="H2332" s="3">
        <f>Miami_Retail[[#This Row],[sales_usd]] / Miami_Retail[[#This Row],[customers]]</f>
        <v>14.692275449101798</v>
      </c>
      <c r="I2332">
        <v>70</v>
      </c>
      <c r="J2332">
        <f>(Miami_Retail[[#This Row],[avg_temp_f]]-32) * (5/9)</f>
        <v>21.111111111111111</v>
      </c>
      <c r="K2332">
        <v>0</v>
      </c>
      <c r="L2332">
        <v>0</v>
      </c>
      <c r="M2332">
        <v>45.5</v>
      </c>
      <c r="N2332">
        <v>50.1</v>
      </c>
      <c r="O2332">
        <v>49.9</v>
      </c>
      <c r="P2332">
        <v>47.8</v>
      </c>
      <c r="Q2332">
        <v>52.2</v>
      </c>
    </row>
    <row r="2333" spans="1:17" x14ac:dyDescent="0.25">
      <c r="A2333" s="2">
        <v>45065</v>
      </c>
      <c r="B2333" s="2" t="str">
        <f t="shared" si="72"/>
        <v>Friday</v>
      </c>
      <c r="C2333" s="2" t="b">
        <f t="shared" si="73"/>
        <v>0</v>
      </c>
      <c r="D2333">
        <v>4</v>
      </c>
      <c r="E2333" t="s">
        <v>8</v>
      </c>
      <c r="F2333">
        <v>189</v>
      </c>
      <c r="G2333" s="3">
        <v>3210.62</v>
      </c>
      <c r="H2333" s="3">
        <f>Miami_Retail[[#This Row],[sales_usd]] / Miami_Retail[[#This Row],[customers]]</f>
        <v>16.987407407407407</v>
      </c>
      <c r="I2333">
        <v>76.7</v>
      </c>
      <c r="J2333">
        <f>(Miami_Retail[[#This Row],[avg_temp_f]]-32) * (5/9)</f>
        <v>24.833333333333336</v>
      </c>
      <c r="K2333">
        <v>0</v>
      </c>
      <c r="L2333">
        <v>0</v>
      </c>
      <c r="M2333">
        <v>47.4</v>
      </c>
      <c r="N2333">
        <v>52.9</v>
      </c>
      <c r="O2333">
        <v>47.1</v>
      </c>
      <c r="P2333">
        <v>47.9</v>
      </c>
      <c r="Q2333">
        <v>52.1</v>
      </c>
    </row>
    <row r="2334" spans="1:17" x14ac:dyDescent="0.25">
      <c r="A2334" s="2">
        <v>45066</v>
      </c>
      <c r="B2334" s="2" t="str">
        <f t="shared" si="72"/>
        <v>Saturday</v>
      </c>
      <c r="C2334" s="2" t="b">
        <f t="shared" si="73"/>
        <v>1</v>
      </c>
      <c r="D2334">
        <v>4</v>
      </c>
      <c r="E2334" t="s">
        <v>8</v>
      </c>
      <c r="F2334">
        <v>192</v>
      </c>
      <c r="G2334" s="3">
        <v>3153.92</v>
      </c>
      <c r="H2334" s="3">
        <f>Miami_Retail[[#This Row],[sales_usd]] / Miami_Retail[[#This Row],[customers]]</f>
        <v>16.426666666666666</v>
      </c>
      <c r="I2334">
        <v>67.7</v>
      </c>
      <c r="J2334">
        <f>(Miami_Retail[[#This Row],[avg_temp_f]]-32) * (5/9)</f>
        <v>19.833333333333336</v>
      </c>
      <c r="K2334">
        <v>0</v>
      </c>
      <c r="L2334">
        <v>0</v>
      </c>
      <c r="M2334">
        <v>37.200000000000003</v>
      </c>
      <c r="N2334">
        <v>51.4</v>
      </c>
      <c r="O2334">
        <v>48.6</v>
      </c>
      <c r="P2334">
        <v>54</v>
      </c>
      <c r="Q2334">
        <v>46</v>
      </c>
    </row>
    <row r="2335" spans="1:17" x14ac:dyDescent="0.25">
      <c r="A2335" s="2">
        <v>45067</v>
      </c>
      <c r="B2335" s="2" t="str">
        <f t="shared" si="72"/>
        <v>Sunday</v>
      </c>
      <c r="C2335" s="2" t="b">
        <f t="shared" si="73"/>
        <v>1</v>
      </c>
      <c r="D2335">
        <v>4</v>
      </c>
      <c r="E2335" t="s">
        <v>8</v>
      </c>
      <c r="F2335">
        <v>190</v>
      </c>
      <c r="G2335" s="3">
        <v>2829.28</v>
      </c>
      <c r="H2335" s="3">
        <f>Miami_Retail[[#This Row],[sales_usd]] / Miami_Retail[[#This Row],[customers]]</f>
        <v>14.890947368421054</v>
      </c>
      <c r="I2335">
        <v>66.400000000000006</v>
      </c>
      <c r="J2335">
        <f>(Miami_Retail[[#This Row],[avg_temp_f]]-32) * (5/9)</f>
        <v>19.111111111111114</v>
      </c>
      <c r="K2335">
        <v>0</v>
      </c>
      <c r="L2335">
        <v>0</v>
      </c>
      <c r="M2335">
        <v>57.4</v>
      </c>
      <c r="N2335">
        <v>51.1</v>
      </c>
      <c r="O2335">
        <v>48.9</v>
      </c>
      <c r="P2335">
        <v>53.3</v>
      </c>
      <c r="Q2335">
        <v>46.7</v>
      </c>
    </row>
    <row r="2336" spans="1:17" x14ac:dyDescent="0.25">
      <c r="A2336" s="2">
        <v>45068</v>
      </c>
      <c r="B2336" s="2" t="str">
        <f t="shared" si="72"/>
        <v>Monday</v>
      </c>
      <c r="C2336" s="2" t="b">
        <f t="shared" si="73"/>
        <v>0</v>
      </c>
      <c r="D2336">
        <v>4</v>
      </c>
      <c r="E2336" t="s">
        <v>8</v>
      </c>
      <c r="F2336">
        <v>146</v>
      </c>
      <c r="G2336" s="3">
        <v>2172.59</v>
      </c>
      <c r="H2336" s="3">
        <f>Miami_Retail[[#This Row],[sales_usd]] / Miami_Retail[[#This Row],[customers]]</f>
        <v>14.880753424657534</v>
      </c>
      <c r="I2336">
        <v>70.7</v>
      </c>
      <c r="J2336">
        <f>(Miami_Retail[[#This Row],[avg_temp_f]]-32) * (5/9)</f>
        <v>21.500000000000004</v>
      </c>
      <c r="K2336">
        <v>0</v>
      </c>
      <c r="L2336">
        <v>0</v>
      </c>
      <c r="M2336">
        <v>56.6</v>
      </c>
      <c r="N2336">
        <v>50.7</v>
      </c>
      <c r="O2336">
        <v>49.3</v>
      </c>
      <c r="P2336">
        <v>49</v>
      </c>
      <c r="Q2336">
        <v>51</v>
      </c>
    </row>
    <row r="2337" spans="1:17" x14ac:dyDescent="0.25">
      <c r="A2337" s="2">
        <v>45069</v>
      </c>
      <c r="B2337" s="2" t="str">
        <f t="shared" si="72"/>
        <v>Tuesday</v>
      </c>
      <c r="C2337" s="2" t="b">
        <f t="shared" si="73"/>
        <v>0</v>
      </c>
      <c r="D2337">
        <v>4</v>
      </c>
      <c r="E2337" t="s">
        <v>8</v>
      </c>
      <c r="F2337">
        <v>202</v>
      </c>
      <c r="G2337" s="3">
        <v>3199.67</v>
      </c>
      <c r="H2337" s="3">
        <f>Miami_Retail[[#This Row],[sales_usd]] / Miami_Retail[[#This Row],[customers]]</f>
        <v>15.839950495049505</v>
      </c>
      <c r="I2337">
        <v>78.400000000000006</v>
      </c>
      <c r="J2337">
        <f>(Miami_Retail[[#This Row],[avg_temp_f]]-32) * (5/9)</f>
        <v>25.777777777777782</v>
      </c>
      <c r="K2337">
        <v>0</v>
      </c>
      <c r="L2337">
        <v>0</v>
      </c>
      <c r="M2337">
        <v>44.1</v>
      </c>
      <c r="N2337">
        <v>52</v>
      </c>
      <c r="O2337">
        <v>48</v>
      </c>
      <c r="P2337">
        <v>46.4</v>
      </c>
      <c r="Q2337">
        <v>53.6</v>
      </c>
    </row>
    <row r="2338" spans="1:17" x14ac:dyDescent="0.25">
      <c r="A2338" s="2">
        <v>45070</v>
      </c>
      <c r="B2338" s="2" t="str">
        <f t="shared" si="72"/>
        <v>Wednesday</v>
      </c>
      <c r="C2338" s="2" t="b">
        <f t="shared" si="73"/>
        <v>0</v>
      </c>
      <c r="D2338">
        <v>4</v>
      </c>
      <c r="E2338" t="s">
        <v>8</v>
      </c>
      <c r="F2338">
        <v>197</v>
      </c>
      <c r="G2338" s="3">
        <v>3140.41</v>
      </c>
      <c r="H2338" s="3">
        <f>Miami_Retail[[#This Row],[sales_usd]] / Miami_Retail[[#This Row],[customers]]</f>
        <v>15.941167512690354</v>
      </c>
      <c r="I2338">
        <v>77.7</v>
      </c>
      <c r="J2338">
        <f>(Miami_Retail[[#This Row],[avg_temp_f]]-32) * (5/9)</f>
        <v>25.388888888888893</v>
      </c>
      <c r="K2338">
        <v>0</v>
      </c>
      <c r="L2338">
        <v>0</v>
      </c>
      <c r="M2338">
        <v>52.9</v>
      </c>
      <c r="N2338">
        <v>50</v>
      </c>
      <c r="O2338">
        <v>50</v>
      </c>
      <c r="P2338">
        <v>48.5</v>
      </c>
      <c r="Q2338">
        <v>51.5</v>
      </c>
    </row>
    <row r="2339" spans="1:17" x14ac:dyDescent="0.25">
      <c r="A2339" s="2">
        <v>45071</v>
      </c>
      <c r="B2339" s="2" t="str">
        <f t="shared" si="72"/>
        <v>Thursday</v>
      </c>
      <c r="C2339" s="2" t="b">
        <f t="shared" si="73"/>
        <v>0</v>
      </c>
      <c r="D2339">
        <v>4</v>
      </c>
      <c r="E2339" t="s">
        <v>8</v>
      </c>
      <c r="F2339">
        <v>177</v>
      </c>
      <c r="G2339" s="3">
        <v>2819.56</v>
      </c>
      <c r="H2339" s="3">
        <f>Miami_Retail[[#This Row],[sales_usd]] / Miami_Retail[[#This Row],[customers]]</f>
        <v>15.929717514124293</v>
      </c>
      <c r="I2339">
        <v>75.099999999999994</v>
      </c>
      <c r="J2339">
        <f>(Miami_Retail[[#This Row],[avg_temp_f]]-32) * (5/9)</f>
        <v>23.944444444444443</v>
      </c>
      <c r="K2339">
        <v>0</v>
      </c>
      <c r="L2339">
        <v>0</v>
      </c>
      <c r="M2339">
        <v>50.1</v>
      </c>
      <c r="N2339">
        <v>51.2</v>
      </c>
      <c r="O2339">
        <v>48.8</v>
      </c>
      <c r="P2339">
        <v>46.6</v>
      </c>
      <c r="Q2339">
        <v>53.4</v>
      </c>
    </row>
    <row r="2340" spans="1:17" x14ac:dyDescent="0.25">
      <c r="A2340" s="2">
        <v>45072</v>
      </c>
      <c r="B2340" s="2" t="str">
        <f t="shared" si="72"/>
        <v>Friday</v>
      </c>
      <c r="C2340" s="2" t="b">
        <f t="shared" si="73"/>
        <v>0</v>
      </c>
      <c r="D2340">
        <v>4</v>
      </c>
      <c r="E2340" t="s">
        <v>8</v>
      </c>
      <c r="F2340">
        <v>160</v>
      </c>
      <c r="G2340" s="3">
        <v>2450.23</v>
      </c>
      <c r="H2340" s="3">
        <f>Miami_Retail[[#This Row],[sales_usd]] / Miami_Retail[[#This Row],[customers]]</f>
        <v>15.3139375</v>
      </c>
      <c r="I2340">
        <v>72.5</v>
      </c>
      <c r="J2340">
        <f>(Miami_Retail[[#This Row],[avg_temp_f]]-32) * (5/9)</f>
        <v>22.5</v>
      </c>
      <c r="K2340">
        <v>0</v>
      </c>
      <c r="L2340">
        <v>0</v>
      </c>
      <c r="M2340">
        <v>41.3</v>
      </c>
      <c r="N2340">
        <v>50.5</v>
      </c>
      <c r="O2340">
        <v>49.5</v>
      </c>
      <c r="P2340">
        <v>48.8</v>
      </c>
      <c r="Q2340">
        <v>51.2</v>
      </c>
    </row>
    <row r="2341" spans="1:17" x14ac:dyDescent="0.25">
      <c r="A2341" s="2">
        <v>45073</v>
      </c>
      <c r="B2341" s="2" t="str">
        <f t="shared" si="72"/>
        <v>Saturday</v>
      </c>
      <c r="C2341" s="2" t="b">
        <f t="shared" si="73"/>
        <v>1</v>
      </c>
      <c r="D2341">
        <v>4</v>
      </c>
      <c r="E2341" t="s">
        <v>8</v>
      </c>
      <c r="F2341">
        <v>187</v>
      </c>
      <c r="G2341" s="3">
        <v>2888.8</v>
      </c>
      <c r="H2341" s="3">
        <f>Miami_Retail[[#This Row],[sales_usd]] / Miami_Retail[[#This Row],[customers]]</f>
        <v>15.44812834224599</v>
      </c>
      <c r="I2341">
        <v>74.900000000000006</v>
      </c>
      <c r="J2341">
        <f>(Miami_Retail[[#This Row],[avg_temp_f]]-32) * (5/9)</f>
        <v>23.833333333333339</v>
      </c>
      <c r="K2341">
        <v>0.47</v>
      </c>
      <c r="L2341">
        <v>1</v>
      </c>
      <c r="M2341">
        <v>44.5</v>
      </c>
      <c r="N2341">
        <v>49.9</v>
      </c>
      <c r="O2341">
        <v>50.1</v>
      </c>
      <c r="P2341">
        <v>54.5</v>
      </c>
      <c r="Q2341">
        <v>45.5</v>
      </c>
    </row>
    <row r="2342" spans="1:17" x14ac:dyDescent="0.25">
      <c r="A2342" s="2">
        <v>45074</v>
      </c>
      <c r="B2342" s="2" t="str">
        <f t="shared" si="72"/>
        <v>Sunday</v>
      </c>
      <c r="C2342" s="2" t="b">
        <f t="shared" si="73"/>
        <v>1</v>
      </c>
      <c r="D2342">
        <v>4</v>
      </c>
      <c r="E2342" t="s">
        <v>8</v>
      </c>
      <c r="F2342">
        <v>198</v>
      </c>
      <c r="G2342" s="3">
        <v>2854.49</v>
      </c>
      <c r="H2342" s="3">
        <f>Miami_Retail[[#This Row],[sales_usd]] / Miami_Retail[[#This Row],[customers]]</f>
        <v>14.41661616161616</v>
      </c>
      <c r="I2342">
        <v>68.2</v>
      </c>
      <c r="J2342">
        <f>(Miami_Retail[[#This Row],[avg_temp_f]]-32) * (5/9)</f>
        <v>20.111111111111114</v>
      </c>
      <c r="K2342">
        <v>0.76</v>
      </c>
      <c r="L2342">
        <v>1</v>
      </c>
      <c r="M2342">
        <v>59.8</v>
      </c>
      <c r="N2342">
        <v>51.4</v>
      </c>
      <c r="O2342">
        <v>48.6</v>
      </c>
      <c r="P2342">
        <v>53.4</v>
      </c>
      <c r="Q2342">
        <v>46.6</v>
      </c>
    </row>
    <row r="2343" spans="1:17" x14ac:dyDescent="0.25">
      <c r="A2343" s="2">
        <v>45075</v>
      </c>
      <c r="B2343" s="2" t="str">
        <f t="shared" si="72"/>
        <v>Monday</v>
      </c>
      <c r="C2343" s="2" t="b">
        <f t="shared" si="73"/>
        <v>0</v>
      </c>
      <c r="D2343">
        <v>4</v>
      </c>
      <c r="E2343" t="s">
        <v>8</v>
      </c>
      <c r="F2343">
        <v>182</v>
      </c>
      <c r="G2343" s="3">
        <v>2973.51</v>
      </c>
      <c r="H2343" s="3">
        <f>Miami_Retail[[#This Row],[sales_usd]] / Miami_Retail[[#This Row],[customers]]</f>
        <v>16.337967032967033</v>
      </c>
      <c r="I2343">
        <v>72.400000000000006</v>
      </c>
      <c r="J2343">
        <f>(Miami_Retail[[#This Row],[avg_temp_f]]-32) * (5/9)</f>
        <v>22.44444444444445</v>
      </c>
      <c r="K2343">
        <v>0.99</v>
      </c>
      <c r="L2343">
        <v>1</v>
      </c>
      <c r="M2343">
        <v>53.6</v>
      </c>
      <c r="N2343">
        <v>51.8</v>
      </c>
      <c r="O2343">
        <v>48.2</v>
      </c>
      <c r="P2343">
        <v>48.3</v>
      </c>
      <c r="Q2343">
        <v>51.7</v>
      </c>
    </row>
    <row r="2344" spans="1:17" x14ac:dyDescent="0.25">
      <c r="A2344" s="2">
        <v>45076</v>
      </c>
      <c r="B2344" s="2" t="str">
        <f t="shared" si="72"/>
        <v>Tuesday</v>
      </c>
      <c r="C2344" s="2" t="b">
        <f t="shared" si="73"/>
        <v>0</v>
      </c>
      <c r="D2344">
        <v>4</v>
      </c>
      <c r="E2344" t="s">
        <v>8</v>
      </c>
      <c r="F2344">
        <v>168</v>
      </c>
      <c r="G2344" s="3">
        <v>2762.16</v>
      </c>
      <c r="H2344" s="3">
        <f>Miami_Retail[[#This Row],[sales_usd]] / Miami_Retail[[#This Row],[customers]]</f>
        <v>16.44142857142857</v>
      </c>
      <c r="I2344">
        <v>76.8</v>
      </c>
      <c r="J2344">
        <f>(Miami_Retail[[#This Row],[avg_temp_f]]-32) * (5/9)</f>
        <v>24.888888888888889</v>
      </c>
      <c r="K2344">
        <v>1.28</v>
      </c>
      <c r="L2344">
        <v>1</v>
      </c>
      <c r="M2344">
        <v>56.8</v>
      </c>
      <c r="N2344">
        <v>51.2</v>
      </c>
      <c r="O2344">
        <v>48.8</v>
      </c>
      <c r="P2344">
        <v>48.4</v>
      </c>
      <c r="Q2344">
        <v>51.6</v>
      </c>
    </row>
    <row r="2345" spans="1:17" x14ac:dyDescent="0.25">
      <c r="A2345" s="2">
        <v>45077</v>
      </c>
      <c r="B2345" s="2" t="str">
        <f t="shared" si="72"/>
        <v>Wednesday</v>
      </c>
      <c r="C2345" s="2" t="b">
        <f t="shared" si="73"/>
        <v>0</v>
      </c>
      <c r="D2345">
        <v>4</v>
      </c>
      <c r="E2345" t="s">
        <v>8</v>
      </c>
      <c r="F2345">
        <v>169</v>
      </c>
      <c r="G2345" s="3">
        <v>2359.9499999999998</v>
      </c>
      <c r="H2345" s="3">
        <f>Miami_Retail[[#This Row],[sales_usd]] / Miami_Retail[[#This Row],[customers]]</f>
        <v>13.964201183431951</v>
      </c>
      <c r="I2345">
        <v>76.400000000000006</v>
      </c>
      <c r="J2345">
        <f>(Miami_Retail[[#This Row],[avg_temp_f]]-32) * (5/9)</f>
        <v>24.666666666666671</v>
      </c>
      <c r="K2345">
        <v>0</v>
      </c>
      <c r="L2345">
        <v>0</v>
      </c>
      <c r="M2345">
        <v>46.4</v>
      </c>
      <c r="N2345">
        <v>51.4</v>
      </c>
      <c r="O2345">
        <v>48.6</v>
      </c>
      <c r="P2345">
        <v>45.8</v>
      </c>
      <c r="Q2345">
        <v>54.2</v>
      </c>
    </row>
    <row r="2346" spans="1:17" x14ac:dyDescent="0.25">
      <c r="A2346" s="2">
        <v>45078</v>
      </c>
      <c r="B2346" s="2" t="str">
        <f t="shared" si="72"/>
        <v>Thursday</v>
      </c>
      <c r="C2346" s="2" t="b">
        <f t="shared" si="73"/>
        <v>0</v>
      </c>
      <c r="D2346">
        <v>4</v>
      </c>
      <c r="E2346" t="s">
        <v>8</v>
      </c>
      <c r="F2346">
        <v>181</v>
      </c>
      <c r="G2346" s="3">
        <v>2905.45</v>
      </c>
      <c r="H2346" s="3">
        <f>Miami_Retail[[#This Row],[sales_usd]] / Miami_Retail[[#This Row],[customers]]</f>
        <v>16.052209944751379</v>
      </c>
      <c r="I2346">
        <v>72.8</v>
      </c>
      <c r="J2346">
        <f>(Miami_Retail[[#This Row],[avg_temp_f]]-32) * (5/9)</f>
        <v>22.666666666666668</v>
      </c>
      <c r="K2346">
        <v>0</v>
      </c>
      <c r="L2346">
        <v>0</v>
      </c>
      <c r="M2346">
        <v>59.4</v>
      </c>
      <c r="N2346">
        <v>49.3</v>
      </c>
      <c r="O2346">
        <v>50.7</v>
      </c>
      <c r="P2346">
        <v>47.4</v>
      </c>
      <c r="Q2346">
        <v>52.6</v>
      </c>
    </row>
    <row r="2347" spans="1:17" x14ac:dyDescent="0.25">
      <c r="A2347" s="2">
        <v>45079</v>
      </c>
      <c r="B2347" s="2" t="str">
        <f t="shared" si="72"/>
        <v>Friday</v>
      </c>
      <c r="C2347" s="2" t="b">
        <f t="shared" si="73"/>
        <v>0</v>
      </c>
      <c r="D2347">
        <v>4</v>
      </c>
      <c r="E2347" t="s">
        <v>8</v>
      </c>
      <c r="F2347">
        <v>204</v>
      </c>
      <c r="G2347" s="3">
        <v>3159.79</v>
      </c>
      <c r="H2347" s="3">
        <f>Miami_Retail[[#This Row],[sales_usd]] / Miami_Retail[[#This Row],[customers]]</f>
        <v>15.489166666666666</v>
      </c>
      <c r="I2347">
        <v>68.900000000000006</v>
      </c>
      <c r="J2347">
        <f>(Miami_Retail[[#This Row],[avg_temp_f]]-32) * (5/9)</f>
        <v>20.500000000000004</v>
      </c>
      <c r="K2347">
        <v>0</v>
      </c>
      <c r="L2347">
        <v>0</v>
      </c>
      <c r="M2347">
        <v>50.8</v>
      </c>
      <c r="N2347">
        <v>50.7</v>
      </c>
      <c r="O2347">
        <v>49.3</v>
      </c>
      <c r="P2347">
        <v>47.7</v>
      </c>
      <c r="Q2347">
        <v>52.3</v>
      </c>
    </row>
    <row r="2348" spans="1:17" x14ac:dyDescent="0.25">
      <c r="A2348" s="2">
        <v>45080</v>
      </c>
      <c r="B2348" s="2" t="str">
        <f t="shared" si="72"/>
        <v>Saturday</v>
      </c>
      <c r="C2348" s="2" t="b">
        <f t="shared" si="73"/>
        <v>1</v>
      </c>
      <c r="D2348">
        <v>4</v>
      </c>
      <c r="E2348" t="s">
        <v>8</v>
      </c>
      <c r="F2348">
        <v>200</v>
      </c>
      <c r="G2348" s="3">
        <v>2995.87</v>
      </c>
      <c r="H2348" s="3">
        <f>Miami_Retail[[#This Row],[sales_usd]] / Miami_Retail[[#This Row],[customers]]</f>
        <v>14.97935</v>
      </c>
      <c r="I2348">
        <v>74.7</v>
      </c>
      <c r="J2348">
        <f>(Miami_Retail[[#This Row],[avg_temp_f]]-32) * (5/9)</f>
        <v>23.722222222222225</v>
      </c>
      <c r="K2348">
        <v>0.11</v>
      </c>
      <c r="L2348">
        <v>1</v>
      </c>
      <c r="M2348">
        <v>41.6</v>
      </c>
      <c r="N2348">
        <v>50.9</v>
      </c>
      <c r="O2348">
        <v>49.1</v>
      </c>
      <c r="P2348">
        <v>55.2</v>
      </c>
      <c r="Q2348">
        <v>44.8</v>
      </c>
    </row>
    <row r="2349" spans="1:17" x14ac:dyDescent="0.25">
      <c r="A2349" s="2">
        <v>45081</v>
      </c>
      <c r="B2349" s="2" t="str">
        <f t="shared" si="72"/>
        <v>Sunday</v>
      </c>
      <c r="C2349" s="2" t="b">
        <f t="shared" si="73"/>
        <v>1</v>
      </c>
      <c r="D2349">
        <v>4</v>
      </c>
      <c r="E2349" t="s">
        <v>8</v>
      </c>
      <c r="F2349">
        <v>223</v>
      </c>
      <c r="G2349" s="3">
        <v>3617.27</v>
      </c>
      <c r="H2349" s="3">
        <f>Miami_Retail[[#This Row],[sales_usd]] / Miami_Retail[[#This Row],[customers]]</f>
        <v>16.220941704035873</v>
      </c>
      <c r="I2349">
        <v>76.599999999999994</v>
      </c>
      <c r="J2349">
        <f>(Miami_Retail[[#This Row],[avg_temp_f]]-32) * (5/9)</f>
        <v>24.777777777777775</v>
      </c>
      <c r="K2349">
        <v>0</v>
      </c>
      <c r="L2349">
        <v>0</v>
      </c>
      <c r="M2349">
        <v>44</v>
      </c>
      <c r="N2349">
        <v>49.6</v>
      </c>
      <c r="O2349">
        <v>50.4</v>
      </c>
      <c r="P2349">
        <v>52.3</v>
      </c>
      <c r="Q2349">
        <v>47.7</v>
      </c>
    </row>
    <row r="2350" spans="1:17" x14ac:dyDescent="0.25">
      <c r="A2350" s="2">
        <v>45082</v>
      </c>
      <c r="B2350" s="2" t="str">
        <f t="shared" si="72"/>
        <v>Monday</v>
      </c>
      <c r="C2350" s="2" t="b">
        <f t="shared" si="73"/>
        <v>0</v>
      </c>
      <c r="D2350">
        <v>4</v>
      </c>
      <c r="E2350" t="s">
        <v>8</v>
      </c>
      <c r="F2350">
        <v>175</v>
      </c>
      <c r="G2350" s="3">
        <v>2664.73</v>
      </c>
      <c r="H2350" s="3">
        <f>Miami_Retail[[#This Row],[sales_usd]] / Miami_Retail[[#This Row],[customers]]</f>
        <v>15.227028571428571</v>
      </c>
      <c r="I2350">
        <v>76.5</v>
      </c>
      <c r="J2350">
        <f>(Miami_Retail[[#This Row],[avg_temp_f]]-32) * (5/9)</f>
        <v>24.722222222222225</v>
      </c>
      <c r="K2350">
        <v>0.63</v>
      </c>
      <c r="L2350">
        <v>1</v>
      </c>
      <c r="M2350">
        <v>58.1</v>
      </c>
      <c r="N2350">
        <v>49.1</v>
      </c>
      <c r="O2350">
        <v>50.9</v>
      </c>
      <c r="P2350">
        <v>46.4</v>
      </c>
      <c r="Q2350">
        <v>53.6</v>
      </c>
    </row>
    <row r="2351" spans="1:17" x14ac:dyDescent="0.25">
      <c r="A2351" s="2">
        <v>45083</v>
      </c>
      <c r="B2351" s="2" t="str">
        <f t="shared" si="72"/>
        <v>Tuesday</v>
      </c>
      <c r="C2351" s="2" t="b">
        <f t="shared" si="73"/>
        <v>0</v>
      </c>
      <c r="D2351">
        <v>4</v>
      </c>
      <c r="E2351" t="s">
        <v>8</v>
      </c>
      <c r="F2351">
        <v>179</v>
      </c>
      <c r="G2351" s="3">
        <v>2880.31</v>
      </c>
      <c r="H2351" s="3">
        <f>Miami_Retail[[#This Row],[sales_usd]] / Miami_Retail[[#This Row],[customers]]</f>
        <v>16.091117318435753</v>
      </c>
      <c r="I2351">
        <v>74.900000000000006</v>
      </c>
      <c r="J2351">
        <f>(Miami_Retail[[#This Row],[avg_temp_f]]-32) * (5/9)</f>
        <v>23.833333333333339</v>
      </c>
      <c r="K2351">
        <v>0</v>
      </c>
      <c r="L2351">
        <v>0</v>
      </c>
      <c r="M2351">
        <v>58.4</v>
      </c>
      <c r="N2351">
        <v>50.6</v>
      </c>
      <c r="O2351">
        <v>49.4</v>
      </c>
      <c r="P2351">
        <v>46.4</v>
      </c>
      <c r="Q2351">
        <v>53.6</v>
      </c>
    </row>
    <row r="2352" spans="1:17" x14ac:dyDescent="0.25">
      <c r="A2352" s="2">
        <v>45084</v>
      </c>
      <c r="B2352" s="2" t="str">
        <f t="shared" si="72"/>
        <v>Wednesday</v>
      </c>
      <c r="C2352" s="2" t="b">
        <f t="shared" si="73"/>
        <v>0</v>
      </c>
      <c r="D2352">
        <v>4</v>
      </c>
      <c r="E2352" t="s">
        <v>8</v>
      </c>
      <c r="F2352">
        <v>164</v>
      </c>
      <c r="G2352" s="3">
        <v>2658.23</v>
      </c>
      <c r="H2352" s="3">
        <f>Miami_Retail[[#This Row],[sales_usd]] / Miami_Retail[[#This Row],[customers]]</f>
        <v>16.20871951219512</v>
      </c>
      <c r="I2352">
        <v>73.2</v>
      </c>
      <c r="J2352">
        <f>(Miami_Retail[[#This Row],[avg_temp_f]]-32) * (5/9)</f>
        <v>22.888888888888893</v>
      </c>
      <c r="K2352">
        <v>1.85</v>
      </c>
      <c r="L2352">
        <v>1</v>
      </c>
      <c r="M2352">
        <v>53.4</v>
      </c>
      <c r="N2352">
        <v>50</v>
      </c>
      <c r="O2352">
        <v>50</v>
      </c>
      <c r="P2352">
        <v>48.7</v>
      </c>
      <c r="Q2352">
        <v>51.3</v>
      </c>
    </row>
    <row r="2353" spans="1:17" x14ac:dyDescent="0.25">
      <c r="A2353" s="2">
        <v>45085</v>
      </c>
      <c r="B2353" s="2" t="str">
        <f t="shared" si="72"/>
        <v>Thursday</v>
      </c>
      <c r="C2353" s="2" t="b">
        <f t="shared" si="73"/>
        <v>0</v>
      </c>
      <c r="D2353">
        <v>4</v>
      </c>
      <c r="E2353" t="s">
        <v>8</v>
      </c>
      <c r="F2353">
        <v>213</v>
      </c>
      <c r="G2353" s="3">
        <v>3170.61</v>
      </c>
      <c r="H2353" s="3">
        <f>Miami_Retail[[#This Row],[sales_usd]] / Miami_Retail[[#This Row],[customers]]</f>
        <v>14.885492957746479</v>
      </c>
      <c r="I2353">
        <v>78.599999999999994</v>
      </c>
      <c r="J2353">
        <f>(Miami_Retail[[#This Row],[avg_temp_f]]-32) * (5/9)</f>
        <v>25.888888888888886</v>
      </c>
      <c r="K2353">
        <v>0.81</v>
      </c>
      <c r="L2353">
        <v>1</v>
      </c>
      <c r="M2353">
        <v>64.7</v>
      </c>
      <c r="N2353">
        <v>48.6</v>
      </c>
      <c r="O2353">
        <v>51.4</v>
      </c>
      <c r="P2353">
        <v>48.4</v>
      </c>
      <c r="Q2353">
        <v>51.6</v>
      </c>
    </row>
    <row r="2354" spans="1:17" x14ac:dyDescent="0.25">
      <c r="A2354" s="2">
        <v>45086</v>
      </c>
      <c r="B2354" s="2" t="str">
        <f t="shared" si="72"/>
        <v>Friday</v>
      </c>
      <c r="C2354" s="2" t="b">
        <f t="shared" si="73"/>
        <v>0</v>
      </c>
      <c r="D2354">
        <v>4</v>
      </c>
      <c r="E2354" t="s">
        <v>8</v>
      </c>
      <c r="F2354">
        <v>180</v>
      </c>
      <c r="G2354" s="3">
        <v>2741.52</v>
      </c>
      <c r="H2354" s="3">
        <f>Miami_Retail[[#This Row],[sales_usd]] / Miami_Retail[[#This Row],[customers]]</f>
        <v>15.230666666666666</v>
      </c>
      <c r="I2354">
        <v>74.3</v>
      </c>
      <c r="J2354">
        <f>(Miami_Retail[[#This Row],[avg_temp_f]]-32) * (5/9)</f>
        <v>23.5</v>
      </c>
      <c r="K2354">
        <v>0.49</v>
      </c>
      <c r="L2354">
        <v>1</v>
      </c>
      <c r="M2354">
        <v>62.3</v>
      </c>
      <c r="N2354">
        <v>50</v>
      </c>
      <c r="O2354">
        <v>50</v>
      </c>
      <c r="P2354">
        <v>46.1</v>
      </c>
      <c r="Q2354">
        <v>53.9</v>
      </c>
    </row>
    <row r="2355" spans="1:17" x14ac:dyDescent="0.25">
      <c r="A2355" s="2">
        <v>45087</v>
      </c>
      <c r="B2355" s="2" t="str">
        <f t="shared" si="72"/>
        <v>Saturday</v>
      </c>
      <c r="C2355" s="2" t="b">
        <f t="shared" si="73"/>
        <v>1</v>
      </c>
      <c r="D2355">
        <v>4</v>
      </c>
      <c r="E2355" t="s">
        <v>8</v>
      </c>
      <c r="F2355">
        <v>234</v>
      </c>
      <c r="G2355" s="3">
        <v>3896.41</v>
      </c>
      <c r="H2355" s="3">
        <f>Miami_Retail[[#This Row],[sales_usd]] / Miami_Retail[[#This Row],[customers]]</f>
        <v>16.651324786324786</v>
      </c>
      <c r="I2355">
        <v>74.8</v>
      </c>
      <c r="J2355">
        <f>(Miami_Retail[[#This Row],[avg_temp_f]]-32) * (5/9)</f>
        <v>23.777777777777779</v>
      </c>
      <c r="K2355">
        <v>0</v>
      </c>
      <c r="L2355">
        <v>0</v>
      </c>
      <c r="M2355">
        <v>58.9</v>
      </c>
      <c r="N2355">
        <v>50.6</v>
      </c>
      <c r="O2355">
        <v>49.4</v>
      </c>
      <c r="P2355">
        <v>52.6</v>
      </c>
      <c r="Q2355">
        <v>47.4</v>
      </c>
    </row>
    <row r="2356" spans="1:17" x14ac:dyDescent="0.25">
      <c r="A2356" s="2">
        <v>45088</v>
      </c>
      <c r="B2356" s="2" t="str">
        <f t="shared" si="72"/>
        <v>Sunday</v>
      </c>
      <c r="C2356" s="2" t="b">
        <f t="shared" si="73"/>
        <v>1</v>
      </c>
      <c r="D2356">
        <v>4</v>
      </c>
      <c r="E2356" t="s">
        <v>8</v>
      </c>
      <c r="F2356">
        <v>245</v>
      </c>
      <c r="G2356" s="3">
        <v>4123</v>
      </c>
      <c r="H2356" s="3">
        <f>Miami_Retail[[#This Row],[sales_usd]] / Miami_Retail[[#This Row],[customers]]</f>
        <v>16.828571428571429</v>
      </c>
      <c r="I2356">
        <v>78.3</v>
      </c>
      <c r="J2356">
        <f>(Miami_Retail[[#This Row],[avg_temp_f]]-32) * (5/9)</f>
        <v>25.722222222222221</v>
      </c>
      <c r="K2356">
        <v>0</v>
      </c>
      <c r="L2356">
        <v>0</v>
      </c>
      <c r="M2356">
        <v>50.2</v>
      </c>
      <c r="N2356">
        <v>47.9</v>
      </c>
      <c r="O2356">
        <v>52.1</v>
      </c>
      <c r="P2356">
        <v>55.8</v>
      </c>
      <c r="Q2356">
        <v>44.2</v>
      </c>
    </row>
    <row r="2357" spans="1:17" x14ac:dyDescent="0.25">
      <c r="A2357" s="2">
        <v>45089</v>
      </c>
      <c r="B2357" s="2" t="str">
        <f t="shared" si="72"/>
        <v>Monday</v>
      </c>
      <c r="C2357" s="2" t="b">
        <f t="shared" si="73"/>
        <v>0</v>
      </c>
      <c r="D2357">
        <v>4</v>
      </c>
      <c r="E2357" t="s">
        <v>8</v>
      </c>
      <c r="F2357">
        <v>188</v>
      </c>
      <c r="G2357" s="3">
        <v>2835.16</v>
      </c>
      <c r="H2357" s="3">
        <f>Miami_Retail[[#This Row],[sales_usd]] / Miami_Retail[[#This Row],[customers]]</f>
        <v>15.080638297872339</v>
      </c>
      <c r="I2357">
        <v>75.8</v>
      </c>
      <c r="J2357">
        <f>(Miami_Retail[[#This Row],[avg_temp_f]]-32) * (5/9)</f>
        <v>24.333333333333332</v>
      </c>
      <c r="K2357">
        <v>0</v>
      </c>
      <c r="L2357">
        <v>0</v>
      </c>
      <c r="M2357">
        <v>55.5</v>
      </c>
      <c r="N2357">
        <v>51.1</v>
      </c>
      <c r="O2357">
        <v>48.9</v>
      </c>
      <c r="P2357">
        <v>47.2</v>
      </c>
      <c r="Q2357">
        <v>52.8</v>
      </c>
    </row>
    <row r="2358" spans="1:17" x14ac:dyDescent="0.25">
      <c r="A2358" s="2">
        <v>45090</v>
      </c>
      <c r="B2358" s="2" t="str">
        <f t="shared" si="72"/>
        <v>Tuesday</v>
      </c>
      <c r="C2358" s="2" t="b">
        <f t="shared" si="73"/>
        <v>0</v>
      </c>
      <c r="D2358">
        <v>4</v>
      </c>
      <c r="E2358" t="s">
        <v>8</v>
      </c>
      <c r="F2358">
        <v>218</v>
      </c>
      <c r="G2358" s="3">
        <v>3271.91</v>
      </c>
      <c r="H2358" s="3">
        <f>Miami_Retail[[#This Row],[sales_usd]] / Miami_Retail[[#This Row],[customers]]</f>
        <v>15.008761467889908</v>
      </c>
      <c r="I2358">
        <v>82.7</v>
      </c>
      <c r="J2358">
        <f>(Miami_Retail[[#This Row],[avg_temp_f]]-32) * (5/9)</f>
        <v>28.166666666666668</v>
      </c>
      <c r="K2358">
        <v>0.67</v>
      </c>
      <c r="L2358">
        <v>1</v>
      </c>
      <c r="M2358">
        <v>57.7</v>
      </c>
      <c r="N2358">
        <v>49.9</v>
      </c>
      <c r="O2358">
        <v>50.1</v>
      </c>
      <c r="P2358">
        <v>48.3</v>
      </c>
      <c r="Q2358">
        <v>51.7</v>
      </c>
    </row>
    <row r="2359" spans="1:17" x14ac:dyDescent="0.25">
      <c r="A2359" s="2">
        <v>45091</v>
      </c>
      <c r="B2359" s="2" t="str">
        <f t="shared" si="72"/>
        <v>Wednesday</v>
      </c>
      <c r="C2359" s="2" t="b">
        <f t="shared" si="73"/>
        <v>0</v>
      </c>
      <c r="D2359">
        <v>4</v>
      </c>
      <c r="E2359" t="s">
        <v>8</v>
      </c>
      <c r="F2359">
        <v>186</v>
      </c>
      <c r="G2359" s="3">
        <v>2712.57</v>
      </c>
      <c r="H2359" s="3">
        <f>Miami_Retail[[#This Row],[sales_usd]] / Miami_Retail[[#This Row],[customers]]</f>
        <v>14.583709677419355</v>
      </c>
      <c r="I2359">
        <v>76.900000000000006</v>
      </c>
      <c r="J2359">
        <f>(Miami_Retail[[#This Row],[avg_temp_f]]-32) * (5/9)</f>
        <v>24.94444444444445</v>
      </c>
      <c r="K2359">
        <v>1.6</v>
      </c>
      <c r="L2359">
        <v>1</v>
      </c>
      <c r="M2359">
        <v>62</v>
      </c>
      <c r="N2359">
        <v>49.3</v>
      </c>
      <c r="O2359">
        <v>50.7</v>
      </c>
      <c r="P2359">
        <v>46.6</v>
      </c>
      <c r="Q2359">
        <v>53.4</v>
      </c>
    </row>
    <row r="2360" spans="1:17" x14ac:dyDescent="0.25">
      <c r="A2360" s="2">
        <v>45092</v>
      </c>
      <c r="B2360" s="2" t="str">
        <f t="shared" si="72"/>
        <v>Thursday</v>
      </c>
      <c r="C2360" s="2" t="b">
        <f t="shared" si="73"/>
        <v>0</v>
      </c>
      <c r="D2360">
        <v>4</v>
      </c>
      <c r="E2360" t="s">
        <v>8</v>
      </c>
      <c r="F2360">
        <v>192</v>
      </c>
      <c r="G2360" s="3">
        <v>2910.52</v>
      </c>
      <c r="H2360" s="3">
        <f>Miami_Retail[[#This Row],[sales_usd]] / Miami_Retail[[#This Row],[customers]]</f>
        <v>15.158958333333333</v>
      </c>
      <c r="I2360">
        <v>78.5</v>
      </c>
      <c r="J2360">
        <f>(Miami_Retail[[#This Row],[avg_temp_f]]-32) * (5/9)</f>
        <v>25.833333333333336</v>
      </c>
      <c r="K2360">
        <v>0</v>
      </c>
      <c r="L2360">
        <v>0</v>
      </c>
      <c r="M2360">
        <v>58.7</v>
      </c>
      <c r="N2360">
        <v>49</v>
      </c>
      <c r="O2360">
        <v>51</v>
      </c>
      <c r="P2360">
        <v>47.1</v>
      </c>
      <c r="Q2360">
        <v>52.9</v>
      </c>
    </row>
    <row r="2361" spans="1:17" x14ac:dyDescent="0.25">
      <c r="A2361" s="2">
        <v>45093</v>
      </c>
      <c r="B2361" s="2" t="str">
        <f t="shared" si="72"/>
        <v>Friday</v>
      </c>
      <c r="C2361" s="2" t="b">
        <f t="shared" si="73"/>
        <v>0</v>
      </c>
      <c r="D2361">
        <v>4</v>
      </c>
      <c r="E2361" t="s">
        <v>8</v>
      </c>
      <c r="F2361">
        <v>252</v>
      </c>
      <c r="G2361" s="3">
        <v>3537.06</v>
      </c>
      <c r="H2361" s="3">
        <f>Miami_Retail[[#This Row],[sales_usd]] / Miami_Retail[[#This Row],[customers]]</f>
        <v>14.035952380952381</v>
      </c>
      <c r="I2361">
        <v>82.1</v>
      </c>
      <c r="J2361">
        <f>(Miami_Retail[[#This Row],[avg_temp_f]]-32) * (5/9)</f>
        <v>27.833333333333332</v>
      </c>
      <c r="K2361">
        <v>0</v>
      </c>
      <c r="L2361">
        <v>0</v>
      </c>
      <c r="M2361">
        <v>57.6</v>
      </c>
      <c r="N2361">
        <v>50.6</v>
      </c>
      <c r="O2361">
        <v>49.4</v>
      </c>
      <c r="P2361">
        <v>47.9</v>
      </c>
      <c r="Q2361">
        <v>52.1</v>
      </c>
    </row>
    <row r="2362" spans="1:17" x14ac:dyDescent="0.25">
      <c r="A2362" s="2">
        <v>45094</v>
      </c>
      <c r="B2362" s="2" t="str">
        <f t="shared" si="72"/>
        <v>Saturday</v>
      </c>
      <c r="C2362" s="2" t="b">
        <f t="shared" si="73"/>
        <v>1</v>
      </c>
      <c r="D2362">
        <v>4</v>
      </c>
      <c r="E2362" t="s">
        <v>8</v>
      </c>
      <c r="F2362">
        <v>249</v>
      </c>
      <c r="G2362" s="3">
        <v>3707.53</v>
      </c>
      <c r="H2362" s="3">
        <f>Miami_Retail[[#This Row],[sales_usd]] / Miami_Retail[[#This Row],[customers]]</f>
        <v>14.889678714859439</v>
      </c>
      <c r="I2362">
        <v>83.5</v>
      </c>
      <c r="J2362">
        <f>(Miami_Retail[[#This Row],[avg_temp_f]]-32) * (5/9)</f>
        <v>28.611111111111111</v>
      </c>
      <c r="K2362">
        <v>0</v>
      </c>
      <c r="L2362">
        <v>0</v>
      </c>
      <c r="M2362">
        <v>56.4</v>
      </c>
      <c r="N2362">
        <v>48.8</v>
      </c>
      <c r="O2362">
        <v>51.2</v>
      </c>
      <c r="P2362">
        <v>53.5</v>
      </c>
      <c r="Q2362">
        <v>46.5</v>
      </c>
    </row>
    <row r="2363" spans="1:17" x14ac:dyDescent="0.25">
      <c r="A2363" s="2">
        <v>45095</v>
      </c>
      <c r="B2363" s="2" t="str">
        <f t="shared" si="72"/>
        <v>Sunday</v>
      </c>
      <c r="C2363" s="2" t="b">
        <f t="shared" si="73"/>
        <v>1</v>
      </c>
      <c r="D2363">
        <v>4</v>
      </c>
      <c r="E2363" t="s">
        <v>8</v>
      </c>
      <c r="F2363">
        <v>239</v>
      </c>
      <c r="G2363" s="3">
        <v>3571.75</v>
      </c>
      <c r="H2363" s="3">
        <f>Miami_Retail[[#This Row],[sales_usd]] / Miami_Retail[[#This Row],[customers]]</f>
        <v>14.944560669456067</v>
      </c>
      <c r="I2363">
        <v>71.900000000000006</v>
      </c>
      <c r="J2363">
        <f>(Miami_Retail[[#This Row],[avg_temp_f]]-32) * (5/9)</f>
        <v>22.166666666666671</v>
      </c>
      <c r="K2363">
        <v>0</v>
      </c>
      <c r="L2363">
        <v>0</v>
      </c>
      <c r="M2363">
        <v>60</v>
      </c>
      <c r="N2363">
        <v>49.2</v>
      </c>
      <c r="O2363">
        <v>50.8</v>
      </c>
      <c r="P2363">
        <v>54.3</v>
      </c>
      <c r="Q2363">
        <v>45.7</v>
      </c>
    </row>
    <row r="2364" spans="1:17" x14ac:dyDescent="0.25">
      <c r="A2364" s="2">
        <v>45096</v>
      </c>
      <c r="B2364" s="2" t="str">
        <f t="shared" si="72"/>
        <v>Monday</v>
      </c>
      <c r="C2364" s="2" t="b">
        <f t="shared" si="73"/>
        <v>0</v>
      </c>
      <c r="D2364">
        <v>4</v>
      </c>
      <c r="E2364" t="s">
        <v>8</v>
      </c>
      <c r="F2364">
        <v>202</v>
      </c>
      <c r="G2364" s="3">
        <v>3373.04</v>
      </c>
      <c r="H2364" s="3">
        <f>Miami_Retail[[#This Row],[sales_usd]] / Miami_Retail[[#This Row],[customers]]</f>
        <v>16.69821782178218</v>
      </c>
      <c r="I2364">
        <v>78.5</v>
      </c>
      <c r="J2364">
        <f>(Miami_Retail[[#This Row],[avg_temp_f]]-32) * (5/9)</f>
        <v>25.833333333333336</v>
      </c>
      <c r="K2364">
        <v>7.0000000000000007E-2</v>
      </c>
      <c r="L2364">
        <v>1</v>
      </c>
      <c r="M2364">
        <v>58.4</v>
      </c>
      <c r="N2364">
        <v>48.7</v>
      </c>
      <c r="O2364">
        <v>51.3</v>
      </c>
      <c r="P2364">
        <v>45.5</v>
      </c>
      <c r="Q2364">
        <v>54.5</v>
      </c>
    </row>
    <row r="2365" spans="1:17" x14ac:dyDescent="0.25">
      <c r="A2365" s="2">
        <v>45097</v>
      </c>
      <c r="B2365" s="2" t="str">
        <f t="shared" si="72"/>
        <v>Tuesday</v>
      </c>
      <c r="C2365" s="2" t="b">
        <f t="shared" si="73"/>
        <v>0</v>
      </c>
      <c r="D2365">
        <v>4</v>
      </c>
      <c r="E2365" t="s">
        <v>8</v>
      </c>
      <c r="F2365">
        <v>202</v>
      </c>
      <c r="G2365" s="3">
        <v>3022.72</v>
      </c>
      <c r="H2365" s="3">
        <f>Miami_Retail[[#This Row],[sales_usd]] / Miami_Retail[[#This Row],[customers]]</f>
        <v>14.963960396039603</v>
      </c>
      <c r="I2365">
        <v>72.7</v>
      </c>
      <c r="J2365">
        <f>(Miami_Retail[[#This Row],[avg_temp_f]]-32) * (5/9)</f>
        <v>22.611111111111114</v>
      </c>
      <c r="K2365">
        <v>0</v>
      </c>
      <c r="L2365">
        <v>0</v>
      </c>
      <c r="M2365">
        <v>64.400000000000006</v>
      </c>
      <c r="N2365">
        <v>50.1</v>
      </c>
      <c r="O2365">
        <v>49.9</v>
      </c>
      <c r="P2365">
        <v>47.8</v>
      </c>
      <c r="Q2365">
        <v>52.2</v>
      </c>
    </row>
    <row r="2366" spans="1:17" x14ac:dyDescent="0.25">
      <c r="A2366" s="2">
        <v>45098</v>
      </c>
      <c r="B2366" s="2" t="str">
        <f t="shared" si="72"/>
        <v>Wednesday</v>
      </c>
      <c r="C2366" s="2" t="b">
        <f t="shared" si="73"/>
        <v>0</v>
      </c>
      <c r="D2366">
        <v>4</v>
      </c>
      <c r="E2366" t="s">
        <v>8</v>
      </c>
      <c r="F2366">
        <v>196</v>
      </c>
      <c r="G2366" s="3">
        <v>3018.36</v>
      </c>
      <c r="H2366" s="3">
        <f>Miami_Retail[[#This Row],[sales_usd]] / Miami_Retail[[#This Row],[customers]]</f>
        <v>15.399795918367348</v>
      </c>
      <c r="I2366">
        <v>77.3</v>
      </c>
      <c r="J2366">
        <f>(Miami_Retail[[#This Row],[avg_temp_f]]-32) * (5/9)</f>
        <v>25.166666666666668</v>
      </c>
      <c r="K2366">
        <v>0</v>
      </c>
      <c r="L2366">
        <v>0</v>
      </c>
      <c r="M2366">
        <v>59</v>
      </c>
      <c r="N2366">
        <v>48.1</v>
      </c>
      <c r="O2366">
        <v>51.9</v>
      </c>
      <c r="P2366">
        <v>48.5</v>
      </c>
      <c r="Q2366">
        <v>51.5</v>
      </c>
    </row>
    <row r="2367" spans="1:17" x14ac:dyDescent="0.25">
      <c r="A2367" s="2">
        <v>45099</v>
      </c>
      <c r="B2367" s="2" t="str">
        <f t="shared" si="72"/>
        <v>Thursday</v>
      </c>
      <c r="C2367" s="2" t="b">
        <f t="shared" si="73"/>
        <v>0</v>
      </c>
      <c r="D2367">
        <v>4</v>
      </c>
      <c r="E2367" t="s">
        <v>8</v>
      </c>
      <c r="F2367">
        <v>198</v>
      </c>
      <c r="G2367" s="3">
        <v>2849.99</v>
      </c>
      <c r="H2367" s="3">
        <f>Miami_Retail[[#This Row],[sales_usd]] / Miami_Retail[[#This Row],[customers]]</f>
        <v>14.393888888888888</v>
      </c>
      <c r="I2367">
        <v>78.7</v>
      </c>
      <c r="J2367">
        <f>(Miami_Retail[[#This Row],[avg_temp_f]]-32) * (5/9)</f>
        <v>25.944444444444446</v>
      </c>
      <c r="K2367">
        <v>0</v>
      </c>
      <c r="L2367">
        <v>0</v>
      </c>
      <c r="M2367">
        <v>48.7</v>
      </c>
      <c r="N2367">
        <v>51.2</v>
      </c>
      <c r="O2367">
        <v>48.8</v>
      </c>
      <c r="P2367">
        <v>47.2</v>
      </c>
      <c r="Q2367">
        <v>52.8</v>
      </c>
    </row>
    <row r="2368" spans="1:17" x14ac:dyDescent="0.25">
      <c r="A2368" s="2">
        <v>45100</v>
      </c>
      <c r="B2368" s="2" t="str">
        <f t="shared" si="72"/>
        <v>Friday</v>
      </c>
      <c r="C2368" s="2" t="b">
        <f t="shared" si="73"/>
        <v>0</v>
      </c>
      <c r="D2368">
        <v>4</v>
      </c>
      <c r="E2368" t="s">
        <v>8</v>
      </c>
      <c r="F2368">
        <v>199</v>
      </c>
      <c r="G2368" s="3">
        <v>3007.16</v>
      </c>
      <c r="H2368" s="3">
        <f>Miami_Retail[[#This Row],[sales_usd]] / Miami_Retail[[#This Row],[customers]]</f>
        <v>15.111356783919597</v>
      </c>
      <c r="I2368">
        <v>81.400000000000006</v>
      </c>
      <c r="J2368">
        <f>(Miami_Retail[[#This Row],[avg_temp_f]]-32) * (5/9)</f>
        <v>27.44444444444445</v>
      </c>
      <c r="K2368">
        <v>1.02</v>
      </c>
      <c r="L2368">
        <v>1</v>
      </c>
      <c r="M2368">
        <v>60.4</v>
      </c>
      <c r="N2368">
        <v>48.2</v>
      </c>
      <c r="O2368">
        <v>51.8</v>
      </c>
      <c r="P2368">
        <v>48.1</v>
      </c>
      <c r="Q2368">
        <v>51.9</v>
      </c>
    </row>
    <row r="2369" spans="1:17" x14ac:dyDescent="0.25">
      <c r="A2369" s="2">
        <v>45101</v>
      </c>
      <c r="B2369" s="2" t="str">
        <f t="shared" si="72"/>
        <v>Saturday</v>
      </c>
      <c r="C2369" s="2" t="b">
        <f t="shared" si="73"/>
        <v>1</v>
      </c>
      <c r="D2369">
        <v>4</v>
      </c>
      <c r="E2369" t="s">
        <v>8</v>
      </c>
      <c r="F2369">
        <v>232</v>
      </c>
      <c r="G2369" s="3">
        <v>3793.42</v>
      </c>
      <c r="H2369" s="3">
        <f>Miami_Retail[[#This Row],[sales_usd]] / Miami_Retail[[#This Row],[customers]]</f>
        <v>16.35094827586207</v>
      </c>
      <c r="I2369">
        <v>86.1</v>
      </c>
      <c r="J2369">
        <f>(Miami_Retail[[#This Row],[avg_temp_f]]-32) * (5/9)</f>
        <v>30.055555555555554</v>
      </c>
      <c r="K2369">
        <v>1.04</v>
      </c>
      <c r="L2369">
        <v>1</v>
      </c>
      <c r="M2369">
        <v>56.7</v>
      </c>
      <c r="N2369">
        <v>49.4</v>
      </c>
      <c r="O2369">
        <v>50.6</v>
      </c>
      <c r="P2369">
        <v>53.2</v>
      </c>
      <c r="Q2369">
        <v>46.8</v>
      </c>
    </row>
    <row r="2370" spans="1:17" x14ac:dyDescent="0.25">
      <c r="A2370" s="2">
        <v>45102</v>
      </c>
      <c r="B2370" s="2" t="str">
        <f t="shared" ref="B2370:B2433" si="74">TEXT(A2370, "dddd")</f>
        <v>Sunday</v>
      </c>
      <c r="C2370" s="2" t="b">
        <f t="shared" ref="C2370:C2433" si="75">IF(WEEKDAY(A2370,2)&gt;5,TRUE,FALSE)</f>
        <v>1</v>
      </c>
      <c r="D2370">
        <v>4</v>
      </c>
      <c r="E2370" t="s">
        <v>8</v>
      </c>
      <c r="F2370">
        <v>207</v>
      </c>
      <c r="G2370" s="3">
        <v>3357.73</v>
      </c>
      <c r="H2370" s="3">
        <f>Miami_Retail[[#This Row],[sales_usd]] / Miami_Retail[[#This Row],[customers]]</f>
        <v>16.220917874396136</v>
      </c>
      <c r="I2370">
        <v>73.900000000000006</v>
      </c>
      <c r="J2370">
        <f>(Miami_Retail[[#This Row],[avg_temp_f]]-32) * (5/9)</f>
        <v>23.277777777777782</v>
      </c>
      <c r="K2370">
        <v>0</v>
      </c>
      <c r="L2370">
        <v>0</v>
      </c>
      <c r="M2370">
        <v>50.8</v>
      </c>
      <c r="N2370">
        <v>48.3</v>
      </c>
      <c r="O2370">
        <v>51.7</v>
      </c>
      <c r="P2370">
        <v>52.3</v>
      </c>
      <c r="Q2370">
        <v>47.7</v>
      </c>
    </row>
    <row r="2371" spans="1:17" x14ac:dyDescent="0.25">
      <c r="A2371" s="2">
        <v>45103</v>
      </c>
      <c r="B2371" s="2" t="str">
        <f t="shared" si="74"/>
        <v>Monday</v>
      </c>
      <c r="C2371" s="2" t="b">
        <f t="shared" si="75"/>
        <v>0</v>
      </c>
      <c r="D2371">
        <v>4</v>
      </c>
      <c r="E2371" t="s">
        <v>8</v>
      </c>
      <c r="F2371">
        <v>242</v>
      </c>
      <c r="G2371" s="3">
        <v>3650.04</v>
      </c>
      <c r="H2371" s="3">
        <f>Miami_Retail[[#This Row],[sales_usd]] / Miami_Retail[[#This Row],[customers]]</f>
        <v>15.082809917355371</v>
      </c>
      <c r="I2371">
        <v>85.7</v>
      </c>
      <c r="J2371">
        <f>(Miami_Retail[[#This Row],[avg_temp_f]]-32) * (5/9)</f>
        <v>29.833333333333336</v>
      </c>
      <c r="K2371">
        <v>0</v>
      </c>
      <c r="L2371">
        <v>0</v>
      </c>
      <c r="M2371">
        <v>63.4</v>
      </c>
      <c r="N2371">
        <v>50.5</v>
      </c>
      <c r="O2371">
        <v>49.5</v>
      </c>
      <c r="P2371">
        <v>47.4</v>
      </c>
      <c r="Q2371">
        <v>52.6</v>
      </c>
    </row>
    <row r="2372" spans="1:17" x14ac:dyDescent="0.25">
      <c r="A2372" s="2">
        <v>45104</v>
      </c>
      <c r="B2372" s="2" t="str">
        <f t="shared" si="74"/>
        <v>Tuesday</v>
      </c>
      <c r="C2372" s="2" t="b">
        <f t="shared" si="75"/>
        <v>0</v>
      </c>
      <c r="D2372">
        <v>4</v>
      </c>
      <c r="E2372" t="s">
        <v>8</v>
      </c>
      <c r="F2372">
        <v>158</v>
      </c>
      <c r="G2372" s="3">
        <v>2253.64</v>
      </c>
      <c r="H2372" s="3">
        <f>Miami_Retail[[#This Row],[sales_usd]] / Miami_Retail[[#This Row],[customers]]</f>
        <v>14.263544303797467</v>
      </c>
      <c r="I2372">
        <v>80.3</v>
      </c>
      <c r="J2372">
        <f>(Miami_Retail[[#This Row],[avg_temp_f]]-32) * (5/9)</f>
        <v>26.833333333333332</v>
      </c>
      <c r="K2372">
        <v>2.4500000000000002</v>
      </c>
      <c r="L2372">
        <v>1</v>
      </c>
      <c r="M2372">
        <v>56.4</v>
      </c>
      <c r="N2372">
        <v>48.9</v>
      </c>
      <c r="O2372">
        <v>51.1</v>
      </c>
      <c r="P2372">
        <v>47.8</v>
      </c>
      <c r="Q2372">
        <v>52.2</v>
      </c>
    </row>
    <row r="2373" spans="1:17" x14ac:dyDescent="0.25">
      <c r="A2373" s="2">
        <v>45105</v>
      </c>
      <c r="B2373" s="2" t="str">
        <f t="shared" si="74"/>
        <v>Wednesday</v>
      </c>
      <c r="C2373" s="2" t="b">
        <f t="shared" si="75"/>
        <v>0</v>
      </c>
      <c r="D2373">
        <v>4</v>
      </c>
      <c r="E2373" t="s">
        <v>8</v>
      </c>
      <c r="F2373">
        <v>211</v>
      </c>
      <c r="G2373" s="3">
        <v>3451.21</v>
      </c>
      <c r="H2373" s="3">
        <f>Miami_Retail[[#This Row],[sales_usd]] / Miami_Retail[[#This Row],[customers]]</f>
        <v>16.356445497630332</v>
      </c>
      <c r="I2373">
        <v>79.3</v>
      </c>
      <c r="J2373">
        <f>(Miami_Retail[[#This Row],[avg_temp_f]]-32) * (5/9)</f>
        <v>26.277777777777779</v>
      </c>
      <c r="K2373">
        <v>0</v>
      </c>
      <c r="L2373">
        <v>0</v>
      </c>
      <c r="M2373">
        <v>65.5</v>
      </c>
      <c r="N2373">
        <v>49.2</v>
      </c>
      <c r="O2373">
        <v>50.8</v>
      </c>
      <c r="P2373">
        <v>46.8</v>
      </c>
      <c r="Q2373">
        <v>53.2</v>
      </c>
    </row>
    <row r="2374" spans="1:17" x14ac:dyDescent="0.25">
      <c r="A2374" s="2">
        <v>45106</v>
      </c>
      <c r="B2374" s="2" t="str">
        <f t="shared" si="74"/>
        <v>Thursday</v>
      </c>
      <c r="C2374" s="2" t="b">
        <f t="shared" si="75"/>
        <v>0</v>
      </c>
      <c r="D2374">
        <v>4</v>
      </c>
      <c r="E2374" t="s">
        <v>8</v>
      </c>
      <c r="F2374">
        <v>231</v>
      </c>
      <c r="G2374" s="3">
        <v>3383.09</v>
      </c>
      <c r="H2374" s="3">
        <f>Miami_Retail[[#This Row],[sales_usd]] / Miami_Retail[[#This Row],[customers]]</f>
        <v>14.645411255411256</v>
      </c>
      <c r="I2374">
        <v>83.2</v>
      </c>
      <c r="J2374">
        <f>(Miami_Retail[[#This Row],[avg_temp_f]]-32) * (5/9)</f>
        <v>28.444444444444446</v>
      </c>
      <c r="K2374">
        <v>0.11</v>
      </c>
      <c r="L2374">
        <v>1</v>
      </c>
      <c r="M2374">
        <v>75.7</v>
      </c>
      <c r="N2374">
        <v>48.5</v>
      </c>
      <c r="O2374">
        <v>51.5</v>
      </c>
      <c r="P2374">
        <v>47.5</v>
      </c>
      <c r="Q2374">
        <v>52.5</v>
      </c>
    </row>
    <row r="2375" spans="1:17" x14ac:dyDescent="0.25">
      <c r="A2375" s="2">
        <v>45107</v>
      </c>
      <c r="B2375" s="2" t="str">
        <f t="shared" si="74"/>
        <v>Friday</v>
      </c>
      <c r="C2375" s="2" t="b">
        <f t="shared" si="75"/>
        <v>0</v>
      </c>
      <c r="D2375">
        <v>4</v>
      </c>
      <c r="E2375" t="s">
        <v>8</v>
      </c>
      <c r="F2375">
        <v>196</v>
      </c>
      <c r="G2375" s="3">
        <v>3035.71</v>
      </c>
      <c r="H2375" s="3">
        <f>Miami_Retail[[#This Row],[sales_usd]] / Miami_Retail[[#This Row],[customers]]</f>
        <v>15.488316326530612</v>
      </c>
      <c r="I2375">
        <v>78.099999999999994</v>
      </c>
      <c r="J2375">
        <f>(Miami_Retail[[#This Row],[avg_temp_f]]-32) * (5/9)</f>
        <v>25.611111111111111</v>
      </c>
      <c r="K2375">
        <v>0.96</v>
      </c>
      <c r="L2375">
        <v>1</v>
      </c>
      <c r="M2375">
        <v>58.9</v>
      </c>
      <c r="N2375">
        <v>48.7</v>
      </c>
      <c r="O2375">
        <v>51.3</v>
      </c>
      <c r="P2375">
        <v>46.4</v>
      </c>
      <c r="Q2375">
        <v>53.6</v>
      </c>
    </row>
    <row r="2376" spans="1:17" x14ac:dyDescent="0.25">
      <c r="A2376" s="2">
        <v>45108</v>
      </c>
      <c r="B2376" s="2" t="str">
        <f t="shared" si="74"/>
        <v>Saturday</v>
      </c>
      <c r="C2376" s="2" t="b">
        <f t="shared" si="75"/>
        <v>1</v>
      </c>
      <c r="D2376">
        <v>4</v>
      </c>
      <c r="E2376" t="s">
        <v>8</v>
      </c>
      <c r="F2376">
        <v>232</v>
      </c>
      <c r="G2376" s="3">
        <v>3629.28</v>
      </c>
      <c r="H2376" s="3">
        <f>Miami_Retail[[#This Row],[sales_usd]] / Miami_Retail[[#This Row],[customers]]</f>
        <v>15.64344827586207</v>
      </c>
      <c r="I2376">
        <v>83.5</v>
      </c>
      <c r="J2376">
        <f>(Miami_Retail[[#This Row],[avg_temp_f]]-32) * (5/9)</f>
        <v>28.611111111111111</v>
      </c>
      <c r="K2376">
        <v>0</v>
      </c>
      <c r="L2376">
        <v>0</v>
      </c>
      <c r="M2376">
        <v>65.099999999999994</v>
      </c>
      <c r="N2376">
        <v>48.9</v>
      </c>
      <c r="O2376">
        <v>51.1</v>
      </c>
      <c r="P2376">
        <v>53.6</v>
      </c>
      <c r="Q2376">
        <v>46.4</v>
      </c>
    </row>
    <row r="2377" spans="1:17" x14ac:dyDescent="0.25">
      <c r="A2377" s="2">
        <v>45109</v>
      </c>
      <c r="B2377" s="2" t="str">
        <f t="shared" si="74"/>
        <v>Sunday</v>
      </c>
      <c r="C2377" s="2" t="b">
        <f t="shared" si="75"/>
        <v>1</v>
      </c>
      <c r="D2377">
        <v>4</v>
      </c>
      <c r="E2377" t="s">
        <v>8</v>
      </c>
      <c r="F2377">
        <v>198</v>
      </c>
      <c r="G2377" s="3">
        <v>2940.63</v>
      </c>
      <c r="H2377" s="3">
        <f>Miami_Retail[[#This Row],[sales_usd]] / Miami_Retail[[#This Row],[customers]]</f>
        <v>14.851666666666667</v>
      </c>
      <c r="I2377">
        <v>77</v>
      </c>
      <c r="J2377">
        <f>(Miami_Retail[[#This Row],[avg_temp_f]]-32) * (5/9)</f>
        <v>25</v>
      </c>
      <c r="K2377">
        <v>2.08</v>
      </c>
      <c r="L2377">
        <v>1</v>
      </c>
      <c r="M2377">
        <v>61.3</v>
      </c>
      <c r="N2377">
        <v>48.3</v>
      </c>
      <c r="O2377">
        <v>51.7</v>
      </c>
      <c r="P2377">
        <v>53.1</v>
      </c>
      <c r="Q2377">
        <v>46.9</v>
      </c>
    </row>
    <row r="2378" spans="1:17" x14ac:dyDescent="0.25">
      <c r="A2378" s="2">
        <v>45110</v>
      </c>
      <c r="B2378" s="2" t="str">
        <f t="shared" si="74"/>
        <v>Monday</v>
      </c>
      <c r="C2378" s="2" t="b">
        <f t="shared" si="75"/>
        <v>0</v>
      </c>
      <c r="D2378">
        <v>4</v>
      </c>
      <c r="E2378" t="s">
        <v>8</v>
      </c>
      <c r="F2378">
        <v>216</v>
      </c>
      <c r="G2378" s="3">
        <v>3405.29</v>
      </c>
      <c r="H2378" s="3">
        <f>Miami_Retail[[#This Row],[sales_usd]] / Miami_Retail[[#This Row],[customers]]</f>
        <v>15.76523148148148</v>
      </c>
      <c r="I2378">
        <v>82.9</v>
      </c>
      <c r="J2378">
        <f>(Miami_Retail[[#This Row],[avg_temp_f]]-32) * (5/9)</f>
        <v>28.277777777777782</v>
      </c>
      <c r="K2378">
        <v>1.27</v>
      </c>
      <c r="L2378">
        <v>1</v>
      </c>
      <c r="M2378">
        <v>69.5</v>
      </c>
      <c r="N2378">
        <v>50.9</v>
      </c>
      <c r="O2378">
        <v>49.1</v>
      </c>
      <c r="P2378">
        <v>48.8</v>
      </c>
      <c r="Q2378">
        <v>51.2</v>
      </c>
    </row>
    <row r="2379" spans="1:17" x14ac:dyDescent="0.25">
      <c r="A2379" s="2">
        <v>45111</v>
      </c>
      <c r="B2379" s="2" t="str">
        <f t="shared" si="74"/>
        <v>Tuesday</v>
      </c>
      <c r="C2379" s="2" t="b">
        <f t="shared" si="75"/>
        <v>0</v>
      </c>
      <c r="D2379">
        <v>4</v>
      </c>
      <c r="E2379" t="s">
        <v>8</v>
      </c>
      <c r="F2379">
        <v>241</v>
      </c>
      <c r="G2379" s="3">
        <v>4005.52</v>
      </c>
      <c r="H2379" s="3">
        <f>Miami_Retail[[#This Row],[sales_usd]] / Miami_Retail[[#This Row],[customers]]</f>
        <v>16.620414937759335</v>
      </c>
      <c r="I2379">
        <v>82.7</v>
      </c>
      <c r="J2379">
        <f>(Miami_Retail[[#This Row],[avg_temp_f]]-32) * (5/9)</f>
        <v>28.166666666666668</v>
      </c>
      <c r="K2379">
        <v>0.51</v>
      </c>
      <c r="L2379">
        <v>1</v>
      </c>
      <c r="M2379">
        <v>56.7</v>
      </c>
      <c r="N2379">
        <v>48.9</v>
      </c>
      <c r="O2379">
        <v>51.1</v>
      </c>
      <c r="P2379">
        <v>47</v>
      </c>
      <c r="Q2379">
        <v>53</v>
      </c>
    </row>
    <row r="2380" spans="1:17" x14ac:dyDescent="0.25">
      <c r="A2380" s="2">
        <v>45112</v>
      </c>
      <c r="B2380" s="2" t="str">
        <f t="shared" si="74"/>
        <v>Wednesday</v>
      </c>
      <c r="C2380" s="2" t="b">
        <f t="shared" si="75"/>
        <v>0</v>
      </c>
      <c r="D2380">
        <v>4</v>
      </c>
      <c r="E2380" t="s">
        <v>8</v>
      </c>
      <c r="F2380">
        <v>193</v>
      </c>
      <c r="G2380" s="3">
        <v>2932.23</v>
      </c>
      <c r="H2380" s="3">
        <f>Miami_Retail[[#This Row],[sales_usd]] / Miami_Retail[[#This Row],[customers]]</f>
        <v>15.192901554404145</v>
      </c>
      <c r="I2380">
        <v>77.599999999999994</v>
      </c>
      <c r="J2380">
        <f>(Miami_Retail[[#This Row],[avg_temp_f]]-32) * (5/9)</f>
        <v>25.333333333333332</v>
      </c>
      <c r="K2380">
        <v>0</v>
      </c>
      <c r="L2380">
        <v>0</v>
      </c>
      <c r="M2380">
        <v>64.3</v>
      </c>
      <c r="N2380">
        <v>48.3</v>
      </c>
      <c r="O2380">
        <v>51.7</v>
      </c>
      <c r="P2380">
        <v>46.7</v>
      </c>
      <c r="Q2380">
        <v>53.3</v>
      </c>
    </row>
    <row r="2381" spans="1:17" x14ac:dyDescent="0.25">
      <c r="A2381" s="2">
        <v>45113</v>
      </c>
      <c r="B2381" s="2" t="str">
        <f t="shared" si="74"/>
        <v>Thursday</v>
      </c>
      <c r="C2381" s="2" t="b">
        <f t="shared" si="75"/>
        <v>0</v>
      </c>
      <c r="D2381">
        <v>4</v>
      </c>
      <c r="E2381" t="s">
        <v>8</v>
      </c>
      <c r="F2381">
        <v>158</v>
      </c>
      <c r="G2381" s="3">
        <v>2642.06</v>
      </c>
      <c r="H2381" s="3">
        <f>Miami_Retail[[#This Row],[sales_usd]] / Miami_Retail[[#This Row],[customers]]</f>
        <v>16.721898734177216</v>
      </c>
      <c r="I2381">
        <v>79.900000000000006</v>
      </c>
      <c r="J2381">
        <f>(Miami_Retail[[#This Row],[avg_temp_f]]-32) * (5/9)</f>
        <v>26.611111111111114</v>
      </c>
      <c r="K2381">
        <v>0.95</v>
      </c>
      <c r="L2381">
        <v>1</v>
      </c>
      <c r="M2381">
        <v>68.8</v>
      </c>
      <c r="N2381">
        <v>48.6</v>
      </c>
      <c r="O2381">
        <v>51.4</v>
      </c>
      <c r="P2381">
        <v>46.3</v>
      </c>
      <c r="Q2381">
        <v>53.7</v>
      </c>
    </row>
    <row r="2382" spans="1:17" x14ac:dyDescent="0.25">
      <c r="A2382" s="2">
        <v>45114</v>
      </c>
      <c r="B2382" s="2" t="str">
        <f t="shared" si="74"/>
        <v>Friday</v>
      </c>
      <c r="C2382" s="2" t="b">
        <f t="shared" si="75"/>
        <v>0</v>
      </c>
      <c r="D2382">
        <v>4</v>
      </c>
      <c r="E2382" t="s">
        <v>8</v>
      </c>
      <c r="F2382">
        <v>181</v>
      </c>
      <c r="G2382" s="3">
        <v>2879.1</v>
      </c>
      <c r="H2382" s="3">
        <f>Miami_Retail[[#This Row],[sales_usd]] / Miami_Retail[[#This Row],[customers]]</f>
        <v>15.906629834254144</v>
      </c>
      <c r="I2382">
        <v>77.3</v>
      </c>
      <c r="J2382">
        <f>(Miami_Retail[[#This Row],[avg_temp_f]]-32) * (5/9)</f>
        <v>25.166666666666668</v>
      </c>
      <c r="K2382">
        <v>0</v>
      </c>
      <c r="L2382">
        <v>0</v>
      </c>
      <c r="M2382">
        <v>61</v>
      </c>
      <c r="N2382">
        <v>48.9</v>
      </c>
      <c r="O2382">
        <v>51.1</v>
      </c>
      <c r="P2382">
        <v>45.4</v>
      </c>
      <c r="Q2382">
        <v>54.6</v>
      </c>
    </row>
    <row r="2383" spans="1:17" x14ac:dyDescent="0.25">
      <c r="A2383" s="2">
        <v>45115</v>
      </c>
      <c r="B2383" s="2" t="str">
        <f t="shared" si="74"/>
        <v>Saturday</v>
      </c>
      <c r="C2383" s="2" t="b">
        <f t="shared" si="75"/>
        <v>1</v>
      </c>
      <c r="D2383">
        <v>4</v>
      </c>
      <c r="E2383" t="s">
        <v>8</v>
      </c>
      <c r="F2383">
        <v>238</v>
      </c>
      <c r="G2383" s="3">
        <v>3552.52</v>
      </c>
      <c r="H2383" s="3">
        <f>Miami_Retail[[#This Row],[sales_usd]] / Miami_Retail[[#This Row],[customers]]</f>
        <v>14.926554621848739</v>
      </c>
      <c r="I2383">
        <v>82</v>
      </c>
      <c r="J2383">
        <f>(Miami_Retail[[#This Row],[avg_temp_f]]-32) * (5/9)</f>
        <v>27.777777777777779</v>
      </c>
      <c r="K2383">
        <v>0.56999999999999995</v>
      </c>
      <c r="L2383">
        <v>1</v>
      </c>
      <c r="M2383">
        <v>63.8</v>
      </c>
      <c r="N2383">
        <v>49.2</v>
      </c>
      <c r="O2383">
        <v>50.8</v>
      </c>
      <c r="P2383">
        <v>51.9</v>
      </c>
      <c r="Q2383">
        <v>48.1</v>
      </c>
    </row>
    <row r="2384" spans="1:17" x14ac:dyDescent="0.25">
      <c r="A2384" s="2">
        <v>45116</v>
      </c>
      <c r="B2384" s="2" t="str">
        <f t="shared" si="74"/>
        <v>Sunday</v>
      </c>
      <c r="C2384" s="2" t="b">
        <f t="shared" si="75"/>
        <v>1</v>
      </c>
      <c r="D2384">
        <v>4</v>
      </c>
      <c r="E2384" t="s">
        <v>8</v>
      </c>
      <c r="F2384">
        <v>224</v>
      </c>
      <c r="G2384" s="3">
        <v>3739.6</v>
      </c>
      <c r="H2384" s="3">
        <f>Miami_Retail[[#This Row],[sales_usd]] / Miami_Retail[[#This Row],[customers]]</f>
        <v>16.694642857142856</v>
      </c>
      <c r="I2384">
        <v>79.099999999999994</v>
      </c>
      <c r="J2384">
        <f>(Miami_Retail[[#This Row],[avg_temp_f]]-32) * (5/9)</f>
        <v>26.166666666666664</v>
      </c>
      <c r="K2384">
        <v>0</v>
      </c>
      <c r="L2384">
        <v>0</v>
      </c>
      <c r="M2384">
        <v>61.1</v>
      </c>
      <c r="N2384">
        <v>49.3</v>
      </c>
      <c r="O2384">
        <v>50.7</v>
      </c>
      <c r="P2384">
        <v>52.4</v>
      </c>
      <c r="Q2384">
        <v>47.6</v>
      </c>
    </row>
    <row r="2385" spans="1:17" x14ac:dyDescent="0.25">
      <c r="A2385" s="2">
        <v>45117</v>
      </c>
      <c r="B2385" s="2" t="str">
        <f t="shared" si="74"/>
        <v>Monday</v>
      </c>
      <c r="C2385" s="2" t="b">
        <f t="shared" si="75"/>
        <v>0</v>
      </c>
      <c r="D2385">
        <v>4</v>
      </c>
      <c r="E2385" t="s">
        <v>8</v>
      </c>
      <c r="F2385">
        <v>211</v>
      </c>
      <c r="G2385" s="3">
        <v>3244.55</v>
      </c>
      <c r="H2385" s="3">
        <f>Miami_Retail[[#This Row],[sales_usd]] / Miami_Retail[[#This Row],[customers]]</f>
        <v>15.37701421800948</v>
      </c>
      <c r="I2385">
        <v>80.7</v>
      </c>
      <c r="J2385">
        <f>(Miami_Retail[[#This Row],[avg_temp_f]]-32) * (5/9)</f>
        <v>27.055555555555557</v>
      </c>
      <c r="K2385">
        <v>1</v>
      </c>
      <c r="L2385">
        <v>1</v>
      </c>
      <c r="M2385">
        <v>69.599999999999994</v>
      </c>
      <c r="N2385">
        <v>47.3</v>
      </c>
      <c r="O2385">
        <v>52.7</v>
      </c>
      <c r="P2385">
        <v>46.3</v>
      </c>
      <c r="Q2385">
        <v>53.7</v>
      </c>
    </row>
    <row r="2386" spans="1:17" x14ac:dyDescent="0.25">
      <c r="A2386" s="2">
        <v>45118</v>
      </c>
      <c r="B2386" s="2" t="str">
        <f t="shared" si="74"/>
        <v>Tuesday</v>
      </c>
      <c r="C2386" s="2" t="b">
        <f t="shared" si="75"/>
        <v>0</v>
      </c>
      <c r="D2386">
        <v>4</v>
      </c>
      <c r="E2386" t="s">
        <v>8</v>
      </c>
      <c r="F2386">
        <v>248</v>
      </c>
      <c r="G2386" s="3">
        <v>3909.34</v>
      </c>
      <c r="H2386" s="3">
        <f>Miami_Retail[[#This Row],[sales_usd]] / Miami_Retail[[#This Row],[customers]]</f>
        <v>15.763467741935484</v>
      </c>
      <c r="I2386">
        <v>83.3</v>
      </c>
      <c r="J2386">
        <f>(Miami_Retail[[#This Row],[avg_temp_f]]-32) * (5/9)</f>
        <v>28.5</v>
      </c>
      <c r="K2386">
        <v>0</v>
      </c>
      <c r="L2386">
        <v>0</v>
      </c>
      <c r="M2386">
        <v>68.5</v>
      </c>
      <c r="N2386">
        <v>49.4</v>
      </c>
      <c r="O2386">
        <v>50.6</v>
      </c>
      <c r="P2386">
        <v>48.2</v>
      </c>
      <c r="Q2386">
        <v>51.8</v>
      </c>
    </row>
    <row r="2387" spans="1:17" x14ac:dyDescent="0.25">
      <c r="A2387" s="2">
        <v>45119</v>
      </c>
      <c r="B2387" s="2" t="str">
        <f t="shared" si="74"/>
        <v>Wednesday</v>
      </c>
      <c r="C2387" s="2" t="b">
        <f t="shared" si="75"/>
        <v>0</v>
      </c>
      <c r="D2387">
        <v>4</v>
      </c>
      <c r="E2387" t="s">
        <v>8</v>
      </c>
      <c r="F2387">
        <v>238</v>
      </c>
      <c r="G2387" s="3">
        <v>3824.83</v>
      </c>
      <c r="H2387" s="3">
        <f>Miami_Retail[[#This Row],[sales_usd]] / Miami_Retail[[#This Row],[customers]]</f>
        <v>16.070714285714285</v>
      </c>
      <c r="I2387">
        <v>82.7</v>
      </c>
      <c r="J2387">
        <f>(Miami_Retail[[#This Row],[avg_temp_f]]-32) * (5/9)</f>
        <v>28.166666666666668</v>
      </c>
      <c r="K2387">
        <v>0</v>
      </c>
      <c r="L2387">
        <v>0</v>
      </c>
      <c r="M2387">
        <v>70.099999999999994</v>
      </c>
      <c r="N2387">
        <v>48.8</v>
      </c>
      <c r="O2387">
        <v>51.2</v>
      </c>
      <c r="P2387">
        <v>46.7</v>
      </c>
      <c r="Q2387">
        <v>53.3</v>
      </c>
    </row>
    <row r="2388" spans="1:17" x14ac:dyDescent="0.25">
      <c r="A2388" s="2">
        <v>45120</v>
      </c>
      <c r="B2388" s="2" t="str">
        <f t="shared" si="74"/>
        <v>Thursday</v>
      </c>
      <c r="C2388" s="2" t="b">
        <f t="shared" si="75"/>
        <v>0</v>
      </c>
      <c r="D2388">
        <v>4</v>
      </c>
      <c r="E2388" t="s">
        <v>8</v>
      </c>
      <c r="F2388">
        <v>210</v>
      </c>
      <c r="G2388" s="3">
        <v>3324.25</v>
      </c>
      <c r="H2388" s="3">
        <f>Miami_Retail[[#This Row],[sales_usd]] / Miami_Retail[[#This Row],[customers]]</f>
        <v>15.829761904761904</v>
      </c>
      <c r="I2388">
        <v>84.7</v>
      </c>
      <c r="J2388">
        <f>(Miami_Retail[[#This Row],[avg_temp_f]]-32) * (5/9)</f>
        <v>29.277777777777782</v>
      </c>
      <c r="K2388">
        <v>1.2</v>
      </c>
      <c r="L2388">
        <v>1</v>
      </c>
      <c r="M2388">
        <v>68.900000000000006</v>
      </c>
      <c r="N2388">
        <v>49</v>
      </c>
      <c r="O2388">
        <v>51</v>
      </c>
      <c r="P2388">
        <v>45.6</v>
      </c>
      <c r="Q2388">
        <v>54.4</v>
      </c>
    </row>
    <row r="2389" spans="1:17" x14ac:dyDescent="0.25">
      <c r="A2389" s="2">
        <v>45121</v>
      </c>
      <c r="B2389" s="2" t="str">
        <f t="shared" si="74"/>
        <v>Friday</v>
      </c>
      <c r="C2389" s="2" t="b">
        <f t="shared" si="75"/>
        <v>0</v>
      </c>
      <c r="D2389">
        <v>4</v>
      </c>
      <c r="E2389" t="s">
        <v>8</v>
      </c>
      <c r="F2389">
        <v>197</v>
      </c>
      <c r="G2389" s="3">
        <v>3175.83</v>
      </c>
      <c r="H2389" s="3">
        <f>Miami_Retail[[#This Row],[sales_usd]] / Miami_Retail[[#This Row],[customers]]</f>
        <v>16.120964467005077</v>
      </c>
      <c r="I2389">
        <v>89</v>
      </c>
      <c r="J2389">
        <f>(Miami_Retail[[#This Row],[avg_temp_f]]-32) * (5/9)</f>
        <v>31.666666666666668</v>
      </c>
      <c r="K2389">
        <v>1.1100000000000001</v>
      </c>
      <c r="L2389">
        <v>1</v>
      </c>
      <c r="M2389">
        <v>68.8</v>
      </c>
      <c r="N2389">
        <v>49.4</v>
      </c>
      <c r="O2389">
        <v>50.6</v>
      </c>
      <c r="P2389">
        <v>47</v>
      </c>
      <c r="Q2389">
        <v>53</v>
      </c>
    </row>
    <row r="2390" spans="1:17" x14ac:dyDescent="0.25">
      <c r="A2390" s="2">
        <v>45122</v>
      </c>
      <c r="B2390" s="2" t="str">
        <f t="shared" si="74"/>
        <v>Saturday</v>
      </c>
      <c r="C2390" s="2" t="b">
        <f t="shared" si="75"/>
        <v>1</v>
      </c>
      <c r="D2390">
        <v>4</v>
      </c>
      <c r="E2390" t="s">
        <v>8</v>
      </c>
      <c r="F2390">
        <v>220</v>
      </c>
      <c r="G2390" s="3">
        <v>3676.34</v>
      </c>
      <c r="H2390" s="3">
        <f>Miami_Retail[[#This Row],[sales_usd]] / Miami_Retail[[#This Row],[customers]]</f>
        <v>16.710636363636365</v>
      </c>
      <c r="I2390">
        <v>81.3</v>
      </c>
      <c r="J2390">
        <f>(Miami_Retail[[#This Row],[avg_temp_f]]-32) * (5/9)</f>
        <v>27.388888888888889</v>
      </c>
      <c r="K2390">
        <v>0</v>
      </c>
      <c r="L2390">
        <v>0</v>
      </c>
      <c r="M2390">
        <v>72.400000000000006</v>
      </c>
      <c r="N2390">
        <v>47.9</v>
      </c>
      <c r="O2390">
        <v>52.1</v>
      </c>
      <c r="P2390">
        <v>52.7</v>
      </c>
      <c r="Q2390">
        <v>47.3</v>
      </c>
    </row>
    <row r="2391" spans="1:17" x14ac:dyDescent="0.25">
      <c r="A2391" s="2">
        <v>45123</v>
      </c>
      <c r="B2391" s="2" t="str">
        <f t="shared" si="74"/>
        <v>Sunday</v>
      </c>
      <c r="C2391" s="2" t="b">
        <f t="shared" si="75"/>
        <v>1</v>
      </c>
      <c r="D2391">
        <v>4</v>
      </c>
      <c r="E2391" t="s">
        <v>8</v>
      </c>
      <c r="F2391">
        <v>229</v>
      </c>
      <c r="G2391" s="3">
        <v>3960.15</v>
      </c>
      <c r="H2391" s="3">
        <f>Miami_Retail[[#This Row],[sales_usd]] / Miami_Retail[[#This Row],[customers]]</f>
        <v>17.293231441048036</v>
      </c>
      <c r="I2391">
        <v>80.7</v>
      </c>
      <c r="J2391">
        <f>(Miami_Retail[[#This Row],[avg_temp_f]]-32) * (5/9)</f>
        <v>27.055555555555557</v>
      </c>
      <c r="K2391">
        <v>0.31</v>
      </c>
      <c r="L2391">
        <v>1</v>
      </c>
      <c r="M2391">
        <v>73.599999999999994</v>
      </c>
      <c r="N2391">
        <v>48.3</v>
      </c>
      <c r="O2391">
        <v>51.7</v>
      </c>
      <c r="P2391">
        <v>55.4</v>
      </c>
      <c r="Q2391">
        <v>44.6</v>
      </c>
    </row>
    <row r="2392" spans="1:17" x14ac:dyDescent="0.25">
      <c r="A2392" s="2">
        <v>45124</v>
      </c>
      <c r="B2392" s="2" t="str">
        <f t="shared" si="74"/>
        <v>Monday</v>
      </c>
      <c r="C2392" s="2" t="b">
        <f t="shared" si="75"/>
        <v>0</v>
      </c>
      <c r="D2392">
        <v>4</v>
      </c>
      <c r="E2392" t="s">
        <v>8</v>
      </c>
      <c r="F2392">
        <v>256</v>
      </c>
      <c r="G2392" s="3">
        <v>4178.58</v>
      </c>
      <c r="H2392" s="3">
        <f>Miami_Retail[[#This Row],[sales_usd]] / Miami_Retail[[#This Row],[customers]]</f>
        <v>16.322578125</v>
      </c>
      <c r="I2392">
        <v>87.8</v>
      </c>
      <c r="J2392">
        <f>(Miami_Retail[[#This Row],[avg_temp_f]]-32) * (5/9)</f>
        <v>31</v>
      </c>
      <c r="K2392">
        <v>0</v>
      </c>
      <c r="L2392">
        <v>0</v>
      </c>
      <c r="M2392">
        <v>62.5</v>
      </c>
      <c r="N2392">
        <v>45.7</v>
      </c>
      <c r="O2392">
        <v>54.3</v>
      </c>
      <c r="P2392">
        <v>47</v>
      </c>
      <c r="Q2392">
        <v>53</v>
      </c>
    </row>
    <row r="2393" spans="1:17" x14ac:dyDescent="0.25">
      <c r="A2393" s="2">
        <v>45125</v>
      </c>
      <c r="B2393" s="2" t="str">
        <f t="shared" si="74"/>
        <v>Tuesday</v>
      </c>
      <c r="C2393" s="2" t="b">
        <f t="shared" si="75"/>
        <v>0</v>
      </c>
      <c r="D2393">
        <v>4</v>
      </c>
      <c r="E2393" t="s">
        <v>8</v>
      </c>
      <c r="F2393">
        <v>263</v>
      </c>
      <c r="G2393" s="3">
        <v>4066.02</v>
      </c>
      <c r="H2393" s="3">
        <f>Miami_Retail[[#This Row],[sales_usd]] / Miami_Retail[[#This Row],[customers]]</f>
        <v>15.460152091254752</v>
      </c>
      <c r="I2393">
        <v>85</v>
      </c>
      <c r="J2393">
        <f>(Miami_Retail[[#This Row],[avg_temp_f]]-32) * (5/9)</f>
        <v>29.444444444444446</v>
      </c>
      <c r="K2393">
        <v>0</v>
      </c>
      <c r="L2393">
        <v>0</v>
      </c>
      <c r="M2393">
        <v>70.3</v>
      </c>
      <c r="N2393">
        <v>48</v>
      </c>
      <c r="O2393">
        <v>52</v>
      </c>
      <c r="P2393">
        <v>47.1</v>
      </c>
      <c r="Q2393">
        <v>52.9</v>
      </c>
    </row>
    <row r="2394" spans="1:17" x14ac:dyDescent="0.25">
      <c r="A2394" s="2">
        <v>45126</v>
      </c>
      <c r="B2394" s="2" t="str">
        <f t="shared" si="74"/>
        <v>Wednesday</v>
      </c>
      <c r="C2394" s="2" t="b">
        <f t="shared" si="75"/>
        <v>0</v>
      </c>
      <c r="D2394">
        <v>4</v>
      </c>
      <c r="E2394" t="s">
        <v>8</v>
      </c>
      <c r="F2394">
        <v>245</v>
      </c>
      <c r="G2394" s="3">
        <v>3435.01</v>
      </c>
      <c r="H2394" s="3">
        <f>Miami_Retail[[#This Row],[sales_usd]] / Miami_Retail[[#This Row],[customers]]</f>
        <v>14.020448979591837</v>
      </c>
      <c r="I2394">
        <v>84.6</v>
      </c>
      <c r="J2394">
        <f>(Miami_Retail[[#This Row],[avg_temp_f]]-32) * (5/9)</f>
        <v>29.222222222222221</v>
      </c>
      <c r="K2394">
        <v>0</v>
      </c>
      <c r="L2394">
        <v>0</v>
      </c>
      <c r="M2394">
        <v>72.900000000000006</v>
      </c>
      <c r="N2394">
        <v>48.3</v>
      </c>
      <c r="O2394">
        <v>51.7</v>
      </c>
      <c r="P2394">
        <v>45.9</v>
      </c>
      <c r="Q2394">
        <v>54.1</v>
      </c>
    </row>
    <row r="2395" spans="1:17" x14ac:dyDescent="0.25">
      <c r="A2395" s="2">
        <v>45127</v>
      </c>
      <c r="B2395" s="2" t="str">
        <f t="shared" si="74"/>
        <v>Thursday</v>
      </c>
      <c r="C2395" s="2" t="b">
        <f t="shared" si="75"/>
        <v>0</v>
      </c>
      <c r="D2395">
        <v>4</v>
      </c>
      <c r="E2395" t="s">
        <v>8</v>
      </c>
      <c r="F2395">
        <v>230</v>
      </c>
      <c r="G2395" s="3">
        <v>3923.13</v>
      </c>
      <c r="H2395" s="3">
        <f>Miami_Retail[[#This Row],[sales_usd]] / Miami_Retail[[#This Row],[customers]]</f>
        <v>17.05708695652174</v>
      </c>
      <c r="I2395">
        <v>85.7</v>
      </c>
      <c r="J2395">
        <f>(Miami_Retail[[#This Row],[avg_temp_f]]-32) * (5/9)</f>
        <v>29.833333333333336</v>
      </c>
      <c r="K2395">
        <v>0</v>
      </c>
      <c r="L2395">
        <v>0</v>
      </c>
      <c r="M2395">
        <v>68.3</v>
      </c>
      <c r="N2395">
        <v>48.2</v>
      </c>
      <c r="O2395">
        <v>51.8</v>
      </c>
      <c r="P2395">
        <v>47.6</v>
      </c>
      <c r="Q2395">
        <v>52.4</v>
      </c>
    </row>
    <row r="2396" spans="1:17" x14ac:dyDescent="0.25">
      <c r="A2396" s="2">
        <v>45128</v>
      </c>
      <c r="B2396" s="2" t="str">
        <f t="shared" si="74"/>
        <v>Friday</v>
      </c>
      <c r="C2396" s="2" t="b">
        <f t="shared" si="75"/>
        <v>0</v>
      </c>
      <c r="D2396">
        <v>4</v>
      </c>
      <c r="E2396" t="s">
        <v>8</v>
      </c>
      <c r="F2396">
        <v>232</v>
      </c>
      <c r="G2396" s="3">
        <v>3588.78</v>
      </c>
      <c r="H2396" s="3">
        <f>Miami_Retail[[#This Row],[sales_usd]] / Miami_Retail[[#This Row],[customers]]</f>
        <v>15.468879310344828</v>
      </c>
      <c r="I2396">
        <v>83.4</v>
      </c>
      <c r="J2396">
        <f>(Miami_Retail[[#This Row],[avg_temp_f]]-32) * (5/9)</f>
        <v>28.555555555555561</v>
      </c>
      <c r="K2396">
        <v>0</v>
      </c>
      <c r="L2396">
        <v>0</v>
      </c>
      <c r="M2396">
        <v>68.099999999999994</v>
      </c>
      <c r="N2396">
        <v>47.7</v>
      </c>
      <c r="O2396">
        <v>52.3</v>
      </c>
      <c r="P2396">
        <v>45.6</v>
      </c>
      <c r="Q2396">
        <v>54.4</v>
      </c>
    </row>
    <row r="2397" spans="1:17" x14ac:dyDescent="0.25">
      <c r="A2397" s="2">
        <v>45129</v>
      </c>
      <c r="B2397" s="2" t="str">
        <f t="shared" si="74"/>
        <v>Saturday</v>
      </c>
      <c r="C2397" s="2" t="b">
        <f t="shared" si="75"/>
        <v>1</v>
      </c>
      <c r="D2397">
        <v>4</v>
      </c>
      <c r="E2397" t="s">
        <v>8</v>
      </c>
      <c r="F2397">
        <v>219</v>
      </c>
      <c r="G2397" s="3">
        <v>3456.84</v>
      </c>
      <c r="H2397" s="3">
        <f>Miami_Retail[[#This Row],[sales_usd]] / Miami_Retail[[#This Row],[customers]]</f>
        <v>15.784657534246575</v>
      </c>
      <c r="I2397">
        <v>83</v>
      </c>
      <c r="J2397">
        <f>(Miami_Retail[[#This Row],[avg_temp_f]]-32) * (5/9)</f>
        <v>28.333333333333336</v>
      </c>
      <c r="K2397">
        <v>0.49</v>
      </c>
      <c r="L2397">
        <v>1</v>
      </c>
      <c r="M2397">
        <v>61.9</v>
      </c>
      <c r="N2397">
        <v>47.6</v>
      </c>
      <c r="O2397">
        <v>52.4</v>
      </c>
      <c r="P2397">
        <v>53.7</v>
      </c>
      <c r="Q2397">
        <v>46.3</v>
      </c>
    </row>
    <row r="2398" spans="1:17" x14ac:dyDescent="0.25">
      <c r="A2398" s="2">
        <v>45130</v>
      </c>
      <c r="B2398" s="2" t="str">
        <f t="shared" si="74"/>
        <v>Sunday</v>
      </c>
      <c r="C2398" s="2" t="b">
        <f t="shared" si="75"/>
        <v>1</v>
      </c>
      <c r="D2398">
        <v>4</v>
      </c>
      <c r="E2398" t="s">
        <v>8</v>
      </c>
      <c r="F2398">
        <v>272</v>
      </c>
      <c r="G2398" s="3">
        <v>4020.32</v>
      </c>
      <c r="H2398" s="3">
        <f>Miami_Retail[[#This Row],[sales_usd]] / Miami_Retail[[#This Row],[customers]]</f>
        <v>14.780588235294118</v>
      </c>
      <c r="I2398">
        <v>84.9</v>
      </c>
      <c r="J2398">
        <f>(Miami_Retail[[#This Row],[avg_temp_f]]-32) * (5/9)</f>
        <v>29.388888888888893</v>
      </c>
      <c r="K2398">
        <v>0.01</v>
      </c>
      <c r="L2398">
        <v>1</v>
      </c>
      <c r="M2398">
        <v>70.7</v>
      </c>
      <c r="N2398">
        <v>47.1</v>
      </c>
      <c r="O2398">
        <v>52.9</v>
      </c>
      <c r="P2398">
        <v>54.1</v>
      </c>
      <c r="Q2398">
        <v>45.9</v>
      </c>
    </row>
    <row r="2399" spans="1:17" x14ac:dyDescent="0.25">
      <c r="A2399" s="2">
        <v>45131</v>
      </c>
      <c r="B2399" s="2" t="str">
        <f t="shared" si="74"/>
        <v>Monday</v>
      </c>
      <c r="C2399" s="2" t="b">
        <f t="shared" si="75"/>
        <v>0</v>
      </c>
      <c r="D2399">
        <v>4</v>
      </c>
      <c r="E2399" t="s">
        <v>8</v>
      </c>
      <c r="F2399">
        <v>224</v>
      </c>
      <c r="G2399" s="3">
        <v>3498.33</v>
      </c>
      <c r="H2399" s="3">
        <f>Miami_Retail[[#This Row],[sales_usd]] / Miami_Retail[[#This Row],[customers]]</f>
        <v>15.617544642857142</v>
      </c>
      <c r="I2399">
        <v>88.9</v>
      </c>
      <c r="J2399">
        <f>(Miami_Retail[[#This Row],[avg_temp_f]]-32) * (5/9)</f>
        <v>31.611111111111114</v>
      </c>
      <c r="K2399">
        <v>0.48</v>
      </c>
      <c r="L2399">
        <v>1</v>
      </c>
      <c r="M2399">
        <v>58.4</v>
      </c>
      <c r="N2399">
        <v>47.2</v>
      </c>
      <c r="O2399">
        <v>52.8</v>
      </c>
      <c r="P2399">
        <v>47.1</v>
      </c>
      <c r="Q2399">
        <v>52.9</v>
      </c>
    </row>
    <row r="2400" spans="1:17" x14ac:dyDescent="0.25">
      <c r="A2400" s="2">
        <v>45132</v>
      </c>
      <c r="B2400" s="2" t="str">
        <f t="shared" si="74"/>
        <v>Tuesday</v>
      </c>
      <c r="C2400" s="2" t="b">
        <f t="shared" si="75"/>
        <v>0</v>
      </c>
      <c r="D2400">
        <v>4</v>
      </c>
      <c r="E2400" t="s">
        <v>8</v>
      </c>
      <c r="F2400">
        <v>230</v>
      </c>
      <c r="G2400" s="3">
        <v>3622.17</v>
      </c>
      <c r="H2400" s="3">
        <f>Miami_Retail[[#This Row],[sales_usd]] / Miami_Retail[[#This Row],[customers]]</f>
        <v>15.748565217391304</v>
      </c>
      <c r="I2400">
        <v>82.1</v>
      </c>
      <c r="J2400">
        <f>(Miami_Retail[[#This Row],[avg_temp_f]]-32) * (5/9)</f>
        <v>27.833333333333332</v>
      </c>
      <c r="K2400">
        <v>0</v>
      </c>
      <c r="L2400">
        <v>0</v>
      </c>
      <c r="M2400">
        <v>78.7</v>
      </c>
      <c r="N2400">
        <v>48.6</v>
      </c>
      <c r="O2400">
        <v>51.4</v>
      </c>
      <c r="P2400">
        <v>46.3</v>
      </c>
      <c r="Q2400">
        <v>53.7</v>
      </c>
    </row>
    <row r="2401" spans="1:17" x14ac:dyDescent="0.25">
      <c r="A2401" s="2">
        <v>45133</v>
      </c>
      <c r="B2401" s="2" t="str">
        <f t="shared" si="74"/>
        <v>Wednesday</v>
      </c>
      <c r="C2401" s="2" t="b">
        <f t="shared" si="75"/>
        <v>0</v>
      </c>
      <c r="D2401">
        <v>4</v>
      </c>
      <c r="E2401" t="s">
        <v>8</v>
      </c>
      <c r="F2401">
        <v>218</v>
      </c>
      <c r="G2401" s="3">
        <v>3531.9</v>
      </c>
      <c r="H2401" s="3">
        <f>Miami_Retail[[#This Row],[sales_usd]] / Miami_Retail[[#This Row],[customers]]</f>
        <v>16.201376146788991</v>
      </c>
      <c r="I2401">
        <v>88.4</v>
      </c>
      <c r="J2401">
        <f>(Miami_Retail[[#This Row],[avg_temp_f]]-32) * (5/9)</f>
        <v>31.333333333333339</v>
      </c>
      <c r="K2401">
        <v>1.02</v>
      </c>
      <c r="L2401">
        <v>1</v>
      </c>
      <c r="M2401">
        <v>69.8</v>
      </c>
      <c r="N2401">
        <v>47.3</v>
      </c>
      <c r="O2401">
        <v>52.7</v>
      </c>
      <c r="P2401">
        <v>48.6</v>
      </c>
      <c r="Q2401">
        <v>51.4</v>
      </c>
    </row>
    <row r="2402" spans="1:17" x14ac:dyDescent="0.25">
      <c r="A2402" s="2">
        <v>45134</v>
      </c>
      <c r="B2402" s="2" t="str">
        <f t="shared" si="74"/>
        <v>Thursday</v>
      </c>
      <c r="C2402" s="2" t="b">
        <f t="shared" si="75"/>
        <v>0</v>
      </c>
      <c r="D2402">
        <v>4</v>
      </c>
      <c r="E2402" t="s">
        <v>8</v>
      </c>
      <c r="F2402">
        <v>224</v>
      </c>
      <c r="G2402" s="3">
        <v>3832.6</v>
      </c>
      <c r="H2402" s="3">
        <f>Miami_Retail[[#This Row],[sales_usd]] / Miami_Retail[[#This Row],[customers]]</f>
        <v>17.109821428571429</v>
      </c>
      <c r="I2402">
        <v>85.4</v>
      </c>
      <c r="J2402">
        <f>(Miami_Retail[[#This Row],[avg_temp_f]]-32) * (5/9)</f>
        <v>29.666666666666671</v>
      </c>
      <c r="K2402">
        <v>0</v>
      </c>
      <c r="L2402">
        <v>0</v>
      </c>
      <c r="M2402">
        <v>78.3</v>
      </c>
      <c r="N2402">
        <v>47</v>
      </c>
      <c r="O2402">
        <v>53</v>
      </c>
      <c r="P2402">
        <v>45.7</v>
      </c>
      <c r="Q2402">
        <v>54.3</v>
      </c>
    </row>
    <row r="2403" spans="1:17" x14ac:dyDescent="0.25">
      <c r="A2403" s="2">
        <v>45135</v>
      </c>
      <c r="B2403" s="2" t="str">
        <f t="shared" si="74"/>
        <v>Friday</v>
      </c>
      <c r="C2403" s="2" t="b">
        <f t="shared" si="75"/>
        <v>0</v>
      </c>
      <c r="D2403">
        <v>4</v>
      </c>
      <c r="E2403" t="s">
        <v>8</v>
      </c>
      <c r="F2403">
        <v>199</v>
      </c>
      <c r="G2403" s="3">
        <v>2955.29</v>
      </c>
      <c r="H2403" s="3">
        <f>Miami_Retail[[#This Row],[sales_usd]] / Miami_Retail[[#This Row],[customers]]</f>
        <v>14.85070351758794</v>
      </c>
      <c r="I2403">
        <v>86.2</v>
      </c>
      <c r="J2403">
        <f>(Miami_Retail[[#This Row],[avg_temp_f]]-32) * (5/9)</f>
        <v>30.111111111111114</v>
      </c>
      <c r="K2403">
        <v>0</v>
      </c>
      <c r="L2403">
        <v>0</v>
      </c>
      <c r="M2403">
        <v>62.3</v>
      </c>
      <c r="N2403">
        <v>48.7</v>
      </c>
      <c r="O2403">
        <v>51.3</v>
      </c>
      <c r="P2403">
        <v>47.4</v>
      </c>
      <c r="Q2403">
        <v>52.6</v>
      </c>
    </row>
    <row r="2404" spans="1:17" x14ac:dyDescent="0.25">
      <c r="A2404" s="2">
        <v>45136</v>
      </c>
      <c r="B2404" s="2" t="str">
        <f t="shared" si="74"/>
        <v>Saturday</v>
      </c>
      <c r="C2404" s="2" t="b">
        <f t="shared" si="75"/>
        <v>1</v>
      </c>
      <c r="D2404">
        <v>4</v>
      </c>
      <c r="E2404" t="s">
        <v>8</v>
      </c>
      <c r="F2404">
        <v>228</v>
      </c>
      <c r="G2404" s="3">
        <v>3259.99</v>
      </c>
      <c r="H2404" s="3">
        <f>Miami_Retail[[#This Row],[sales_usd]] / Miami_Retail[[#This Row],[customers]]</f>
        <v>14.298201754385964</v>
      </c>
      <c r="I2404">
        <v>84.5</v>
      </c>
      <c r="J2404">
        <f>(Miami_Retail[[#This Row],[avg_temp_f]]-32) * (5/9)</f>
        <v>29.166666666666668</v>
      </c>
      <c r="K2404">
        <v>0</v>
      </c>
      <c r="L2404">
        <v>0</v>
      </c>
      <c r="M2404">
        <v>63.8</v>
      </c>
      <c r="N2404">
        <v>47.9</v>
      </c>
      <c r="O2404">
        <v>52.1</v>
      </c>
      <c r="P2404">
        <v>52.2</v>
      </c>
      <c r="Q2404">
        <v>47.8</v>
      </c>
    </row>
    <row r="2405" spans="1:17" x14ac:dyDescent="0.25">
      <c r="A2405" s="2">
        <v>45137</v>
      </c>
      <c r="B2405" s="2" t="str">
        <f t="shared" si="74"/>
        <v>Sunday</v>
      </c>
      <c r="C2405" s="2" t="b">
        <f t="shared" si="75"/>
        <v>1</v>
      </c>
      <c r="D2405">
        <v>4</v>
      </c>
      <c r="E2405" t="s">
        <v>8</v>
      </c>
      <c r="F2405">
        <v>260</v>
      </c>
      <c r="G2405" s="3">
        <v>3979.42</v>
      </c>
      <c r="H2405" s="3">
        <f>Miami_Retail[[#This Row],[sales_usd]] / Miami_Retail[[#This Row],[customers]]</f>
        <v>15.30546153846154</v>
      </c>
      <c r="I2405">
        <v>87.4</v>
      </c>
      <c r="J2405">
        <f>(Miami_Retail[[#This Row],[avg_temp_f]]-32) * (5/9)</f>
        <v>30.777777777777782</v>
      </c>
      <c r="K2405">
        <v>0</v>
      </c>
      <c r="L2405">
        <v>0</v>
      </c>
      <c r="M2405">
        <v>72.900000000000006</v>
      </c>
      <c r="N2405">
        <v>46.9</v>
      </c>
      <c r="O2405">
        <v>53.1</v>
      </c>
      <c r="P2405">
        <v>52.3</v>
      </c>
      <c r="Q2405">
        <v>47.7</v>
      </c>
    </row>
    <row r="2406" spans="1:17" x14ac:dyDescent="0.25">
      <c r="A2406" s="2">
        <v>45138</v>
      </c>
      <c r="B2406" s="2" t="str">
        <f t="shared" si="74"/>
        <v>Monday</v>
      </c>
      <c r="C2406" s="2" t="b">
        <f t="shared" si="75"/>
        <v>0</v>
      </c>
      <c r="D2406">
        <v>4</v>
      </c>
      <c r="E2406" t="s">
        <v>8</v>
      </c>
      <c r="F2406">
        <v>223</v>
      </c>
      <c r="G2406" s="3">
        <v>3452.59</v>
      </c>
      <c r="H2406" s="3">
        <f>Miami_Retail[[#This Row],[sales_usd]] / Miami_Retail[[#This Row],[customers]]</f>
        <v>15.482466367713005</v>
      </c>
      <c r="I2406">
        <v>89.8</v>
      </c>
      <c r="J2406">
        <f>(Miami_Retail[[#This Row],[avg_temp_f]]-32) * (5/9)</f>
        <v>32.111111111111114</v>
      </c>
      <c r="K2406">
        <v>0.71</v>
      </c>
      <c r="L2406">
        <v>1</v>
      </c>
      <c r="M2406">
        <v>69</v>
      </c>
      <c r="N2406">
        <v>48.1</v>
      </c>
      <c r="O2406">
        <v>51.9</v>
      </c>
      <c r="P2406">
        <v>45.4</v>
      </c>
      <c r="Q2406">
        <v>54.6</v>
      </c>
    </row>
    <row r="2407" spans="1:17" x14ac:dyDescent="0.25">
      <c r="A2407" s="2">
        <v>45139</v>
      </c>
      <c r="B2407" s="2" t="str">
        <f t="shared" si="74"/>
        <v>Tuesday</v>
      </c>
      <c r="C2407" s="2" t="b">
        <f t="shared" si="75"/>
        <v>0</v>
      </c>
      <c r="D2407">
        <v>4</v>
      </c>
      <c r="E2407" t="s">
        <v>8</v>
      </c>
      <c r="F2407">
        <v>226</v>
      </c>
      <c r="G2407" s="3">
        <v>3573.21</v>
      </c>
      <c r="H2407" s="3">
        <f>Miami_Retail[[#This Row],[sales_usd]] / Miami_Retail[[#This Row],[customers]]</f>
        <v>15.81066371681416</v>
      </c>
      <c r="I2407">
        <v>86.3</v>
      </c>
      <c r="J2407">
        <f>(Miami_Retail[[#This Row],[avg_temp_f]]-32) * (5/9)</f>
        <v>30.166666666666668</v>
      </c>
      <c r="K2407">
        <v>0</v>
      </c>
      <c r="L2407">
        <v>0</v>
      </c>
      <c r="M2407">
        <v>71.599999999999994</v>
      </c>
      <c r="N2407">
        <v>48.6</v>
      </c>
      <c r="O2407">
        <v>51.4</v>
      </c>
      <c r="P2407">
        <v>46.8</v>
      </c>
      <c r="Q2407">
        <v>53.2</v>
      </c>
    </row>
    <row r="2408" spans="1:17" x14ac:dyDescent="0.25">
      <c r="A2408" s="2">
        <v>45140</v>
      </c>
      <c r="B2408" s="2" t="str">
        <f t="shared" si="74"/>
        <v>Wednesday</v>
      </c>
      <c r="C2408" s="2" t="b">
        <f t="shared" si="75"/>
        <v>0</v>
      </c>
      <c r="D2408">
        <v>4</v>
      </c>
      <c r="E2408" t="s">
        <v>8</v>
      </c>
      <c r="F2408">
        <v>248</v>
      </c>
      <c r="G2408" s="3">
        <v>3696.6</v>
      </c>
      <c r="H2408" s="3">
        <f>Miami_Retail[[#This Row],[sales_usd]] / Miami_Retail[[#This Row],[customers]]</f>
        <v>14.905645161290321</v>
      </c>
      <c r="I2408">
        <v>88</v>
      </c>
      <c r="J2408">
        <f>(Miami_Retail[[#This Row],[avg_temp_f]]-32) * (5/9)</f>
        <v>31.111111111111114</v>
      </c>
      <c r="K2408">
        <v>0</v>
      </c>
      <c r="L2408">
        <v>0</v>
      </c>
      <c r="M2408">
        <v>77.2</v>
      </c>
      <c r="N2408">
        <v>46.6</v>
      </c>
      <c r="O2408">
        <v>53.4</v>
      </c>
      <c r="P2408">
        <v>46.8</v>
      </c>
      <c r="Q2408">
        <v>53.2</v>
      </c>
    </row>
    <row r="2409" spans="1:17" x14ac:dyDescent="0.25">
      <c r="A2409" s="2">
        <v>45141</v>
      </c>
      <c r="B2409" s="2" t="str">
        <f t="shared" si="74"/>
        <v>Thursday</v>
      </c>
      <c r="C2409" s="2" t="b">
        <f t="shared" si="75"/>
        <v>0</v>
      </c>
      <c r="D2409">
        <v>4</v>
      </c>
      <c r="E2409" t="s">
        <v>8</v>
      </c>
      <c r="F2409">
        <v>230</v>
      </c>
      <c r="G2409" s="3">
        <v>3562.95</v>
      </c>
      <c r="H2409" s="3">
        <f>Miami_Retail[[#This Row],[sales_usd]] / Miami_Retail[[#This Row],[customers]]</f>
        <v>15.491086956521738</v>
      </c>
      <c r="I2409">
        <v>84.8</v>
      </c>
      <c r="J2409">
        <f>(Miami_Retail[[#This Row],[avg_temp_f]]-32) * (5/9)</f>
        <v>29.333333333333332</v>
      </c>
      <c r="K2409">
        <v>2.21</v>
      </c>
      <c r="L2409">
        <v>1</v>
      </c>
      <c r="M2409">
        <v>61.5</v>
      </c>
      <c r="N2409">
        <v>46.1</v>
      </c>
      <c r="O2409">
        <v>53.9</v>
      </c>
      <c r="P2409">
        <v>46.7</v>
      </c>
      <c r="Q2409">
        <v>53.3</v>
      </c>
    </row>
    <row r="2410" spans="1:17" x14ac:dyDescent="0.25">
      <c r="A2410" s="2">
        <v>45142</v>
      </c>
      <c r="B2410" s="2" t="str">
        <f t="shared" si="74"/>
        <v>Friday</v>
      </c>
      <c r="C2410" s="2" t="b">
        <f t="shared" si="75"/>
        <v>0</v>
      </c>
      <c r="D2410">
        <v>4</v>
      </c>
      <c r="E2410" t="s">
        <v>8</v>
      </c>
      <c r="F2410">
        <v>235</v>
      </c>
      <c r="G2410" s="3">
        <v>3762.21</v>
      </c>
      <c r="H2410" s="3">
        <f>Miami_Retail[[#This Row],[sales_usd]] / Miami_Retail[[#This Row],[customers]]</f>
        <v>16.009404255319151</v>
      </c>
      <c r="I2410">
        <v>84.1</v>
      </c>
      <c r="J2410">
        <f>(Miami_Retail[[#This Row],[avg_temp_f]]-32) * (5/9)</f>
        <v>28.944444444444443</v>
      </c>
      <c r="K2410">
        <v>0.42</v>
      </c>
      <c r="L2410">
        <v>1</v>
      </c>
      <c r="M2410">
        <v>64.7</v>
      </c>
      <c r="N2410">
        <v>48.7</v>
      </c>
      <c r="O2410">
        <v>51.3</v>
      </c>
      <c r="P2410">
        <v>47</v>
      </c>
      <c r="Q2410">
        <v>53</v>
      </c>
    </row>
    <row r="2411" spans="1:17" x14ac:dyDescent="0.25">
      <c r="A2411" s="2">
        <v>45143</v>
      </c>
      <c r="B2411" s="2" t="str">
        <f t="shared" si="74"/>
        <v>Saturday</v>
      </c>
      <c r="C2411" s="2" t="b">
        <f t="shared" si="75"/>
        <v>1</v>
      </c>
      <c r="D2411">
        <v>4</v>
      </c>
      <c r="E2411" t="s">
        <v>8</v>
      </c>
      <c r="F2411">
        <v>240</v>
      </c>
      <c r="G2411" s="3">
        <v>3615.71</v>
      </c>
      <c r="H2411" s="3">
        <f>Miami_Retail[[#This Row],[sales_usd]] / Miami_Retail[[#This Row],[customers]]</f>
        <v>15.065458333333334</v>
      </c>
      <c r="I2411">
        <v>88.9</v>
      </c>
      <c r="J2411">
        <f>(Miami_Retail[[#This Row],[avg_temp_f]]-32) * (5/9)</f>
        <v>31.611111111111114</v>
      </c>
      <c r="K2411">
        <v>0</v>
      </c>
      <c r="L2411">
        <v>0</v>
      </c>
      <c r="M2411">
        <v>67.7</v>
      </c>
      <c r="N2411">
        <v>45.7</v>
      </c>
      <c r="O2411">
        <v>54.3</v>
      </c>
      <c r="P2411">
        <v>53.3</v>
      </c>
      <c r="Q2411">
        <v>46.7</v>
      </c>
    </row>
    <row r="2412" spans="1:17" x14ac:dyDescent="0.25">
      <c r="A2412" s="2">
        <v>45144</v>
      </c>
      <c r="B2412" s="2" t="str">
        <f t="shared" si="74"/>
        <v>Sunday</v>
      </c>
      <c r="C2412" s="2" t="b">
        <f t="shared" si="75"/>
        <v>1</v>
      </c>
      <c r="D2412">
        <v>4</v>
      </c>
      <c r="E2412" t="s">
        <v>8</v>
      </c>
      <c r="F2412">
        <v>267</v>
      </c>
      <c r="G2412" s="3">
        <v>4025.07</v>
      </c>
      <c r="H2412" s="3">
        <f>Miami_Retail[[#This Row],[sales_usd]] / Miami_Retail[[#This Row],[customers]]</f>
        <v>15.075168539325844</v>
      </c>
      <c r="I2412">
        <v>90.9</v>
      </c>
      <c r="J2412">
        <f>(Miami_Retail[[#This Row],[avg_temp_f]]-32) * (5/9)</f>
        <v>32.722222222222229</v>
      </c>
      <c r="K2412">
        <v>1.5</v>
      </c>
      <c r="L2412">
        <v>1</v>
      </c>
      <c r="M2412">
        <v>68.099999999999994</v>
      </c>
      <c r="N2412">
        <v>45.5</v>
      </c>
      <c r="O2412">
        <v>54.5</v>
      </c>
      <c r="P2412">
        <v>51.4</v>
      </c>
      <c r="Q2412">
        <v>48.6</v>
      </c>
    </row>
    <row r="2413" spans="1:17" x14ac:dyDescent="0.25">
      <c r="A2413" s="2">
        <v>45145</v>
      </c>
      <c r="B2413" s="2" t="str">
        <f t="shared" si="74"/>
        <v>Monday</v>
      </c>
      <c r="C2413" s="2" t="b">
        <f t="shared" si="75"/>
        <v>0</v>
      </c>
      <c r="D2413">
        <v>4</v>
      </c>
      <c r="E2413" t="s">
        <v>8</v>
      </c>
      <c r="F2413">
        <v>261</v>
      </c>
      <c r="G2413" s="3">
        <v>4159.87</v>
      </c>
      <c r="H2413" s="3">
        <f>Miami_Retail[[#This Row],[sales_usd]] / Miami_Retail[[#This Row],[customers]]</f>
        <v>15.938199233716475</v>
      </c>
      <c r="I2413">
        <v>87.4</v>
      </c>
      <c r="J2413">
        <f>(Miami_Retail[[#This Row],[avg_temp_f]]-32) * (5/9)</f>
        <v>30.777777777777782</v>
      </c>
      <c r="K2413">
        <v>0</v>
      </c>
      <c r="L2413">
        <v>0</v>
      </c>
      <c r="M2413">
        <v>75.900000000000006</v>
      </c>
      <c r="N2413">
        <v>47</v>
      </c>
      <c r="O2413">
        <v>53</v>
      </c>
      <c r="P2413">
        <v>45.1</v>
      </c>
      <c r="Q2413">
        <v>54.9</v>
      </c>
    </row>
    <row r="2414" spans="1:17" x14ac:dyDescent="0.25">
      <c r="A2414" s="2">
        <v>45146</v>
      </c>
      <c r="B2414" s="2" t="str">
        <f t="shared" si="74"/>
        <v>Tuesday</v>
      </c>
      <c r="C2414" s="2" t="b">
        <f t="shared" si="75"/>
        <v>0</v>
      </c>
      <c r="D2414">
        <v>4</v>
      </c>
      <c r="E2414" t="s">
        <v>8</v>
      </c>
      <c r="F2414">
        <v>226</v>
      </c>
      <c r="G2414" s="3">
        <v>3529.36</v>
      </c>
      <c r="H2414" s="3">
        <f>Miami_Retail[[#This Row],[sales_usd]] / Miami_Retail[[#This Row],[customers]]</f>
        <v>15.616637168141594</v>
      </c>
      <c r="I2414">
        <v>86.4</v>
      </c>
      <c r="J2414">
        <f>(Miami_Retail[[#This Row],[avg_temp_f]]-32) * (5/9)</f>
        <v>30.222222222222225</v>
      </c>
      <c r="K2414">
        <v>0.5</v>
      </c>
      <c r="L2414">
        <v>1</v>
      </c>
      <c r="M2414">
        <v>69.099999999999994</v>
      </c>
      <c r="N2414">
        <v>47.6</v>
      </c>
      <c r="O2414">
        <v>52.4</v>
      </c>
      <c r="P2414">
        <v>46.2</v>
      </c>
      <c r="Q2414">
        <v>53.8</v>
      </c>
    </row>
    <row r="2415" spans="1:17" x14ac:dyDescent="0.25">
      <c r="A2415" s="2">
        <v>45147</v>
      </c>
      <c r="B2415" s="2" t="str">
        <f t="shared" si="74"/>
        <v>Wednesday</v>
      </c>
      <c r="C2415" s="2" t="b">
        <f t="shared" si="75"/>
        <v>0</v>
      </c>
      <c r="D2415">
        <v>4</v>
      </c>
      <c r="E2415" t="s">
        <v>8</v>
      </c>
      <c r="F2415">
        <v>226</v>
      </c>
      <c r="G2415" s="3">
        <v>3682.19</v>
      </c>
      <c r="H2415" s="3">
        <f>Miami_Retail[[#This Row],[sales_usd]] / Miami_Retail[[#This Row],[customers]]</f>
        <v>16.29287610619469</v>
      </c>
      <c r="I2415">
        <v>83.5</v>
      </c>
      <c r="J2415">
        <f>(Miami_Retail[[#This Row],[avg_temp_f]]-32) * (5/9)</f>
        <v>28.611111111111111</v>
      </c>
      <c r="K2415">
        <v>0</v>
      </c>
      <c r="L2415">
        <v>0</v>
      </c>
      <c r="M2415">
        <v>78.2</v>
      </c>
      <c r="N2415">
        <v>47.4</v>
      </c>
      <c r="O2415">
        <v>52.6</v>
      </c>
      <c r="P2415">
        <v>47.4</v>
      </c>
      <c r="Q2415">
        <v>52.6</v>
      </c>
    </row>
    <row r="2416" spans="1:17" x14ac:dyDescent="0.25">
      <c r="A2416" s="2">
        <v>45148</v>
      </c>
      <c r="B2416" s="2" t="str">
        <f t="shared" si="74"/>
        <v>Thursday</v>
      </c>
      <c r="C2416" s="2" t="b">
        <f t="shared" si="75"/>
        <v>0</v>
      </c>
      <c r="D2416">
        <v>4</v>
      </c>
      <c r="E2416" t="s">
        <v>8</v>
      </c>
      <c r="F2416">
        <v>222</v>
      </c>
      <c r="G2416" s="3">
        <v>3463.22</v>
      </c>
      <c r="H2416" s="3">
        <f>Miami_Retail[[#This Row],[sales_usd]] / Miami_Retail[[#This Row],[customers]]</f>
        <v>15.60009009009009</v>
      </c>
      <c r="I2416">
        <v>86.5</v>
      </c>
      <c r="J2416">
        <f>(Miami_Retail[[#This Row],[avg_temp_f]]-32) * (5/9)</f>
        <v>30.277777777777779</v>
      </c>
      <c r="K2416">
        <v>0.86</v>
      </c>
      <c r="L2416">
        <v>1</v>
      </c>
      <c r="M2416">
        <v>71.099999999999994</v>
      </c>
      <c r="N2416">
        <v>47</v>
      </c>
      <c r="O2416">
        <v>53</v>
      </c>
      <c r="P2416">
        <v>45.5</v>
      </c>
      <c r="Q2416">
        <v>54.5</v>
      </c>
    </row>
    <row r="2417" spans="1:17" x14ac:dyDescent="0.25">
      <c r="A2417" s="2">
        <v>45149</v>
      </c>
      <c r="B2417" s="2" t="str">
        <f t="shared" si="74"/>
        <v>Friday</v>
      </c>
      <c r="C2417" s="2" t="b">
        <f t="shared" si="75"/>
        <v>0</v>
      </c>
      <c r="D2417">
        <v>4</v>
      </c>
      <c r="E2417" t="s">
        <v>8</v>
      </c>
      <c r="F2417">
        <v>220</v>
      </c>
      <c r="G2417" s="3">
        <v>3798.71</v>
      </c>
      <c r="H2417" s="3">
        <f>Miami_Retail[[#This Row],[sales_usd]] / Miami_Retail[[#This Row],[customers]]</f>
        <v>17.266863636363638</v>
      </c>
      <c r="I2417">
        <v>81.3</v>
      </c>
      <c r="J2417">
        <f>(Miami_Retail[[#This Row],[avg_temp_f]]-32) * (5/9)</f>
        <v>27.388888888888889</v>
      </c>
      <c r="K2417">
        <v>0</v>
      </c>
      <c r="L2417">
        <v>0</v>
      </c>
      <c r="M2417">
        <v>76.900000000000006</v>
      </c>
      <c r="N2417">
        <v>49.6</v>
      </c>
      <c r="O2417">
        <v>50.4</v>
      </c>
      <c r="P2417">
        <v>45.9</v>
      </c>
      <c r="Q2417">
        <v>54.1</v>
      </c>
    </row>
    <row r="2418" spans="1:17" x14ac:dyDescent="0.25">
      <c r="A2418" s="2">
        <v>45150</v>
      </c>
      <c r="B2418" s="2" t="str">
        <f t="shared" si="74"/>
        <v>Saturday</v>
      </c>
      <c r="C2418" s="2" t="b">
        <f t="shared" si="75"/>
        <v>1</v>
      </c>
      <c r="D2418">
        <v>4</v>
      </c>
      <c r="E2418" t="s">
        <v>8</v>
      </c>
      <c r="F2418">
        <v>182</v>
      </c>
      <c r="G2418" s="3">
        <v>2592.62</v>
      </c>
      <c r="H2418" s="3">
        <f>Miami_Retail[[#This Row],[sales_usd]] / Miami_Retail[[#This Row],[customers]]</f>
        <v>14.245164835164834</v>
      </c>
      <c r="I2418">
        <v>82.7</v>
      </c>
      <c r="J2418">
        <f>(Miami_Retail[[#This Row],[avg_temp_f]]-32) * (5/9)</f>
        <v>28.166666666666668</v>
      </c>
      <c r="K2418">
        <v>5.72</v>
      </c>
      <c r="L2418">
        <v>1</v>
      </c>
      <c r="M2418">
        <v>79.400000000000006</v>
      </c>
      <c r="N2418">
        <v>46.8</v>
      </c>
      <c r="O2418">
        <v>53.2</v>
      </c>
      <c r="P2418">
        <v>51.9</v>
      </c>
      <c r="Q2418">
        <v>48.1</v>
      </c>
    </row>
    <row r="2419" spans="1:17" x14ac:dyDescent="0.25">
      <c r="A2419" s="2">
        <v>45151</v>
      </c>
      <c r="B2419" s="2" t="str">
        <f t="shared" si="74"/>
        <v>Sunday</v>
      </c>
      <c r="C2419" s="2" t="b">
        <f t="shared" si="75"/>
        <v>1</v>
      </c>
      <c r="D2419">
        <v>4</v>
      </c>
      <c r="E2419" t="s">
        <v>8</v>
      </c>
      <c r="F2419">
        <v>289</v>
      </c>
      <c r="G2419" s="3">
        <v>4724.9399999999996</v>
      </c>
      <c r="H2419" s="3">
        <f>Miami_Retail[[#This Row],[sales_usd]] / Miami_Retail[[#This Row],[customers]]</f>
        <v>16.349273356401383</v>
      </c>
      <c r="I2419">
        <v>87.2</v>
      </c>
      <c r="J2419">
        <f>(Miami_Retail[[#This Row],[avg_temp_f]]-32) * (5/9)</f>
        <v>30.666666666666668</v>
      </c>
      <c r="K2419">
        <v>0</v>
      </c>
      <c r="L2419">
        <v>0</v>
      </c>
      <c r="M2419">
        <v>75.099999999999994</v>
      </c>
      <c r="N2419">
        <v>46</v>
      </c>
      <c r="O2419">
        <v>54</v>
      </c>
      <c r="P2419">
        <v>49.7</v>
      </c>
      <c r="Q2419">
        <v>50.3</v>
      </c>
    </row>
    <row r="2420" spans="1:17" x14ac:dyDescent="0.25">
      <c r="A2420" s="2">
        <v>45152</v>
      </c>
      <c r="B2420" s="2" t="str">
        <f t="shared" si="74"/>
        <v>Monday</v>
      </c>
      <c r="C2420" s="2" t="b">
        <f t="shared" si="75"/>
        <v>0</v>
      </c>
      <c r="D2420">
        <v>4</v>
      </c>
      <c r="E2420" t="s">
        <v>8</v>
      </c>
      <c r="F2420">
        <v>217</v>
      </c>
      <c r="G2420" s="3">
        <v>3432.69</v>
      </c>
      <c r="H2420" s="3">
        <f>Miami_Retail[[#This Row],[sales_usd]] / Miami_Retail[[#This Row],[customers]]</f>
        <v>15.818847926267281</v>
      </c>
      <c r="I2420">
        <v>85.6</v>
      </c>
      <c r="J2420">
        <f>(Miami_Retail[[#This Row],[avg_temp_f]]-32) * (5/9)</f>
        <v>29.777777777777775</v>
      </c>
      <c r="K2420">
        <v>0</v>
      </c>
      <c r="L2420">
        <v>0</v>
      </c>
      <c r="M2420">
        <v>76.2</v>
      </c>
      <c r="N2420">
        <v>46.4</v>
      </c>
      <c r="O2420">
        <v>53.6</v>
      </c>
      <c r="P2420">
        <v>45.3</v>
      </c>
      <c r="Q2420">
        <v>54.7</v>
      </c>
    </row>
    <row r="2421" spans="1:17" x14ac:dyDescent="0.25">
      <c r="A2421" s="2">
        <v>45153</v>
      </c>
      <c r="B2421" s="2" t="str">
        <f t="shared" si="74"/>
        <v>Tuesday</v>
      </c>
      <c r="C2421" s="2" t="b">
        <f t="shared" si="75"/>
        <v>0</v>
      </c>
      <c r="D2421">
        <v>4</v>
      </c>
      <c r="E2421" t="s">
        <v>8</v>
      </c>
      <c r="F2421">
        <v>226</v>
      </c>
      <c r="G2421" s="3">
        <v>3431.57</v>
      </c>
      <c r="H2421" s="3">
        <f>Miami_Retail[[#This Row],[sales_usd]] / Miami_Retail[[#This Row],[customers]]</f>
        <v>15.183938053097346</v>
      </c>
      <c r="I2421">
        <v>82.9</v>
      </c>
      <c r="J2421">
        <f>(Miami_Retail[[#This Row],[avg_temp_f]]-32) * (5/9)</f>
        <v>28.277777777777782</v>
      </c>
      <c r="K2421">
        <v>0</v>
      </c>
      <c r="L2421">
        <v>0</v>
      </c>
      <c r="M2421">
        <v>65.900000000000006</v>
      </c>
      <c r="N2421">
        <v>47.1</v>
      </c>
      <c r="O2421">
        <v>52.9</v>
      </c>
      <c r="P2421">
        <v>44.4</v>
      </c>
      <c r="Q2421">
        <v>55.6</v>
      </c>
    </row>
    <row r="2422" spans="1:17" x14ac:dyDescent="0.25">
      <c r="A2422" s="2">
        <v>45154</v>
      </c>
      <c r="B2422" s="2" t="str">
        <f t="shared" si="74"/>
        <v>Wednesday</v>
      </c>
      <c r="C2422" s="2" t="b">
        <f t="shared" si="75"/>
        <v>0</v>
      </c>
      <c r="D2422">
        <v>4</v>
      </c>
      <c r="E2422" t="s">
        <v>8</v>
      </c>
      <c r="F2422">
        <v>227</v>
      </c>
      <c r="G2422" s="3">
        <v>3511.2</v>
      </c>
      <c r="H2422" s="3">
        <f>Miami_Retail[[#This Row],[sales_usd]] / Miami_Retail[[#This Row],[customers]]</f>
        <v>15.46784140969163</v>
      </c>
      <c r="I2422">
        <v>87.1</v>
      </c>
      <c r="J2422">
        <f>(Miami_Retail[[#This Row],[avg_temp_f]]-32) * (5/9)</f>
        <v>30.611111111111111</v>
      </c>
      <c r="K2422">
        <v>0.69</v>
      </c>
      <c r="L2422">
        <v>1</v>
      </c>
      <c r="M2422">
        <v>72.3</v>
      </c>
      <c r="N2422">
        <v>47.4</v>
      </c>
      <c r="O2422">
        <v>52.6</v>
      </c>
      <c r="P2422">
        <v>46</v>
      </c>
      <c r="Q2422">
        <v>54</v>
      </c>
    </row>
    <row r="2423" spans="1:17" x14ac:dyDescent="0.25">
      <c r="A2423" s="2">
        <v>45155</v>
      </c>
      <c r="B2423" s="2" t="str">
        <f t="shared" si="74"/>
        <v>Thursday</v>
      </c>
      <c r="C2423" s="2" t="b">
        <f t="shared" si="75"/>
        <v>0</v>
      </c>
      <c r="D2423">
        <v>4</v>
      </c>
      <c r="E2423" t="s">
        <v>8</v>
      </c>
      <c r="F2423">
        <v>240</v>
      </c>
      <c r="G2423" s="3">
        <v>3663.37</v>
      </c>
      <c r="H2423" s="3">
        <f>Miami_Retail[[#This Row],[sales_usd]] / Miami_Retail[[#This Row],[customers]]</f>
        <v>15.264041666666666</v>
      </c>
      <c r="I2423">
        <v>89</v>
      </c>
      <c r="J2423">
        <f>(Miami_Retail[[#This Row],[avg_temp_f]]-32) * (5/9)</f>
        <v>31.666666666666668</v>
      </c>
      <c r="K2423">
        <v>1.3</v>
      </c>
      <c r="L2423">
        <v>1</v>
      </c>
      <c r="M2423">
        <v>75.599999999999994</v>
      </c>
      <c r="N2423">
        <v>46.5</v>
      </c>
      <c r="O2423">
        <v>53.5</v>
      </c>
      <c r="P2423">
        <v>46.4</v>
      </c>
      <c r="Q2423">
        <v>53.6</v>
      </c>
    </row>
    <row r="2424" spans="1:17" x14ac:dyDescent="0.25">
      <c r="A2424" s="2">
        <v>45156</v>
      </c>
      <c r="B2424" s="2" t="str">
        <f t="shared" si="74"/>
        <v>Friday</v>
      </c>
      <c r="C2424" s="2" t="b">
        <f t="shared" si="75"/>
        <v>0</v>
      </c>
      <c r="D2424">
        <v>4</v>
      </c>
      <c r="E2424" t="s">
        <v>8</v>
      </c>
      <c r="F2424">
        <v>200</v>
      </c>
      <c r="G2424" s="3">
        <v>3122.6</v>
      </c>
      <c r="H2424" s="3">
        <f>Miami_Retail[[#This Row],[sales_usd]] / Miami_Retail[[#This Row],[customers]]</f>
        <v>15.613</v>
      </c>
      <c r="I2424">
        <v>84.7</v>
      </c>
      <c r="J2424">
        <f>(Miami_Retail[[#This Row],[avg_temp_f]]-32) * (5/9)</f>
        <v>29.277777777777782</v>
      </c>
      <c r="K2424">
        <v>0.61</v>
      </c>
      <c r="L2424">
        <v>1</v>
      </c>
      <c r="M2424">
        <v>77.5</v>
      </c>
      <c r="N2424">
        <v>46.2</v>
      </c>
      <c r="O2424">
        <v>53.8</v>
      </c>
      <c r="P2424">
        <v>45.6</v>
      </c>
      <c r="Q2424">
        <v>54.4</v>
      </c>
    </row>
    <row r="2425" spans="1:17" x14ac:dyDescent="0.25">
      <c r="A2425" s="2">
        <v>45157</v>
      </c>
      <c r="B2425" s="2" t="str">
        <f t="shared" si="74"/>
        <v>Saturday</v>
      </c>
      <c r="C2425" s="2" t="b">
        <f t="shared" si="75"/>
        <v>1</v>
      </c>
      <c r="D2425">
        <v>4</v>
      </c>
      <c r="E2425" t="s">
        <v>8</v>
      </c>
      <c r="F2425">
        <v>268</v>
      </c>
      <c r="G2425" s="3">
        <v>4435.2700000000004</v>
      </c>
      <c r="H2425" s="3">
        <f>Miami_Retail[[#This Row],[sales_usd]] / Miami_Retail[[#This Row],[customers]]</f>
        <v>16.549514925373135</v>
      </c>
      <c r="I2425">
        <v>87.2</v>
      </c>
      <c r="J2425">
        <f>(Miami_Retail[[#This Row],[avg_temp_f]]-32) * (5/9)</f>
        <v>30.666666666666668</v>
      </c>
      <c r="K2425">
        <v>0.76</v>
      </c>
      <c r="L2425">
        <v>1</v>
      </c>
      <c r="M2425">
        <v>76</v>
      </c>
      <c r="N2425">
        <v>46</v>
      </c>
      <c r="O2425">
        <v>54</v>
      </c>
      <c r="P2425">
        <v>50.7</v>
      </c>
      <c r="Q2425">
        <v>49.3</v>
      </c>
    </row>
    <row r="2426" spans="1:17" x14ac:dyDescent="0.25">
      <c r="A2426" s="2">
        <v>45158</v>
      </c>
      <c r="B2426" s="2" t="str">
        <f t="shared" si="74"/>
        <v>Sunday</v>
      </c>
      <c r="C2426" s="2" t="b">
        <f t="shared" si="75"/>
        <v>1</v>
      </c>
      <c r="D2426">
        <v>4</v>
      </c>
      <c r="E2426" t="s">
        <v>8</v>
      </c>
      <c r="F2426">
        <v>267</v>
      </c>
      <c r="G2426" s="3">
        <v>3912.5</v>
      </c>
      <c r="H2426" s="3">
        <f>Miami_Retail[[#This Row],[sales_usd]] / Miami_Retail[[#This Row],[customers]]</f>
        <v>14.653558052434457</v>
      </c>
      <c r="I2426">
        <v>89</v>
      </c>
      <c r="J2426">
        <f>(Miami_Retail[[#This Row],[avg_temp_f]]-32) * (5/9)</f>
        <v>31.666666666666668</v>
      </c>
      <c r="K2426">
        <v>0.62</v>
      </c>
      <c r="L2426">
        <v>1</v>
      </c>
      <c r="M2426">
        <v>75.599999999999994</v>
      </c>
      <c r="N2426">
        <v>46.6</v>
      </c>
      <c r="O2426">
        <v>53.4</v>
      </c>
      <c r="P2426">
        <v>52.4</v>
      </c>
      <c r="Q2426">
        <v>47.6</v>
      </c>
    </row>
    <row r="2427" spans="1:17" x14ac:dyDescent="0.25">
      <c r="A2427" s="2">
        <v>45159</v>
      </c>
      <c r="B2427" s="2" t="str">
        <f t="shared" si="74"/>
        <v>Monday</v>
      </c>
      <c r="C2427" s="2" t="b">
        <f t="shared" si="75"/>
        <v>0</v>
      </c>
      <c r="D2427">
        <v>4</v>
      </c>
      <c r="E2427" t="s">
        <v>8</v>
      </c>
      <c r="F2427">
        <v>250</v>
      </c>
      <c r="G2427" s="3">
        <v>3373.39</v>
      </c>
      <c r="H2427" s="3">
        <f>Miami_Retail[[#This Row],[sales_usd]] / Miami_Retail[[#This Row],[customers]]</f>
        <v>13.493559999999999</v>
      </c>
      <c r="I2427">
        <v>87.1</v>
      </c>
      <c r="J2427">
        <f>(Miami_Retail[[#This Row],[avg_temp_f]]-32) * (5/9)</f>
        <v>30.611111111111111</v>
      </c>
      <c r="K2427">
        <v>0</v>
      </c>
      <c r="L2427">
        <v>0</v>
      </c>
      <c r="M2427">
        <v>67.3</v>
      </c>
      <c r="N2427">
        <v>47</v>
      </c>
      <c r="O2427">
        <v>53</v>
      </c>
      <c r="P2427">
        <v>46</v>
      </c>
      <c r="Q2427">
        <v>54</v>
      </c>
    </row>
    <row r="2428" spans="1:17" x14ac:dyDescent="0.25">
      <c r="A2428" s="2">
        <v>45160</v>
      </c>
      <c r="B2428" s="2" t="str">
        <f t="shared" si="74"/>
        <v>Tuesday</v>
      </c>
      <c r="C2428" s="2" t="b">
        <f t="shared" si="75"/>
        <v>0</v>
      </c>
      <c r="D2428">
        <v>4</v>
      </c>
      <c r="E2428" t="s">
        <v>8</v>
      </c>
      <c r="F2428">
        <v>239</v>
      </c>
      <c r="G2428" s="3">
        <v>3868.78</v>
      </c>
      <c r="H2428" s="3">
        <f>Miami_Retail[[#This Row],[sales_usd]] / Miami_Retail[[#This Row],[customers]]</f>
        <v>16.187364016736403</v>
      </c>
      <c r="I2428">
        <v>86.2</v>
      </c>
      <c r="J2428">
        <f>(Miami_Retail[[#This Row],[avg_temp_f]]-32) * (5/9)</f>
        <v>30.111111111111114</v>
      </c>
      <c r="K2428">
        <v>0</v>
      </c>
      <c r="L2428">
        <v>0</v>
      </c>
      <c r="M2428">
        <v>66.5</v>
      </c>
      <c r="N2428">
        <v>46.2</v>
      </c>
      <c r="O2428">
        <v>53.8</v>
      </c>
      <c r="P2428">
        <v>45.5</v>
      </c>
      <c r="Q2428">
        <v>54.5</v>
      </c>
    </row>
    <row r="2429" spans="1:17" x14ac:dyDescent="0.25">
      <c r="A2429" s="2">
        <v>45161</v>
      </c>
      <c r="B2429" s="2" t="str">
        <f t="shared" si="74"/>
        <v>Wednesday</v>
      </c>
      <c r="C2429" s="2" t="b">
        <f t="shared" si="75"/>
        <v>0</v>
      </c>
      <c r="D2429">
        <v>4</v>
      </c>
      <c r="E2429" t="s">
        <v>8</v>
      </c>
      <c r="F2429">
        <v>248</v>
      </c>
      <c r="G2429" s="3">
        <v>3877.72</v>
      </c>
      <c r="H2429" s="3">
        <f>Miami_Retail[[#This Row],[sales_usd]] / Miami_Retail[[#This Row],[customers]]</f>
        <v>15.635967741935483</v>
      </c>
      <c r="I2429">
        <v>84.8</v>
      </c>
      <c r="J2429">
        <f>(Miami_Retail[[#This Row],[avg_temp_f]]-32) * (5/9)</f>
        <v>29.333333333333332</v>
      </c>
      <c r="K2429">
        <v>0</v>
      </c>
      <c r="L2429">
        <v>0</v>
      </c>
      <c r="M2429">
        <v>80.2</v>
      </c>
      <c r="N2429">
        <v>47.8</v>
      </c>
      <c r="O2429">
        <v>52.2</v>
      </c>
      <c r="P2429">
        <v>45.9</v>
      </c>
      <c r="Q2429">
        <v>54.1</v>
      </c>
    </row>
    <row r="2430" spans="1:17" x14ac:dyDescent="0.25">
      <c r="A2430" s="2">
        <v>45162</v>
      </c>
      <c r="B2430" s="2" t="str">
        <f t="shared" si="74"/>
        <v>Thursday</v>
      </c>
      <c r="C2430" s="2" t="b">
        <f t="shared" si="75"/>
        <v>0</v>
      </c>
      <c r="D2430">
        <v>4</v>
      </c>
      <c r="E2430" t="s">
        <v>8</v>
      </c>
      <c r="F2430">
        <v>253</v>
      </c>
      <c r="G2430" s="3">
        <v>4087.48</v>
      </c>
      <c r="H2430" s="3">
        <f>Miami_Retail[[#This Row],[sales_usd]] / Miami_Retail[[#This Row],[customers]]</f>
        <v>16.156047430830039</v>
      </c>
      <c r="I2430">
        <v>89</v>
      </c>
      <c r="J2430">
        <f>(Miami_Retail[[#This Row],[avg_temp_f]]-32) * (5/9)</f>
        <v>31.666666666666668</v>
      </c>
      <c r="K2430">
        <v>0</v>
      </c>
      <c r="L2430">
        <v>0</v>
      </c>
      <c r="M2430">
        <v>70.5</v>
      </c>
      <c r="N2430">
        <v>46.7</v>
      </c>
      <c r="O2430">
        <v>53.3</v>
      </c>
      <c r="P2430">
        <v>47.6</v>
      </c>
      <c r="Q2430">
        <v>52.4</v>
      </c>
    </row>
    <row r="2431" spans="1:17" x14ac:dyDescent="0.25">
      <c r="A2431" s="2">
        <v>45163</v>
      </c>
      <c r="B2431" s="2" t="str">
        <f t="shared" si="74"/>
        <v>Friday</v>
      </c>
      <c r="C2431" s="2" t="b">
        <f t="shared" si="75"/>
        <v>0</v>
      </c>
      <c r="D2431">
        <v>4</v>
      </c>
      <c r="E2431" t="s">
        <v>8</v>
      </c>
      <c r="F2431">
        <v>232</v>
      </c>
      <c r="G2431" s="3">
        <v>3785.63</v>
      </c>
      <c r="H2431" s="3">
        <f>Miami_Retail[[#This Row],[sales_usd]] / Miami_Retail[[#This Row],[customers]]</f>
        <v>16.317370689655174</v>
      </c>
      <c r="I2431">
        <v>88</v>
      </c>
      <c r="J2431">
        <f>(Miami_Retail[[#This Row],[avg_temp_f]]-32) * (5/9)</f>
        <v>31.111111111111114</v>
      </c>
      <c r="K2431">
        <v>0</v>
      </c>
      <c r="L2431">
        <v>0</v>
      </c>
      <c r="M2431">
        <v>73.900000000000006</v>
      </c>
      <c r="N2431">
        <v>46.2</v>
      </c>
      <c r="O2431">
        <v>53.8</v>
      </c>
      <c r="P2431">
        <v>45.6</v>
      </c>
      <c r="Q2431">
        <v>54.4</v>
      </c>
    </row>
    <row r="2432" spans="1:17" x14ac:dyDescent="0.25">
      <c r="A2432" s="2">
        <v>45164</v>
      </c>
      <c r="B2432" s="2" t="str">
        <f t="shared" si="74"/>
        <v>Saturday</v>
      </c>
      <c r="C2432" s="2" t="b">
        <f t="shared" si="75"/>
        <v>1</v>
      </c>
      <c r="D2432">
        <v>4</v>
      </c>
      <c r="E2432" t="s">
        <v>8</v>
      </c>
      <c r="F2432">
        <v>258</v>
      </c>
      <c r="G2432" s="3">
        <v>3853.74</v>
      </c>
      <c r="H2432" s="3">
        <f>Miami_Retail[[#This Row],[sales_usd]] / Miami_Retail[[#This Row],[customers]]</f>
        <v>14.936976744186046</v>
      </c>
      <c r="I2432">
        <v>88.1</v>
      </c>
      <c r="J2432">
        <f>(Miami_Retail[[#This Row],[avg_temp_f]]-32) * (5/9)</f>
        <v>31.166666666666664</v>
      </c>
      <c r="K2432">
        <v>0</v>
      </c>
      <c r="L2432">
        <v>0</v>
      </c>
      <c r="M2432">
        <v>63.4</v>
      </c>
      <c r="N2432">
        <v>47.1</v>
      </c>
      <c r="O2432">
        <v>52.9</v>
      </c>
      <c r="P2432">
        <v>51.5</v>
      </c>
      <c r="Q2432">
        <v>48.5</v>
      </c>
    </row>
    <row r="2433" spans="1:17" x14ac:dyDescent="0.25">
      <c r="A2433" s="2">
        <v>45165</v>
      </c>
      <c r="B2433" s="2" t="str">
        <f t="shared" si="74"/>
        <v>Sunday</v>
      </c>
      <c r="C2433" s="2" t="b">
        <f t="shared" si="75"/>
        <v>1</v>
      </c>
      <c r="D2433">
        <v>4</v>
      </c>
      <c r="E2433" t="s">
        <v>8</v>
      </c>
      <c r="F2433">
        <v>261</v>
      </c>
      <c r="G2433" s="3">
        <v>4027.87</v>
      </c>
      <c r="H2433" s="3">
        <f>Miami_Retail[[#This Row],[sales_usd]] / Miami_Retail[[#This Row],[customers]]</f>
        <v>15.432452107279692</v>
      </c>
      <c r="I2433">
        <v>89.7</v>
      </c>
      <c r="J2433">
        <f>(Miami_Retail[[#This Row],[avg_temp_f]]-32) * (5/9)</f>
        <v>32.055555555555557</v>
      </c>
      <c r="K2433">
        <v>0.44</v>
      </c>
      <c r="L2433">
        <v>1</v>
      </c>
      <c r="M2433">
        <v>77.099999999999994</v>
      </c>
      <c r="N2433">
        <v>45.9</v>
      </c>
      <c r="O2433">
        <v>54.1</v>
      </c>
      <c r="P2433">
        <v>50.4</v>
      </c>
      <c r="Q2433">
        <v>49.6</v>
      </c>
    </row>
    <row r="2434" spans="1:17" x14ac:dyDescent="0.25">
      <c r="A2434" s="2">
        <v>45166</v>
      </c>
      <c r="B2434" s="2" t="str">
        <f t="shared" ref="B2434:B2497" si="76">TEXT(A2434, "dddd")</f>
        <v>Monday</v>
      </c>
      <c r="C2434" s="2" t="b">
        <f t="shared" ref="C2434:C2497" si="77">IF(WEEKDAY(A2434,2)&gt;5,TRUE,FALSE)</f>
        <v>0</v>
      </c>
      <c r="D2434">
        <v>4</v>
      </c>
      <c r="E2434" t="s">
        <v>8</v>
      </c>
      <c r="F2434">
        <v>237</v>
      </c>
      <c r="G2434" s="3">
        <v>3574.88</v>
      </c>
      <c r="H2434" s="3">
        <f>Miami_Retail[[#This Row],[sales_usd]] / Miami_Retail[[#This Row],[customers]]</f>
        <v>15.083881856540085</v>
      </c>
      <c r="I2434">
        <v>90.1</v>
      </c>
      <c r="J2434">
        <f>(Miami_Retail[[#This Row],[avg_temp_f]]-32) * (5/9)</f>
        <v>32.277777777777779</v>
      </c>
      <c r="K2434">
        <v>0</v>
      </c>
      <c r="L2434">
        <v>0</v>
      </c>
      <c r="M2434">
        <v>77.2</v>
      </c>
      <c r="N2434">
        <v>47.4</v>
      </c>
      <c r="O2434">
        <v>52.6</v>
      </c>
      <c r="P2434">
        <v>44.7</v>
      </c>
      <c r="Q2434">
        <v>55.3</v>
      </c>
    </row>
    <row r="2435" spans="1:17" x14ac:dyDescent="0.25">
      <c r="A2435" s="2">
        <v>45167</v>
      </c>
      <c r="B2435" s="2" t="str">
        <f t="shared" si="76"/>
        <v>Tuesday</v>
      </c>
      <c r="C2435" s="2" t="b">
        <f t="shared" si="77"/>
        <v>0</v>
      </c>
      <c r="D2435">
        <v>4</v>
      </c>
      <c r="E2435" t="s">
        <v>8</v>
      </c>
      <c r="F2435">
        <v>238</v>
      </c>
      <c r="G2435" s="3">
        <v>3594.96</v>
      </c>
      <c r="H2435" s="3">
        <f>Miami_Retail[[#This Row],[sales_usd]] / Miami_Retail[[#This Row],[customers]]</f>
        <v>15.104873949579831</v>
      </c>
      <c r="I2435">
        <v>89.2</v>
      </c>
      <c r="J2435">
        <f>(Miami_Retail[[#This Row],[avg_temp_f]]-32) * (5/9)</f>
        <v>31.777777777777782</v>
      </c>
      <c r="K2435">
        <v>0.08</v>
      </c>
      <c r="L2435">
        <v>1</v>
      </c>
      <c r="M2435">
        <v>71.900000000000006</v>
      </c>
      <c r="N2435">
        <v>45</v>
      </c>
      <c r="O2435">
        <v>55</v>
      </c>
      <c r="P2435">
        <v>46.2</v>
      </c>
      <c r="Q2435">
        <v>53.8</v>
      </c>
    </row>
    <row r="2436" spans="1:17" x14ac:dyDescent="0.25">
      <c r="A2436" s="2">
        <v>45168</v>
      </c>
      <c r="B2436" s="2" t="str">
        <f t="shared" si="76"/>
        <v>Wednesday</v>
      </c>
      <c r="C2436" s="2" t="b">
        <f t="shared" si="77"/>
        <v>0</v>
      </c>
      <c r="D2436">
        <v>4</v>
      </c>
      <c r="E2436" t="s">
        <v>8</v>
      </c>
      <c r="F2436">
        <v>224</v>
      </c>
      <c r="G2436" s="3">
        <v>3438.39</v>
      </c>
      <c r="H2436" s="3">
        <f>Miami_Retail[[#This Row],[sales_usd]] / Miami_Retail[[#This Row],[customers]]</f>
        <v>15.349955357142857</v>
      </c>
      <c r="I2436">
        <v>92.8</v>
      </c>
      <c r="J2436">
        <f>(Miami_Retail[[#This Row],[avg_temp_f]]-32) * (5/9)</f>
        <v>33.777777777777779</v>
      </c>
      <c r="K2436">
        <v>0</v>
      </c>
      <c r="L2436">
        <v>0</v>
      </c>
      <c r="M2436">
        <v>72.3</v>
      </c>
      <c r="N2436">
        <v>46.5</v>
      </c>
      <c r="O2436">
        <v>53.5</v>
      </c>
      <c r="P2436">
        <v>43.9</v>
      </c>
      <c r="Q2436">
        <v>56.1</v>
      </c>
    </row>
    <row r="2437" spans="1:17" x14ac:dyDescent="0.25">
      <c r="A2437" s="2">
        <v>45169</v>
      </c>
      <c r="B2437" s="2" t="str">
        <f t="shared" si="76"/>
        <v>Thursday</v>
      </c>
      <c r="C2437" s="2" t="b">
        <f t="shared" si="77"/>
        <v>0</v>
      </c>
      <c r="D2437">
        <v>4</v>
      </c>
      <c r="E2437" t="s">
        <v>8</v>
      </c>
      <c r="F2437">
        <v>218</v>
      </c>
      <c r="G2437" s="3">
        <v>3284.54</v>
      </c>
      <c r="H2437" s="3">
        <f>Miami_Retail[[#This Row],[sales_usd]] / Miami_Retail[[#This Row],[customers]]</f>
        <v>15.066697247706422</v>
      </c>
      <c r="I2437">
        <v>85.6</v>
      </c>
      <c r="J2437">
        <f>(Miami_Retail[[#This Row],[avg_temp_f]]-32) * (5/9)</f>
        <v>29.777777777777775</v>
      </c>
      <c r="K2437">
        <v>0</v>
      </c>
      <c r="L2437">
        <v>0</v>
      </c>
      <c r="M2437">
        <v>75.400000000000006</v>
      </c>
      <c r="N2437">
        <v>45.3</v>
      </c>
      <c r="O2437">
        <v>54.7</v>
      </c>
      <c r="P2437">
        <v>47.5</v>
      </c>
      <c r="Q2437">
        <v>52.5</v>
      </c>
    </row>
    <row r="2438" spans="1:17" x14ac:dyDescent="0.25">
      <c r="A2438" s="2">
        <v>45170</v>
      </c>
      <c r="B2438" s="2" t="str">
        <f t="shared" si="76"/>
        <v>Friday</v>
      </c>
      <c r="C2438" s="2" t="b">
        <f t="shared" si="77"/>
        <v>0</v>
      </c>
      <c r="D2438">
        <v>4</v>
      </c>
      <c r="E2438" t="s">
        <v>8</v>
      </c>
      <c r="F2438">
        <v>263</v>
      </c>
      <c r="G2438" s="3">
        <v>4264.95</v>
      </c>
      <c r="H2438" s="3">
        <f>Miami_Retail[[#This Row],[sales_usd]] / Miami_Retail[[#This Row],[customers]]</f>
        <v>16.216539923954372</v>
      </c>
      <c r="I2438">
        <v>94.1</v>
      </c>
      <c r="J2438">
        <f>(Miami_Retail[[#This Row],[avg_temp_f]]-32) * (5/9)</f>
        <v>34.5</v>
      </c>
      <c r="K2438">
        <v>0</v>
      </c>
      <c r="L2438">
        <v>0</v>
      </c>
      <c r="M2438">
        <v>71.5</v>
      </c>
      <c r="N2438">
        <v>46</v>
      </c>
      <c r="O2438">
        <v>54</v>
      </c>
      <c r="P2438">
        <v>45.1</v>
      </c>
      <c r="Q2438">
        <v>54.9</v>
      </c>
    </row>
    <row r="2439" spans="1:17" x14ac:dyDescent="0.25">
      <c r="A2439" s="2">
        <v>45171</v>
      </c>
      <c r="B2439" s="2" t="str">
        <f t="shared" si="76"/>
        <v>Saturday</v>
      </c>
      <c r="C2439" s="2" t="b">
        <f t="shared" si="77"/>
        <v>1</v>
      </c>
      <c r="D2439">
        <v>4</v>
      </c>
      <c r="E2439" t="s">
        <v>8</v>
      </c>
      <c r="F2439">
        <v>235</v>
      </c>
      <c r="G2439" s="3">
        <v>3605.01</v>
      </c>
      <c r="H2439" s="3">
        <f>Miami_Retail[[#This Row],[sales_usd]] / Miami_Retail[[#This Row],[customers]]</f>
        <v>15.340468085106384</v>
      </c>
      <c r="I2439">
        <v>87.3</v>
      </c>
      <c r="J2439">
        <f>(Miami_Retail[[#This Row],[avg_temp_f]]-32) * (5/9)</f>
        <v>30.722222222222221</v>
      </c>
      <c r="K2439">
        <v>0</v>
      </c>
      <c r="L2439">
        <v>0</v>
      </c>
      <c r="M2439">
        <v>73.599999999999994</v>
      </c>
      <c r="N2439">
        <v>46.9</v>
      </c>
      <c r="O2439">
        <v>53.1</v>
      </c>
      <c r="P2439">
        <v>50.7</v>
      </c>
      <c r="Q2439">
        <v>49.3</v>
      </c>
    </row>
    <row r="2440" spans="1:17" x14ac:dyDescent="0.25">
      <c r="A2440" s="2">
        <v>45172</v>
      </c>
      <c r="B2440" s="2" t="str">
        <f t="shared" si="76"/>
        <v>Sunday</v>
      </c>
      <c r="C2440" s="2" t="b">
        <f t="shared" si="77"/>
        <v>1</v>
      </c>
      <c r="D2440">
        <v>4</v>
      </c>
      <c r="E2440" t="s">
        <v>8</v>
      </c>
      <c r="F2440">
        <v>240</v>
      </c>
      <c r="G2440" s="3">
        <v>3911.4</v>
      </c>
      <c r="H2440" s="3">
        <f>Miami_Retail[[#This Row],[sales_usd]] / Miami_Retail[[#This Row],[customers]]</f>
        <v>16.297499999999999</v>
      </c>
      <c r="I2440">
        <v>87.3</v>
      </c>
      <c r="J2440">
        <f>(Miami_Retail[[#This Row],[avg_temp_f]]-32) * (5/9)</f>
        <v>30.722222222222221</v>
      </c>
      <c r="K2440">
        <v>0</v>
      </c>
      <c r="L2440">
        <v>0</v>
      </c>
      <c r="M2440">
        <v>74.8</v>
      </c>
      <c r="N2440">
        <v>47.1</v>
      </c>
      <c r="O2440">
        <v>52.9</v>
      </c>
      <c r="P2440">
        <v>50.9</v>
      </c>
      <c r="Q2440">
        <v>49.1</v>
      </c>
    </row>
    <row r="2441" spans="1:17" x14ac:dyDescent="0.25">
      <c r="A2441" s="2">
        <v>45173</v>
      </c>
      <c r="B2441" s="2" t="str">
        <f t="shared" si="76"/>
        <v>Monday</v>
      </c>
      <c r="C2441" s="2" t="b">
        <f t="shared" si="77"/>
        <v>0</v>
      </c>
      <c r="D2441">
        <v>4</v>
      </c>
      <c r="E2441" t="s">
        <v>8</v>
      </c>
      <c r="F2441">
        <v>248</v>
      </c>
      <c r="G2441" s="3">
        <v>3881.09</v>
      </c>
      <c r="H2441" s="3">
        <f>Miami_Retail[[#This Row],[sales_usd]] / Miami_Retail[[#This Row],[customers]]</f>
        <v>15.649556451612904</v>
      </c>
      <c r="I2441">
        <v>86.8</v>
      </c>
      <c r="J2441">
        <f>(Miami_Retail[[#This Row],[avg_temp_f]]-32) * (5/9)</f>
        <v>30.444444444444443</v>
      </c>
      <c r="K2441">
        <v>0.68</v>
      </c>
      <c r="L2441">
        <v>1</v>
      </c>
      <c r="M2441">
        <v>81.3</v>
      </c>
      <c r="N2441">
        <v>46</v>
      </c>
      <c r="O2441">
        <v>54</v>
      </c>
      <c r="P2441">
        <v>46</v>
      </c>
      <c r="Q2441">
        <v>54</v>
      </c>
    </row>
    <row r="2442" spans="1:17" x14ac:dyDescent="0.25">
      <c r="A2442" s="2">
        <v>45174</v>
      </c>
      <c r="B2442" s="2" t="str">
        <f t="shared" si="76"/>
        <v>Tuesday</v>
      </c>
      <c r="C2442" s="2" t="b">
        <f t="shared" si="77"/>
        <v>0</v>
      </c>
      <c r="D2442">
        <v>4</v>
      </c>
      <c r="E2442" t="s">
        <v>8</v>
      </c>
      <c r="F2442">
        <v>211</v>
      </c>
      <c r="G2442" s="3">
        <v>3625.84</v>
      </c>
      <c r="H2442" s="3">
        <f>Miami_Retail[[#This Row],[sales_usd]] / Miami_Retail[[#This Row],[customers]]</f>
        <v>17.184075829383886</v>
      </c>
      <c r="I2442">
        <v>86.2</v>
      </c>
      <c r="J2442">
        <f>(Miami_Retail[[#This Row],[avg_temp_f]]-32) * (5/9)</f>
        <v>30.111111111111114</v>
      </c>
      <c r="K2442">
        <v>0</v>
      </c>
      <c r="L2442">
        <v>0</v>
      </c>
      <c r="M2442">
        <v>72.2</v>
      </c>
      <c r="N2442">
        <v>45.5</v>
      </c>
      <c r="O2442">
        <v>54.5</v>
      </c>
      <c r="P2442">
        <v>45.3</v>
      </c>
      <c r="Q2442">
        <v>54.7</v>
      </c>
    </row>
    <row r="2443" spans="1:17" x14ac:dyDescent="0.25">
      <c r="A2443" s="2">
        <v>45175</v>
      </c>
      <c r="B2443" s="2" t="str">
        <f t="shared" si="76"/>
        <v>Wednesday</v>
      </c>
      <c r="C2443" s="2" t="b">
        <f t="shared" si="77"/>
        <v>0</v>
      </c>
      <c r="D2443">
        <v>4</v>
      </c>
      <c r="E2443" t="s">
        <v>8</v>
      </c>
      <c r="F2443">
        <v>229</v>
      </c>
      <c r="G2443" s="3">
        <v>3281.96</v>
      </c>
      <c r="H2443" s="3">
        <f>Miami_Retail[[#This Row],[sales_usd]] / Miami_Retail[[#This Row],[customers]]</f>
        <v>14.331703056768559</v>
      </c>
      <c r="I2443">
        <v>95.7</v>
      </c>
      <c r="J2443">
        <f>(Miami_Retail[[#This Row],[avg_temp_f]]-32) * (5/9)</f>
        <v>35.388888888888893</v>
      </c>
      <c r="K2443">
        <v>0.45</v>
      </c>
      <c r="L2443">
        <v>1</v>
      </c>
      <c r="M2443">
        <v>78.400000000000006</v>
      </c>
      <c r="N2443">
        <v>45.8</v>
      </c>
      <c r="O2443">
        <v>54.2</v>
      </c>
      <c r="P2443">
        <v>44.9</v>
      </c>
      <c r="Q2443">
        <v>55.1</v>
      </c>
    </row>
    <row r="2444" spans="1:17" x14ac:dyDescent="0.25">
      <c r="A2444" s="2">
        <v>45176</v>
      </c>
      <c r="B2444" s="2" t="str">
        <f t="shared" si="76"/>
        <v>Thursday</v>
      </c>
      <c r="C2444" s="2" t="b">
        <f t="shared" si="77"/>
        <v>0</v>
      </c>
      <c r="D2444">
        <v>4</v>
      </c>
      <c r="E2444" t="s">
        <v>8</v>
      </c>
      <c r="F2444">
        <v>262</v>
      </c>
      <c r="G2444" s="3">
        <v>3798.04</v>
      </c>
      <c r="H2444" s="3">
        <f>Miami_Retail[[#This Row],[sales_usd]] / Miami_Retail[[#This Row],[customers]]</f>
        <v>14.496335877862595</v>
      </c>
      <c r="I2444">
        <v>87.6</v>
      </c>
      <c r="J2444">
        <f>(Miami_Retail[[#This Row],[avg_temp_f]]-32) * (5/9)</f>
        <v>30.888888888888886</v>
      </c>
      <c r="K2444">
        <v>0</v>
      </c>
      <c r="L2444">
        <v>0</v>
      </c>
      <c r="M2444">
        <v>74.900000000000006</v>
      </c>
      <c r="N2444">
        <v>46.3</v>
      </c>
      <c r="O2444">
        <v>53.7</v>
      </c>
      <c r="P2444">
        <v>43.7</v>
      </c>
      <c r="Q2444">
        <v>56.3</v>
      </c>
    </row>
    <row r="2445" spans="1:17" x14ac:dyDescent="0.25">
      <c r="A2445" s="2">
        <v>45177</v>
      </c>
      <c r="B2445" s="2" t="str">
        <f t="shared" si="76"/>
        <v>Friday</v>
      </c>
      <c r="C2445" s="2" t="b">
        <f t="shared" si="77"/>
        <v>0</v>
      </c>
      <c r="D2445">
        <v>4</v>
      </c>
      <c r="E2445" t="s">
        <v>8</v>
      </c>
      <c r="F2445">
        <v>259</v>
      </c>
      <c r="G2445" s="3">
        <v>4172.51</v>
      </c>
      <c r="H2445" s="3">
        <f>Miami_Retail[[#This Row],[sales_usd]] / Miami_Retail[[#This Row],[customers]]</f>
        <v>16.110077220077223</v>
      </c>
      <c r="I2445">
        <v>88.8</v>
      </c>
      <c r="J2445">
        <f>(Miami_Retail[[#This Row],[avg_temp_f]]-32) * (5/9)</f>
        <v>31.555555555555557</v>
      </c>
      <c r="K2445">
        <v>1.94</v>
      </c>
      <c r="L2445">
        <v>1</v>
      </c>
      <c r="M2445">
        <v>75.3</v>
      </c>
      <c r="N2445">
        <v>46.7</v>
      </c>
      <c r="O2445">
        <v>53.3</v>
      </c>
      <c r="P2445">
        <v>44.7</v>
      </c>
      <c r="Q2445">
        <v>55.3</v>
      </c>
    </row>
    <row r="2446" spans="1:17" x14ac:dyDescent="0.25">
      <c r="A2446" s="2">
        <v>45178</v>
      </c>
      <c r="B2446" s="2" t="str">
        <f t="shared" si="76"/>
        <v>Saturday</v>
      </c>
      <c r="C2446" s="2" t="b">
        <f t="shared" si="77"/>
        <v>1</v>
      </c>
      <c r="D2446">
        <v>4</v>
      </c>
      <c r="E2446" t="s">
        <v>8</v>
      </c>
      <c r="F2446">
        <v>234</v>
      </c>
      <c r="G2446" s="3">
        <v>3904.91</v>
      </c>
      <c r="H2446" s="3">
        <f>Miami_Retail[[#This Row],[sales_usd]] / Miami_Retail[[#This Row],[customers]]</f>
        <v>16.687649572649573</v>
      </c>
      <c r="I2446">
        <v>91.3</v>
      </c>
      <c r="J2446">
        <f>(Miami_Retail[[#This Row],[avg_temp_f]]-32) * (5/9)</f>
        <v>32.944444444444443</v>
      </c>
      <c r="K2446">
        <v>0.68</v>
      </c>
      <c r="L2446">
        <v>1</v>
      </c>
      <c r="M2446">
        <v>80.599999999999994</v>
      </c>
      <c r="N2446">
        <v>47.2</v>
      </c>
      <c r="O2446">
        <v>52.8</v>
      </c>
      <c r="P2446">
        <v>51</v>
      </c>
      <c r="Q2446">
        <v>49</v>
      </c>
    </row>
    <row r="2447" spans="1:17" x14ac:dyDescent="0.25">
      <c r="A2447" s="2">
        <v>45179</v>
      </c>
      <c r="B2447" s="2" t="str">
        <f t="shared" si="76"/>
        <v>Sunday</v>
      </c>
      <c r="C2447" s="2" t="b">
        <f t="shared" si="77"/>
        <v>1</v>
      </c>
      <c r="D2447">
        <v>4</v>
      </c>
      <c r="E2447" t="s">
        <v>8</v>
      </c>
      <c r="F2447">
        <v>257</v>
      </c>
      <c r="G2447" s="3">
        <v>3772.01</v>
      </c>
      <c r="H2447" s="3">
        <f>Miami_Retail[[#This Row],[sales_usd]] / Miami_Retail[[#This Row],[customers]]</f>
        <v>14.677081712062257</v>
      </c>
      <c r="I2447">
        <v>88.8</v>
      </c>
      <c r="J2447">
        <f>(Miami_Retail[[#This Row],[avg_temp_f]]-32) * (5/9)</f>
        <v>31.555555555555557</v>
      </c>
      <c r="K2447">
        <v>0</v>
      </c>
      <c r="L2447">
        <v>0</v>
      </c>
      <c r="M2447">
        <v>67.400000000000006</v>
      </c>
      <c r="N2447">
        <v>47.2</v>
      </c>
      <c r="O2447">
        <v>52.8</v>
      </c>
      <c r="P2447">
        <v>52.6</v>
      </c>
      <c r="Q2447">
        <v>47.4</v>
      </c>
    </row>
    <row r="2448" spans="1:17" x14ac:dyDescent="0.25">
      <c r="A2448" s="2">
        <v>45180</v>
      </c>
      <c r="B2448" s="2" t="str">
        <f t="shared" si="76"/>
        <v>Monday</v>
      </c>
      <c r="C2448" s="2" t="b">
        <f t="shared" si="77"/>
        <v>0</v>
      </c>
      <c r="D2448">
        <v>4</v>
      </c>
      <c r="E2448" t="s">
        <v>8</v>
      </c>
      <c r="F2448">
        <v>240</v>
      </c>
      <c r="G2448" s="3">
        <v>3485.9</v>
      </c>
      <c r="H2448" s="3">
        <f>Miami_Retail[[#This Row],[sales_usd]] / Miami_Retail[[#This Row],[customers]]</f>
        <v>14.524583333333334</v>
      </c>
      <c r="I2448">
        <v>89.6</v>
      </c>
      <c r="J2448">
        <f>(Miami_Retail[[#This Row],[avg_temp_f]]-32) * (5/9)</f>
        <v>32</v>
      </c>
      <c r="K2448">
        <v>0</v>
      </c>
      <c r="L2448">
        <v>0</v>
      </c>
      <c r="M2448">
        <v>81.2</v>
      </c>
      <c r="N2448">
        <v>47.1</v>
      </c>
      <c r="O2448">
        <v>52.9</v>
      </c>
      <c r="P2448">
        <v>44.1</v>
      </c>
      <c r="Q2448">
        <v>55.9</v>
      </c>
    </row>
    <row r="2449" spans="1:17" x14ac:dyDescent="0.25">
      <c r="A2449" s="2">
        <v>45181</v>
      </c>
      <c r="B2449" s="2" t="str">
        <f t="shared" si="76"/>
        <v>Tuesday</v>
      </c>
      <c r="C2449" s="2" t="b">
        <f t="shared" si="77"/>
        <v>0</v>
      </c>
      <c r="D2449">
        <v>4</v>
      </c>
      <c r="E2449" t="s">
        <v>8</v>
      </c>
      <c r="F2449">
        <v>252</v>
      </c>
      <c r="G2449" s="3">
        <v>3762.86</v>
      </c>
      <c r="H2449" s="3">
        <f>Miami_Retail[[#This Row],[sales_usd]] / Miami_Retail[[#This Row],[customers]]</f>
        <v>14.931984126984128</v>
      </c>
      <c r="I2449">
        <v>96.6</v>
      </c>
      <c r="J2449">
        <f>(Miami_Retail[[#This Row],[avg_temp_f]]-32) * (5/9)</f>
        <v>35.888888888888886</v>
      </c>
      <c r="K2449">
        <v>0</v>
      </c>
      <c r="L2449">
        <v>0</v>
      </c>
      <c r="M2449">
        <v>78.5</v>
      </c>
      <c r="N2449">
        <v>45.9</v>
      </c>
      <c r="O2449">
        <v>54.1</v>
      </c>
      <c r="P2449">
        <v>44</v>
      </c>
      <c r="Q2449">
        <v>56</v>
      </c>
    </row>
    <row r="2450" spans="1:17" x14ac:dyDescent="0.25">
      <c r="A2450" s="2">
        <v>45182</v>
      </c>
      <c r="B2450" s="2" t="str">
        <f t="shared" si="76"/>
        <v>Wednesday</v>
      </c>
      <c r="C2450" s="2" t="b">
        <f t="shared" si="77"/>
        <v>0</v>
      </c>
      <c r="D2450">
        <v>4</v>
      </c>
      <c r="E2450" t="s">
        <v>8</v>
      </c>
      <c r="F2450">
        <v>236</v>
      </c>
      <c r="G2450" s="3">
        <v>3556.68</v>
      </c>
      <c r="H2450" s="3">
        <f>Miami_Retail[[#This Row],[sales_usd]] / Miami_Retail[[#This Row],[customers]]</f>
        <v>15.070677966101695</v>
      </c>
      <c r="I2450">
        <v>88</v>
      </c>
      <c r="J2450">
        <f>(Miami_Retail[[#This Row],[avg_temp_f]]-32) * (5/9)</f>
        <v>31.111111111111114</v>
      </c>
      <c r="K2450">
        <v>1.95</v>
      </c>
      <c r="L2450">
        <v>1</v>
      </c>
      <c r="M2450">
        <v>84.5</v>
      </c>
      <c r="N2450">
        <v>46.5</v>
      </c>
      <c r="O2450">
        <v>53.5</v>
      </c>
      <c r="P2450">
        <v>45.4</v>
      </c>
      <c r="Q2450">
        <v>54.6</v>
      </c>
    </row>
    <row r="2451" spans="1:17" x14ac:dyDescent="0.25">
      <c r="A2451" s="2">
        <v>45183</v>
      </c>
      <c r="B2451" s="2" t="str">
        <f t="shared" si="76"/>
        <v>Thursday</v>
      </c>
      <c r="C2451" s="2" t="b">
        <f t="shared" si="77"/>
        <v>0</v>
      </c>
      <c r="D2451">
        <v>4</v>
      </c>
      <c r="E2451" t="s">
        <v>8</v>
      </c>
      <c r="F2451">
        <v>206</v>
      </c>
      <c r="G2451" s="3">
        <v>3279.29</v>
      </c>
      <c r="H2451" s="3">
        <f>Miami_Retail[[#This Row],[sales_usd]] / Miami_Retail[[#This Row],[customers]]</f>
        <v>15.91888349514563</v>
      </c>
      <c r="I2451">
        <v>87</v>
      </c>
      <c r="J2451">
        <f>(Miami_Retail[[#This Row],[avg_temp_f]]-32) * (5/9)</f>
        <v>30.555555555555557</v>
      </c>
      <c r="K2451">
        <v>0</v>
      </c>
      <c r="L2451">
        <v>0</v>
      </c>
      <c r="M2451">
        <v>71.7</v>
      </c>
      <c r="N2451">
        <v>47.1</v>
      </c>
      <c r="O2451">
        <v>52.9</v>
      </c>
      <c r="P2451">
        <v>44.6</v>
      </c>
      <c r="Q2451">
        <v>55.4</v>
      </c>
    </row>
    <row r="2452" spans="1:17" x14ac:dyDescent="0.25">
      <c r="A2452" s="2">
        <v>45184</v>
      </c>
      <c r="B2452" s="2" t="str">
        <f t="shared" si="76"/>
        <v>Friday</v>
      </c>
      <c r="C2452" s="2" t="b">
        <f t="shared" si="77"/>
        <v>0</v>
      </c>
      <c r="D2452">
        <v>4</v>
      </c>
      <c r="E2452" t="s">
        <v>8</v>
      </c>
      <c r="F2452">
        <v>217</v>
      </c>
      <c r="G2452" s="3">
        <v>3077.88</v>
      </c>
      <c r="H2452" s="3">
        <f>Miami_Retail[[#This Row],[sales_usd]] / Miami_Retail[[#This Row],[customers]]</f>
        <v>14.183778801843319</v>
      </c>
      <c r="I2452">
        <v>91.3</v>
      </c>
      <c r="J2452">
        <f>(Miami_Retail[[#This Row],[avg_temp_f]]-32) * (5/9)</f>
        <v>32.944444444444443</v>
      </c>
      <c r="K2452">
        <v>0.56999999999999995</v>
      </c>
      <c r="L2452">
        <v>1</v>
      </c>
      <c r="M2452">
        <v>75.2</v>
      </c>
      <c r="N2452">
        <v>46.8</v>
      </c>
      <c r="O2452">
        <v>53.2</v>
      </c>
      <c r="P2452">
        <v>45.5</v>
      </c>
      <c r="Q2452">
        <v>54.5</v>
      </c>
    </row>
    <row r="2453" spans="1:17" x14ac:dyDescent="0.25">
      <c r="A2453" s="2">
        <v>45185</v>
      </c>
      <c r="B2453" s="2" t="str">
        <f t="shared" si="76"/>
        <v>Saturday</v>
      </c>
      <c r="C2453" s="2" t="b">
        <f t="shared" si="77"/>
        <v>1</v>
      </c>
      <c r="D2453">
        <v>4</v>
      </c>
      <c r="E2453" t="s">
        <v>8</v>
      </c>
      <c r="F2453">
        <v>261</v>
      </c>
      <c r="G2453" s="3">
        <v>4086.2</v>
      </c>
      <c r="H2453" s="3">
        <f>Miami_Retail[[#This Row],[sales_usd]] / Miami_Retail[[#This Row],[customers]]</f>
        <v>15.655938697318007</v>
      </c>
      <c r="I2453">
        <v>86.5</v>
      </c>
      <c r="J2453">
        <f>(Miami_Retail[[#This Row],[avg_temp_f]]-32) * (5/9)</f>
        <v>30.277777777777779</v>
      </c>
      <c r="K2453">
        <v>0</v>
      </c>
      <c r="L2453">
        <v>0</v>
      </c>
      <c r="M2453">
        <v>68.7</v>
      </c>
      <c r="N2453">
        <v>45.4</v>
      </c>
      <c r="O2453">
        <v>54.6</v>
      </c>
      <c r="P2453">
        <v>50.6</v>
      </c>
      <c r="Q2453">
        <v>49.4</v>
      </c>
    </row>
    <row r="2454" spans="1:17" x14ac:dyDescent="0.25">
      <c r="A2454" s="2">
        <v>45186</v>
      </c>
      <c r="B2454" s="2" t="str">
        <f t="shared" si="76"/>
        <v>Sunday</v>
      </c>
      <c r="C2454" s="2" t="b">
        <f t="shared" si="77"/>
        <v>1</v>
      </c>
      <c r="D2454">
        <v>4</v>
      </c>
      <c r="E2454" t="s">
        <v>8</v>
      </c>
      <c r="F2454">
        <v>255</v>
      </c>
      <c r="G2454" s="3">
        <v>3968.87</v>
      </c>
      <c r="H2454" s="3">
        <f>Miami_Retail[[#This Row],[sales_usd]] / Miami_Retail[[#This Row],[customers]]</f>
        <v>15.564196078431372</v>
      </c>
      <c r="I2454">
        <v>84.5</v>
      </c>
      <c r="J2454">
        <f>(Miami_Retail[[#This Row],[avg_temp_f]]-32) * (5/9)</f>
        <v>29.166666666666668</v>
      </c>
      <c r="K2454">
        <v>0.36</v>
      </c>
      <c r="L2454">
        <v>1</v>
      </c>
      <c r="M2454">
        <v>77.400000000000006</v>
      </c>
      <c r="N2454">
        <v>45.8</v>
      </c>
      <c r="O2454">
        <v>54.2</v>
      </c>
      <c r="P2454">
        <v>51.8</v>
      </c>
      <c r="Q2454">
        <v>48.2</v>
      </c>
    </row>
    <row r="2455" spans="1:17" x14ac:dyDescent="0.25">
      <c r="A2455" s="2">
        <v>45187</v>
      </c>
      <c r="B2455" s="2" t="str">
        <f t="shared" si="76"/>
        <v>Monday</v>
      </c>
      <c r="C2455" s="2" t="b">
        <f t="shared" si="77"/>
        <v>0</v>
      </c>
      <c r="D2455">
        <v>4</v>
      </c>
      <c r="E2455" t="s">
        <v>8</v>
      </c>
      <c r="F2455">
        <v>231</v>
      </c>
      <c r="G2455" s="3">
        <v>3475.29</v>
      </c>
      <c r="H2455" s="3">
        <f>Miami_Retail[[#This Row],[sales_usd]] / Miami_Retail[[#This Row],[customers]]</f>
        <v>15.044545454545455</v>
      </c>
      <c r="I2455">
        <v>90.7</v>
      </c>
      <c r="J2455">
        <f>(Miami_Retail[[#This Row],[avg_temp_f]]-32) * (5/9)</f>
        <v>32.611111111111114</v>
      </c>
      <c r="K2455">
        <v>0.83</v>
      </c>
      <c r="L2455">
        <v>1</v>
      </c>
      <c r="M2455">
        <v>72.5</v>
      </c>
      <c r="N2455">
        <v>45.3</v>
      </c>
      <c r="O2455">
        <v>54.7</v>
      </c>
      <c r="P2455">
        <v>45.3</v>
      </c>
      <c r="Q2455">
        <v>54.7</v>
      </c>
    </row>
    <row r="2456" spans="1:17" x14ac:dyDescent="0.25">
      <c r="A2456" s="2">
        <v>45188</v>
      </c>
      <c r="B2456" s="2" t="str">
        <f t="shared" si="76"/>
        <v>Tuesday</v>
      </c>
      <c r="C2456" s="2" t="b">
        <f t="shared" si="77"/>
        <v>0</v>
      </c>
      <c r="D2456">
        <v>4</v>
      </c>
      <c r="E2456" t="s">
        <v>8</v>
      </c>
      <c r="F2456">
        <v>232</v>
      </c>
      <c r="G2456" s="3">
        <v>3622.59</v>
      </c>
      <c r="H2456" s="3">
        <f>Miami_Retail[[#This Row],[sales_usd]] / Miami_Retail[[#This Row],[customers]]</f>
        <v>15.614612068965517</v>
      </c>
      <c r="I2456">
        <v>86.7</v>
      </c>
      <c r="J2456">
        <f>(Miami_Retail[[#This Row],[avg_temp_f]]-32) * (5/9)</f>
        <v>30.388888888888893</v>
      </c>
      <c r="K2456">
        <v>0.27</v>
      </c>
      <c r="L2456">
        <v>1</v>
      </c>
      <c r="M2456">
        <v>74.099999999999994</v>
      </c>
      <c r="N2456">
        <v>46.8</v>
      </c>
      <c r="O2456">
        <v>53.2</v>
      </c>
      <c r="P2456">
        <v>44.3</v>
      </c>
      <c r="Q2456">
        <v>55.7</v>
      </c>
    </row>
    <row r="2457" spans="1:17" x14ac:dyDescent="0.25">
      <c r="A2457" s="2">
        <v>45189</v>
      </c>
      <c r="B2457" s="2" t="str">
        <f t="shared" si="76"/>
        <v>Wednesday</v>
      </c>
      <c r="C2457" s="2" t="b">
        <f t="shared" si="77"/>
        <v>0</v>
      </c>
      <c r="D2457">
        <v>4</v>
      </c>
      <c r="E2457" t="s">
        <v>8</v>
      </c>
      <c r="F2457">
        <v>228</v>
      </c>
      <c r="G2457" s="3">
        <v>3325.93</v>
      </c>
      <c r="H2457" s="3">
        <f>Miami_Retail[[#This Row],[sales_usd]] / Miami_Retail[[#This Row],[customers]]</f>
        <v>14.587412280701754</v>
      </c>
      <c r="I2457">
        <v>89.9</v>
      </c>
      <c r="J2457">
        <f>(Miami_Retail[[#This Row],[avg_temp_f]]-32) * (5/9)</f>
        <v>32.166666666666671</v>
      </c>
      <c r="K2457">
        <v>1.5</v>
      </c>
      <c r="L2457">
        <v>1</v>
      </c>
      <c r="M2457">
        <v>67.099999999999994</v>
      </c>
      <c r="N2457">
        <v>44.9</v>
      </c>
      <c r="O2457">
        <v>55.1</v>
      </c>
      <c r="P2457">
        <v>44.5</v>
      </c>
      <c r="Q2457">
        <v>55.5</v>
      </c>
    </row>
    <row r="2458" spans="1:17" x14ac:dyDescent="0.25">
      <c r="A2458" s="2">
        <v>45190</v>
      </c>
      <c r="B2458" s="2" t="str">
        <f t="shared" si="76"/>
        <v>Thursday</v>
      </c>
      <c r="C2458" s="2" t="b">
        <f t="shared" si="77"/>
        <v>0</v>
      </c>
      <c r="D2458">
        <v>4</v>
      </c>
      <c r="E2458" t="s">
        <v>8</v>
      </c>
      <c r="F2458">
        <v>259</v>
      </c>
      <c r="G2458" s="3">
        <v>3921.82</v>
      </c>
      <c r="H2458" s="3">
        <f>Miami_Retail[[#This Row],[sales_usd]] / Miami_Retail[[#This Row],[customers]]</f>
        <v>15.142162162162164</v>
      </c>
      <c r="I2458">
        <v>86.3</v>
      </c>
      <c r="J2458">
        <f>(Miami_Retail[[#This Row],[avg_temp_f]]-32) * (5/9)</f>
        <v>30.166666666666668</v>
      </c>
      <c r="K2458">
        <v>0.11</v>
      </c>
      <c r="L2458">
        <v>1</v>
      </c>
      <c r="M2458">
        <v>78.900000000000006</v>
      </c>
      <c r="N2458">
        <v>46.1</v>
      </c>
      <c r="O2458">
        <v>53.9</v>
      </c>
      <c r="P2458">
        <v>44.9</v>
      </c>
      <c r="Q2458">
        <v>55.1</v>
      </c>
    </row>
    <row r="2459" spans="1:17" x14ac:dyDescent="0.25">
      <c r="A2459" s="2">
        <v>45191</v>
      </c>
      <c r="B2459" s="2" t="str">
        <f t="shared" si="76"/>
        <v>Friday</v>
      </c>
      <c r="C2459" s="2" t="b">
        <f t="shared" si="77"/>
        <v>0</v>
      </c>
      <c r="D2459">
        <v>4</v>
      </c>
      <c r="E2459" t="s">
        <v>8</v>
      </c>
      <c r="F2459">
        <v>221</v>
      </c>
      <c r="G2459" s="3">
        <v>3290.87</v>
      </c>
      <c r="H2459" s="3">
        <f>Miami_Retail[[#This Row],[sales_usd]] / Miami_Retail[[#This Row],[customers]]</f>
        <v>14.890814479638008</v>
      </c>
      <c r="I2459">
        <v>91.6</v>
      </c>
      <c r="J2459">
        <f>(Miami_Retail[[#This Row],[avg_temp_f]]-32) * (5/9)</f>
        <v>33.111111111111107</v>
      </c>
      <c r="K2459">
        <v>1.31</v>
      </c>
      <c r="L2459">
        <v>1</v>
      </c>
      <c r="M2459">
        <v>81.2</v>
      </c>
      <c r="N2459">
        <v>44.9</v>
      </c>
      <c r="O2459">
        <v>55.1</v>
      </c>
      <c r="P2459">
        <v>44.5</v>
      </c>
      <c r="Q2459">
        <v>55.5</v>
      </c>
    </row>
    <row r="2460" spans="1:17" x14ac:dyDescent="0.25">
      <c r="A2460" s="2">
        <v>45192</v>
      </c>
      <c r="B2460" s="2" t="str">
        <f t="shared" si="76"/>
        <v>Saturday</v>
      </c>
      <c r="C2460" s="2" t="b">
        <f t="shared" si="77"/>
        <v>1</v>
      </c>
      <c r="D2460">
        <v>4</v>
      </c>
      <c r="E2460" t="s">
        <v>8</v>
      </c>
      <c r="F2460">
        <v>228</v>
      </c>
      <c r="G2460" s="3">
        <v>3818.34</v>
      </c>
      <c r="H2460" s="3">
        <f>Miami_Retail[[#This Row],[sales_usd]] / Miami_Retail[[#This Row],[customers]]</f>
        <v>16.747105263157895</v>
      </c>
      <c r="I2460">
        <v>84.8</v>
      </c>
      <c r="J2460">
        <f>(Miami_Retail[[#This Row],[avg_temp_f]]-32) * (5/9)</f>
        <v>29.333333333333332</v>
      </c>
      <c r="K2460">
        <v>0.5</v>
      </c>
      <c r="L2460">
        <v>1</v>
      </c>
      <c r="M2460">
        <v>71.400000000000006</v>
      </c>
      <c r="N2460">
        <v>46.1</v>
      </c>
      <c r="O2460">
        <v>53.9</v>
      </c>
      <c r="P2460">
        <v>48.4</v>
      </c>
      <c r="Q2460">
        <v>51.6</v>
      </c>
    </row>
    <row r="2461" spans="1:17" x14ac:dyDescent="0.25">
      <c r="A2461" s="2">
        <v>45193</v>
      </c>
      <c r="B2461" s="2" t="str">
        <f t="shared" si="76"/>
        <v>Sunday</v>
      </c>
      <c r="C2461" s="2" t="b">
        <f t="shared" si="77"/>
        <v>1</v>
      </c>
      <c r="D2461">
        <v>4</v>
      </c>
      <c r="E2461" t="s">
        <v>8</v>
      </c>
      <c r="F2461">
        <v>228</v>
      </c>
      <c r="G2461" s="3">
        <v>3480.11</v>
      </c>
      <c r="H2461" s="3">
        <f>Miami_Retail[[#This Row],[sales_usd]] / Miami_Retail[[#This Row],[customers]]</f>
        <v>15.263640350877193</v>
      </c>
      <c r="I2461">
        <v>87</v>
      </c>
      <c r="J2461">
        <f>(Miami_Retail[[#This Row],[avg_temp_f]]-32) * (5/9)</f>
        <v>30.555555555555557</v>
      </c>
      <c r="K2461">
        <v>0</v>
      </c>
      <c r="L2461">
        <v>0</v>
      </c>
      <c r="M2461">
        <v>62.2</v>
      </c>
      <c r="N2461">
        <v>46.9</v>
      </c>
      <c r="O2461">
        <v>53.1</v>
      </c>
      <c r="P2461">
        <v>51.5</v>
      </c>
      <c r="Q2461">
        <v>48.5</v>
      </c>
    </row>
    <row r="2462" spans="1:17" x14ac:dyDescent="0.25">
      <c r="A2462" s="2">
        <v>45194</v>
      </c>
      <c r="B2462" s="2" t="str">
        <f t="shared" si="76"/>
        <v>Monday</v>
      </c>
      <c r="C2462" s="2" t="b">
        <f t="shared" si="77"/>
        <v>0</v>
      </c>
      <c r="D2462">
        <v>4</v>
      </c>
      <c r="E2462" t="s">
        <v>8</v>
      </c>
      <c r="F2462">
        <v>228</v>
      </c>
      <c r="G2462" s="3">
        <v>3895.47</v>
      </c>
      <c r="H2462" s="3">
        <f>Miami_Retail[[#This Row],[sales_usd]] / Miami_Retail[[#This Row],[customers]]</f>
        <v>17.085394736842105</v>
      </c>
      <c r="I2462">
        <v>91</v>
      </c>
      <c r="J2462">
        <f>(Miami_Retail[[#This Row],[avg_temp_f]]-32) * (5/9)</f>
        <v>32.777777777777779</v>
      </c>
      <c r="K2462">
        <v>0.8</v>
      </c>
      <c r="L2462">
        <v>1</v>
      </c>
      <c r="M2462">
        <v>81.599999999999994</v>
      </c>
      <c r="N2462">
        <v>47.3</v>
      </c>
      <c r="O2462">
        <v>52.7</v>
      </c>
      <c r="P2462">
        <v>44.6</v>
      </c>
      <c r="Q2462">
        <v>55.4</v>
      </c>
    </row>
    <row r="2463" spans="1:17" x14ac:dyDescent="0.25">
      <c r="A2463" s="2">
        <v>45195</v>
      </c>
      <c r="B2463" s="2" t="str">
        <f t="shared" si="76"/>
        <v>Tuesday</v>
      </c>
      <c r="C2463" s="2" t="b">
        <f t="shared" si="77"/>
        <v>0</v>
      </c>
      <c r="D2463">
        <v>4</v>
      </c>
      <c r="E2463" t="s">
        <v>8</v>
      </c>
      <c r="F2463">
        <v>281</v>
      </c>
      <c r="G2463" s="3">
        <v>4104.7700000000004</v>
      </c>
      <c r="H2463" s="3">
        <f>Miami_Retail[[#This Row],[sales_usd]] / Miami_Retail[[#This Row],[customers]]</f>
        <v>14.607722419928827</v>
      </c>
      <c r="I2463">
        <v>94.3</v>
      </c>
      <c r="J2463">
        <f>(Miami_Retail[[#This Row],[avg_temp_f]]-32) * (5/9)</f>
        <v>34.611111111111114</v>
      </c>
      <c r="K2463">
        <v>0.34</v>
      </c>
      <c r="L2463">
        <v>1</v>
      </c>
      <c r="M2463">
        <v>65</v>
      </c>
      <c r="N2463">
        <v>44.8</v>
      </c>
      <c r="O2463">
        <v>55.2</v>
      </c>
      <c r="P2463">
        <v>45.4</v>
      </c>
      <c r="Q2463">
        <v>54.6</v>
      </c>
    </row>
    <row r="2464" spans="1:17" x14ac:dyDescent="0.25">
      <c r="A2464" s="2">
        <v>45196</v>
      </c>
      <c r="B2464" s="2" t="str">
        <f t="shared" si="76"/>
        <v>Wednesday</v>
      </c>
      <c r="C2464" s="2" t="b">
        <f t="shared" si="77"/>
        <v>0</v>
      </c>
      <c r="D2464">
        <v>4</v>
      </c>
      <c r="E2464" t="s">
        <v>8</v>
      </c>
      <c r="F2464">
        <v>205</v>
      </c>
      <c r="G2464" s="3">
        <v>2985.15</v>
      </c>
      <c r="H2464" s="3">
        <f>Miami_Retail[[#This Row],[sales_usd]] / Miami_Retail[[#This Row],[customers]]</f>
        <v>14.561707317073171</v>
      </c>
      <c r="I2464">
        <v>86</v>
      </c>
      <c r="J2464">
        <f>(Miami_Retail[[#This Row],[avg_temp_f]]-32) * (5/9)</f>
        <v>30</v>
      </c>
      <c r="K2464">
        <v>0.28999999999999998</v>
      </c>
      <c r="L2464">
        <v>1</v>
      </c>
      <c r="M2464">
        <v>70</v>
      </c>
      <c r="N2464">
        <v>47.1</v>
      </c>
      <c r="O2464">
        <v>52.9</v>
      </c>
      <c r="P2464">
        <v>44.4</v>
      </c>
      <c r="Q2464">
        <v>55.6</v>
      </c>
    </row>
    <row r="2465" spans="1:17" x14ac:dyDescent="0.25">
      <c r="A2465" s="2">
        <v>45197</v>
      </c>
      <c r="B2465" s="2" t="str">
        <f t="shared" si="76"/>
        <v>Thursday</v>
      </c>
      <c r="C2465" s="2" t="b">
        <f t="shared" si="77"/>
        <v>0</v>
      </c>
      <c r="D2465">
        <v>4</v>
      </c>
      <c r="E2465" t="s">
        <v>8</v>
      </c>
      <c r="F2465">
        <v>225</v>
      </c>
      <c r="G2465" s="3">
        <v>3503.03</v>
      </c>
      <c r="H2465" s="3">
        <f>Miami_Retail[[#This Row],[sales_usd]] / Miami_Retail[[#This Row],[customers]]</f>
        <v>15.569022222222223</v>
      </c>
      <c r="I2465">
        <v>86.6</v>
      </c>
      <c r="J2465">
        <f>(Miami_Retail[[#This Row],[avg_temp_f]]-32) * (5/9)</f>
        <v>30.333333333333332</v>
      </c>
      <c r="K2465">
        <v>0.23</v>
      </c>
      <c r="L2465">
        <v>1</v>
      </c>
      <c r="M2465">
        <v>73.599999999999994</v>
      </c>
      <c r="N2465">
        <v>45.2</v>
      </c>
      <c r="O2465">
        <v>54.8</v>
      </c>
      <c r="P2465">
        <v>45.7</v>
      </c>
      <c r="Q2465">
        <v>54.3</v>
      </c>
    </row>
    <row r="2466" spans="1:17" x14ac:dyDescent="0.25">
      <c r="A2466" s="2">
        <v>45198</v>
      </c>
      <c r="B2466" s="2" t="str">
        <f t="shared" si="76"/>
        <v>Friday</v>
      </c>
      <c r="C2466" s="2" t="b">
        <f t="shared" si="77"/>
        <v>0</v>
      </c>
      <c r="D2466">
        <v>4</v>
      </c>
      <c r="E2466" t="s">
        <v>8</v>
      </c>
      <c r="F2466">
        <v>221</v>
      </c>
      <c r="G2466" s="3">
        <v>3488.75</v>
      </c>
      <c r="H2466" s="3">
        <f>Miami_Retail[[#This Row],[sales_usd]] / Miami_Retail[[#This Row],[customers]]</f>
        <v>15.786199095022624</v>
      </c>
      <c r="I2466">
        <v>87.9</v>
      </c>
      <c r="J2466">
        <f>(Miami_Retail[[#This Row],[avg_temp_f]]-32) * (5/9)</f>
        <v>31.055555555555561</v>
      </c>
      <c r="K2466">
        <v>0</v>
      </c>
      <c r="L2466">
        <v>0</v>
      </c>
      <c r="M2466">
        <v>74.7</v>
      </c>
      <c r="N2466">
        <v>45.5</v>
      </c>
      <c r="O2466">
        <v>54.5</v>
      </c>
      <c r="P2466">
        <v>43.8</v>
      </c>
      <c r="Q2466">
        <v>56.2</v>
      </c>
    </row>
    <row r="2467" spans="1:17" x14ac:dyDescent="0.25">
      <c r="A2467" s="2">
        <v>45199</v>
      </c>
      <c r="B2467" s="2" t="str">
        <f t="shared" si="76"/>
        <v>Saturday</v>
      </c>
      <c r="C2467" s="2" t="b">
        <f t="shared" si="77"/>
        <v>1</v>
      </c>
      <c r="D2467">
        <v>4</v>
      </c>
      <c r="E2467" t="s">
        <v>8</v>
      </c>
      <c r="F2467">
        <v>235</v>
      </c>
      <c r="G2467" s="3">
        <v>3475.57</v>
      </c>
      <c r="H2467" s="3">
        <f>Miami_Retail[[#This Row],[sales_usd]] / Miami_Retail[[#This Row],[customers]]</f>
        <v>14.789659574468086</v>
      </c>
      <c r="I2467">
        <v>91.9</v>
      </c>
      <c r="J2467">
        <f>(Miami_Retail[[#This Row],[avg_temp_f]]-32) * (5/9)</f>
        <v>33.277777777777786</v>
      </c>
      <c r="K2467">
        <v>0.64</v>
      </c>
      <c r="L2467">
        <v>1</v>
      </c>
      <c r="M2467">
        <v>69.099999999999994</v>
      </c>
      <c r="N2467">
        <v>45.9</v>
      </c>
      <c r="O2467">
        <v>54.1</v>
      </c>
      <c r="P2467">
        <v>49.9</v>
      </c>
      <c r="Q2467">
        <v>50.1</v>
      </c>
    </row>
    <row r="2468" spans="1:17" x14ac:dyDescent="0.25">
      <c r="A2468" s="2">
        <v>45200</v>
      </c>
      <c r="B2468" s="2" t="str">
        <f t="shared" si="76"/>
        <v>Sunday</v>
      </c>
      <c r="C2468" s="2" t="b">
        <f t="shared" si="77"/>
        <v>1</v>
      </c>
      <c r="D2468">
        <v>4</v>
      </c>
      <c r="E2468" t="s">
        <v>8</v>
      </c>
      <c r="F2468">
        <v>284</v>
      </c>
      <c r="G2468" s="3">
        <v>4241.68</v>
      </c>
      <c r="H2468" s="3">
        <f>Miami_Retail[[#This Row],[sales_usd]] / Miami_Retail[[#This Row],[customers]]</f>
        <v>14.935492957746479</v>
      </c>
      <c r="I2468">
        <v>89.5</v>
      </c>
      <c r="J2468">
        <f>(Miami_Retail[[#This Row],[avg_temp_f]]-32) * (5/9)</f>
        <v>31.944444444444446</v>
      </c>
      <c r="K2468">
        <v>0</v>
      </c>
      <c r="L2468">
        <v>0</v>
      </c>
      <c r="M2468">
        <v>68.599999999999994</v>
      </c>
      <c r="N2468">
        <v>47</v>
      </c>
      <c r="O2468">
        <v>53</v>
      </c>
      <c r="P2468">
        <v>48.8</v>
      </c>
      <c r="Q2468">
        <v>51.2</v>
      </c>
    </row>
    <row r="2469" spans="1:17" x14ac:dyDescent="0.25">
      <c r="A2469" s="2">
        <v>45201</v>
      </c>
      <c r="B2469" s="2" t="str">
        <f t="shared" si="76"/>
        <v>Monday</v>
      </c>
      <c r="C2469" s="2" t="b">
        <f t="shared" si="77"/>
        <v>0</v>
      </c>
      <c r="D2469">
        <v>4</v>
      </c>
      <c r="E2469" t="s">
        <v>8</v>
      </c>
      <c r="F2469">
        <v>188</v>
      </c>
      <c r="G2469" s="3">
        <v>2771.16</v>
      </c>
      <c r="H2469" s="3">
        <f>Miami_Retail[[#This Row],[sales_usd]] / Miami_Retail[[#This Row],[customers]]</f>
        <v>14.740212765957446</v>
      </c>
      <c r="I2469">
        <v>88.6</v>
      </c>
      <c r="J2469">
        <f>(Miami_Retail[[#This Row],[avg_temp_f]]-32) * (5/9)</f>
        <v>31.444444444444443</v>
      </c>
      <c r="K2469">
        <v>0.23</v>
      </c>
      <c r="L2469">
        <v>1</v>
      </c>
      <c r="M2469">
        <v>80.5</v>
      </c>
      <c r="N2469">
        <v>45</v>
      </c>
      <c r="O2469">
        <v>55</v>
      </c>
      <c r="P2469">
        <v>44.7</v>
      </c>
      <c r="Q2469">
        <v>55.3</v>
      </c>
    </row>
    <row r="2470" spans="1:17" x14ac:dyDescent="0.25">
      <c r="A2470" s="2">
        <v>45202</v>
      </c>
      <c r="B2470" s="2" t="str">
        <f t="shared" si="76"/>
        <v>Tuesday</v>
      </c>
      <c r="C2470" s="2" t="b">
        <f t="shared" si="77"/>
        <v>0</v>
      </c>
      <c r="D2470">
        <v>4</v>
      </c>
      <c r="E2470" t="s">
        <v>8</v>
      </c>
      <c r="F2470">
        <v>210</v>
      </c>
      <c r="G2470" s="3">
        <v>3085.81</v>
      </c>
      <c r="H2470" s="3">
        <f>Miami_Retail[[#This Row],[sales_usd]] / Miami_Retail[[#This Row],[customers]]</f>
        <v>14.694333333333333</v>
      </c>
      <c r="I2470">
        <v>87.2</v>
      </c>
      <c r="J2470">
        <f>(Miami_Retail[[#This Row],[avg_temp_f]]-32) * (5/9)</f>
        <v>30.666666666666668</v>
      </c>
      <c r="K2470">
        <v>0</v>
      </c>
      <c r="L2470">
        <v>0</v>
      </c>
      <c r="M2470">
        <v>70.900000000000006</v>
      </c>
      <c r="N2470">
        <v>45.5</v>
      </c>
      <c r="O2470">
        <v>54.5</v>
      </c>
      <c r="P2470">
        <v>43.8</v>
      </c>
      <c r="Q2470">
        <v>56.2</v>
      </c>
    </row>
    <row r="2471" spans="1:17" x14ac:dyDescent="0.25">
      <c r="A2471" s="2">
        <v>45203</v>
      </c>
      <c r="B2471" s="2" t="str">
        <f t="shared" si="76"/>
        <v>Wednesday</v>
      </c>
      <c r="C2471" s="2" t="b">
        <f t="shared" si="77"/>
        <v>0</v>
      </c>
      <c r="D2471">
        <v>4</v>
      </c>
      <c r="E2471" t="s">
        <v>8</v>
      </c>
      <c r="F2471">
        <v>214</v>
      </c>
      <c r="G2471" s="3">
        <v>3636.23</v>
      </c>
      <c r="H2471" s="3">
        <f>Miami_Retail[[#This Row],[sales_usd]] / Miami_Retail[[#This Row],[customers]]</f>
        <v>16.991728971962615</v>
      </c>
      <c r="I2471">
        <v>89.7</v>
      </c>
      <c r="J2471">
        <f>(Miami_Retail[[#This Row],[avg_temp_f]]-32) * (5/9)</f>
        <v>32.055555555555557</v>
      </c>
      <c r="K2471">
        <v>0</v>
      </c>
      <c r="L2471">
        <v>0</v>
      </c>
      <c r="M2471">
        <v>79.2</v>
      </c>
      <c r="N2471">
        <v>45.2</v>
      </c>
      <c r="O2471">
        <v>54.8</v>
      </c>
      <c r="P2471">
        <v>43.6</v>
      </c>
      <c r="Q2471">
        <v>56.4</v>
      </c>
    </row>
    <row r="2472" spans="1:17" x14ac:dyDescent="0.25">
      <c r="A2472" s="2">
        <v>45204</v>
      </c>
      <c r="B2472" s="2" t="str">
        <f t="shared" si="76"/>
        <v>Thursday</v>
      </c>
      <c r="C2472" s="2" t="b">
        <f t="shared" si="77"/>
        <v>0</v>
      </c>
      <c r="D2472">
        <v>4</v>
      </c>
      <c r="E2472" t="s">
        <v>8</v>
      </c>
      <c r="F2472">
        <v>230</v>
      </c>
      <c r="G2472" s="3">
        <v>3945.98</v>
      </c>
      <c r="H2472" s="3">
        <f>Miami_Retail[[#This Row],[sales_usd]] / Miami_Retail[[#This Row],[customers]]</f>
        <v>17.156434782608695</v>
      </c>
      <c r="I2472">
        <v>85.4</v>
      </c>
      <c r="J2472">
        <f>(Miami_Retail[[#This Row],[avg_temp_f]]-32) * (5/9)</f>
        <v>29.666666666666671</v>
      </c>
      <c r="K2472">
        <v>0</v>
      </c>
      <c r="L2472">
        <v>0</v>
      </c>
      <c r="M2472">
        <v>75.2</v>
      </c>
      <c r="N2472">
        <v>45.1</v>
      </c>
      <c r="O2472">
        <v>54.9</v>
      </c>
      <c r="P2472">
        <v>44.7</v>
      </c>
      <c r="Q2472">
        <v>55.3</v>
      </c>
    </row>
    <row r="2473" spans="1:17" x14ac:dyDescent="0.25">
      <c r="A2473" s="2">
        <v>45205</v>
      </c>
      <c r="B2473" s="2" t="str">
        <f t="shared" si="76"/>
        <v>Friday</v>
      </c>
      <c r="C2473" s="2" t="b">
        <f t="shared" si="77"/>
        <v>0</v>
      </c>
      <c r="D2473">
        <v>4</v>
      </c>
      <c r="E2473" t="s">
        <v>8</v>
      </c>
      <c r="F2473">
        <v>229</v>
      </c>
      <c r="G2473" s="3">
        <v>3880.85</v>
      </c>
      <c r="H2473" s="3">
        <f>Miami_Retail[[#This Row],[sales_usd]] / Miami_Retail[[#This Row],[customers]]</f>
        <v>16.946943231441047</v>
      </c>
      <c r="I2473">
        <v>89.5</v>
      </c>
      <c r="J2473">
        <f>(Miami_Retail[[#This Row],[avg_temp_f]]-32) * (5/9)</f>
        <v>31.944444444444446</v>
      </c>
      <c r="K2473">
        <v>0</v>
      </c>
      <c r="L2473">
        <v>0</v>
      </c>
      <c r="M2473">
        <v>79.599999999999994</v>
      </c>
      <c r="N2473">
        <v>45.2</v>
      </c>
      <c r="O2473">
        <v>54.8</v>
      </c>
      <c r="P2473">
        <v>45</v>
      </c>
      <c r="Q2473">
        <v>55</v>
      </c>
    </row>
    <row r="2474" spans="1:17" x14ac:dyDescent="0.25">
      <c r="A2474" s="2">
        <v>45206</v>
      </c>
      <c r="B2474" s="2" t="str">
        <f t="shared" si="76"/>
        <v>Saturday</v>
      </c>
      <c r="C2474" s="2" t="b">
        <f t="shared" si="77"/>
        <v>1</v>
      </c>
      <c r="D2474">
        <v>4</v>
      </c>
      <c r="E2474" t="s">
        <v>8</v>
      </c>
      <c r="F2474">
        <v>254</v>
      </c>
      <c r="G2474" s="3">
        <v>3898</v>
      </c>
      <c r="H2474" s="3">
        <f>Miami_Retail[[#This Row],[sales_usd]] / Miami_Retail[[#This Row],[customers]]</f>
        <v>15.346456692913385</v>
      </c>
      <c r="I2474">
        <v>87</v>
      </c>
      <c r="J2474">
        <f>(Miami_Retail[[#This Row],[avg_temp_f]]-32) * (5/9)</f>
        <v>30.555555555555557</v>
      </c>
      <c r="K2474">
        <v>1.33</v>
      </c>
      <c r="L2474">
        <v>1</v>
      </c>
      <c r="M2474">
        <v>71.400000000000006</v>
      </c>
      <c r="N2474">
        <v>47.3</v>
      </c>
      <c r="O2474">
        <v>52.7</v>
      </c>
      <c r="P2474">
        <v>51</v>
      </c>
      <c r="Q2474">
        <v>49</v>
      </c>
    </row>
    <row r="2475" spans="1:17" x14ac:dyDescent="0.25">
      <c r="A2475" s="2">
        <v>45207</v>
      </c>
      <c r="B2475" s="2" t="str">
        <f t="shared" si="76"/>
        <v>Sunday</v>
      </c>
      <c r="C2475" s="2" t="b">
        <f t="shared" si="77"/>
        <v>1</v>
      </c>
      <c r="D2475">
        <v>4</v>
      </c>
      <c r="E2475" t="s">
        <v>8</v>
      </c>
      <c r="F2475">
        <v>234</v>
      </c>
      <c r="G2475" s="3">
        <v>3716.42</v>
      </c>
      <c r="H2475" s="3">
        <f>Miami_Retail[[#This Row],[sales_usd]] / Miami_Retail[[#This Row],[customers]]</f>
        <v>15.882136752136752</v>
      </c>
      <c r="I2475">
        <v>86.3</v>
      </c>
      <c r="J2475">
        <f>(Miami_Retail[[#This Row],[avg_temp_f]]-32) * (5/9)</f>
        <v>30.166666666666668</v>
      </c>
      <c r="K2475">
        <v>0.33</v>
      </c>
      <c r="L2475">
        <v>1</v>
      </c>
      <c r="M2475">
        <v>74.3</v>
      </c>
      <c r="N2475">
        <v>47</v>
      </c>
      <c r="O2475">
        <v>53</v>
      </c>
      <c r="P2475">
        <v>50.7</v>
      </c>
      <c r="Q2475">
        <v>49.3</v>
      </c>
    </row>
    <row r="2476" spans="1:17" x14ac:dyDescent="0.25">
      <c r="A2476" s="2">
        <v>45208</v>
      </c>
      <c r="B2476" s="2" t="str">
        <f t="shared" si="76"/>
        <v>Monday</v>
      </c>
      <c r="C2476" s="2" t="b">
        <f t="shared" si="77"/>
        <v>0</v>
      </c>
      <c r="D2476">
        <v>4</v>
      </c>
      <c r="E2476" t="s">
        <v>8</v>
      </c>
      <c r="F2476">
        <v>232</v>
      </c>
      <c r="G2476" s="3">
        <v>3683.56</v>
      </c>
      <c r="H2476" s="3">
        <f>Miami_Retail[[#This Row],[sales_usd]] / Miami_Retail[[#This Row],[customers]]</f>
        <v>15.877413793103448</v>
      </c>
      <c r="I2476">
        <v>91.5</v>
      </c>
      <c r="J2476">
        <f>(Miami_Retail[[#This Row],[avg_temp_f]]-32) * (5/9)</f>
        <v>33.055555555555557</v>
      </c>
      <c r="K2476">
        <v>0</v>
      </c>
      <c r="L2476">
        <v>0</v>
      </c>
      <c r="M2476">
        <v>70.7</v>
      </c>
      <c r="N2476">
        <v>44.8</v>
      </c>
      <c r="O2476">
        <v>55.2</v>
      </c>
      <c r="P2476">
        <v>42.6</v>
      </c>
      <c r="Q2476">
        <v>57.4</v>
      </c>
    </row>
    <row r="2477" spans="1:17" x14ac:dyDescent="0.25">
      <c r="A2477" s="2">
        <v>45209</v>
      </c>
      <c r="B2477" s="2" t="str">
        <f t="shared" si="76"/>
        <v>Tuesday</v>
      </c>
      <c r="C2477" s="2" t="b">
        <f t="shared" si="77"/>
        <v>0</v>
      </c>
      <c r="D2477">
        <v>4</v>
      </c>
      <c r="E2477" t="s">
        <v>8</v>
      </c>
      <c r="F2477">
        <v>238</v>
      </c>
      <c r="G2477" s="3">
        <v>3756.3</v>
      </c>
      <c r="H2477" s="3">
        <f>Miami_Retail[[#This Row],[sales_usd]] / Miami_Retail[[#This Row],[customers]]</f>
        <v>15.782773109243697</v>
      </c>
      <c r="I2477">
        <v>89.8</v>
      </c>
      <c r="J2477">
        <f>(Miami_Retail[[#This Row],[avg_temp_f]]-32) * (5/9)</f>
        <v>32.111111111111114</v>
      </c>
      <c r="K2477">
        <v>0</v>
      </c>
      <c r="L2477">
        <v>0</v>
      </c>
      <c r="M2477">
        <v>75.2</v>
      </c>
      <c r="N2477">
        <v>45.6</v>
      </c>
      <c r="O2477">
        <v>54.4</v>
      </c>
      <c r="P2477">
        <v>44.5</v>
      </c>
      <c r="Q2477">
        <v>55.5</v>
      </c>
    </row>
    <row r="2478" spans="1:17" x14ac:dyDescent="0.25">
      <c r="A2478" s="2">
        <v>45210</v>
      </c>
      <c r="B2478" s="2" t="str">
        <f t="shared" si="76"/>
        <v>Wednesday</v>
      </c>
      <c r="C2478" s="2" t="b">
        <f t="shared" si="77"/>
        <v>0</v>
      </c>
      <c r="D2478">
        <v>4</v>
      </c>
      <c r="E2478" t="s">
        <v>8</v>
      </c>
      <c r="F2478">
        <v>227</v>
      </c>
      <c r="G2478" s="3">
        <v>3713.29</v>
      </c>
      <c r="H2478" s="3">
        <f>Miami_Retail[[#This Row],[sales_usd]] / Miami_Retail[[#This Row],[customers]]</f>
        <v>16.358105726872246</v>
      </c>
      <c r="I2478">
        <v>87.4</v>
      </c>
      <c r="J2478">
        <f>(Miami_Retail[[#This Row],[avg_temp_f]]-32) * (5/9)</f>
        <v>30.777777777777782</v>
      </c>
      <c r="K2478">
        <v>0</v>
      </c>
      <c r="L2478">
        <v>0</v>
      </c>
      <c r="M2478">
        <v>78.599999999999994</v>
      </c>
      <c r="N2478">
        <v>45.9</v>
      </c>
      <c r="O2478">
        <v>54.1</v>
      </c>
      <c r="P2478">
        <v>44.1</v>
      </c>
      <c r="Q2478">
        <v>55.9</v>
      </c>
    </row>
    <row r="2479" spans="1:17" x14ac:dyDescent="0.25">
      <c r="A2479" s="2">
        <v>45211</v>
      </c>
      <c r="B2479" s="2" t="str">
        <f t="shared" si="76"/>
        <v>Thursday</v>
      </c>
      <c r="C2479" s="2" t="b">
        <f t="shared" si="77"/>
        <v>0</v>
      </c>
      <c r="D2479">
        <v>4</v>
      </c>
      <c r="E2479" t="s">
        <v>8</v>
      </c>
      <c r="F2479">
        <v>206</v>
      </c>
      <c r="G2479" s="3">
        <v>3257.88</v>
      </c>
      <c r="H2479" s="3">
        <f>Miami_Retail[[#This Row],[sales_usd]] / Miami_Retail[[#This Row],[customers]]</f>
        <v>15.814951456310681</v>
      </c>
      <c r="I2479">
        <v>88.1</v>
      </c>
      <c r="J2479">
        <f>(Miami_Retail[[#This Row],[avg_temp_f]]-32) * (5/9)</f>
        <v>31.166666666666664</v>
      </c>
      <c r="K2479">
        <v>0</v>
      </c>
      <c r="L2479">
        <v>0</v>
      </c>
      <c r="M2479">
        <v>68.5</v>
      </c>
      <c r="N2479">
        <v>46.2</v>
      </c>
      <c r="O2479">
        <v>53.8</v>
      </c>
      <c r="P2479">
        <v>43.9</v>
      </c>
      <c r="Q2479">
        <v>56.1</v>
      </c>
    </row>
    <row r="2480" spans="1:17" x14ac:dyDescent="0.25">
      <c r="A2480" s="2">
        <v>45212</v>
      </c>
      <c r="B2480" s="2" t="str">
        <f t="shared" si="76"/>
        <v>Friday</v>
      </c>
      <c r="C2480" s="2" t="b">
        <f t="shared" si="77"/>
        <v>0</v>
      </c>
      <c r="D2480">
        <v>4</v>
      </c>
      <c r="E2480" t="s">
        <v>8</v>
      </c>
      <c r="F2480">
        <v>229</v>
      </c>
      <c r="G2480" s="3">
        <v>3491.87</v>
      </c>
      <c r="H2480" s="3">
        <f>Miami_Retail[[#This Row],[sales_usd]] / Miami_Retail[[#This Row],[customers]]</f>
        <v>15.248340611353711</v>
      </c>
      <c r="I2480">
        <v>90.8</v>
      </c>
      <c r="J2480">
        <f>(Miami_Retail[[#This Row],[avg_temp_f]]-32) * (5/9)</f>
        <v>32.666666666666664</v>
      </c>
      <c r="K2480">
        <v>0.78</v>
      </c>
      <c r="L2480">
        <v>1</v>
      </c>
      <c r="M2480">
        <v>72.599999999999994</v>
      </c>
      <c r="N2480">
        <v>47.4</v>
      </c>
      <c r="O2480">
        <v>52.6</v>
      </c>
      <c r="P2480">
        <v>43.6</v>
      </c>
      <c r="Q2480">
        <v>56.4</v>
      </c>
    </row>
    <row r="2481" spans="1:17" x14ac:dyDescent="0.25">
      <c r="A2481" s="2">
        <v>45213</v>
      </c>
      <c r="B2481" s="2" t="str">
        <f t="shared" si="76"/>
        <v>Saturday</v>
      </c>
      <c r="C2481" s="2" t="b">
        <f t="shared" si="77"/>
        <v>1</v>
      </c>
      <c r="D2481">
        <v>4</v>
      </c>
      <c r="E2481" t="s">
        <v>8</v>
      </c>
      <c r="F2481">
        <v>260</v>
      </c>
      <c r="G2481" s="3">
        <v>3984.62</v>
      </c>
      <c r="H2481" s="3">
        <f>Miami_Retail[[#This Row],[sales_usd]] / Miami_Retail[[#This Row],[customers]]</f>
        <v>15.325461538461537</v>
      </c>
      <c r="I2481">
        <v>90.5</v>
      </c>
      <c r="J2481">
        <f>(Miami_Retail[[#This Row],[avg_temp_f]]-32) * (5/9)</f>
        <v>32.5</v>
      </c>
      <c r="K2481">
        <v>0</v>
      </c>
      <c r="L2481">
        <v>0</v>
      </c>
      <c r="M2481">
        <v>71.2</v>
      </c>
      <c r="N2481">
        <v>41.9</v>
      </c>
      <c r="O2481">
        <v>58.1</v>
      </c>
      <c r="P2481">
        <v>48.9</v>
      </c>
      <c r="Q2481">
        <v>51.1</v>
      </c>
    </row>
    <row r="2482" spans="1:17" x14ac:dyDescent="0.25">
      <c r="A2482" s="2">
        <v>45214</v>
      </c>
      <c r="B2482" s="2" t="str">
        <f t="shared" si="76"/>
        <v>Sunday</v>
      </c>
      <c r="C2482" s="2" t="b">
        <f t="shared" si="77"/>
        <v>1</v>
      </c>
      <c r="D2482">
        <v>4</v>
      </c>
      <c r="E2482" t="s">
        <v>8</v>
      </c>
      <c r="F2482">
        <v>249</v>
      </c>
      <c r="G2482" s="3">
        <v>4121.95</v>
      </c>
      <c r="H2482" s="3">
        <f>Miami_Retail[[#This Row],[sales_usd]] / Miami_Retail[[#This Row],[customers]]</f>
        <v>16.554016064257027</v>
      </c>
      <c r="I2482">
        <v>91.6</v>
      </c>
      <c r="J2482">
        <f>(Miami_Retail[[#This Row],[avg_temp_f]]-32) * (5/9)</f>
        <v>33.111111111111107</v>
      </c>
      <c r="K2482">
        <v>0.99</v>
      </c>
      <c r="L2482">
        <v>1</v>
      </c>
      <c r="M2482">
        <v>71.3</v>
      </c>
      <c r="N2482">
        <v>47.4</v>
      </c>
      <c r="O2482">
        <v>52.6</v>
      </c>
      <c r="P2482">
        <v>52.5</v>
      </c>
      <c r="Q2482">
        <v>47.5</v>
      </c>
    </row>
    <row r="2483" spans="1:17" x14ac:dyDescent="0.25">
      <c r="A2483" s="2">
        <v>45215</v>
      </c>
      <c r="B2483" s="2" t="str">
        <f t="shared" si="76"/>
        <v>Monday</v>
      </c>
      <c r="C2483" s="2" t="b">
        <f t="shared" si="77"/>
        <v>0</v>
      </c>
      <c r="D2483">
        <v>4</v>
      </c>
      <c r="E2483" t="s">
        <v>8</v>
      </c>
      <c r="F2483">
        <v>203</v>
      </c>
      <c r="G2483" s="3">
        <v>3152.77</v>
      </c>
      <c r="H2483" s="3">
        <f>Miami_Retail[[#This Row],[sales_usd]] / Miami_Retail[[#This Row],[customers]]</f>
        <v>15.53088669950739</v>
      </c>
      <c r="I2483">
        <v>88.2</v>
      </c>
      <c r="J2483">
        <f>(Miami_Retail[[#This Row],[avg_temp_f]]-32) * (5/9)</f>
        <v>31.222222222222225</v>
      </c>
      <c r="K2483">
        <v>0</v>
      </c>
      <c r="L2483">
        <v>0</v>
      </c>
      <c r="M2483">
        <v>71.3</v>
      </c>
      <c r="N2483">
        <v>47</v>
      </c>
      <c r="O2483">
        <v>53</v>
      </c>
      <c r="P2483">
        <v>44.8</v>
      </c>
      <c r="Q2483">
        <v>55.2</v>
      </c>
    </row>
    <row r="2484" spans="1:17" x14ac:dyDescent="0.25">
      <c r="A2484" s="2">
        <v>45216</v>
      </c>
      <c r="B2484" s="2" t="str">
        <f t="shared" si="76"/>
        <v>Tuesday</v>
      </c>
      <c r="C2484" s="2" t="b">
        <f t="shared" si="77"/>
        <v>0</v>
      </c>
      <c r="D2484">
        <v>4</v>
      </c>
      <c r="E2484" t="s">
        <v>8</v>
      </c>
      <c r="F2484">
        <v>244</v>
      </c>
      <c r="G2484" s="3">
        <v>3517.86</v>
      </c>
      <c r="H2484" s="3">
        <f>Miami_Retail[[#This Row],[sales_usd]] / Miami_Retail[[#This Row],[customers]]</f>
        <v>14.417459016393444</v>
      </c>
      <c r="I2484">
        <v>89.1</v>
      </c>
      <c r="J2484">
        <f>(Miami_Retail[[#This Row],[avg_temp_f]]-32) * (5/9)</f>
        <v>31.722222222222221</v>
      </c>
      <c r="K2484">
        <v>0</v>
      </c>
      <c r="L2484">
        <v>0</v>
      </c>
      <c r="M2484">
        <v>71.3</v>
      </c>
      <c r="N2484">
        <v>46.7</v>
      </c>
      <c r="O2484">
        <v>53.3</v>
      </c>
      <c r="P2484">
        <v>43</v>
      </c>
      <c r="Q2484">
        <v>57</v>
      </c>
    </row>
    <row r="2485" spans="1:17" x14ac:dyDescent="0.25">
      <c r="A2485" s="2">
        <v>45217</v>
      </c>
      <c r="B2485" s="2" t="str">
        <f t="shared" si="76"/>
        <v>Wednesday</v>
      </c>
      <c r="C2485" s="2" t="b">
        <f t="shared" si="77"/>
        <v>0</v>
      </c>
      <c r="D2485">
        <v>4</v>
      </c>
      <c r="E2485" t="s">
        <v>8</v>
      </c>
      <c r="F2485">
        <v>241</v>
      </c>
      <c r="G2485" s="3">
        <v>3811.88</v>
      </c>
      <c r="H2485" s="3">
        <f>Miami_Retail[[#This Row],[sales_usd]] / Miami_Retail[[#This Row],[customers]]</f>
        <v>15.816929460580914</v>
      </c>
      <c r="I2485">
        <v>91.5</v>
      </c>
      <c r="J2485">
        <f>(Miami_Retail[[#This Row],[avg_temp_f]]-32) * (5/9)</f>
        <v>33.055555555555557</v>
      </c>
      <c r="K2485">
        <v>0.61</v>
      </c>
      <c r="L2485">
        <v>1</v>
      </c>
      <c r="M2485">
        <v>74.8</v>
      </c>
      <c r="N2485">
        <v>46.4</v>
      </c>
      <c r="O2485">
        <v>53.6</v>
      </c>
      <c r="P2485">
        <v>45.5</v>
      </c>
      <c r="Q2485">
        <v>54.5</v>
      </c>
    </row>
    <row r="2486" spans="1:17" x14ac:dyDescent="0.25">
      <c r="A2486" s="2">
        <v>45218</v>
      </c>
      <c r="B2486" s="2" t="str">
        <f t="shared" si="76"/>
        <v>Thursday</v>
      </c>
      <c r="C2486" s="2" t="b">
        <f t="shared" si="77"/>
        <v>0</v>
      </c>
      <c r="D2486">
        <v>4</v>
      </c>
      <c r="E2486" t="s">
        <v>8</v>
      </c>
      <c r="F2486">
        <v>244</v>
      </c>
      <c r="G2486" s="3">
        <v>3692.75</v>
      </c>
      <c r="H2486" s="3">
        <f>Miami_Retail[[#This Row],[sales_usd]] / Miami_Retail[[#This Row],[customers]]</f>
        <v>15.134221311475409</v>
      </c>
      <c r="I2486">
        <v>85.9</v>
      </c>
      <c r="J2486">
        <f>(Miami_Retail[[#This Row],[avg_temp_f]]-32) * (5/9)</f>
        <v>29.94444444444445</v>
      </c>
      <c r="K2486">
        <v>0</v>
      </c>
      <c r="L2486">
        <v>0</v>
      </c>
      <c r="M2486">
        <v>60.1</v>
      </c>
      <c r="N2486">
        <v>46.1</v>
      </c>
      <c r="O2486">
        <v>53.9</v>
      </c>
      <c r="P2486">
        <v>45.7</v>
      </c>
      <c r="Q2486">
        <v>54.3</v>
      </c>
    </row>
    <row r="2487" spans="1:17" x14ac:dyDescent="0.25">
      <c r="A2487" s="2">
        <v>45219</v>
      </c>
      <c r="B2487" s="2" t="str">
        <f t="shared" si="76"/>
        <v>Friday</v>
      </c>
      <c r="C2487" s="2" t="b">
        <f t="shared" si="77"/>
        <v>0</v>
      </c>
      <c r="D2487">
        <v>4</v>
      </c>
      <c r="E2487" t="s">
        <v>8</v>
      </c>
      <c r="F2487">
        <v>242</v>
      </c>
      <c r="G2487" s="3">
        <v>3785.56</v>
      </c>
      <c r="H2487" s="3">
        <f>Miami_Retail[[#This Row],[sales_usd]] / Miami_Retail[[#This Row],[customers]]</f>
        <v>15.642809917355372</v>
      </c>
      <c r="I2487">
        <v>89.3</v>
      </c>
      <c r="J2487">
        <f>(Miami_Retail[[#This Row],[avg_temp_f]]-32) * (5/9)</f>
        <v>31.833333333333332</v>
      </c>
      <c r="K2487">
        <v>0</v>
      </c>
      <c r="L2487">
        <v>0</v>
      </c>
      <c r="M2487">
        <v>74.8</v>
      </c>
      <c r="N2487">
        <v>47.3</v>
      </c>
      <c r="O2487">
        <v>52.7</v>
      </c>
      <c r="P2487">
        <v>43.7</v>
      </c>
      <c r="Q2487">
        <v>56.3</v>
      </c>
    </row>
    <row r="2488" spans="1:17" x14ac:dyDescent="0.25">
      <c r="A2488" s="2">
        <v>45220</v>
      </c>
      <c r="B2488" s="2" t="str">
        <f t="shared" si="76"/>
        <v>Saturday</v>
      </c>
      <c r="C2488" s="2" t="b">
        <f t="shared" si="77"/>
        <v>1</v>
      </c>
      <c r="D2488">
        <v>4</v>
      </c>
      <c r="E2488" t="s">
        <v>8</v>
      </c>
      <c r="F2488">
        <v>233</v>
      </c>
      <c r="G2488" s="3">
        <v>3959.89</v>
      </c>
      <c r="H2488" s="3">
        <f>Miami_Retail[[#This Row],[sales_usd]] / Miami_Retail[[#This Row],[customers]]</f>
        <v>16.995236051502147</v>
      </c>
      <c r="I2488">
        <v>86</v>
      </c>
      <c r="J2488">
        <f>(Miami_Retail[[#This Row],[avg_temp_f]]-32) * (5/9)</f>
        <v>30</v>
      </c>
      <c r="K2488">
        <v>0</v>
      </c>
      <c r="L2488">
        <v>0</v>
      </c>
      <c r="M2488">
        <v>73.599999999999994</v>
      </c>
      <c r="N2488">
        <v>46</v>
      </c>
      <c r="O2488">
        <v>54</v>
      </c>
      <c r="P2488">
        <v>50.6</v>
      </c>
      <c r="Q2488">
        <v>49.4</v>
      </c>
    </row>
    <row r="2489" spans="1:17" x14ac:dyDescent="0.25">
      <c r="A2489" s="2">
        <v>45221</v>
      </c>
      <c r="B2489" s="2" t="str">
        <f t="shared" si="76"/>
        <v>Sunday</v>
      </c>
      <c r="C2489" s="2" t="b">
        <f t="shared" si="77"/>
        <v>1</v>
      </c>
      <c r="D2489">
        <v>4</v>
      </c>
      <c r="E2489" t="s">
        <v>8</v>
      </c>
      <c r="F2489">
        <v>215</v>
      </c>
      <c r="G2489" s="3">
        <v>3507.45</v>
      </c>
      <c r="H2489" s="3">
        <f>Miami_Retail[[#This Row],[sales_usd]] / Miami_Retail[[#This Row],[customers]]</f>
        <v>16.313720930232556</v>
      </c>
      <c r="I2489">
        <v>88.1</v>
      </c>
      <c r="J2489">
        <f>(Miami_Retail[[#This Row],[avg_temp_f]]-32) * (5/9)</f>
        <v>31.166666666666664</v>
      </c>
      <c r="K2489">
        <v>0</v>
      </c>
      <c r="L2489">
        <v>0</v>
      </c>
      <c r="M2489">
        <v>72.3</v>
      </c>
      <c r="N2489">
        <v>47.1</v>
      </c>
      <c r="O2489">
        <v>52.9</v>
      </c>
      <c r="P2489">
        <v>48.5</v>
      </c>
      <c r="Q2489">
        <v>51.5</v>
      </c>
    </row>
    <row r="2490" spans="1:17" x14ac:dyDescent="0.25">
      <c r="A2490" s="2">
        <v>45222</v>
      </c>
      <c r="B2490" s="2" t="str">
        <f t="shared" si="76"/>
        <v>Monday</v>
      </c>
      <c r="C2490" s="2" t="b">
        <f t="shared" si="77"/>
        <v>0</v>
      </c>
      <c r="D2490">
        <v>4</v>
      </c>
      <c r="E2490" t="s">
        <v>8</v>
      </c>
      <c r="F2490">
        <v>237</v>
      </c>
      <c r="G2490" s="3">
        <v>3484.46</v>
      </c>
      <c r="H2490" s="3">
        <f>Miami_Retail[[#This Row],[sales_usd]] / Miami_Retail[[#This Row],[customers]]</f>
        <v>14.702362869198312</v>
      </c>
      <c r="I2490">
        <v>88.7</v>
      </c>
      <c r="J2490">
        <f>(Miami_Retail[[#This Row],[avg_temp_f]]-32) * (5/9)</f>
        <v>31.500000000000004</v>
      </c>
      <c r="K2490">
        <v>0</v>
      </c>
      <c r="L2490">
        <v>0</v>
      </c>
      <c r="M2490">
        <v>61.6</v>
      </c>
      <c r="N2490">
        <v>44.1</v>
      </c>
      <c r="O2490">
        <v>55.9</v>
      </c>
      <c r="P2490">
        <v>44.5</v>
      </c>
      <c r="Q2490">
        <v>55.5</v>
      </c>
    </row>
    <row r="2491" spans="1:17" x14ac:dyDescent="0.25">
      <c r="A2491" s="2">
        <v>45223</v>
      </c>
      <c r="B2491" s="2" t="str">
        <f t="shared" si="76"/>
        <v>Tuesday</v>
      </c>
      <c r="C2491" s="2" t="b">
        <f t="shared" si="77"/>
        <v>0</v>
      </c>
      <c r="D2491">
        <v>4</v>
      </c>
      <c r="E2491" t="s">
        <v>8</v>
      </c>
      <c r="F2491">
        <v>187</v>
      </c>
      <c r="G2491" s="3">
        <v>2905.54</v>
      </c>
      <c r="H2491" s="3">
        <f>Miami_Retail[[#This Row],[sales_usd]] / Miami_Retail[[#This Row],[customers]]</f>
        <v>15.537647058823529</v>
      </c>
      <c r="I2491">
        <v>84.1</v>
      </c>
      <c r="J2491">
        <f>(Miami_Retail[[#This Row],[avg_temp_f]]-32) * (5/9)</f>
        <v>28.944444444444443</v>
      </c>
      <c r="K2491">
        <v>0</v>
      </c>
      <c r="L2491">
        <v>0</v>
      </c>
      <c r="M2491">
        <v>72.099999999999994</v>
      </c>
      <c r="N2491">
        <v>47.5</v>
      </c>
      <c r="O2491">
        <v>52.5</v>
      </c>
      <c r="P2491">
        <v>45.2</v>
      </c>
      <c r="Q2491">
        <v>54.8</v>
      </c>
    </row>
    <row r="2492" spans="1:17" x14ac:dyDescent="0.25">
      <c r="A2492" s="2">
        <v>45224</v>
      </c>
      <c r="B2492" s="2" t="str">
        <f t="shared" si="76"/>
        <v>Wednesday</v>
      </c>
      <c r="C2492" s="2" t="b">
        <f t="shared" si="77"/>
        <v>0</v>
      </c>
      <c r="D2492">
        <v>4</v>
      </c>
      <c r="E2492" t="s">
        <v>8</v>
      </c>
      <c r="F2492">
        <v>201</v>
      </c>
      <c r="G2492" s="3">
        <v>3179.51</v>
      </c>
      <c r="H2492" s="3">
        <f>Miami_Retail[[#This Row],[sales_usd]] / Miami_Retail[[#This Row],[customers]]</f>
        <v>15.818457711442788</v>
      </c>
      <c r="I2492">
        <v>84.2</v>
      </c>
      <c r="J2492">
        <f>(Miami_Retail[[#This Row],[avg_temp_f]]-32) * (5/9)</f>
        <v>29.000000000000004</v>
      </c>
      <c r="K2492">
        <v>0</v>
      </c>
      <c r="L2492">
        <v>0</v>
      </c>
      <c r="M2492">
        <v>68.3</v>
      </c>
      <c r="N2492">
        <v>45.2</v>
      </c>
      <c r="O2492">
        <v>54.8</v>
      </c>
      <c r="P2492">
        <v>43.9</v>
      </c>
      <c r="Q2492">
        <v>56.1</v>
      </c>
    </row>
    <row r="2493" spans="1:17" x14ac:dyDescent="0.25">
      <c r="A2493" s="2">
        <v>45225</v>
      </c>
      <c r="B2493" s="2" t="str">
        <f t="shared" si="76"/>
        <v>Thursday</v>
      </c>
      <c r="C2493" s="2" t="b">
        <f t="shared" si="77"/>
        <v>0</v>
      </c>
      <c r="D2493">
        <v>4</v>
      </c>
      <c r="E2493" t="s">
        <v>8</v>
      </c>
      <c r="F2493">
        <v>205</v>
      </c>
      <c r="G2493" s="3">
        <v>2929.24</v>
      </c>
      <c r="H2493" s="3">
        <f>Miami_Retail[[#This Row],[sales_usd]] / Miami_Retail[[#This Row],[customers]]</f>
        <v>14.288975609756097</v>
      </c>
      <c r="I2493">
        <v>81.8</v>
      </c>
      <c r="J2493">
        <f>(Miami_Retail[[#This Row],[avg_temp_f]]-32) * (5/9)</f>
        <v>27.666666666666668</v>
      </c>
      <c r="K2493">
        <v>0</v>
      </c>
      <c r="L2493">
        <v>0</v>
      </c>
      <c r="M2493">
        <v>75.8</v>
      </c>
      <c r="N2493">
        <v>47.2</v>
      </c>
      <c r="O2493">
        <v>52.8</v>
      </c>
      <c r="P2493">
        <v>45.3</v>
      </c>
      <c r="Q2493">
        <v>54.7</v>
      </c>
    </row>
    <row r="2494" spans="1:17" x14ac:dyDescent="0.25">
      <c r="A2494" s="2">
        <v>45226</v>
      </c>
      <c r="B2494" s="2" t="str">
        <f t="shared" si="76"/>
        <v>Friday</v>
      </c>
      <c r="C2494" s="2" t="b">
        <f t="shared" si="77"/>
        <v>0</v>
      </c>
      <c r="D2494">
        <v>4</v>
      </c>
      <c r="E2494" t="s">
        <v>8</v>
      </c>
      <c r="F2494">
        <v>229</v>
      </c>
      <c r="G2494" s="3">
        <v>3740.85</v>
      </c>
      <c r="H2494" s="3">
        <f>Miami_Retail[[#This Row],[sales_usd]] / Miami_Retail[[#This Row],[customers]]</f>
        <v>16.335589519650654</v>
      </c>
      <c r="I2494">
        <v>85.6</v>
      </c>
      <c r="J2494">
        <f>(Miami_Retail[[#This Row],[avg_temp_f]]-32) * (5/9)</f>
        <v>29.777777777777775</v>
      </c>
      <c r="K2494">
        <v>0</v>
      </c>
      <c r="L2494">
        <v>0</v>
      </c>
      <c r="M2494">
        <v>66.8</v>
      </c>
      <c r="N2494">
        <v>47.2</v>
      </c>
      <c r="O2494">
        <v>52.8</v>
      </c>
      <c r="P2494">
        <v>43.7</v>
      </c>
      <c r="Q2494">
        <v>56.3</v>
      </c>
    </row>
    <row r="2495" spans="1:17" x14ac:dyDescent="0.25">
      <c r="A2495" s="2">
        <v>45227</v>
      </c>
      <c r="B2495" s="2" t="str">
        <f t="shared" si="76"/>
        <v>Saturday</v>
      </c>
      <c r="C2495" s="2" t="b">
        <f t="shared" si="77"/>
        <v>1</v>
      </c>
      <c r="D2495">
        <v>4</v>
      </c>
      <c r="E2495" t="s">
        <v>8</v>
      </c>
      <c r="F2495">
        <v>235</v>
      </c>
      <c r="G2495" s="3">
        <v>3753.58</v>
      </c>
      <c r="H2495" s="3">
        <f>Miami_Retail[[#This Row],[sales_usd]] / Miami_Retail[[#This Row],[customers]]</f>
        <v>15.97268085106383</v>
      </c>
      <c r="I2495">
        <v>86.6</v>
      </c>
      <c r="J2495">
        <f>(Miami_Retail[[#This Row],[avg_temp_f]]-32) * (5/9)</f>
        <v>30.333333333333332</v>
      </c>
      <c r="K2495">
        <v>0</v>
      </c>
      <c r="L2495">
        <v>0</v>
      </c>
      <c r="M2495">
        <v>73.7</v>
      </c>
      <c r="N2495">
        <v>46.6</v>
      </c>
      <c r="O2495">
        <v>53.4</v>
      </c>
      <c r="P2495">
        <v>48.6</v>
      </c>
      <c r="Q2495">
        <v>51.4</v>
      </c>
    </row>
    <row r="2496" spans="1:17" x14ac:dyDescent="0.25">
      <c r="A2496" s="2">
        <v>45228</v>
      </c>
      <c r="B2496" s="2" t="str">
        <f t="shared" si="76"/>
        <v>Sunday</v>
      </c>
      <c r="C2496" s="2" t="b">
        <f t="shared" si="77"/>
        <v>1</v>
      </c>
      <c r="D2496">
        <v>4</v>
      </c>
      <c r="E2496" t="s">
        <v>8</v>
      </c>
      <c r="F2496">
        <v>261</v>
      </c>
      <c r="G2496" s="3">
        <v>4181.3999999999996</v>
      </c>
      <c r="H2496" s="3">
        <f>Miami_Retail[[#This Row],[sales_usd]] / Miami_Retail[[#This Row],[customers]]</f>
        <v>16.020689655172411</v>
      </c>
      <c r="I2496">
        <v>83.4</v>
      </c>
      <c r="J2496">
        <f>(Miami_Retail[[#This Row],[avg_temp_f]]-32) * (5/9)</f>
        <v>28.555555555555561</v>
      </c>
      <c r="K2496">
        <v>0.4</v>
      </c>
      <c r="L2496">
        <v>1</v>
      </c>
      <c r="M2496">
        <v>73.8</v>
      </c>
      <c r="N2496">
        <v>45.7</v>
      </c>
      <c r="O2496">
        <v>54.3</v>
      </c>
      <c r="P2496">
        <v>49.1</v>
      </c>
      <c r="Q2496">
        <v>50.9</v>
      </c>
    </row>
    <row r="2497" spans="1:17" x14ac:dyDescent="0.25">
      <c r="A2497" s="2">
        <v>45229</v>
      </c>
      <c r="B2497" s="2" t="str">
        <f t="shared" si="76"/>
        <v>Monday</v>
      </c>
      <c r="C2497" s="2" t="b">
        <f t="shared" si="77"/>
        <v>0</v>
      </c>
      <c r="D2497">
        <v>4</v>
      </c>
      <c r="E2497" t="s">
        <v>8</v>
      </c>
      <c r="F2497">
        <v>259</v>
      </c>
      <c r="G2497" s="3">
        <v>4038.18</v>
      </c>
      <c r="H2497" s="3">
        <f>Miami_Retail[[#This Row],[sales_usd]] / Miami_Retail[[#This Row],[customers]]</f>
        <v>15.591428571428571</v>
      </c>
      <c r="I2497">
        <v>85.5</v>
      </c>
      <c r="J2497">
        <f>(Miami_Retail[[#This Row],[avg_temp_f]]-32) * (5/9)</f>
        <v>29.722222222222225</v>
      </c>
      <c r="K2497">
        <v>0</v>
      </c>
      <c r="L2497">
        <v>0</v>
      </c>
      <c r="M2497">
        <v>66.7</v>
      </c>
      <c r="N2497">
        <v>45.6</v>
      </c>
      <c r="O2497">
        <v>54.4</v>
      </c>
      <c r="P2497">
        <v>44</v>
      </c>
      <c r="Q2497">
        <v>56</v>
      </c>
    </row>
    <row r="2498" spans="1:17" x14ac:dyDescent="0.25">
      <c r="A2498" s="2">
        <v>45230</v>
      </c>
      <c r="B2498" s="2" t="str">
        <f t="shared" ref="B2498:B2561" si="78">TEXT(A2498, "dddd")</f>
        <v>Tuesday</v>
      </c>
      <c r="C2498" s="2" t="b">
        <f t="shared" ref="C2498:C2561" si="79">IF(WEEKDAY(A2498,2)&gt;5,TRUE,FALSE)</f>
        <v>0</v>
      </c>
      <c r="D2498">
        <v>4</v>
      </c>
      <c r="E2498" t="s">
        <v>8</v>
      </c>
      <c r="F2498">
        <v>267</v>
      </c>
      <c r="G2498" s="3">
        <v>3781.16</v>
      </c>
      <c r="H2498" s="3">
        <f>Miami_Retail[[#This Row],[sales_usd]] / Miami_Retail[[#This Row],[customers]]</f>
        <v>14.161647940074905</v>
      </c>
      <c r="I2498">
        <v>86.3</v>
      </c>
      <c r="J2498">
        <f>(Miami_Retail[[#This Row],[avg_temp_f]]-32) * (5/9)</f>
        <v>30.166666666666668</v>
      </c>
      <c r="K2498">
        <v>0</v>
      </c>
      <c r="L2498">
        <v>0</v>
      </c>
      <c r="M2498">
        <v>64.900000000000006</v>
      </c>
      <c r="N2498">
        <v>47.1</v>
      </c>
      <c r="O2498">
        <v>52.9</v>
      </c>
      <c r="P2498">
        <v>44</v>
      </c>
      <c r="Q2498">
        <v>56</v>
      </c>
    </row>
    <row r="2499" spans="1:17" x14ac:dyDescent="0.25">
      <c r="A2499" s="2">
        <v>45231</v>
      </c>
      <c r="B2499" s="2" t="str">
        <f t="shared" si="78"/>
        <v>Wednesday</v>
      </c>
      <c r="C2499" s="2" t="b">
        <f t="shared" si="79"/>
        <v>0</v>
      </c>
      <c r="D2499">
        <v>4</v>
      </c>
      <c r="E2499" t="s">
        <v>8</v>
      </c>
      <c r="F2499">
        <v>231</v>
      </c>
      <c r="G2499" s="3">
        <v>3449.89</v>
      </c>
      <c r="H2499" s="3">
        <f>Miami_Retail[[#This Row],[sales_usd]] / Miami_Retail[[#This Row],[customers]]</f>
        <v>14.934588744588744</v>
      </c>
      <c r="I2499">
        <v>89.3</v>
      </c>
      <c r="J2499">
        <f>(Miami_Retail[[#This Row],[avg_temp_f]]-32) * (5/9)</f>
        <v>31.833333333333332</v>
      </c>
      <c r="K2499">
        <v>0</v>
      </c>
      <c r="L2499">
        <v>0</v>
      </c>
      <c r="M2499">
        <v>75.5</v>
      </c>
      <c r="N2499">
        <v>45.8</v>
      </c>
      <c r="O2499">
        <v>54.2</v>
      </c>
      <c r="P2499">
        <v>44.6</v>
      </c>
      <c r="Q2499">
        <v>55.4</v>
      </c>
    </row>
    <row r="2500" spans="1:17" x14ac:dyDescent="0.25">
      <c r="A2500" s="2">
        <v>45232</v>
      </c>
      <c r="B2500" s="2" t="str">
        <f t="shared" si="78"/>
        <v>Thursday</v>
      </c>
      <c r="C2500" s="2" t="b">
        <f t="shared" si="79"/>
        <v>0</v>
      </c>
      <c r="D2500">
        <v>4</v>
      </c>
      <c r="E2500" t="s">
        <v>8</v>
      </c>
      <c r="F2500">
        <v>187</v>
      </c>
      <c r="G2500" s="3">
        <v>2978.54</v>
      </c>
      <c r="H2500" s="3">
        <f>Miami_Retail[[#This Row],[sales_usd]] / Miami_Retail[[#This Row],[customers]]</f>
        <v>15.928021390374331</v>
      </c>
      <c r="I2500">
        <v>81.8</v>
      </c>
      <c r="J2500">
        <f>(Miami_Retail[[#This Row],[avg_temp_f]]-32) * (5/9)</f>
        <v>27.666666666666668</v>
      </c>
      <c r="K2500">
        <v>2.65</v>
      </c>
      <c r="L2500">
        <v>1</v>
      </c>
      <c r="M2500">
        <v>60.3</v>
      </c>
      <c r="N2500">
        <v>44.7</v>
      </c>
      <c r="O2500">
        <v>55.3</v>
      </c>
      <c r="P2500">
        <v>44.1</v>
      </c>
      <c r="Q2500">
        <v>55.9</v>
      </c>
    </row>
    <row r="2501" spans="1:17" x14ac:dyDescent="0.25">
      <c r="A2501" s="2">
        <v>45233</v>
      </c>
      <c r="B2501" s="2" t="str">
        <f t="shared" si="78"/>
        <v>Friday</v>
      </c>
      <c r="C2501" s="2" t="b">
        <f t="shared" si="79"/>
        <v>0</v>
      </c>
      <c r="D2501">
        <v>4</v>
      </c>
      <c r="E2501" t="s">
        <v>8</v>
      </c>
      <c r="F2501">
        <v>247</v>
      </c>
      <c r="G2501" s="3">
        <v>3645.98</v>
      </c>
      <c r="H2501" s="3">
        <f>Miami_Retail[[#This Row],[sales_usd]] / Miami_Retail[[#This Row],[customers]]</f>
        <v>14.761052631578947</v>
      </c>
      <c r="I2501">
        <v>92.2</v>
      </c>
      <c r="J2501">
        <f>(Miami_Retail[[#This Row],[avg_temp_f]]-32) * (5/9)</f>
        <v>33.44444444444445</v>
      </c>
      <c r="K2501">
        <v>0.94</v>
      </c>
      <c r="L2501">
        <v>1</v>
      </c>
      <c r="M2501">
        <v>74.400000000000006</v>
      </c>
      <c r="N2501">
        <v>46.1</v>
      </c>
      <c r="O2501">
        <v>53.9</v>
      </c>
      <c r="P2501">
        <v>44.6</v>
      </c>
      <c r="Q2501">
        <v>55.4</v>
      </c>
    </row>
    <row r="2502" spans="1:17" x14ac:dyDescent="0.25">
      <c r="A2502" s="2">
        <v>45234</v>
      </c>
      <c r="B2502" s="2" t="str">
        <f t="shared" si="78"/>
        <v>Saturday</v>
      </c>
      <c r="C2502" s="2" t="b">
        <f t="shared" si="79"/>
        <v>1</v>
      </c>
      <c r="D2502">
        <v>4</v>
      </c>
      <c r="E2502" t="s">
        <v>8</v>
      </c>
      <c r="F2502">
        <v>249</v>
      </c>
      <c r="G2502" s="3">
        <v>3719.09</v>
      </c>
      <c r="H2502" s="3">
        <f>Miami_Retail[[#This Row],[sales_usd]] / Miami_Retail[[#This Row],[customers]]</f>
        <v>14.936104417670684</v>
      </c>
      <c r="I2502">
        <v>82.8</v>
      </c>
      <c r="J2502">
        <f>(Miami_Retail[[#This Row],[avg_temp_f]]-32) * (5/9)</f>
        <v>28.222222222222221</v>
      </c>
      <c r="K2502">
        <v>0.64</v>
      </c>
      <c r="L2502">
        <v>1</v>
      </c>
      <c r="M2502">
        <v>68.599999999999994</v>
      </c>
      <c r="N2502">
        <v>46.1</v>
      </c>
      <c r="O2502">
        <v>53.9</v>
      </c>
      <c r="P2502">
        <v>52.4</v>
      </c>
      <c r="Q2502">
        <v>47.6</v>
      </c>
    </row>
    <row r="2503" spans="1:17" x14ac:dyDescent="0.25">
      <c r="A2503" s="2">
        <v>45235</v>
      </c>
      <c r="B2503" s="2" t="str">
        <f t="shared" si="78"/>
        <v>Sunday</v>
      </c>
      <c r="C2503" s="2" t="b">
        <f t="shared" si="79"/>
        <v>1</v>
      </c>
      <c r="D2503">
        <v>4</v>
      </c>
      <c r="E2503" t="s">
        <v>8</v>
      </c>
      <c r="F2503">
        <v>246</v>
      </c>
      <c r="G2503" s="3">
        <v>3750.25</v>
      </c>
      <c r="H2503" s="3">
        <f>Miami_Retail[[#This Row],[sales_usd]] / Miami_Retail[[#This Row],[customers]]</f>
        <v>15.244918699186991</v>
      </c>
      <c r="I2503">
        <v>83</v>
      </c>
      <c r="J2503">
        <f>(Miami_Retail[[#This Row],[avg_temp_f]]-32) * (5/9)</f>
        <v>28.333333333333336</v>
      </c>
      <c r="K2503">
        <v>0</v>
      </c>
      <c r="L2503">
        <v>0</v>
      </c>
      <c r="M2503">
        <v>54.7</v>
      </c>
      <c r="N2503">
        <v>46.8</v>
      </c>
      <c r="O2503">
        <v>53.2</v>
      </c>
      <c r="P2503">
        <v>49</v>
      </c>
      <c r="Q2503">
        <v>51</v>
      </c>
    </row>
    <row r="2504" spans="1:17" x14ac:dyDescent="0.25">
      <c r="A2504" s="2">
        <v>45236</v>
      </c>
      <c r="B2504" s="2" t="str">
        <f t="shared" si="78"/>
        <v>Monday</v>
      </c>
      <c r="C2504" s="2" t="b">
        <f t="shared" si="79"/>
        <v>0</v>
      </c>
      <c r="D2504">
        <v>4</v>
      </c>
      <c r="E2504" t="s">
        <v>8</v>
      </c>
      <c r="F2504">
        <v>193</v>
      </c>
      <c r="G2504" s="3">
        <v>3060.56</v>
      </c>
      <c r="H2504" s="3">
        <f>Miami_Retail[[#This Row],[sales_usd]] / Miami_Retail[[#This Row],[customers]]</f>
        <v>15.857823834196891</v>
      </c>
      <c r="I2504">
        <v>80.2</v>
      </c>
      <c r="J2504">
        <f>(Miami_Retail[[#This Row],[avg_temp_f]]-32) * (5/9)</f>
        <v>26.777777777777782</v>
      </c>
      <c r="K2504">
        <v>0</v>
      </c>
      <c r="L2504">
        <v>0</v>
      </c>
      <c r="M2504">
        <v>67.099999999999994</v>
      </c>
      <c r="N2504">
        <v>45.6</v>
      </c>
      <c r="O2504">
        <v>54.4</v>
      </c>
      <c r="P2504">
        <v>44.3</v>
      </c>
      <c r="Q2504">
        <v>55.7</v>
      </c>
    </row>
    <row r="2505" spans="1:17" x14ac:dyDescent="0.25">
      <c r="A2505" s="2">
        <v>45237</v>
      </c>
      <c r="B2505" s="2" t="str">
        <f t="shared" si="78"/>
        <v>Tuesday</v>
      </c>
      <c r="C2505" s="2" t="b">
        <f t="shared" si="79"/>
        <v>0</v>
      </c>
      <c r="D2505">
        <v>4</v>
      </c>
      <c r="E2505" t="s">
        <v>8</v>
      </c>
      <c r="F2505">
        <v>197</v>
      </c>
      <c r="G2505" s="3">
        <v>3136.82</v>
      </c>
      <c r="H2505" s="3">
        <f>Miami_Retail[[#This Row],[sales_usd]] / Miami_Retail[[#This Row],[customers]]</f>
        <v>15.922944162436549</v>
      </c>
      <c r="I2505">
        <v>85.4</v>
      </c>
      <c r="J2505">
        <f>(Miami_Retail[[#This Row],[avg_temp_f]]-32) * (5/9)</f>
        <v>29.666666666666671</v>
      </c>
      <c r="K2505">
        <v>0</v>
      </c>
      <c r="L2505">
        <v>0</v>
      </c>
      <c r="M2505">
        <v>70.3</v>
      </c>
      <c r="N2505">
        <v>46.3</v>
      </c>
      <c r="O2505">
        <v>53.7</v>
      </c>
      <c r="P2505">
        <v>41.9</v>
      </c>
      <c r="Q2505">
        <v>58.1</v>
      </c>
    </row>
    <row r="2506" spans="1:17" x14ac:dyDescent="0.25">
      <c r="A2506" s="2">
        <v>45238</v>
      </c>
      <c r="B2506" s="2" t="str">
        <f t="shared" si="78"/>
        <v>Wednesday</v>
      </c>
      <c r="C2506" s="2" t="b">
        <f t="shared" si="79"/>
        <v>0</v>
      </c>
      <c r="D2506">
        <v>4</v>
      </c>
      <c r="E2506" t="s">
        <v>8</v>
      </c>
      <c r="F2506">
        <v>217</v>
      </c>
      <c r="G2506" s="3">
        <v>3333.43</v>
      </c>
      <c r="H2506" s="3">
        <f>Miami_Retail[[#This Row],[sales_usd]] / Miami_Retail[[#This Row],[customers]]</f>
        <v>15.36142857142857</v>
      </c>
      <c r="I2506">
        <v>78.900000000000006</v>
      </c>
      <c r="J2506">
        <f>(Miami_Retail[[#This Row],[avg_temp_f]]-32) * (5/9)</f>
        <v>26.055555555555561</v>
      </c>
      <c r="K2506">
        <v>0.46</v>
      </c>
      <c r="L2506">
        <v>1</v>
      </c>
      <c r="M2506">
        <v>66.3</v>
      </c>
      <c r="N2506">
        <v>46.1</v>
      </c>
      <c r="O2506">
        <v>53.9</v>
      </c>
      <c r="P2506">
        <v>45</v>
      </c>
      <c r="Q2506">
        <v>55</v>
      </c>
    </row>
    <row r="2507" spans="1:17" x14ac:dyDescent="0.25">
      <c r="A2507" s="2">
        <v>45239</v>
      </c>
      <c r="B2507" s="2" t="str">
        <f t="shared" si="78"/>
        <v>Thursday</v>
      </c>
      <c r="C2507" s="2" t="b">
        <f t="shared" si="79"/>
        <v>0</v>
      </c>
      <c r="D2507">
        <v>4</v>
      </c>
      <c r="E2507" t="s">
        <v>8</v>
      </c>
      <c r="F2507">
        <v>238</v>
      </c>
      <c r="G2507" s="3">
        <v>3755.19</v>
      </c>
      <c r="H2507" s="3">
        <f>Miami_Retail[[#This Row],[sales_usd]] / Miami_Retail[[#This Row],[customers]]</f>
        <v>15.778109243697479</v>
      </c>
      <c r="I2507">
        <v>89.1</v>
      </c>
      <c r="J2507">
        <f>(Miami_Retail[[#This Row],[avg_temp_f]]-32) * (5/9)</f>
        <v>31.722222222222221</v>
      </c>
      <c r="K2507">
        <v>0.28000000000000003</v>
      </c>
      <c r="L2507">
        <v>1</v>
      </c>
      <c r="M2507">
        <v>53</v>
      </c>
      <c r="N2507">
        <v>48</v>
      </c>
      <c r="O2507">
        <v>52</v>
      </c>
      <c r="P2507">
        <v>43.5</v>
      </c>
      <c r="Q2507">
        <v>56.5</v>
      </c>
    </row>
    <row r="2508" spans="1:17" x14ac:dyDescent="0.25">
      <c r="A2508" s="2">
        <v>45240</v>
      </c>
      <c r="B2508" s="2" t="str">
        <f t="shared" si="78"/>
        <v>Friday</v>
      </c>
      <c r="C2508" s="2" t="b">
        <f t="shared" si="79"/>
        <v>0</v>
      </c>
      <c r="D2508">
        <v>4</v>
      </c>
      <c r="E2508" t="s">
        <v>8</v>
      </c>
      <c r="F2508">
        <v>205</v>
      </c>
      <c r="G2508" s="3">
        <v>3178.99</v>
      </c>
      <c r="H2508" s="3">
        <f>Miami_Retail[[#This Row],[sales_usd]] / Miami_Retail[[#This Row],[customers]]</f>
        <v>15.507268292682927</v>
      </c>
      <c r="I2508">
        <v>77.400000000000006</v>
      </c>
      <c r="J2508">
        <f>(Miami_Retail[[#This Row],[avg_temp_f]]-32) * (5/9)</f>
        <v>25.222222222222225</v>
      </c>
      <c r="K2508">
        <v>0</v>
      </c>
      <c r="L2508">
        <v>0</v>
      </c>
      <c r="M2508">
        <v>70.5</v>
      </c>
      <c r="N2508">
        <v>47.5</v>
      </c>
      <c r="O2508">
        <v>52.5</v>
      </c>
      <c r="P2508">
        <v>42.3</v>
      </c>
      <c r="Q2508">
        <v>57.7</v>
      </c>
    </row>
    <row r="2509" spans="1:17" x14ac:dyDescent="0.25">
      <c r="A2509" s="2">
        <v>45241</v>
      </c>
      <c r="B2509" s="2" t="str">
        <f t="shared" si="78"/>
        <v>Saturday</v>
      </c>
      <c r="C2509" s="2" t="b">
        <f t="shared" si="79"/>
        <v>1</v>
      </c>
      <c r="D2509">
        <v>4</v>
      </c>
      <c r="E2509" t="s">
        <v>8</v>
      </c>
      <c r="F2509">
        <v>274</v>
      </c>
      <c r="G2509" s="3">
        <v>4085.01</v>
      </c>
      <c r="H2509" s="3">
        <f>Miami_Retail[[#This Row],[sales_usd]] / Miami_Retail[[#This Row],[customers]]</f>
        <v>14.908795620437957</v>
      </c>
      <c r="I2509">
        <v>86.7</v>
      </c>
      <c r="J2509">
        <f>(Miami_Retail[[#This Row],[avg_temp_f]]-32) * (5/9)</f>
        <v>30.388888888888893</v>
      </c>
      <c r="K2509">
        <v>0.41</v>
      </c>
      <c r="L2509">
        <v>1</v>
      </c>
      <c r="M2509">
        <v>59.4</v>
      </c>
      <c r="N2509">
        <v>46.7</v>
      </c>
      <c r="O2509">
        <v>53.3</v>
      </c>
      <c r="P2509">
        <v>50.6</v>
      </c>
      <c r="Q2509">
        <v>49.4</v>
      </c>
    </row>
    <row r="2510" spans="1:17" x14ac:dyDescent="0.25">
      <c r="A2510" s="2">
        <v>45242</v>
      </c>
      <c r="B2510" s="2" t="str">
        <f t="shared" si="78"/>
        <v>Sunday</v>
      </c>
      <c r="C2510" s="2" t="b">
        <f t="shared" si="79"/>
        <v>1</v>
      </c>
      <c r="D2510">
        <v>4</v>
      </c>
      <c r="E2510" t="s">
        <v>8</v>
      </c>
      <c r="F2510">
        <v>246</v>
      </c>
      <c r="G2510" s="3">
        <v>3925.83</v>
      </c>
      <c r="H2510" s="3">
        <f>Miami_Retail[[#This Row],[sales_usd]] / Miami_Retail[[#This Row],[customers]]</f>
        <v>15.958658536585366</v>
      </c>
      <c r="I2510">
        <v>83.5</v>
      </c>
      <c r="J2510">
        <f>(Miami_Retail[[#This Row],[avg_temp_f]]-32) * (5/9)</f>
        <v>28.611111111111111</v>
      </c>
      <c r="K2510">
        <v>0.61</v>
      </c>
      <c r="L2510">
        <v>1</v>
      </c>
      <c r="M2510">
        <v>54.8</v>
      </c>
      <c r="N2510">
        <v>45</v>
      </c>
      <c r="O2510">
        <v>55</v>
      </c>
      <c r="P2510">
        <v>48.6</v>
      </c>
      <c r="Q2510">
        <v>51.4</v>
      </c>
    </row>
    <row r="2511" spans="1:17" x14ac:dyDescent="0.25">
      <c r="A2511" s="2">
        <v>45243</v>
      </c>
      <c r="B2511" s="2" t="str">
        <f t="shared" si="78"/>
        <v>Monday</v>
      </c>
      <c r="C2511" s="2" t="b">
        <f t="shared" si="79"/>
        <v>0</v>
      </c>
      <c r="D2511">
        <v>4</v>
      </c>
      <c r="E2511" t="s">
        <v>8</v>
      </c>
      <c r="F2511">
        <v>190</v>
      </c>
      <c r="G2511" s="3">
        <v>2824.28</v>
      </c>
      <c r="H2511" s="3">
        <f>Miami_Retail[[#This Row],[sales_usd]] / Miami_Retail[[#This Row],[customers]]</f>
        <v>14.864631578947369</v>
      </c>
      <c r="I2511">
        <v>79.400000000000006</v>
      </c>
      <c r="J2511">
        <f>(Miami_Retail[[#This Row],[avg_temp_f]]-32) * (5/9)</f>
        <v>26.333333333333339</v>
      </c>
      <c r="K2511">
        <v>0</v>
      </c>
      <c r="L2511">
        <v>0</v>
      </c>
      <c r="M2511">
        <v>57</v>
      </c>
      <c r="N2511">
        <v>48</v>
      </c>
      <c r="O2511">
        <v>52</v>
      </c>
      <c r="P2511">
        <v>44.1</v>
      </c>
      <c r="Q2511">
        <v>55.9</v>
      </c>
    </row>
    <row r="2512" spans="1:17" x14ac:dyDescent="0.25">
      <c r="A2512" s="2">
        <v>45244</v>
      </c>
      <c r="B2512" s="2" t="str">
        <f t="shared" si="78"/>
        <v>Tuesday</v>
      </c>
      <c r="C2512" s="2" t="b">
        <f t="shared" si="79"/>
        <v>0</v>
      </c>
      <c r="D2512">
        <v>4</v>
      </c>
      <c r="E2512" t="s">
        <v>8</v>
      </c>
      <c r="F2512">
        <v>229</v>
      </c>
      <c r="G2512" s="3">
        <v>3675.57</v>
      </c>
      <c r="H2512" s="3">
        <f>Miami_Retail[[#This Row],[sales_usd]] / Miami_Retail[[#This Row],[customers]]</f>
        <v>16.05052401746725</v>
      </c>
      <c r="I2512">
        <v>86.2</v>
      </c>
      <c r="J2512">
        <f>(Miami_Retail[[#This Row],[avg_temp_f]]-32) * (5/9)</f>
        <v>30.111111111111114</v>
      </c>
      <c r="K2512">
        <v>0</v>
      </c>
      <c r="L2512">
        <v>0</v>
      </c>
      <c r="M2512">
        <v>63.9</v>
      </c>
      <c r="N2512">
        <v>47.8</v>
      </c>
      <c r="O2512">
        <v>52.2</v>
      </c>
      <c r="P2512">
        <v>43.5</v>
      </c>
      <c r="Q2512">
        <v>56.5</v>
      </c>
    </row>
    <row r="2513" spans="1:17" x14ac:dyDescent="0.25">
      <c r="A2513" s="2">
        <v>45245</v>
      </c>
      <c r="B2513" s="2" t="str">
        <f t="shared" si="78"/>
        <v>Wednesday</v>
      </c>
      <c r="C2513" s="2" t="b">
        <f t="shared" si="79"/>
        <v>0</v>
      </c>
      <c r="D2513">
        <v>4</v>
      </c>
      <c r="E2513" t="s">
        <v>8</v>
      </c>
      <c r="F2513">
        <v>225</v>
      </c>
      <c r="G2513" s="3">
        <v>3794.04</v>
      </c>
      <c r="H2513" s="3">
        <f>Miami_Retail[[#This Row],[sales_usd]] / Miami_Retail[[#This Row],[customers]]</f>
        <v>16.862400000000001</v>
      </c>
      <c r="I2513">
        <v>80.8</v>
      </c>
      <c r="J2513">
        <f>(Miami_Retail[[#This Row],[avg_temp_f]]-32) * (5/9)</f>
        <v>27.111111111111111</v>
      </c>
      <c r="K2513">
        <v>0</v>
      </c>
      <c r="L2513">
        <v>0</v>
      </c>
      <c r="M2513">
        <v>63.6</v>
      </c>
      <c r="N2513">
        <v>47.7</v>
      </c>
      <c r="O2513">
        <v>52.3</v>
      </c>
      <c r="P2513">
        <v>45.6</v>
      </c>
      <c r="Q2513">
        <v>54.4</v>
      </c>
    </row>
    <row r="2514" spans="1:17" x14ac:dyDescent="0.25">
      <c r="A2514" s="2">
        <v>45246</v>
      </c>
      <c r="B2514" s="2" t="str">
        <f t="shared" si="78"/>
        <v>Thursday</v>
      </c>
      <c r="C2514" s="2" t="b">
        <f t="shared" si="79"/>
        <v>0</v>
      </c>
      <c r="D2514">
        <v>4</v>
      </c>
      <c r="E2514" t="s">
        <v>8</v>
      </c>
      <c r="F2514">
        <v>207</v>
      </c>
      <c r="G2514" s="3">
        <v>2882.02</v>
      </c>
      <c r="H2514" s="3">
        <f>Miami_Retail[[#This Row],[sales_usd]] / Miami_Retail[[#This Row],[customers]]</f>
        <v>13.92280193236715</v>
      </c>
      <c r="I2514">
        <v>81.2</v>
      </c>
      <c r="J2514">
        <f>(Miami_Retail[[#This Row],[avg_temp_f]]-32) * (5/9)</f>
        <v>27.333333333333336</v>
      </c>
      <c r="K2514">
        <v>0</v>
      </c>
      <c r="L2514">
        <v>0</v>
      </c>
      <c r="M2514">
        <v>58.5</v>
      </c>
      <c r="N2514">
        <v>47.1</v>
      </c>
      <c r="O2514">
        <v>52.9</v>
      </c>
      <c r="P2514">
        <v>44.6</v>
      </c>
      <c r="Q2514">
        <v>55.4</v>
      </c>
    </row>
    <row r="2515" spans="1:17" x14ac:dyDescent="0.25">
      <c r="A2515" s="2">
        <v>45247</v>
      </c>
      <c r="B2515" s="2" t="str">
        <f t="shared" si="78"/>
        <v>Friday</v>
      </c>
      <c r="C2515" s="2" t="b">
        <f t="shared" si="79"/>
        <v>0</v>
      </c>
      <c r="D2515">
        <v>4</v>
      </c>
      <c r="E2515" t="s">
        <v>8</v>
      </c>
      <c r="F2515">
        <v>198</v>
      </c>
      <c r="G2515" s="3">
        <v>3350.62</v>
      </c>
      <c r="H2515" s="3">
        <f>Miami_Retail[[#This Row],[sales_usd]] / Miami_Retail[[#This Row],[customers]]</f>
        <v>16.922323232323233</v>
      </c>
      <c r="I2515">
        <v>79.2</v>
      </c>
      <c r="J2515">
        <f>(Miami_Retail[[#This Row],[avg_temp_f]]-32) * (5/9)</f>
        <v>26.222222222222225</v>
      </c>
      <c r="K2515">
        <v>1.1599999999999999</v>
      </c>
      <c r="L2515">
        <v>1</v>
      </c>
      <c r="M2515">
        <v>61.4</v>
      </c>
      <c r="N2515">
        <v>46.2</v>
      </c>
      <c r="O2515">
        <v>53.8</v>
      </c>
      <c r="P2515">
        <v>46</v>
      </c>
      <c r="Q2515">
        <v>54</v>
      </c>
    </row>
    <row r="2516" spans="1:17" x14ac:dyDescent="0.25">
      <c r="A2516" s="2">
        <v>45248</v>
      </c>
      <c r="B2516" s="2" t="str">
        <f t="shared" si="78"/>
        <v>Saturday</v>
      </c>
      <c r="C2516" s="2" t="b">
        <f t="shared" si="79"/>
        <v>1</v>
      </c>
      <c r="D2516">
        <v>4</v>
      </c>
      <c r="E2516" t="s">
        <v>8</v>
      </c>
      <c r="F2516">
        <v>242</v>
      </c>
      <c r="G2516" s="3">
        <v>4043.6</v>
      </c>
      <c r="H2516" s="3">
        <f>Miami_Retail[[#This Row],[sales_usd]] / Miami_Retail[[#This Row],[customers]]</f>
        <v>16.709090909090907</v>
      </c>
      <c r="I2516">
        <v>86.7</v>
      </c>
      <c r="J2516">
        <f>(Miami_Retail[[#This Row],[avg_temp_f]]-32) * (5/9)</f>
        <v>30.388888888888893</v>
      </c>
      <c r="K2516">
        <v>0</v>
      </c>
      <c r="L2516">
        <v>0</v>
      </c>
      <c r="M2516">
        <v>68.8</v>
      </c>
      <c r="N2516">
        <v>45</v>
      </c>
      <c r="O2516">
        <v>55</v>
      </c>
      <c r="P2516">
        <v>50.4</v>
      </c>
      <c r="Q2516">
        <v>49.6</v>
      </c>
    </row>
    <row r="2517" spans="1:17" x14ac:dyDescent="0.25">
      <c r="A2517" s="2">
        <v>45249</v>
      </c>
      <c r="B2517" s="2" t="str">
        <f t="shared" si="78"/>
        <v>Sunday</v>
      </c>
      <c r="C2517" s="2" t="b">
        <f t="shared" si="79"/>
        <v>1</v>
      </c>
      <c r="D2517">
        <v>4</v>
      </c>
      <c r="E2517" t="s">
        <v>8</v>
      </c>
      <c r="F2517">
        <v>235</v>
      </c>
      <c r="G2517" s="3">
        <v>3242.32</v>
      </c>
      <c r="H2517" s="3">
        <f>Miami_Retail[[#This Row],[sales_usd]] / Miami_Retail[[#This Row],[customers]]</f>
        <v>13.797106382978724</v>
      </c>
      <c r="I2517">
        <v>83.7</v>
      </c>
      <c r="J2517">
        <f>(Miami_Retail[[#This Row],[avg_temp_f]]-32) * (5/9)</f>
        <v>28.722222222222225</v>
      </c>
      <c r="K2517">
        <v>1.03</v>
      </c>
      <c r="L2517">
        <v>1</v>
      </c>
      <c r="M2517">
        <v>55</v>
      </c>
      <c r="N2517">
        <v>47</v>
      </c>
      <c r="O2517">
        <v>53</v>
      </c>
      <c r="P2517">
        <v>48</v>
      </c>
      <c r="Q2517">
        <v>52</v>
      </c>
    </row>
    <row r="2518" spans="1:17" x14ac:dyDescent="0.25">
      <c r="A2518" s="2">
        <v>45250</v>
      </c>
      <c r="B2518" s="2" t="str">
        <f t="shared" si="78"/>
        <v>Monday</v>
      </c>
      <c r="C2518" s="2" t="b">
        <f t="shared" si="79"/>
        <v>0</v>
      </c>
      <c r="D2518">
        <v>4</v>
      </c>
      <c r="E2518" t="s">
        <v>8</v>
      </c>
      <c r="F2518">
        <v>206</v>
      </c>
      <c r="G2518" s="3">
        <v>3358.62</v>
      </c>
      <c r="H2518" s="3">
        <f>Miami_Retail[[#This Row],[sales_usd]] / Miami_Retail[[#This Row],[customers]]</f>
        <v>16.303980582524272</v>
      </c>
      <c r="I2518">
        <v>78.8</v>
      </c>
      <c r="J2518">
        <f>(Miami_Retail[[#This Row],[avg_temp_f]]-32) * (5/9)</f>
        <v>26</v>
      </c>
      <c r="K2518">
        <v>0</v>
      </c>
      <c r="L2518">
        <v>0</v>
      </c>
      <c r="M2518">
        <v>59.8</v>
      </c>
      <c r="N2518">
        <v>48</v>
      </c>
      <c r="O2518">
        <v>52</v>
      </c>
      <c r="P2518">
        <v>44.9</v>
      </c>
      <c r="Q2518">
        <v>55.1</v>
      </c>
    </row>
    <row r="2519" spans="1:17" x14ac:dyDescent="0.25">
      <c r="A2519" s="2">
        <v>45251</v>
      </c>
      <c r="B2519" s="2" t="str">
        <f t="shared" si="78"/>
        <v>Tuesday</v>
      </c>
      <c r="C2519" s="2" t="b">
        <f t="shared" si="79"/>
        <v>0</v>
      </c>
      <c r="D2519">
        <v>4</v>
      </c>
      <c r="E2519" t="s">
        <v>8</v>
      </c>
      <c r="F2519">
        <v>188</v>
      </c>
      <c r="G2519" s="3">
        <v>2949.73</v>
      </c>
      <c r="H2519" s="3">
        <f>Miami_Retail[[#This Row],[sales_usd]] / Miami_Retail[[#This Row],[customers]]</f>
        <v>15.690053191489362</v>
      </c>
      <c r="I2519">
        <v>80.5</v>
      </c>
      <c r="J2519">
        <f>(Miami_Retail[[#This Row],[avg_temp_f]]-32) * (5/9)</f>
        <v>26.944444444444446</v>
      </c>
      <c r="K2519">
        <v>0</v>
      </c>
      <c r="L2519">
        <v>0</v>
      </c>
      <c r="M2519">
        <v>68.3</v>
      </c>
      <c r="N2519">
        <v>45.7</v>
      </c>
      <c r="O2519">
        <v>54.3</v>
      </c>
      <c r="P2519">
        <v>44.8</v>
      </c>
      <c r="Q2519">
        <v>55.2</v>
      </c>
    </row>
    <row r="2520" spans="1:17" x14ac:dyDescent="0.25">
      <c r="A2520" s="2">
        <v>45252</v>
      </c>
      <c r="B2520" s="2" t="str">
        <f t="shared" si="78"/>
        <v>Wednesday</v>
      </c>
      <c r="C2520" s="2" t="b">
        <f t="shared" si="79"/>
        <v>0</v>
      </c>
      <c r="D2520">
        <v>4</v>
      </c>
      <c r="E2520" t="s">
        <v>8</v>
      </c>
      <c r="F2520">
        <v>203</v>
      </c>
      <c r="G2520" s="3">
        <v>2835.58</v>
      </c>
      <c r="H2520" s="3">
        <f>Miami_Retail[[#This Row],[sales_usd]] / Miami_Retail[[#This Row],[customers]]</f>
        <v>13.968374384236453</v>
      </c>
      <c r="I2520">
        <v>83</v>
      </c>
      <c r="J2520">
        <f>(Miami_Retail[[#This Row],[avg_temp_f]]-32) * (5/9)</f>
        <v>28.333333333333336</v>
      </c>
      <c r="K2520">
        <v>0</v>
      </c>
      <c r="L2520">
        <v>0</v>
      </c>
      <c r="M2520">
        <v>58.6</v>
      </c>
      <c r="N2520">
        <v>45.2</v>
      </c>
      <c r="O2520">
        <v>54.8</v>
      </c>
      <c r="P2520">
        <v>43.3</v>
      </c>
      <c r="Q2520">
        <v>56.7</v>
      </c>
    </row>
    <row r="2521" spans="1:17" x14ac:dyDescent="0.25">
      <c r="A2521" s="2">
        <v>45253</v>
      </c>
      <c r="B2521" s="2" t="str">
        <f t="shared" si="78"/>
        <v>Thursday</v>
      </c>
      <c r="C2521" s="2" t="b">
        <f t="shared" si="79"/>
        <v>0</v>
      </c>
      <c r="D2521">
        <v>4</v>
      </c>
      <c r="E2521" t="s">
        <v>8</v>
      </c>
      <c r="F2521">
        <v>207</v>
      </c>
      <c r="G2521" s="3">
        <v>3172.98</v>
      </c>
      <c r="H2521" s="3">
        <f>Miami_Retail[[#This Row],[sales_usd]] / Miami_Retail[[#This Row],[customers]]</f>
        <v>15.32840579710145</v>
      </c>
      <c r="I2521">
        <v>80.3</v>
      </c>
      <c r="J2521">
        <f>(Miami_Retail[[#This Row],[avg_temp_f]]-32) * (5/9)</f>
        <v>26.833333333333332</v>
      </c>
      <c r="K2521">
        <v>0.1</v>
      </c>
      <c r="L2521">
        <v>1</v>
      </c>
      <c r="M2521">
        <v>69.2</v>
      </c>
      <c r="N2521">
        <v>46.7</v>
      </c>
      <c r="O2521">
        <v>53.3</v>
      </c>
      <c r="P2521">
        <v>43.5</v>
      </c>
      <c r="Q2521">
        <v>56.5</v>
      </c>
    </row>
    <row r="2522" spans="1:17" x14ac:dyDescent="0.25">
      <c r="A2522" s="2">
        <v>45254</v>
      </c>
      <c r="B2522" s="2" t="str">
        <f t="shared" si="78"/>
        <v>Friday</v>
      </c>
      <c r="C2522" s="2" t="b">
        <f t="shared" si="79"/>
        <v>0</v>
      </c>
      <c r="D2522">
        <v>4</v>
      </c>
      <c r="E2522" t="s">
        <v>8</v>
      </c>
      <c r="F2522">
        <v>205</v>
      </c>
      <c r="G2522" s="3">
        <v>3322.02</v>
      </c>
      <c r="H2522" s="3">
        <f>Miami_Retail[[#This Row],[sales_usd]] / Miami_Retail[[#This Row],[customers]]</f>
        <v>16.204975609756097</v>
      </c>
      <c r="I2522">
        <v>78.8</v>
      </c>
      <c r="J2522">
        <f>(Miami_Retail[[#This Row],[avg_temp_f]]-32) * (5/9)</f>
        <v>26</v>
      </c>
      <c r="K2522">
        <v>0</v>
      </c>
      <c r="L2522">
        <v>0</v>
      </c>
      <c r="M2522">
        <v>57.8</v>
      </c>
      <c r="N2522">
        <v>46.2</v>
      </c>
      <c r="O2522">
        <v>53.8</v>
      </c>
      <c r="P2522">
        <v>43.2</v>
      </c>
      <c r="Q2522">
        <v>56.8</v>
      </c>
    </row>
    <row r="2523" spans="1:17" x14ac:dyDescent="0.25">
      <c r="A2523" s="2">
        <v>45255</v>
      </c>
      <c r="B2523" s="2" t="str">
        <f t="shared" si="78"/>
        <v>Saturday</v>
      </c>
      <c r="C2523" s="2" t="b">
        <f t="shared" si="79"/>
        <v>1</v>
      </c>
      <c r="D2523">
        <v>4</v>
      </c>
      <c r="E2523" t="s">
        <v>8</v>
      </c>
      <c r="F2523">
        <v>231</v>
      </c>
      <c r="G2523" s="3">
        <v>3858.58</v>
      </c>
      <c r="H2523" s="3">
        <f>Miami_Retail[[#This Row],[sales_usd]] / Miami_Retail[[#This Row],[customers]]</f>
        <v>16.703809523809525</v>
      </c>
      <c r="I2523">
        <v>86.1</v>
      </c>
      <c r="J2523">
        <f>(Miami_Retail[[#This Row],[avg_temp_f]]-32) * (5/9)</f>
        <v>30.055555555555554</v>
      </c>
      <c r="K2523">
        <v>0</v>
      </c>
      <c r="L2523">
        <v>0</v>
      </c>
      <c r="M2523">
        <v>59.5</v>
      </c>
      <c r="N2523">
        <v>47.4</v>
      </c>
      <c r="O2523">
        <v>52.6</v>
      </c>
      <c r="P2523">
        <v>51.9</v>
      </c>
      <c r="Q2523">
        <v>48.1</v>
      </c>
    </row>
    <row r="2524" spans="1:17" x14ac:dyDescent="0.25">
      <c r="A2524" s="2">
        <v>45256</v>
      </c>
      <c r="B2524" s="2" t="str">
        <f t="shared" si="78"/>
        <v>Sunday</v>
      </c>
      <c r="C2524" s="2" t="b">
        <f t="shared" si="79"/>
        <v>1</v>
      </c>
      <c r="D2524">
        <v>4</v>
      </c>
      <c r="E2524" t="s">
        <v>8</v>
      </c>
      <c r="F2524">
        <v>232</v>
      </c>
      <c r="G2524" s="3">
        <v>3695.62</v>
      </c>
      <c r="H2524" s="3">
        <f>Miami_Retail[[#This Row],[sales_usd]] / Miami_Retail[[#This Row],[customers]]</f>
        <v>15.929396551724137</v>
      </c>
      <c r="I2524">
        <v>88.3</v>
      </c>
      <c r="J2524">
        <f>(Miami_Retail[[#This Row],[avg_temp_f]]-32) * (5/9)</f>
        <v>31.277777777777779</v>
      </c>
      <c r="K2524">
        <v>0</v>
      </c>
      <c r="L2524">
        <v>0</v>
      </c>
      <c r="M2524">
        <v>62.9</v>
      </c>
      <c r="N2524">
        <v>47.8</v>
      </c>
      <c r="O2524">
        <v>52.2</v>
      </c>
      <c r="P2524">
        <v>49.8</v>
      </c>
      <c r="Q2524">
        <v>50.2</v>
      </c>
    </row>
    <row r="2525" spans="1:17" x14ac:dyDescent="0.25">
      <c r="A2525" s="2">
        <v>45257</v>
      </c>
      <c r="B2525" s="2" t="str">
        <f t="shared" si="78"/>
        <v>Monday</v>
      </c>
      <c r="C2525" s="2" t="b">
        <f t="shared" si="79"/>
        <v>0</v>
      </c>
      <c r="D2525">
        <v>4</v>
      </c>
      <c r="E2525" t="s">
        <v>8</v>
      </c>
      <c r="F2525">
        <v>203</v>
      </c>
      <c r="G2525" s="3">
        <v>3213.52</v>
      </c>
      <c r="H2525" s="3">
        <f>Miami_Retail[[#This Row],[sales_usd]] / Miami_Retail[[#This Row],[customers]]</f>
        <v>15.830147783251231</v>
      </c>
      <c r="I2525">
        <v>85.7</v>
      </c>
      <c r="J2525">
        <f>(Miami_Retail[[#This Row],[avg_temp_f]]-32) * (5/9)</f>
        <v>29.833333333333336</v>
      </c>
      <c r="K2525">
        <v>0</v>
      </c>
      <c r="L2525">
        <v>0</v>
      </c>
      <c r="M2525">
        <v>48.7</v>
      </c>
      <c r="N2525">
        <v>47</v>
      </c>
      <c r="O2525">
        <v>53</v>
      </c>
      <c r="P2525">
        <v>43.1</v>
      </c>
      <c r="Q2525">
        <v>56.9</v>
      </c>
    </row>
    <row r="2526" spans="1:17" x14ac:dyDescent="0.25">
      <c r="A2526" s="2">
        <v>45258</v>
      </c>
      <c r="B2526" s="2" t="str">
        <f t="shared" si="78"/>
        <v>Tuesday</v>
      </c>
      <c r="C2526" s="2" t="b">
        <f t="shared" si="79"/>
        <v>0</v>
      </c>
      <c r="D2526">
        <v>4</v>
      </c>
      <c r="E2526" t="s">
        <v>8</v>
      </c>
      <c r="F2526">
        <v>229</v>
      </c>
      <c r="G2526" s="3">
        <v>3671.61</v>
      </c>
      <c r="H2526" s="3">
        <f>Miami_Retail[[#This Row],[sales_usd]] / Miami_Retail[[#This Row],[customers]]</f>
        <v>16.033231441048034</v>
      </c>
      <c r="I2526">
        <v>82.8</v>
      </c>
      <c r="J2526">
        <f>(Miami_Retail[[#This Row],[avg_temp_f]]-32) * (5/9)</f>
        <v>28.222222222222221</v>
      </c>
      <c r="K2526">
        <v>0</v>
      </c>
      <c r="L2526">
        <v>0</v>
      </c>
      <c r="M2526">
        <v>52.6</v>
      </c>
      <c r="N2526">
        <v>48</v>
      </c>
      <c r="O2526">
        <v>52</v>
      </c>
      <c r="P2526">
        <v>43.5</v>
      </c>
      <c r="Q2526">
        <v>56.5</v>
      </c>
    </row>
    <row r="2527" spans="1:17" x14ac:dyDescent="0.25">
      <c r="A2527" s="2">
        <v>45259</v>
      </c>
      <c r="B2527" s="2" t="str">
        <f t="shared" si="78"/>
        <v>Wednesday</v>
      </c>
      <c r="C2527" s="2" t="b">
        <f t="shared" si="79"/>
        <v>0</v>
      </c>
      <c r="D2527">
        <v>4</v>
      </c>
      <c r="E2527" t="s">
        <v>8</v>
      </c>
      <c r="F2527">
        <v>221</v>
      </c>
      <c r="G2527" s="3">
        <v>3637.52</v>
      </c>
      <c r="H2527" s="3">
        <f>Miami_Retail[[#This Row],[sales_usd]] / Miami_Retail[[#This Row],[customers]]</f>
        <v>16.459366515837104</v>
      </c>
      <c r="I2527">
        <v>81.099999999999994</v>
      </c>
      <c r="J2527">
        <f>(Miami_Retail[[#This Row],[avg_temp_f]]-32) * (5/9)</f>
        <v>27.277777777777775</v>
      </c>
      <c r="K2527">
        <v>0</v>
      </c>
      <c r="L2527">
        <v>0</v>
      </c>
      <c r="M2527">
        <v>59.2</v>
      </c>
      <c r="N2527">
        <v>47.5</v>
      </c>
      <c r="O2527">
        <v>52.5</v>
      </c>
      <c r="P2527">
        <v>43.8</v>
      </c>
      <c r="Q2527">
        <v>56.2</v>
      </c>
    </row>
    <row r="2528" spans="1:17" x14ac:dyDescent="0.25">
      <c r="A2528" s="2">
        <v>45260</v>
      </c>
      <c r="B2528" s="2" t="str">
        <f t="shared" si="78"/>
        <v>Thursday</v>
      </c>
      <c r="C2528" s="2" t="b">
        <f t="shared" si="79"/>
        <v>0</v>
      </c>
      <c r="D2528">
        <v>4</v>
      </c>
      <c r="E2528" t="s">
        <v>8</v>
      </c>
      <c r="F2528">
        <v>180</v>
      </c>
      <c r="G2528" s="3">
        <v>2633.3</v>
      </c>
      <c r="H2528" s="3">
        <f>Miami_Retail[[#This Row],[sales_usd]] / Miami_Retail[[#This Row],[customers]]</f>
        <v>14.629444444444445</v>
      </c>
      <c r="I2528">
        <v>78.099999999999994</v>
      </c>
      <c r="J2528">
        <f>(Miami_Retail[[#This Row],[avg_temp_f]]-32) * (5/9)</f>
        <v>25.611111111111111</v>
      </c>
      <c r="K2528">
        <v>0</v>
      </c>
      <c r="L2528">
        <v>0</v>
      </c>
      <c r="M2528">
        <v>57.1</v>
      </c>
      <c r="N2528">
        <v>47.7</v>
      </c>
      <c r="O2528">
        <v>52.3</v>
      </c>
      <c r="P2528">
        <v>42.9</v>
      </c>
      <c r="Q2528">
        <v>57.1</v>
      </c>
    </row>
    <row r="2529" spans="1:17" x14ac:dyDescent="0.25">
      <c r="A2529" s="2">
        <v>45261</v>
      </c>
      <c r="B2529" s="2" t="str">
        <f t="shared" si="78"/>
        <v>Friday</v>
      </c>
      <c r="C2529" s="2" t="b">
        <f t="shared" si="79"/>
        <v>0</v>
      </c>
      <c r="D2529">
        <v>4</v>
      </c>
      <c r="E2529" t="s">
        <v>8</v>
      </c>
      <c r="F2529">
        <v>176</v>
      </c>
      <c r="G2529" s="3">
        <v>2801.02</v>
      </c>
      <c r="H2529" s="3">
        <f>Miami_Retail[[#This Row],[sales_usd]] / Miami_Retail[[#This Row],[customers]]</f>
        <v>15.914886363636363</v>
      </c>
      <c r="I2529">
        <v>79</v>
      </c>
      <c r="J2529">
        <f>(Miami_Retail[[#This Row],[avg_temp_f]]-32) * (5/9)</f>
        <v>26.111111111111111</v>
      </c>
      <c r="K2529">
        <v>0</v>
      </c>
      <c r="L2529">
        <v>0</v>
      </c>
      <c r="M2529">
        <v>60.5</v>
      </c>
      <c r="N2529">
        <v>47.1</v>
      </c>
      <c r="O2529">
        <v>52.9</v>
      </c>
      <c r="P2529">
        <v>44.2</v>
      </c>
      <c r="Q2529">
        <v>55.8</v>
      </c>
    </row>
    <row r="2530" spans="1:17" x14ac:dyDescent="0.25">
      <c r="A2530" s="2">
        <v>45262</v>
      </c>
      <c r="B2530" s="2" t="str">
        <f t="shared" si="78"/>
        <v>Saturday</v>
      </c>
      <c r="C2530" s="2" t="b">
        <f t="shared" si="79"/>
        <v>1</v>
      </c>
      <c r="D2530">
        <v>4</v>
      </c>
      <c r="E2530" t="s">
        <v>8</v>
      </c>
      <c r="F2530">
        <v>248</v>
      </c>
      <c r="G2530" s="3">
        <v>4101.1400000000003</v>
      </c>
      <c r="H2530" s="3">
        <f>Miami_Retail[[#This Row],[sales_usd]] / Miami_Retail[[#This Row],[customers]]</f>
        <v>16.536854838709679</v>
      </c>
      <c r="I2530">
        <v>78.8</v>
      </c>
      <c r="J2530">
        <f>(Miami_Retail[[#This Row],[avg_temp_f]]-32) * (5/9)</f>
        <v>26</v>
      </c>
      <c r="K2530">
        <v>0</v>
      </c>
      <c r="L2530">
        <v>0</v>
      </c>
      <c r="M2530">
        <v>55.3</v>
      </c>
      <c r="N2530">
        <v>48.4</v>
      </c>
      <c r="O2530">
        <v>51.6</v>
      </c>
      <c r="P2530">
        <v>48.4</v>
      </c>
      <c r="Q2530">
        <v>51.6</v>
      </c>
    </row>
    <row r="2531" spans="1:17" x14ac:dyDescent="0.25">
      <c r="A2531" s="2">
        <v>45263</v>
      </c>
      <c r="B2531" s="2" t="str">
        <f t="shared" si="78"/>
        <v>Sunday</v>
      </c>
      <c r="C2531" s="2" t="b">
        <f t="shared" si="79"/>
        <v>1</v>
      </c>
      <c r="D2531">
        <v>4</v>
      </c>
      <c r="E2531" t="s">
        <v>8</v>
      </c>
      <c r="F2531">
        <v>230</v>
      </c>
      <c r="G2531" s="3">
        <v>3682.72</v>
      </c>
      <c r="H2531" s="3">
        <f>Miami_Retail[[#This Row],[sales_usd]] / Miami_Retail[[#This Row],[customers]]</f>
        <v>16.011826086956521</v>
      </c>
      <c r="I2531">
        <v>79.099999999999994</v>
      </c>
      <c r="J2531">
        <f>(Miami_Retail[[#This Row],[avg_temp_f]]-32) * (5/9)</f>
        <v>26.166666666666664</v>
      </c>
      <c r="K2531">
        <v>0</v>
      </c>
      <c r="L2531">
        <v>0</v>
      </c>
      <c r="M2531">
        <v>57.2</v>
      </c>
      <c r="N2531">
        <v>46.5</v>
      </c>
      <c r="O2531">
        <v>53.5</v>
      </c>
      <c r="P2531">
        <v>50.8</v>
      </c>
      <c r="Q2531">
        <v>49.2</v>
      </c>
    </row>
    <row r="2532" spans="1:17" x14ac:dyDescent="0.25">
      <c r="A2532" s="2">
        <v>45264</v>
      </c>
      <c r="B2532" s="2" t="str">
        <f t="shared" si="78"/>
        <v>Monday</v>
      </c>
      <c r="C2532" s="2" t="b">
        <f t="shared" si="79"/>
        <v>0</v>
      </c>
      <c r="D2532">
        <v>4</v>
      </c>
      <c r="E2532" t="s">
        <v>8</v>
      </c>
      <c r="F2532">
        <v>184</v>
      </c>
      <c r="G2532" s="3">
        <v>2848.73</v>
      </c>
      <c r="H2532" s="3">
        <f>Miami_Retail[[#This Row],[sales_usd]] / Miami_Retail[[#This Row],[customers]]</f>
        <v>15.482228260869565</v>
      </c>
      <c r="I2532">
        <v>76.099999999999994</v>
      </c>
      <c r="J2532">
        <f>(Miami_Retail[[#This Row],[avg_temp_f]]-32) * (5/9)</f>
        <v>24.499999999999996</v>
      </c>
      <c r="K2532">
        <v>0</v>
      </c>
      <c r="L2532">
        <v>0</v>
      </c>
      <c r="M2532">
        <v>56.2</v>
      </c>
      <c r="N2532">
        <v>46.5</v>
      </c>
      <c r="O2532">
        <v>53.5</v>
      </c>
      <c r="P2532">
        <v>46.4</v>
      </c>
      <c r="Q2532">
        <v>53.6</v>
      </c>
    </row>
    <row r="2533" spans="1:17" x14ac:dyDescent="0.25">
      <c r="A2533" s="2">
        <v>45265</v>
      </c>
      <c r="B2533" s="2" t="str">
        <f t="shared" si="78"/>
        <v>Tuesday</v>
      </c>
      <c r="C2533" s="2" t="b">
        <f t="shared" si="79"/>
        <v>0</v>
      </c>
      <c r="D2533">
        <v>4</v>
      </c>
      <c r="E2533" t="s">
        <v>8</v>
      </c>
      <c r="F2533">
        <v>217</v>
      </c>
      <c r="G2533" s="3">
        <v>3233.29</v>
      </c>
      <c r="H2533" s="3">
        <f>Miami_Retail[[#This Row],[sales_usd]] / Miami_Retail[[#This Row],[customers]]</f>
        <v>14.899953917050691</v>
      </c>
      <c r="I2533">
        <v>80.599999999999994</v>
      </c>
      <c r="J2533">
        <f>(Miami_Retail[[#This Row],[avg_temp_f]]-32) * (5/9)</f>
        <v>26.999999999999996</v>
      </c>
      <c r="K2533">
        <v>0</v>
      </c>
      <c r="L2533">
        <v>0</v>
      </c>
      <c r="M2533">
        <v>59.9</v>
      </c>
      <c r="N2533">
        <v>47.6</v>
      </c>
      <c r="O2533">
        <v>52.4</v>
      </c>
      <c r="P2533">
        <v>41.8</v>
      </c>
      <c r="Q2533">
        <v>58.2</v>
      </c>
    </row>
    <row r="2534" spans="1:17" x14ac:dyDescent="0.25">
      <c r="A2534" s="2">
        <v>45266</v>
      </c>
      <c r="B2534" s="2" t="str">
        <f t="shared" si="78"/>
        <v>Wednesday</v>
      </c>
      <c r="C2534" s="2" t="b">
        <f t="shared" si="79"/>
        <v>0</v>
      </c>
      <c r="D2534">
        <v>4</v>
      </c>
      <c r="E2534" t="s">
        <v>8</v>
      </c>
      <c r="F2534">
        <v>189</v>
      </c>
      <c r="G2534" s="3">
        <v>3343.9</v>
      </c>
      <c r="H2534" s="3">
        <f>Miami_Retail[[#This Row],[sales_usd]] / Miami_Retail[[#This Row],[customers]]</f>
        <v>17.692592592592593</v>
      </c>
      <c r="I2534">
        <v>86</v>
      </c>
      <c r="J2534">
        <f>(Miami_Retail[[#This Row],[avg_temp_f]]-32) * (5/9)</f>
        <v>30</v>
      </c>
      <c r="K2534">
        <v>0</v>
      </c>
      <c r="L2534">
        <v>0</v>
      </c>
      <c r="M2534">
        <v>48.1</v>
      </c>
      <c r="N2534">
        <v>48.1</v>
      </c>
      <c r="O2534">
        <v>51.9</v>
      </c>
      <c r="P2534">
        <v>46.4</v>
      </c>
      <c r="Q2534">
        <v>53.6</v>
      </c>
    </row>
    <row r="2535" spans="1:17" x14ac:dyDescent="0.25">
      <c r="A2535" s="2">
        <v>45267</v>
      </c>
      <c r="B2535" s="2" t="str">
        <f t="shared" si="78"/>
        <v>Thursday</v>
      </c>
      <c r="C2535" s="2" t="b">
        <f t="shared" si="79"/>
        <v>0</v>
      </c>
      <c r="D2535">
        <v>4</v>
      </c>
      <c r="E2535" t="s">
        <v>8</v>
      </c>
      <c r="F2535">
        <v>192</v>
      </c>
      <c r="G2535" s="3">
        <v>2971.39</v>
      </c>
      <c r="H2535" s="3">
        <f>Miami_Retail[[#This Row],[sales_usd]] / Miami_Retail[[#This Row],[customers]]</f>
        <v>15.475989583333332</v>
      </c>
      <c r="I2535">
        <v>78.5</v>
      </c>
      <c r="J2535">
        <f>(Miami_Retail[[#This Row],[avg_temp_f]]-32) * (5/9)</f>
        <v>25.833333333333336</v>
      </c>
      <c r="K2535">
        <v>0</v>
      </c>
      <c r="L2535">
        <v>0</v>
      </c>
      <c r="M2535">
        <v>60.7</v>
      </c>
      <c r="N2535">
        <v>46</v>
      </c>
      <c r="O2535">
        <v>54</v>
      </c>
      <c r="P2535">
        <v>42.5</v>
      </c>
      <c r="Q2535">
        <v>57.5</v>
      </c>
    </row>
    <row r="2536" spans="1:17" x14ac:dyDescent="0.25">
      <c r="A2536" s="2">
        <v>45268</v>
      </c>
      <c r="B2536" s="2" t="str">
        <f t="shared" si="78"/>
        <v>Friday</v>
      </c>
      <c r="C2536" s="2" t="b">
        <f t="shared" si="79"/>
        <v>0</v>
      </c>
      <c r="D2536">
        <v>4</v>
      </c>
      <c r="E2536" t="s">
        <v>8</v>
      </c>
      <c r="F2536">
        <v>198</v>
      </c>
      <c r="G2536" s="3">
        <v>3001.76</v>
      </c>
      <c r="H2536" s="3">
        <f>Miami_Retail[[#This Row],[sales_usd]] / Miami_Retail[[#This Row],[customers]]</f>
        <v>15.160404040404041</v>
      </c>
      <c r="I2536">
        <v>79.2</v>
      </c>
      <c r="J2536">
        <f>(Miami_Retail[[#This Row],[avg_temp_f]]-32) * (5/9)</f>
        <v>26.222222222222225</v>
      </c>
      <c r="K2536">
        <v>0</v>
      </c>
      <c r="L2536">
        <v>0</v>
      </c>
      <c r="M2536">
        <v>56.3</v>
      </c>
      <c r="N2536">
        <v>48.1</v>
      </c>
      <c r="O2536">
        <v>51.9</v>
      </c>
      <c r="P2536">
        <v>44.9</v>
      </c>
      <c r="Q2536">
        <v>55.1</v>
      </c>
    </row>
    <row r="2537" spans="1:17" x14ac:dyDescent="0.25">
      <c r="A2537" s="2">
        <v>45269</v>
      </c>
      <c r="B2537" s="2" t="str">
        <f t="shared" si="78"/>
        <v>Saturday</v>
      </c>
      <c r="C2537" s="2" t="b">
        <f t="shared" si="79"/>
        <v>1</v>
      </c>
      <c r="D2537">
        <v>4</v>
      </c>
      <c r="E2537" t="s">
        <v>8</v>
      </c>
      <c r="F2537">
        <v>205</v>
      </c>
      <c r="G2537" s="3">
        <v>2964.89</v>
      </c>
      <c r="H2537" s="3">
        <f>Miami_Retail[[#This Row],[sales_usd]] / Miami_Retail[[#This Row],[customers]]</f>
        <v>14.462878048780487</v>
      </c>
      <c r="I2537">
        <v>78.400000000000006</v>
      </c>
      <c r="J2537">
        <f>(Miami_Retail[[#This Row],[avg_temp_f]]-32) * (5/9)</f>
        <v>25.777777777777782</v>
      </c>
      <c r="K2537">
        <v>0</v>
      </c>
      <c r="L2537">
        <v>0</v>
      </c>
      <c r="M2537">
        <v>50.6</v>
      </c>
      <c r="N2537">
        <v>47.7</v>
      </c>
      <c r="O2537">
        <v>52.3</v>
      </c>
      <c r="P2537">
        <v>48.6</v>
      </c>
      <c r="Q2537">
        <v>51.4</v>
      </c>
    </row>
    <row r="2538" spans="1:17" x14ac:dyDescent="0.25">
      <c r="A2538" s="2">
        <v>45270</v>
      </c>
      <c r="B2538" s="2" t="str">
        <f t="shared" si="78"/>
        <v>Sunday</v>
      </c>
      <c r="C2538" s="2" t="b">
        <f t="shared" si="79"/>
        <v>1</v>
      </c>
      <c r="D2538">
        <v>4</v>
      </c>
      <c r="E2538" t="s">
        <v>8</v>
      </c>
      <c r="F2538">
        <v>237</v>
      </c>
      <c r="G2538" s="3">
        <v>3633.92</v>
      </c>
      <c r="H2538" s="3">
        <f>Miami_Retail[[#This Row],[sales_usd]] / Miami_Retail[[#This Row],[customers]]</f>
        <v>15.332995780590718</v>
      </c>
      <c r="I2538">
        <v>83.7</v>
      </c>
      <c r="J2538">
        <f>(Miami_Retail[[#This Row],[avg_temp_f]]-32) * (5/9)</f>
        <v>28.722222222222225</v>
      </c>
      <c r="K2538">
        <v>0</v>
      </c>
      <c r="L2538">
        <v>0</v>
      </c>
      <c r="M2538">
        <v>59.3</v>
      </c>
      <c r="N2538">
        <v>48.2</v>
      </c>
      <c r="O2538">
        <v>51.8</v>
      </c>
      <c r="P2538">
        <v>50.7</v>
      </c>
      <c r="Q2538">
        <v>49.3</v>
      </c>
    </row>
    <row r="2539" spans="1:17" x14ac:dyDescent="0.25">
      <c r="A2539" s="2">
        <v>45271</v>
      </c>
      <c r="B2539" s="2" t="str">
        <f t="shared" si="78"/>
        <v>Monday</v>
      </c>
      <c r="C2539" s="2" t="b">
        <f t="shared" si="79"/>
        <v>0</v>
      </c>
      <c r="D2539">
        <v>4</v>
      </c>
      <c r="E2539" t="s">
        <v>8</v>
      </c>
      <c r="F2539">
        <v>197</v>
      </c>
      <c r="G2539" s="3">
        <v>3033.97</v>
      </c>
      <c r="H2539" s="3">
        <f>Miami_Retail[[#This Row],[sales_usd]] / Miami_Retail[[#This Row],[customers]]</f>
        <v>15.400862944162435</v>
      </c>
      <c r="I2539">
        <v>72.8</v>
      </c>
      <c r="J2539">
        <f>(Miami_Retail[[#This Row],[avg_temp_f]]-32) * (5/9)</f>
        <v>22.666666666666668</v>
      </c>
      <c r="K2539">
        <v>0</v>
      </c>
      <c r="L2539">
        <v>0</v>
      </c>
      <c r="M2539">
        <v>52.5</v>
      </c>
      <c r="N2539">
        <v>47.1</v>
      </c>
      <c r="O2539">
        <v>52.9</v>
      </c>
      <c r="P2539">
        <v>45.1</v>
      </c>
      <c r="Q2539">
        <v>54.9</v>
      </c>
    </row>
    <row r="2540" spans="1:17" x14ac:dyDescent="0.25">
      <c r="A2540" s="2">
        <v>45272</v>
      </c>
      <c r="B2540" s="2" t="str">
        <f t="shared" si="78"/>
        <v>Tuesday</v>
      </c>
      <c r="C2540" s="2" t="b">
        <f t="shared" si="79"/>
        <v>0</v>
      </c>
      <c r="D2540">
        <v>4</v>
      </c>
      <c r="E2540" t="s">
        <v>8</v>
      </c>
      <c r="F2540">
        <v>197</v>
      </c>
      <c r="G2540" s="3">
        <v>3074.6</v>
      </c>
      <c r="H2540" s="3">
        <f>Miami_Retail[[#This Row],[sales_usd]] / Miami_Retail[[#This Row],[customers]]</f>
        <v>15.607106598984771</v>
      </c>
      <c r="I2540">
        <v>83.6</v>
      </c>
      <c r="J2540">
        <f>(Miami_Retail[[#This Row],[avg_temp_f]]-32) * (5/9)</f>
        <v>28.666666666666664</v>
      </c>
      <c r="K2540">
        <v>0</v>
      </c>
      <c r="L2540">
        <v>0</v>
      </c>
      <c r="M2540">
        <v>49.9</v>
      </c>
      <c r="N2540">
        <v>49.5</v>
      </c>
      <c r="O2540">
        <v>50.5</v>
      </c>
      <c r="P2540">
        <v>42.7</v>
      </c>
      <c r="Q2540">
        <v>57.3</v>
      </c>
    </row>
    <row r="2541" spans="1:17" x14ac:dyDescent="0.25">
      <c r="A2541" s="2">
        <v>45273</v>
      </c>
      <c r="B2541" s="2" t="str">
        <f t="shared" si="78"/>
        <v>Wednesday</v>
      </c>
      <c r="C2541" s="2" t="b">
        <f t="shared" si="79"/>
        <v>0</v>
      </c>
      <c r="D2541">
        <v>4</v>
      </c>
      <c r="E2541" t="s">
        <v>8</v>
      </c>
      <c r="F2541">
        <v>195</v>
      </c>
      <c r="G2541" s="3">
        <v>3147.09</v>
      </c>
      <c r="H2541" s="3">
        <f>Miami_Retail[[#This Row],[sales_usd]] / Miami_Retail[[#This Row],[customers]]</f>
        <v>16.138923076923078</v>
      </c>
      <c r="I2541">
        <v>78.400000000000006</v>
      </c>
      <c r="J2541">
        <f>(Miami_Retail[[#This Row],[avg_temp_f]]-32) * (5/9)</f>
        <v>25.777777777777782</v>
      </c>
      <c r="K2541">
        <v>0</v>
      </c>
      <c r="L2541">
        <v>0</v>
      </c>
      <c r="M2541">
        <v>57</v>
      </c>
      <c r="N2541">
        <v>47.9</v>
      </c>
      <c r="O2541">
        <v>52.1</v>
      </c>
      <c r="P2541">
        <v>43.7</v>
      </c>
      <c r="Q2541">
        <v>56.3</v>
      </c>
    </row>
    <row r="2542" spans="1:17" x14ac:dyDescent="0.25">
      <c r="A2542" s="2">
        <v>45274</v>
      </c>
      <c r="B2542" s="2" t="str">
        <f t="shared" si="78"/>
        <v>Thursday</v>
      </c>
      <c r="C2542" s="2" t="b">
        <f t="shared" si="79"/>
        <v>0</v>
      </c>
      <c r="D2542">
        <v>4</v>
      </c>
      <c r="E2542" t="s">
        <v>8</v>
      </c>
      <c r="F2542">
        <v>204</v>
      </c>
      <c r="G2542" s="3">
        <v>3467.11</v>
      </c>
      <c r="H2542" s="3">
        <f>Miami_Retail[[#This Row],[sales_usd]] / Miami_Retail[[#This Row],[customers]]</f>
        <v>16.995637254901961</v>
      </c>
      <c r="I2542">
        <v>78.2</v>
      </c>
      <c r="J2542">
        <f>(Miami_Retail[[#This Row],[avg_temp_f]]-32) * (5/9)</f>
        <v>25.666666666666668</v>
      </c>
      <c r="K2542">
        <v>0</v>
      </c>
      <c r="L2542">
        <v>0</v>
      </c>
      <c r="M2542">
        <v>49.2</v>
      </c>
      <c r="N2542">
        <v>48.5</v>
      </c>
      <c r="O2542">
        <v>51.5</v>
      </c>
      <c r="P2542">
        <v>44.5</v>
      </c>
      <c r="Q2542">
        <v>55.5</v>
      </c>
    </row>
    <row r="2543" spans="1:17" x14ac:dyDescent="0.25">
      <c r="A2543" s="2">
        <v>45275</v>
      </c>
      <c r="B2543" s="2" t="str">
        <f t="shared" si="78"/>
        <v>Friday</v>
      </c>
      <c r="C2543" s="2" t="b">
        <f t="shared" si="79"/>
        <v>0</v>
      </c>
      <c r="D2543">
        <v>4</v>
      </c>
      <c r="E2543" t="s">
        <v>8</v>
      </c>
      <c r="F2543">
        <v>172</v>
      </c>
      <c r="G2543" s="3">
        <v>2518.88</v>
      </c>
      <c r="H2543" s="3">
        <f>Miami_Retail[[#This Row],[sales_usd]] / Miami_Retail[[#This Row],[customers]]</f>
        <v>14.644651162790698</v>
      </c>
      <c r="I2543">
        <v>73.3</v>
      </c>
      <c r="J2543">
        <f>(Miami_Retail[[#This Row],[avg_temp_f]]-32) * (5/9)</f>
        <v>22.944444444444443</v>
      </c>
      <c r="K2543">
        <v>0</v>
      </c>
      <c r="L2543">
        <v>0</v>
      </c>
      <c r="M2543">
        <v>45</v>
      </c>
      <c r="N2543">
        <v>47.2</v>
      </c>
      <c r="O2543">
        <v>52.8</v>
      </c>
      <c r="P2543">
        <v>44.4</v>
      </c>
      <c r="Q2543">
        <v>55.6</v>
      </c>
    </row>
    <row r="2544" spans="1:17" x14ac:dyDescent="0.25">
      <c r="A2544" s="2">
        <v>45276</v>
      </c>
      <c r="B2544" s="2" t="str">
        <f t="shared" si="78"/>
        <v>Saturday</v>
      </c>
      <c r="C2544" s="2" t="b">
        <f t="shared" si="79"/>
        <v>1</v>
      </c>
      <c r="D2544">
        <v>4</v>
      </c>
      <c r="E2544" t="s">
        <v>8</v>
      </c>
      <c r="F2544">
        <v>223</v>
      </c>
      <c r="G2544" s="3">
        <v>3440.79</v>
      </c>
      <c r="H2544" s="3">
        <f>Miami_Retail[[#This Row],[sales_usd]] / Miami_Retail[[#This Row],[customers]]</f>
        <v>15.429551569506726</v>
      </c>
      <c r="I2544">
        <v>78.3</v>
      </c>
      <c r="J2544">
        <f>(Miami_Retail[[#This Row],[avg_temp_f]]-32) * (5/9)</f>
        <v>25.722222222222221</v>
      </c>
      <c r="K2544">
        <v>0</v>
      </c>
      <c r="L2544">
        <v>0</v>
      </c>
      <c r="M2544">
        <v>54.7</v>
      </c>
      <c r="N2544">
        <v>50.4</v>
      </c>
      <c r="O2544">
        <v>49.6</v>
      </c>
      <c r="P2544">
        <v>51.4</v>
      </c>
      <c r="Q2544">
        <v>48.6</v>
      </c>
    </row>
    <row r="2545" spans="1:17" x14ac:dyDescent="0.25">
      <c r="A2545" s="2">
        <v>45277</v>
      </c>
      <c r="B2545" s="2" t="str">
        <f t="shared" si="78"/>
        <v>Sunday</v>
      </c>
      <c r="C2545" s="2" t="b">
        <f t="shared" si="79"/>
        <v>1</v>
      </c>
      <c r="D2545">
        <v>4</v>
      </c>
      <c r="E2545" t="s">
        <v>8</v>
      </c>
      <c r="F2545">
        <v>189</v>
      </c>
      <c r="G2545" s="3">
        <v>2958.51</v>
      </c>
      <c r="H2545" s="3">
        <f>Miami_Retail[[#This Row],[sales_usd]] / Miami_Retail[[#This Row],[customers]]</f>
        <v>15.653492063492065</v>
      </c>
      <c r="I2545">
        <v>74.900000000000006</v>
      </c>
      <c r="J2545">
        <f>(Miami_Retail[[#This Row],[avg_temp_f]]-32) * (5/9)</f>
        <v>23.833333333333339</v>
      </c>
      <c r="K2545">
        <v>0.45</v>
      </c>
      <c r="L2545">
        <v>1</v>
      </c>
      <c r="M2545">
        <v>53.7</v>
      </c>
      <c r="N2545">
        <v>47.2</v>
      </c>
      <c r="O2545">
        <v>52.8</v>
      </c>
      <c r="P2545">
        <v>51.1</v>
      </c>
      <c r="Q2545">
        <v>48.9</v>
      </c>
    </row>
    <row r="2546" spans="1:17" x14ac:dyDescent="0.25">
      <c r="A2546" s="2">
        <v>45278</v>
      </c>
      <c r="B2546" s="2" t="str">
        <f t="shared" si="78"/>
        <v>Monday</v>
      </c>
      <c r="C2546" s="2" t="b">
        <f t="shared" si="79"/>
        <v>0</v>
      </c>
      <c r="D2546">
        <v>4</v>
      </c>
      <c r="E2546" t="s">
        <v>8</v>
      </c>
      <c r="F2546">
        <v>170</v>
      </c>
      <c r="G2546" s="3">
        <v>2638.63</v>
      </c>
      <c r="H2546" s="3">
        <f>Miami_Retail[[#This Row],[sales_usd]] / Miami_Retail[[#This Row],[customers]]</f>
        <v>15.52135294117647</v>
      </c>
      <c r="I2546">
        <v>69.900000000000006</v>
      </c>
      <c r="J2546">
        <f>(Miami_Retail[[#This Row],[avg_temp_f]]-32) * (5/9)</f>
        <v>21.055555555555561</v>
      </c>
      <c r="K2546">
        <v>0</v>
      </c>
      <c r="L2546">
        <v>0</v>
      </c>
      <c r="M2546">
        <v>44</v>
      </c>
      <c r="N2546">
        <v>47.4</v>
      </c>
      <c r="O2546">
        <v>52.6</v>
      </c>
      <c r="P2546">
        <v>45.5</v>
      </c>
      <c r="Q2546">
        <v>54.5</v>
      </c>
    </row>
    <row r="2547" spans="1:17" x14ac:dyDescent="0.25">
      <c r="A2547" s="2">
        <v>45279</v>
      </c>
      <c r="B2547" s="2" t="str">
        <f t="shared" si="78"/>
        <v>Tuesday</v>
      </c>
      <c r="C2547" s="2" t="b">
        <f t="shared" si="79"/>
        <v>0</v>
      </c>
      <c r="D2547">
        <v>4</v>
      </c>
      <c r="E2547" t="s">
        <v>8</v>
      </c>
      <c r="F2547">
        <v>180</v>
      </c>
      <c r="G2547" s="3">
        <v>2460.9899999999998</v>
      </c>
      <c r="H2547" s="3">
        <f>Miami_Retail[[#This Row],[sales_usd]] / Miami_Retail[[#This Row],[customers]]</f>
        <v>13.672166666666666</v>
      </c>
      <c r="I2547">
        <v>76</v>
      </c>
      <c r="J2547">
        <f>(Miami_Retail[[#This Row],[avg_temp_f]]-32) * (5/9)</f>
        <v>24.444444444444446</v>
      </c>
      <c r="K2547">
        <v>0</v>
      </c>
      <c r="L2547">
        <v>0</v>
      </c>
      <c r="M2547">
        <v>54.3</v>
      </c>
      <c r="N2547">
        <v>48.2</v>
      </c>
      <c r="O2547">
        <v>51.8</v>
      </c>
      <c r="P2547">
        <v>43.5</v>
      </c>
      <c r="Q2547">
        <v>56.5</v>
      </c>
    </row>
    <row r="2548" spans="1:17" x14ac:dyDescent="0.25">
      <c r="A2548" s="2">
        <v>45280</v>
      </c>
      <c r="B2548" s="2" t="str">
        <f t="shared" si="78"/>
        <v>Wednesday</v>
      </c>
      <c r="C2548" s="2" t="b">
        <f t="shared" si="79"/>
        <v>0</v>
      </c>
      <c r="D2548">
        <v>4</v>
      </c>
      <c r="E2548" t="s">
        <v>8</v>
      </c>
      <c r="F2548">
        <v>203</v>
      </c>
      <c r="G2548" s="3">
        <v>3235.99</v>
      </c>
      <c r="H2548" s="3">
        <f>Miami_Retail[[#This Row],[sales_usd]] / Miami_Retail[[#This Row],[customers]]</f>
        <v>15.940837438423644</v>
      </c>
      <c r="I2548">
        <v>76.900000000000006</v>
      </c>
      <c r="J2548">
        <f>(Miami_Retail[[#This Row],[avg_temp_f]]-32) * (5/9)</f>
        <v>24.94444444444445</v>
      </c>
      <c r="K2548">
        <v>0</v>
      </c>
      <c r="L2548">
        <v>0</v>
      </c>
      <c r="M2548">
        <v>52</v>
      </c>
      <c r="N2548">
        <v>48.7</v>
      </c>
      <c r="O2548">
        <v>51.3</v>
      </c>
      <c r="P2548">
        <v>43.2</v>
      </c>
      <c r="Q2548">
        <v>56.8</v>
      </c>
    </row>
    <row r="2549" spans="1:17" x14ac:dyDescent="0.25">
      <c r="A2549" s="2">
        <v>45281</v>
      </c>
      <c r="B2549" s="2" t="str">
        <f t="shared" si="78"/>
        <v>Thursday</v>
      </c>
      <c r="C2549" s="2" t="b">
        <f t="shared" si="79"/>
        <v>0</v>
      </c>
      <c r="D2549">
        <v>4</v>
      </c>
      <c r="E2549" t="s">
        <v>8</v>
      </c>
      <c r="F2549">
        <v>196</v>
      </c>
      <c r="G2549" s="3">
        <v>3259.17</v>
      </c>
      <c r="H2549" s="3">
        <f>Miami_Retail[[#This Row],[sales_usd]] / Miami_Retail[[#This Row],[customers]]</f>
        <v>16.628418367346939</v>
      </c>
      <c r="I2549">
        <v>79.2</v>
      </c>
      <c r="J2549">
        <f>(Miami_Retail[[#This Row],[avg_temp_f]]-32) * (5/9)</f>
        <v>26.222222222222225</v>
      </c>
      <c r="K2549">
        <v>2.35</v>
      </c>
      <c r="L2549">
        <v>1</v>
      </c>
      <c r="M2549">
        <v>47.7</v>
      </c>
      <c r="N2549">
        <v>48.9</v>
      </c>
      <c r="O2549">
        <v>51.1</v>
      </c>
      <c r="P2549">
        <v>43</v>
      </c>
      <c r="Q2549">
        <v>57</v>
      </c>
    </row>
    <row r="2550" spans="1:17" x14ac:dyDescent="0.25">
      <c r="A2550" s="2">
        <v>45282</v>
      </c>
      <c r="B2550" s="2" t="str">
        <f t="shared" si="78"/>
        <v>Friday</v>
      </c>
      <c r="C2550" s="2" t="b">
        <f t="shared" si="79"/>
        <v>0</v>
      </c>
      <c r="D2550">
        <v>4</v>
      </c>
      <c r="E2550" t="s">
        <v>8</v>
      </c>
      <c r="F2550">
        <v>182</v>
      </c>
      <c r="G2550" s="3">
        <v>2817.04</v>
      </c>
      <c r="H2550" s="3">
        <f>Miami_Retail[[#This Row],[sales_usd]] / Miami_Retail[[#This Row],[customers]]</f>
        <v>15.478241758241758</v>
      </c>
      <c r="I2550">
        <v>75.400000000000006</v>
      </c>
      <c r="J2550">
        <f>(Miami_Retail[[#This Row],[avg_temp_f]]-32) * (5/9)</f>
        <v>24.111111111111114</v>
      </c>
      <c r="K2550">
        <v>0</v>
      </c>
      <c r="L2550">
        <v>0</v>
      </c>
      <c r="M2550">
        <v>35</v>
      </c>
      <c r="N2550">
        <v>48.2</v>
      </c>
      <c r="O2550">
        <v>51.8</v>
      </c>
      <c r="P2550">
        <v>45.2</v>
      </c>
      <c r="Q2550">
        <v>54.8</v>
      </c>
    </row>
    <row r="2551" spans="1:17" x14ac:dyDescent="0.25">
      <c r="A2551" s="2">
        <v>45283</v>
      </c>
      <c r="B2551" s="2" t="str">
        <f t="shared" si="78"/>
        <v>Saturday</v>
      </c>
      <c r="C2551" s="2" t="b">
        <f t="shared" si="79"/>
        <v>1</v>
      </c>
      <c r="D2551">
        <v>4</v>
      </c>
      <c r="E2551" t="s">
        <v>8</v>
      </c>
      <c r="F2551">
        <v>232</v>
      </c>
      <c r="G2551" s="3">
        <v>3240.33</v>
      </c>
      <c r="H2551" s="3">
        <f>Miami_Retail[[#This Row],[sales_usd]] / Miami_Retail[[#This Row],[customers]]</f>
        <v>13.966939655172414</v>
      </c>
      <c r="I2551">
        <v>77.3</v>
      </c>
      <c r="J2551">
        <f>(Miami_Retail[[#This Row],[avg_temp_f]]-32) * (5/9)</f>
        <v>25.166666666666668</v>
      </c>
      <c r="K2551">
        <v>0</v>
      </c>
      <c r="L2551">
        <v>0</v>
      </c>
      <c r="M2551">
        <v>51</v>
      </c>
      <c r="N2551">
        <v>50.3</v>
      </c>
      <c r="O2551">
        <v>49.7</v>
      </c>
      <c r="P2551">
        <v>50.7</v>
      </c>
      <c r="Q2551">
        <v>49.3</v>
      </c>
    </row>
    <row r="2552" spans="1:17" x14ac:dyDescent="0.25">
      <c r="A2552" s="2">
        <v>45284</v>
      </c>
      <c r="B2552" s="2" t="str">
        <f t="shared" si="78"/>
        <v>Sunday</v>
      </c>
      <c r="C2552" s="2" t="b">
        <f t="shared" si="79"/>
        <v>1</v>
      </c>
      <c r="D2552">
        <v>4</v>
      </c>
      <c r="E2552" t="s">
        <v>8</v>
      </c>
      <c r="F2552">
        <v>206</v>
      </c>
      <c r="G2552" s="3">
        <v>3391.43</v>
      </c>
      <c r="H2552" s="3">
        <f>Miami_Retail[[#This Row],[sales_usd]] / Miami_Retail[[#This Row],[customers]]</f>
        <v>16.463252427184464</v>
      </c>
      <c r="I2552">
        <v>70.8</v>
      </c>
      <c r="J2552">
        <f>(Miami_Retail[[#This Row],[avg_temp_f]]-32) * (5/9)</f>
        <v>21.555555555555554</v>
      </c>
      <c r="K2552">
        <v>0</v>
      </c>
      <c r="L2552">
        <v>0</v>
      </c>
      <c r="M2552">
        <v>49</v>
      </c>
      <c r="N2552">
        <v>49.6</v>
      </c>
      <c r="O2552">
        <v>50.4</v>
      </c>
      <c r="P2552">
        <v>49.6</v>
      </c>
      <c r="Q2552">
        <v>50.4</v>
      </c>
    </row>
    <row r="2553" spans="1:17" x14ac:dyDescent="0.25">
      <c r="A2553" s="2">
        <v>45285</v>
      </c>
      <c r="B2553" s="2" t="str">
        <f t="shared" si="78"/>
        <v>Monday</v>
      </c>
      <c r="C2553" s="2" t="b">
        <f t="shared" si="79"/>
        <v>0</v>
      </c>
      <c r="D2553">
        <v>4</v>
      </c>
      <c r="E2553" t="s">
        <v>8</v>
      </c>
      <c r="F2553">
        <v>187</v>
      </c>
      <c r="G2553" s="3">
        <v>2881.98</v>
      </c>
      <c r="H2553" s="3">
        <f>Miami_Retail[[#This Row],[sales_usd]] / Miami_Retail[[#This Row],[customers]]</f>
        <v>15.411657754010696</v>
      </c>
      <c r="I2553">
        <v>80.8</v>
      </c>
      <c r="J2553">
        <f>(Miami_Retail[[#This Row],[avg_temp_f]]-32) * (5/9)</f>
        <v>27.111111111111111</v>
      </c>
      <c r="K2553">
        <v>0</v>
      </c>
      <c r="L2553">
        <v>0</v>
      </c>
      <c r="M2553">
        <v>50.1</v>
      </c>
      <c r="N2553">
        <v>47.7</v>
      </c>
      <c r="O2553">
        <v>52.3</v>
      </c>
      <c r="P2553">
        <v>44.9</v>
      </c>
      <c r="Q2553">
        <v>55.1</v>
      </c>
    </row>
    <row r="2554" spans="1:17" x14ac:dyDescent="0.25">
      <c r="A2554" s="2">
        <v>45286</v>
      </c>
      <c r="B2554" s="2" t="str">
        <f t="shared" si="78"/>
        <v>Tuesday</v>
      </c>
      <c r="C2554" s="2" t="b">
        <f t="shared" si="79"/>
        <v>0</v>
      </c>
      <c r="D2554">
        <v>4</v>
      </c>
      <c r="E2554" t="s">
        <v>8</v>
      </c>
      <c r="F2554">
        <v>153</v>
      </c>
      <c r="G2554" s="3">
        <v>2249.65</v>
      </c>
      <c r="H2554" s="3">
        <f>Miami_Retail[[#This Row],[sales_usd]] / Miami_Retail[[#This Row],[customers]]</f>
        <v>14.70359477124183</v>
      </c>
      <c r="I2554">
        <v>69.8</v>
      </c>
      <c r="J2554">
        <f>(Miami_Retail[[#This Row],[avg_temp_f]]-32) * (5/9)</f>
        <v>21</v>
      </c>
      <c r="K2554">
        <v>0</v>
      </c>
      <c r="L2554">
        <v>0</v>
      </c>
      <c r="M2554">
        <v>48.9</v>
      </c>
      <c r="N2554">
        <v>47.2</v>
      </c>
      <c r="O2554">
        <v>52.8</v>
      </c>
      <c r="P2554">
        <v>43.5</v>
      </c>
      <c r="Q2554">
        <v>56.5</v>
      </c>
    </row>
    <row r="2555" spans="1:17" x14ac:dyDescent="0.25">
      <c r="A2555" s="2">
        <v>45287</v>
      </c>
      <c r="B2555" s="2" t="str">
        <f t="shared" si="78"/>
        <v>Wednesday</v>
      </c>
      <c r="C2555" s="2" t="b">
        <f t="shared" si="79"/>
        <v>0</v>
      </c>
      <c r="D2555">
        <v>4</v>
      </c>
      <c r="E2555" t="s">
        <v>8</v>
      </c>
      <c r="F2555">
        <v>220</v>
      </c>
      <c r="G2555" s="3">
        <v>3418.68</v>
      </c>
      <c r="H2555" s="3">
        <f>Miami_Retail[[#This Row],[sales_usd]] / Miami_Retail[[#This Row],[customers]]</f>
        <v>15.539454545454545</v>
      </c>
      <c r="I2555">
        <v>80.099999999999994</v>
      </c>
      <c r="J2555">
        <f>(Miami_Retail[[#This Row],[avg_temp_f]]-32) * (5/9)</f>
        <v>26.722222222222221</v>
      </c>
      <c r="K2555">
        <v>0</v>
      </c>
      <c r="L2555">
        <v>0</v>
      </c>
      <c r="M2555">
        <v>53.3</v>
      </c>
      <c r="N2555">
        <v>49.1</v>
      </c>
      <c r="O2555">
        <v>50.9</v>
      </c>
      <c r="P2555">
        <v>45</v>
      </c>
      <c r="Q2555">
        <v>55</v>
      </c>
    </row>
    <row r="2556" spans="1:17" x14ac:dyDescent="0.25">
      <c r="A2556" s="2">
        <v>45288</v>
      </c>
      <c r="B2556" s="2" t="str">
        <f t="shared" si="78"/>
        <v>Thursday</v>
      </c>
      <c r="C2556" s="2" t="b">
        <f t="shared" si="79"/>
        <v>0</v>
      </c>
      <c r="D2556">
        <v>4</v>
      </c>
      <c r="E2556" t="s">
        <v>8</v>
      </c>
      <c r="F2556">
        <v>164</v>
      </c>
      <c r="G2556" s="3">
        <v>2467.6999999999998</v>
      </c>
      <c r="H2556" s="3">
        <f>Miami_Retail[[#This Row],[sales_usd]] / Miami_Retail[[#This Row],[customers]]</f>
        <v>15.046951219512193</v>
      </c>
      <c r="I2556">
        <v>75.099999999999994</v>
      </c>
      <c r="J2556">
        <f>(Miami_Retail[[#This Row],[avg_temp_f]]-32) * (5/9)</f>
        <v>23.944444444444443</v>
      </c>
      <c r="K2556">
        <v>0</v>
      </c>
      <c r="L2556">
        <v>0</v>
      </c>
      <c r="M2556">
        <v>53.3</v>
      </c>
      <c r="N2556">
        <v>48.8</v>
      </c>
      <c r="O2556">
        <v>51.2</v>
      </c>
      <c r="P2556">
        <v>44.5</v>
      </c>
      <c r="Q2556">
        <v>55.5</v>
      </c>
    </row>
    <row r="2557" spans="1:17" x14ac:dyDescent="0.25">
      <c r="A2557" s="2">
        <v>45289</v>
      </c>
      <c r="B2557" s="2" t="str">
        <f t="shared" si="78"/>
        <v>Friday</v>
      </c>
      <c r="C2557" s="2" t="b">
        <f t="shared" si="79"/>
        <v>0</v>
      </c>
      <c r="D2557">
        <v>4</v>
      </c>
      <c r="E2557" t="s">
        <v>8</v>
      </c>
      <c r="F2557">
        <v>207</v>
      </c>
      <c r="G2557" s="3">
        <v>3136.81</v>
      </c>
      <c r="H2557" s="3">
        <f>Miami_Retail[[#This Row],[sales_usd]] / Miami_Retail[[#This Row],[customers]]</f>
        <v>15.153671497584542</v>
      </c>
      <c r="I2557">
        <v>72.900000000000006</v>
      </c>
      <c r="J2557">
        <f>(Miami_Retail[[#This Row],[avg_temp_f]]-32) * (5/9)</f>
        <v>22.722222222222225</v>
      </c>
      <c r="K2557">
        <v>0</v>
      </c>
      <c r="L2557">
        <v>0</v>
      </c>
      <c r="M2557">
        <v>47.4</v>
      </c>
      <c r="N2557">
        <v>48.1</v>
      </c>
      <c r="O2557">
        <v>51.9</v>
      </c>
      <c r="P2557">
        <v>43.5</v>
      </c>
      <c r="Q2557">
        <v>56.5</v>
      </c>
    </row>
    <row r="2558" spans="1:17" x14ac:dyDescent="0.25">
      <c r="A2558" s="2">
        <v>45290</v>
      </c>
      <c r="B2558" s="2" t="str">
        <f t="shared" si="78"/>
        <v>Saturday</v>
      </c>
      <c r="C2558" s="2" t="b">
        <f t="shared" si="79"/>
        <v>1</v>
      </c>
      <c r="D2558">
        <v>4</v>
      </c>
      <c r="E2558" t="s">
        <v>8</v>
      </c>
      <c r="F2558">
        <v>161</v>
      </c>
      <c r="G2558" s="3">
        <v>2783.26</v>
      </c>
      <c r="H2558" s="3">
        <f>Miami_Retail[[#This Row],[sales_usd]] / Miami_Retail[[#This Row],[customers]]</f>
        <v>17.287329192546586</v>
      </c>
      <c r="I2558">
        <v>75.099999999999994</v>
      </c>
      <c r="J2558">
        <f>(Miami_Retail[[#This Row],[avg_temp_f]]-32) * (5/9)</f>
        <v>23.944444444444443</v>
      </c>
      <c r="K2558">
        <v>0</v>
      </c>
      <c r="L2558">
        <v>0</v>
      </c>
      <c r="M2558">
        <v>40.5</v>
      </c>
      <c r="N2558">
        <v>50.2</v>
      </c>
      <c r="O2558">
        <v>49.8</v>
      </c>
      <c r="P2558">
        <v>49.9</v>
      </c>
      <c r="Q2558">
        <v>50.1</v>
      </c>
    </row>
    <row r="2559" spans="1:17" x14ac:dyDescent="0.25">
      <c r="A2559" s="2">
        <v>45291</v>
      </c>
      <c r="B2559" s="2" t="str">
        <f t="shared" si="78"/>
        <v>Sunday</v>
      </c>
      <c r="C2559" s="2" t="b">
        <f t="shared" si="79"/>
        <v>1</v>
      </c>
      <c r="D2559">
        <v>4</v>
      </c>
      <c r="E2559" t="s">
        <v>8</v>
      </c>
      <c r="F2559">
        <v>229</v>
      </c>
      <c r="G2559" s="3">
        <v>3734.14</v>
      </c>
      <c r="H2559" s="3">
        <f>Miami_Retail[[#This Row],[sales_usd]] / Miami_Retail[[#This Row],[customers]]</f>
        <v>16.306288209606986</v>
      </c>
      <c r="I2559">
        <v>77.2</v>
      </c>
      <c r="J2559">
        <f>(Miami_Retail[[#This Row],[avg_temp_f]]-32) * (5/9)</f>
        <v>25.111111111111114</v>
      </c>
      <c r="K2559">
        <v>0</v>
      </c>
      <c r="L2559">
        <v>0</v>
      </c>
      <c r="M2559">
        <v>37.799999999999997</v>
      </c>
      <c r="N2559">
        <v>49</v>
      </c>
      <c r="O2559">
        <v>51</v>
      </c>
      <c r="P2559">
        <v>49.5</v>
      </c>
      <c r="Q2559">
        <v>50.5</v>
      </c>
    </row>
    <row r="2560" spans="1:17" x14ac:dyDescent="0.25">
      <c r="A2560" s="2">
        <v>45292</v>
      </c>
      <c r="B2560" s="2" t="str">
        <f t="shared" si="78"/>
        <v>Monday</v>
      </c>
      <c r="C2560" s="2" t="b">
        <f t="shared" si="79"/>
        <v>0</v>
      </c>
      <c r="D2560">
        <v>4</v>
      </c>
      <c r="E2560" t="s">
        <v>8</v>
      </c>
      <c r="F2560">
        <v>170</v>
      </c>
      <c r="G2560" s="3">
        <v>2557.33</v>
      </c>
      <c r="H2560" s="3">
        <f>Miami_Retail[[#This Row],[sales_usd]] / Miami_Retail[[#This Row],[customers]]</f>
        <v>15.043117647058823</v>
      </c>
      <c r="I2560">
        <v>74.400000000000006</v>
      </c>
      <c r="J2560">
        <f>(Miami_Retail[[#This Row],[avg_temp_f]]-32) * (5/9)</f>
        <v>23.555555555555561</v>
      </c>
      <c r="K2560">
        <v>0.67</v>
      </c>
      <c r="L2560">
        <v>1</v>
      </c>
      <c r="M2560">
        <v>49.5</v>
      </c>
      <c r="N2560">
        <v>46.7</v>
      </c>
      <c r="O2560">
        <v>53.3</v>
      </c>
      <c r="P2560">
        <v>45.3</v>
      </c>
      <c r="Q2560">
        <v>54.7</v>
      </c>
    </row>
    <row r="2561" spans="1:17" x14ac:dyDescent="0.25">
      <c r="A2561" s="2">
        <v>45293</v>
      </c>
      <c r="B2561" s="2" t="str">
        <f t="shared" si="78"/>
        <v>Tuesday</v>
      </c>
      <c r="C2561" s="2" t="b">
        <f t="shared" si="79"/>
        <v>0</v>
      </c>
      <c r="D2561">
        <v>4</v>
      </c>
      <c r="E2561" t="s">
        <v>8</v>
      </c>
      <c r="F2561">
        <v>170</v>
      </c>
      <c r="G2561" s="3">
        <v>2640.27</v>
      </c>
      <c r="H2561" s="3">
        <f>Miami_Retail[[#This Row],[sales_usd]] / Miami_Retail[[#This Row],[customers]]</f>
        <v>15.531000000000001</v>
      </c>
      <c r="I2561">
        <v>73.900000000000006</v>
      </c>
      <c r="J2561">
        <f>(Miami_Retail[[#This Row],[avg_temp_f]]-32) * (5/9)</f>
        <v>23.277777777777782</v>
      </c>
      <c r="K2561">
        <v>0</v>
      </c>
      <c r="L2561">
        <v>0</v>
      </c>
      <c r="M2561">
        <v>45.8</v>
      </c>
      <c r="N2561">
        <v>47.2</v>
      </c>
      <c r="O2561">
        <v>52.8</v>
      </c>
      <c r="P2561">
        <v>45.2</v>
      </c>
      <c r="Q2561">
        <v>54.8</v>
      </c>
    </row>
    <row r="2562" spans="1:17" x14ac:dyDescent="0.25">
      <c r="A2562" s="2">
        <v>45294</v>
      </c>
      <c r="B2562" s="2" t="str">
        <f t="shared" ref="B2562:B2625" si="80">TEXT(A2562, "dddd")</f>
        <v>Wednesday</v>
      </c>
      <c r="C2562" s="2" t="b">
        <f t="shared" ref="C2562:C2625" si="81">IF(WEEKDAY(A2562,2)&gt;5,TRUE,FALSE)</f>
        <v>0</v>
      </c>
      <c r="D2562">
        <v>4</v>
      </c>
      <c r="E2562" t="s">
        <v>8</v>
      </c>
      <c r="F2562">
        <v>186</v>
      </c>
      <c r="G2562" s="3">
        <v>2941.56</v>
      </c>
      <c r="H2562" s="3">
        <f>Miami_Retail[[#This Row],[sales_usd]] / Miami_Retail[[#This Row],[customers]]</f>
        <v>15.814838709677419</v>
      </c>
      <c r="I2562">
        <v>72.5</v>
      </c>
      <c r="J2562">
        <f>(Miami_Retail[[#This Row],[avg_temp_f]]-32) * (5/9)</f>
        <v>22.5</v>
      </c>
      <c r="K2562">
        <v>0.04</v>
      </c>
      <c r="L2562">
        <v>1</v>
      </c>
      <c r="M2562">
        <v>38.299999999999997</v>
      </c>
      <c r="N2562">
        <v>48.8</v>
      </c>
      <c r="O2562">
        <v>51.2</v>
      </c>
      <c r="P2562">
        <v>44.3</v>
      </c>
      <c r="Q2562">
        <v>55.7</v>
      </c>
    </row>
    <row r="2563" spans="1:17" x14ac:dyDescent="0.25">
      <c r="A2563" s="2">
        <v>45295</v>
      </c>
      <c r="B2563" s="2" t="str">
        <f t="shared" si="80"/>
        <v>Thursday</v>
      </c>
      <c r="C2563" s="2" t="b">
        <f t="shared" si="81"/>
        <v>0</v>
      </c>
      <c r="D2563">
        <v>4</v>
      </c>
      <c r="E2563" t="s">
        <v>8</v>
      </c>
      <c r="F2563">
        <v>173</v>
      </c>
      <c r="G2563" s="3">
        <v>2875.97</v>
      </c>
      <c r="H2563" s="3">
        <f>Miami_Retail[[#This Row],[sales_usd]] / Miami_Retail[[#This Row],[customers]]</f>
        <v>16.624104046242774</v>
      </c>
      <c r="I2563">
        <v>73.8</v>
      </c>
      <c r="J2563">
        <f>(Miami_Retail[[#This Row],[avg_temp_f]]-32) * (5/9)</f>
        <v>23.222222222222221</v>
      </c>
      <c r="K2563">
        <v>1.57</v>
      </c>
      <c r="L2563">
        <v>1</v>
      </c>
      <c r="M2563">
        <v>43.7</v>
      </c>
      <c r="N2563">
        <v>50.4</v>
      </c>
      <c r="O2563">
        <v>49.6</v>
      </c>
      <c r="P2563">
        <v>45.4</v>
      </c>
      <c r="Q2563">
        <v>54.6</v>
      </c>
    </row>
    <row r="2564" spans="1:17" x14ac:dyDescent="0.25">
      <c r="A2564" s="2">
        <v>45296</v>
      </c>
      <c r="B2564" s="2" t="str">
        <f t="shared" si="80"/>
        <v>Friday</v>
      </c>
      <c r="C2564" s="2" t="b">
        <f t="shared" si="81"/>
        <v>0</v>
      </c>
      <c r="D2564">
        <v>4</v>
      </c>
      <c r="E2564" t="s">
        <v>8</v>
      </c>
      <c r="F2564">
        <v>149</v>
      </c>
      <c r="G2564" s="3">
        <v>2481.15</v>
      </c>
      <c r="H2564" s="3">
        <f>Miami_Retail[[#This Row],[sales_usd]] / Miami_Retail[[#This Row],[customers]]</f>
        <v>16.652013422818793</v>
      </c>
      <c r="I2564">
        <v>69</v>
      </c>
      <c r="J2564">
        <f>(Miami_Retail[[#This Row],[avg_temp_f]]-32) * (5/9)</f>
        <v>20.555555555555557</v>
      </c>
      <c r="K2564">
        <v>0</v>
      </c>
      <c r="L2564">
        <v>0</v>
      </c>
      <c r="M2564">
        <v>46.6</v>
      </c>
      <c r="N2564">
        <v>49.6</v>
      </c>
      <c r="O2564">
        <v>50.4</v>
      </c>
      <c r="P2564">
        <v>44.2</v>
      </c>
      <c r="Q2564">
        <v>55.8</v>
      </c>
    </row>
    <row r="2565" spans="1:17" x14ac:dyDescent="0.25">
      <c r="A2565" s="2">
        <v>45297</v>
      </c>
      <c r="B2565" s="2" t="str">
        <f t="shared" si="80"/>
        <v>Saturday</v>
      </c>
      <c r="C2565" s="2" t="b">
        <f t="shared" si="81"/>
        <v>1</v>
      </c>
      <c r="D2565">
        <v>4</v>
      </c>
      <c r="E2565" t="s">
        <v>8</v>
      </c>
      <c r="F2565">
        <v>226</v>
      </c>
      <c r="G2565" s="3">
        <v>3331.8</v>
      </c>
      <c r="H2565" s="3">
        <f>Miami_Retail[[#This Row],[sales_usd]] / Miami_Retail[[#This Row],[customers]]</f>
        <v>14.742477876106195</v>
      </c>
      <c r="I2565">
        <v>77.599999999999994</v>
      </c>
      <c r="J2565">
        <f>(Miami_Retail[[#This Row],[avg_temp_f]]-32) * (5/9)</f>
        <v>25.333333333333332</v>
      </c>
      <c r="K2565">
        <v>0</v>
      </c>
      <c r="L2565">
        <v>0</v>
      </c>
      <c r="M2565">
        <v>45.5</v>
      </c>
      <c r="N2565">
        <v>50.2</v>
      </c>
      <c r="O2565">
        <v>49.8</v>
      </c>
      <c r="P2565">
        <v>52.1</v>
      </c>
      <c r="Q2565">
        <v>47.9</v>
      </c>
    </row>
    <row r="2566" spans="1:17" x14ac:dyDescent="0.25">
      <c r="A2566" s="2">
        <v>45298</v>
      </c>
      <c r="B2566" s="2" t="str">
        <f t="shared" si="80"/>
        <v>Sunday</v>
      </c>
      <c r="C2566" s="2" t="b">
        <f t="shared" si="81"/>
        <v>1</v>
      </c>
      <c r="D2566">
        <v>4</v>
      </c>
      <c r="E2566" t="s">
        <v>8</v>
      </c>
      <c r="F2566">
        <v>270</v>
      </c>
      <c r="G2566" s="3">
        <v>4007.03</v>
      </c>
      <c r="H2566" s="3">
        <f>Miami_Retail[[#This Row],[sales_usd]] / Miami_Retail[[#This Row],[customers]]</f>
        <v>14.840851851851852</v>
      </c>
      <c r="I2566">
        <v>76.099999999999994</v>
      </c>
      <c r="J2566">
        <f>(Miami_Retail[[#This Row],[avg_temp_f]]-32) * (5/9)</f>
        <v>24.499999999999996</v>
      </c>
      <c r="K2566">
        <v>0</v>
      </c>
      <c r="L2566">
        <v>0</v>
      </c>
      <c r="M2566">
        <v>46.8</v>
      </c>
      <c r="N2566">
        <v>49.8</v>
      </c>
      <c r="O2566">
        <v>50.2</v>
      </c>
      <c r="P2566">
        <v>50.3</v>
      </c>
      <c r="Q2566">
        <v>49.7</v>
      </c>
    </row>
    <row r="2567" spans="1:17" x14ac:dyDescent="0.25">
      <c r="A2567" s="2">
        <v>45299</v>
      </c>
      <c r="B2567" s="2" t="str">
        <f t="shared" si="80"/>
        <v>Monday</v>
      </c>
      <c r="C2567" s="2" t="b">
        <f t="shared" si="81"/>
        <v>0</v>
      </c>
      <c r="D2567">
        <v>4</v>
      </c>
      <c r="E2567" t="s">
        <v>8</v>
      </c>
      <c r="F2567">
        <v>186</v>
      </c>
      <c r="G2567" s="3">
        <v>3067.31</v>
      </c>
      <c r="H2567" s="3">
        <f>Miami_Retail[[#This Row],[sales_usd]] / Miami_Retail[[#This Row],[customers]]</f>
        <v>16.490913978494625</v>
      </c>
      <c r="I2567">
        <v>71.8</v>
      </c>
      <c r="J2567">
        <f>(Miami_Retail[[#This Row],[avg_temp_f]]-32) * (5/9)</f>
        <v>22.111111111111111</v>
      </c>
      <c r="K2567">
        <v>0</v>
      </c>
      <c r="L2567">
        <v>0</v>
      </c>
      <c r="M2567">
        <v>41.8</v>
      </c>
      <c r="N2567">
        <v>49.6</v>
      </c>
      <c r="O2567">
        <v>50.4</v>
      </c>
      <c r="P2567">
        <v>45.4</v>
      </c>
      <c r="Q2567">
        <v>54.6</v>
      </c>
    </row>
    <row r="2568" spans="1:17" x14ac:dyDescent="0.25">
      <c r="A2568" s="2">
        <v>45300</v>
      </c>
      <c r="B2568" s="2" t="str">
        <f t="shared" si="80"/>
        <v>Tuesday</v>
      </c>
      <c r="C2568" s="2" t="b">
        <f t="shared" si="81"/>
        <v>0</v>
      </c>
      <c r="D2568">
        <v>4</v>
      </c>
      <c r="E2568" t="s">
        <v>8</v>
      </c>
      <c r="F2568">
        <v>161</v>
      </c>
      <c r="G2568" s="3">
        <v>2334.86</v>
      </c>
      <c r="H2568" s="3">
        <f>Miami_Retail[[#This Row],[sales_usd]] / Miami_Retail[[#This Row],[customers]]</f>
        <v>14.502236024844722</v>
      </c>
      <c r="I2568">
        <v>76.400000000000006</v>
      </c>
      <c r="J2568">
        <f>(Miami_Retail[[#This Row],[avg_temp_f]]-32) * (5/9)</f>
        <v>24.666666666666671</v>
      </c>
      <c r="K2568">
        <v>0</v>
      </c>
      <c r="L2568">
        <v>0</v>
      </c>
      <c r="M2568">
        <v>51.6</v>
      </c>
      <c r="N2568">
        <v>48.8</v>
      </c>
      <c r="O2568">
        <v>51.2</v>
      </c>
      <c r="P2568">
        <v>44.4</v>
      </c>
      <c r="Q2568">
        <v>55.6</v>
      </c>
    </row>
    <row r="2569" spans="1:17" x14ac:dyDescent="0.25">
      <c r="A2569" s="2">
        <v>45301</v>
      </c>
      <c r="B2569" s="2" t="str">
        <f t="shared" si="80"/>
        <v>Wednesday</v>
      </c>
      <c r="C2569" s="2" t="b">
        <f t="shared" si="81"/>
        <v>0</v>
      </c>
      <c r="D2569">
        <v>4</v>
      </c>
      <c r="E2569" t="s">
        <v>8</v>
      </c>
      <c r="F2569">
        <v>181</v>
      </c>
      <c r="G2569" s="3">
        <v>2949.78</v>
      </c>
      <c r="H2569" s="3">
        <f>Miami_Retail[[#This Row],[sales_usd]] / Miami_Retail[[#This Row],[customers]]</f>
        <v>16.297127071823205</v>
      </c>
      <c r="I2569">
        <v>76.099999999999994</v>
      </c>
      <c r="J2569">
        <f>(Miami_Retail[[#This Row],[avg_temp_f]]-32) * (5/9)</f>
        <v>24.499999999999996</v>
      </c>
      <c r="K2569">
        <v>0</v>
      </c>
      <c r="L2569">
        <v>0</v>
      </c>
      <c r="M2569">
        <v>35.1</v>
      </c>
      <c r="N2569">
        <v>48.3</v>
      </c>
      <c r="O2569">
        <v>51.7</v>
      </c>
      <c r="P2569">
        <v>44.8</v>
      </c>
      <c r="Q2569">
        <v>55.2</v>
      </c>
    </row>
    <row r="2570" spans="1:17" x14ac:dyDescent="0.25">
      <c r="A2570" s="2">
        <v>45302</v>
      </c>
      <c r="B2570" s="2" t="str">
        <f t="shared" si="80"/>
        <v>Thursday</v>
      </c>
      <c r="C2570" s="2" t="b">
        <f t="shared" si="81"/>
        <v>0</v>
      </c>
      <c r="D2570">
        <v>4</v>
      </c>
      <c r="E2570" t="s">
        <v>8</v>
      </c>
      <c r="F2570">
        <v>175</v>
      </c>
      <c r="G2570" s="3">
        <v>2797.88</v>
      </c>
      <c r="H2570" s="3">
        <f>Miami_Retail[[#This Row],[sales_usd]] / Miami_Retail[[#This Row],[customers]]</f>
        <v>15.987885714285715</v>
      </c>
      <c r="I2570">
        <v>74.900000000000006</v>
      </c>
      <c r="J2570">
        <f>(Miami_Retail[[#This Row],[avg_temp_f]]-32) * (5/9)</f>
        <v>23.833333333333339</v>
      </c>
      <c r="K2570">
        <v>0.08</v>
      </c>
      <c r="L2570">
        <v>1</v>
      </c>
      <c r="M2570">
        <v>39.200000000000003</v>
      </c>
      <c r="N2570">
        <v>50.5</v>
      </c>
      <c r="O2570">
        <v>49.5</v>
      </c>
      <c r="P2570">
        <v>43</v>
      </c>
      <c r="Q2570">
        <v>57</v>
      </c>
    </row>
    <row r="2571" spans="1:17" x14ac:dyDescent="0.25">
      <c r="A2571" s="2">
        <v>45303</v>
      </c>
      <c r="B2571" s="2" t="str">
        <f t="shared" si="80"/>
        <v>Friday</v>
      </c>
      <c r="C2571" s="2" t="b">
        <f t="shared" si="81"/>
        <v>0</v>
      </c>
      <c r="D2571">
        <v>4</v>
      </c>
      <c r="E2571" t="s">
        <v>8</v>
      </c>
      <c r="F2571">
        <v>193</v>
      </c>
      <c r="G2571" s="3">
        <v>3062.77</v>
      </c>
      <c r="H2571" s="3">
        <f>Miami_Retail[[#This Row],[sales_usd]] / Miami_Retail[[#This Row],[customers]]</f>
        <v>15.869274611398964</v>
      </c>
      <c r="I2571">
        <v>79.2</v>
      </c>
      <c r="J2571">
        <f>(Miami_Retail[[#This Row],[avg_temp_f]]-32) * (5/9)</f>
        <v>26.222222222222225</v>
      </c>
      <c r="K2571">
        <v>0</v>
      </c>
      <c r="L2571">
        <v>0</v>
      </c>
      <c r="M2571">
        <v>44.7</v>
      </c>
      <c r="N2571">
        <v>50.4</v>
      </c>
      <c r="O2571">
        <v>49.6</v>
      </c>
      <c r="P2571">
        <v>45.3</v>
      </c>
      <c r="Q2571">
        <v>54.7</v>
      </c>
    </row>
    <row r="2572" spans="1:17" x14ac:dyDescent="0.25">
      <c r="A2572" s="2">
        <v>45304</v>
      </c>
      <c r="B2572" s="2" t="str">
        <f t="shared" si="80"/>
        <v>Saturday</v>
      </c>
      <c r="C2572" s="2" t="b">
        <f t="shared" si="81"/>
        <v>1</v>
      </c>
      <c r="D2572">
        <v>4</v>
      </c>
      <c r="E2572" t="s">
        <v>8</v>
      </c>
      <c r="F2572">
        <v>185</v>
      </c>
      <c r="G2572" s="3">
        <v>2908.26</v>
      </c>
      <c r="H2572" s="3">
        <f>Miami_Retail[[#This Row],[sales_usd]] / Miami_Retail[[#This Row],[customers]]</f>
        <v>15.720324324324325</v>
      </c>
      <c r="I2572">
        <v>69</v>
      </c>
      <c r="J2572">
        <f>(Miami_Retail[[#This Row],[avg_temp_f]]-32) * (5/9)</f>
        <v>20.555555555555557</v>
      </c>
      <c r="K2572">
        <v>0</v>
      </c>
      <c r="L2572">
        <v>0</v>
      </c>
      <c r="M2572">
        <v>46.4</v>
      </c>
      <c r="N2572">
        <v>47.6</v>
      </c>
      <c r="O2572">
        <v>52.4</v>
      </c>
      <c r="P2572">
        <v>51</v>
      </c>
      <c r="Q2572">
        <v>49</v>
      </c>
    </row>
    <row r="2573" spans="1:17" x14ac:dyDescent="0.25">
      <c r="A2573" s="2">
        <v>45305</v>
      </c>
      <c r="B2573" s="2" t="str">
        <f t="shared" si="80"/>
        <v>Sunday</v>
      </c>
      <c r="C2573" s="2" t="b">
        <f t="shared" si="81"/>
        <v>1</v>
      </c>
      <c r="D2573">
        <v>4</v>
      </c>
      <c r="E2573" t="s">
        <v>8</v>
      </c>
      <c r="F2573">
        <v>190</v>
      </c>
      <c r="G2573" s="3">
        <v>2930.7</v>
      </c>
      <c r="H2573" s="3">
        <f>Miami_Retail[[#This Row],[sales_usd]] / Miami_Retail[[#This Row],[customers]]</f>
        <v>15.424736842105263</v>
      </c>
      <c r="I2573">
        <v>67.3</v>
      </c>
      <c r="J2573">
        <f>(Miami_Retail[[#This Row],[avg_temp_f]]-32) * (5/9)</f>
        <v>19.611111111111111</v>
      </c>
      <c r="K2573">
        <v>0</v>
      </c>
      <c r="L2573">
        <v>0</v>
      </c>
      <c r="M2573">
        <v>42</v>
      </c>
      <c r="N2573">
        <v>50.5</v>
      </c>
      <c r="O2573">
        <v>49.5</v>
      </c>
      <c r="P2573">
        <v>51.4</v>
      </c>
      <c r="Q2573">
        <v>48.6</v>
      </c>
    </row>
    <row r="2574" spans="1:17" x14ac:dyDescent="0.25">
      <c r="A2574" s="2">
        <v>45306</v>
      </c>
      <c r="B2574" s="2" t="str">
        <f t="shared" si="80"/>
        <v>Monday</v>
      </c>
      <c r="C2574" s="2" t="b">
        <f t="shared" si="81"/>
        <v>0</v>
      </c>
      <c r="D2574">
        <v>4</v>
      </c>
      <c r="E2574" t="s">
        <v>8</v>
      </c>
      <c r="F2574">
        <v>182</v>
      </c>
      <c r="G2574" s="3">
        <v>2728.43</v>
      </c>
      <c r="H2574" s="3">
        <f>Miami_Retail[[#This Row],[sales_usd]] / Miami_Retail[[#This Row],[customers]]</f>
        <v>14.991373626373626</v>
      </c>
      <c r="I2574">
        <v>70.7</v>
      </c>
      <c r="J2574">
        <f>(Miami_Retail[[#This Row],[avg_temp_f]]-32) * (5/9)</f>
        <v>21.500000000000004</v>
      </c>
      <c r="K2574">
        <v>0</v>
      </c>
      <c r="L2574">
        <v>0</v>
      </c>
      <c r="M2574">
        <v>45.2</v>
      </c>
      <c r="N2574">
        <v>50.9</v>
      </c>
      <c r="O2574">
        <v>49.1</v>
      </c>
      <c r="P2574">
        <v>45.6</v>
      </c>
      <c r="Q2574">
        <v>54.4</v>
      </c>
    </row>
    <row r="2575" spans="1:17" x14ac:dyDescent="0.25">
      <c r="A2575" s="2">
        <v>45307</v>
      </c>
      <c r="B2575" s="2" t="str">
        <f t="shared" si="80"/>
        <v>Tuesday</v>
      </c>
      <c r="C2575" s="2" t="b">
        <f t="shared" si="81"/>
        <v>0</v>
      </c>
      <c r="D2575">
        <v>4</v>
      </c>
      <c r="E2575" t="s">
        <v>8</v>
      </c>
      <c r="F2575">
        <v>183</v>
      </c>
      <c r="G2575" s="3">
        <v>2630.55</v>
      </c>
      <c r="H2575" s="3">
        <f>Miami_Retail[[#This Row],[sales_usd]] / Miami_Retail[[#This Row],[customers]]</f>
        <v>14.374590163934426</v>
      </c>
      <c r="I2575">
        <v>77</v>
      </c>
      <c r="J2575">
        <f>(Miami_Retail[[#This Row],[avg_temp_f]]-32) * (5/9)</f>
        <v>25</v>
      </c>
      <c r="K2575">
        <v>0</v>
      </c>
      <c r="L2575">
        <v>0</v>
      </c>
      <c r="M2575">
        <v>43.4</v>
      </c>
      <c r="N2575">
        <v>48.2</v>
      </c>
      <c r="O2575">
        <v>51.8</v>
      </c>
      <c r="P2575">
        <v>45.4</v>
      </c>
      <c r="Q2575">
        <v>54.6</v>
      </c>
    </row>
    <row r="2576" spans="1:17" x14ac:dyDescent="0.25">
      <c r="A2576" s="2">
        <v>45308</v>
      </c>
      <c r="B2576" s="2" t="str">
        <f t="shared" si="80"/>
        <v>Wednesday</v>
      </c>
      <c r="C2576" s="2" t="b">
        <f t="shared" si="81"/>
        <v>0</v>
      </c>
      <c r="D2576">
        <v>4</v>
      </c>
      <c r="E2576" t="s">
        <v>8</v>
      </c>
      <c r="F2576">
        <v>201</v>
      </c>
      <c r="G2576" s="3">
        <v>3106.97</v>
      </c>
      <c r="H2576" s="3">
        <f>Miami_Retail[[#This Row],[sales_usd]] / Miami_Retail[[#This Row],[customers]]</f>
        <v>15.457562189054725</v>
      </c>
      <c r="I2576">
        <v>73.8</v>
      </c>
      <c r="J2576">
        <f>(Miami_Retail[[#This Row],[avg_temp_f]]-32) * (5/9)</f>
        <v>23.222222222222221</v>
      </c>
      <c r="K2576">
        <v>0</v>
      </c>
      <c r="L2576">
        <v>0</v>
      </c>
      <c r="M2576">
        <v>38.799999999999997</v>
      </c>
      <c r="N2576">
        <v>51.2</v>
      </c>
      <c r="O2576">
        <v>48.8</v>
      </c>
      <c r="P2576">
        <v>45.7</v>
      </c>
      <c r="Q2576">
        <v>54.3</v>
      </c>
    </row>
    <row r="2577" spans="1:17" x14ac:dyDescent="0.25">
      <c r="A2577" s="2">
        <v>45309</v>
      </c>
      <c r="B2577" s="2" t="str">
        <f t="shared" si="80"/>
        <v>Thursday</v>
      </c>
      <c r="C2577" s="2" t="b">
        <f t="shared" si="81"/>
        <v>0</v>
      </c>
      <c r="D2577">
        <v>4</v>
      </c>
      <c r="E2577" t="s">
        <v>8</v>
      </c>
      <c r="F2577">
        <v>180</v>
      </c>
      <c r="G2577" s="3">
        <v>2737.94</v>
      </c>
      <c r="H2577" s="3">
        <f>Miami_Retail[[#This Row],[sales_usd]] / Miami_Retail[[#This Row],[customers]]</f>
        <v>15.210777777777778</v>
      </c>
      <c r="I2577">
        <v>70.8</v>
      </c>
      <c r="J2577">
        <f>(Miami_Retail[[#This Row],[avg_temp_f]]-32) * (5/9)</f>
        <v>21.555555555555554</v>
      </c>
      <c r="K2577">
        <v>0</v>
      </c>
      <c r="L2577">
        <v>0</v>
      </c>
      <c r="M2577">
        <v>42.9</v>
      </c>
      <c r="N2577">
        <v>50.2</v>
      </c>
      <c r="O2577">
        <v>49.8</v>
      </c>
      <c r="P2577">
        <v>45.2</v>
      </c>
      <c r="Q2577">
        <v>54.8</v>
      </c>
    </row>
    <row r="2578" spans="1:17" x14ac:dyDescent="0.25">
      <c r="A2578" s="2">
        <v>45310</v>
      </c>
      <c r="B2578" s="2" t="str">
        <f t="shared" si="80"/>
        <v>Friday</v>
      </c>
      <c r="C2578" s="2" t="b">
        <f t="shared" si="81"/>
        <v>0</v>
      </c>
      <c r="D2578">
        <v>4</v>
      </c>
      <c r="E2578" t="s">
        <v>8</v>
      </c>
      <c r="F2578">
        <v>154</v>
      </c>
      <c r="G2578" s="3">
        <v>2105.2600000000002</v>
      </c>
      <c r="H2578" s="3">
        <f>Miami_Retail[[#This Row],[sales_usd]] / Miami_Retail[[#This Row],[customers]]</f>
        <v>13.670519480519483</v>
      </c>
      <c r="I2578">
        <v>69</v>
      </c>
      <c r="J2578">
        <f>(Miami_Retail[[#This Row],[avg_temp_f]]-32) * (5/9)</f>
        <v>20.555555555555557</v>
      </c>
      <c r="K2578">
        <v>0</v>
      </c>
      <c r="L2578">
        <v>0</v>
      </c>
      <c r="M2578">
        <v>44.9</v>
      </c>
      <c r="N2578">
        <v>48.6</v>
      </c>
      <c r="O2578">
        <v>51.4</v>
      </c>
      <c r="P2578">
        <v>45.6</v>
      </c>
      <c r="Q2578">
        <v>54.4</v>
      </c>
    </row>
    <row r="2579" spans="1:17" x14ac:dyDescent="0.25">
      <c r="A2579" s="2">
        <v>45311</v>
      </c>
      <c r="B2579" s="2" t="str">
        <f t="shared" si="80"/>
        <v>Saturday</v>
      </c>
      <c r="C2579" s="2" t="b">
        <f t="shared" si="81"/>
        <v>1</v>
      </c>
      <c r="D2579">
        <v>4</v>
      </c>
      <c r="E2579" t="s">
        <v>8</v>
      </c>
      <c r="F2579">
        <v>221</v>
      </c>
      <c r="G2579" s="3">
        <v>3312.03</v>
      </c>
      <c r="H2579" s="3">
        <f>Miami_Retail[[#This Row],[sales_usd]] / Miami_Retail[[#This Row],[customers]]</f>
        <v>14.986561085972852</v>
      </c>
      <c r="I2579">
        <v>84.3</v>
      </c>
      <c r="J2579">
        <f>(Miami_Retail[[#This Row],[avg_temp_f]]-32) * (5/9)</f>
        <v>29.055555555555554</v>
      </c>
      <c r="K2579">
        <v>0</v>
      </c>
      <c r="L2579">
        <v>0</v>
      </c>
      <c r="M2579">
        <v>59.3</v>
      </c>
      <c r="N2579">
        <v>49</v>
      </c>
      <c r="O2579">
        <v>51</v>
      </c>
      <c r="P2579">
        <v>50.2</v>
      </c>
      <c r="Q2579">
        <v>49.8</v>
      </c>
    </row>
    <row r="2580" spans="1:17" x14ac:dyDescent="0.25">
      <c r="A2580" s="2">
        <v>45312</v>
      </c>
      <c r="B2580" s="2" t="str">
        <f t="shared" si="80"/>
        <v>Sunday</v>
      </c>
      <c r="C2580" s="2" t="b">
        <f t="shared" si="81"/>
        <v>1</v>
      </c>
      <c r="D2580">
        <v>4</v>
      </c>
      <c r="E2580" t="s">
        <v>8</v>
      </c>
      <c r="F2580">
        <v>235</v>
      </c>
      <c r="G2580" s="3">
        <v>3514.07</v>
      </c>
      <c r="H2580" s="3">
        <f>Miami_Retail[[#This Row],[sales_usd]] / Miami_Retail[[#This Row],[customers]]</f>
        <v>14.953489361702129</v>
      </c>
      <c r="I2580">
        <v>73.400000000000006</v>
      </c>
      <c r="J2580">
        <f>(Miami_Retail[[#This Row],[avg_temp_f]]-32) * (5/9)</f>
        <v>23.000000000000004</v>
      </c>
      <c r="K2580">
        <v>0</v>
      </c>
      <c r="L2580">
        <v>0</v>
      </c>
      <c r="M2580">
        <v>43.6</v>
      </c>
      <c r="N2580">
        <v>49.2</v>
      </c>
      <c r="O2580">
        <v>50.8</v>
      </c>
      <c r="P2580">
        <v>51</v>
      </c>
      <c r="Q2580">
        <v>49</v>
      </c>
    </row>
    <row r="2581" spans="1:17" x14ac:dyDescent="0.25">
      <c r="A2581" s="2">
        <v>45313</v>
      </c>
      <c r="B2581" s="2" t="str">
        <f t="shared" si="80"/>
        <v>Monday</v>
      </c>
      <c r="C2581" s="2" t="b">
        <f t="shared" si="81"/>
        <v>0</v>
      </c>
      <c r="D2581">
        <v>4</v>
      </c>
      <c r="E2581" t="s">
        <v>8</v>
      </c>
      <c r="F2581">
        <v>170</v>
      </c>
      <c r="G2581" s="3">
        <v>2489.48</v>
      </c>
      <c r="H2581" s="3">
        <f>Miami_Retail[[#This Row],[sales_usd]] / Miami_Retail[[#This Row],[customers]]</f>
        <v>14.644</v>
      </c>
      <c r="I2581">
        <v>69.7</v>
      </c>
      <c r="J2581">
        <f>(Miami_Retail[[#This Row],[avg_temp_f]]-32) * (5/9)</f>
        <v>20.944444444444446</v>
      </c>
      <c r="K2581">
        <v>0.37</v>
      </c>
      <c r="L2581">
        <v>1</v>
      </c>
      <c r="M2581">
        <v>35</v>
      </c>
      <c r="N2581">
        <v>50.2</v>
      </c>
      <c r="O2581">
        <v>49.8</v>
      </c>
      <c r="P2581">
        <v>45.6</v>
      </c>
      <c r="Q2581">
        <v>54.4</v>
      </c>
    </row>
    <row r="2582" spans="1:17" x14ac:dyDescent="0.25">
      <c r="A2582" s="2">
        <v>45314</v>
      </c>
      <c r="B2582" s="2" t="str">
        <f t="shared" si="80"/>
        <v>Tuesday</v>
      </c>
      <c r="C2582" s="2" t="b">
        <f t="shared" si="81"/>
        <v>0</v>
      </c>
      <c r="D2582">
        <v>4</v>
      </c>
      <c r="E2582" t="s">
        <v>8</v>
      </c>
      <c r="F2582">
        <v>162</v>
      </c>
      <c r="G2582" s="3">
        <v>2538.5</v>
      </c>
      <c r="H2582" s="3">
        <f>Miami_Retail[[#This Row],[sales_usd]] / Miami_Retail[[#This Row],[customers]]</f>
        <v>15.669753086419753</v>
      </c>
      <c r="I2582">
        <v>71.5</v>
      </c>
      <c r="J2582">
        <f>(Miami_Retail[[#This Row],[avg_temp_f]]-32) * (5/9)</f>
        <v>21.944444444444446</v>
      </c>
      <c r="K2582">
        <v>0</v>
      </c>
      <c r="L2582">
        <v>0</v>
      </c>
      <c r="M2582">
        <v>35</v>
      </c>
      <c r="N2582">
        <v>49.8</v>
      </c>
      <c r="O2582">
        <v>50.2</v>
      </c>
      <c r="P2582">
        <v>44.4</v>
      </c>
      <c r="Q2582">
        <v>55.6</v>
      </c>
    </row>
    <row r="2583" spans="1:17" x14ac:dyDescent="0.25">
      <c r="A2583" s="2">
        <v>45315</v>
      </c>
      <c r="B2583" s="2" t="str">
        <f t="shared" si="80"/>
        <v>Wednesday</v>
      </c>
      <c r="C2583" s="2" t="b">
        <f t="shared" si="81"/>
        <v>0</v>
      </c>
      <c r="D2583">
        <v>4</v>
      </c>
      <c r="E2583" t="s">
        <v>8</v>
      </c>
      <c r="F2583">
        <v>160</v>
      </c>
      <c r="G2583" s="3">
        <v>2381.7800000000002</v>
      </c>
      <c r="H2583" s="3">
        <f>Miami_Retail[[#This Row],[sales_usd]] / Miami_Retail[[#This Row],[customers]]</f>
        <v>14.886125000000002</v>
      </c>
      <c r="I2583">
        <v>72.7</v>
      </c>
      <c r="J2583">
        <f>(Miami_Retail[[#This Row],[avg_temp_f]]-32) * (5/9)</f>
        <v>22.611111111111114</v>
      </c>
      <c r="K2583">
        <v>0</v>
      </c>
      <c r="L2583">
        <v>0</v>
      </c>
      <c r="M2583">
        <v>45.4</v>
      </c>
      <c r="N2583">
        <v>49.5</v>
      </c>
      <c r="O2583">
        <v>50.5</v>
      </c>
      <c r="P2583">
        <v>45.2</v>
      </c>
      <c r="Q2583">
        <v>54.8</v>
      </c>
    </row>
    <row r="2584" spans="1:17" x14ac:dyDescent="0.25">
      <c r="A2584" s="2">
        <v>45316</v>
      </c>
      <c r="B2584" s="2" t="str">
        <f t="shared" si="80"/>
        <v>Thursday</v>
      </c>
      <c r="C2584" s="2" t="b">
        <f t="shared" si="81"/>
        <v>0</v>
      </c>
      <c r="D2584">
        <v>4</v>
      </c>
      <c r="E2584" t="s">
        <v>8</v>
      </c>
      <c r="F2584">
        <v>203</v>
      </c>
      <c r="G2584" s="3">
        <v>3269.15</v>
      </c>
      <c r="H2584" s="3">
        <f>Miami_Retail[[#This Row],[sales_usd]] / Miami_Retail[[#This Row],[customers]]</f>
        <v>16.104187192118228</v>
      </c>
      <c r="I2584">
        <v>75</v>
      </c>
      <c r="J2584">
        <f>(Miami_Retail[[#This Row],[avg_temp_f]]-32) * (5/9)</f>
        <v>23.888888888888889</v>
      </c>
      <c r="K2584">
        <v>0.45</v>
      </c>
      <c r="L2584">
        <v>1</v>
      </c>
      <c r="M2584">
        <v>40.299999999999997</v>
      </c>
      <c r="N2584">
        <v>50.9</v>
      </c>
      <c r="O2584">
        <v>49.1</v>
      </c>
      <c r="P2584">
        <v>45.2</v>
      </c>
      <c r="Q2584">
        <v>54.8</v>
      </c>
    </row>
    <row r="2585" spans="1:17" x14ac:dyDescent="0.25">
      <c r="A2585" s="2">
        <v>45317</v>
      </c>
      <c r="B2585" s="2" t="str">
        <f t="shared" si="80"/>
        <v>Friday</v>
      </c>
      <c r="C2585" s="2" t="b">
        <f t="shared" si="81"/>
        <v>0</v>
      </c>
      <c r="D2585">
        <v>4</v>
      </c>
      <c r="E2585" t="s">
        <v>8</v>
      </c>
      <c r="F2585">
        <v>186</v>
      </c>
      <c r="G2585" s="3">
        <v>3016.15</v>
      </c>
      <c r="H2585" s="3">
        <f>Miami_Retail[[#This Row],[sales_usd]] / Miami_Retail[[#This Row],[customers]]</f>
        <v>16.215860215053763</v>
      </c>
      <c r="I2585">
        <v>70</v>
      </c>
      <c r="J2585">
        <f>(Miami_Retail[[#This Row],[avg_temp_f]]-32) * (5/9)</f>
        <v>21.111111111111111</v>
      </c>
      <c r="K2585">
        <v>0</v>
      </c>
      <c r="L2585">
        <v>0</v>
      </c>
      <c r="M2585">
        <v>35</v>
      </c>
      <c r="N2585">
        <v>50.4</v>
      </c>
      <c r="O2585">
        <v>49.6</v>
      </c>
      <c r="P2585">
        <v>44.6</v>
      </c>
      <c r="Q2585">
        <v>55.4</v>
      </c>
    </row>
    <row r="2586" spans="1:17" x14ac:dyDescent="0.25">
      <c r="A2586" s="2">
        <v>45318</v>
      </c>
      <c r="B2586" s="2" t="str">
        <f t="shared" si="80"/>
        <v>Saturday</v>
      </c>
      <c r="C2586" s="2" t="b">
        <f t="shared" si="81"/>
        <v>1</v>
      </c>
      <c r="D2586">
        <v>4</v>
      </c>
      <c r="E2586" t="s">
        <v>8</v>
      </c>
      <c r="F2586">
        <v>187</v>
      </c>
      <c r="G2586" s="3">
        <v>2905.79</v>
      </c>
      <c r="H2586" s="3">
        <f>Miami_Retail[[#This Row],[sales_usd]] / Miami_Retail[[#This Row],[customers]]</f>
        <v>15.538983957219251</v>
      </c>
      <c r="I2586">
        <v>69.7</v>
      </c>
      <c r="J2586">
        <f>(Miami_Retail[[#This Row],[avg_temp_f]]-32) * (5/9)</f>
        <v>20.944444444444446</v>
      </c>
      <c r="K2586">
        <v>0</v>
      </c>
      <c r="L2586">
        <v>0</v>
      </c>
      <c r="M2586">
        <v>37.1</v>
      </c>
      <c r="N2586">
        <v>51.7</v>
      </c>
      <c r="O2586">
        <v>48.3</v>
      </c>
      <c r="P2586">
        <v>51.7</v>
      </c>
      <c r="Q2586">
        <v>48.3</v>
      </c>
    </row>
    <row r="2587" spans="1:17" x14ac:dyDescent="0.25">
      <c r="A2587" s="2">
        <v>45319</v>
      </c>
      <c r="B2587" s="2" t="str">
        <f t="shared" si="80"/>
        <v>Sunday</v>
      </c>
      <c r="C2587" s="2" t="b">
        <f t="shared" si="81"/>
        <v>1</v>
      </c>
      <c r="D2587">
        <v>4</v>
      </c>
      <c r="E2587" t="s">
        <v>8</v>
      </c>
      <c r="F2587">
        <v>188</v>
      </c>
      <c r="G2587" s="3">
        <v>2931.37</v>
      </c>
      <c r="H2587" s="3">
        <f>Miami_Retail[[#This Row],[sales_usd]] / Miami_Retail[[#This Row],[customers]]</f>
        <v>15.592393617021276</v>
      </c>
      <c r="I2587">
        <v>70.3</v>
      </c>
      <c r="J2587">
        <f>(Miami_Retail[[#This Row],[avg_temp_f]]-32) * (5/9)</f>
        <v>21.277777777777779</v>
      </c>
      <c r="K2587">
        <v>0</v>
      </c>
      <c r="L2587">
        <v>0</v>
      </c>
      <c r="M2587">
        <v>39.200000000000003</v>
      </c>
      <c r="N2587">
        <v>50.9</v>
      </c>
      <c r="O2587">
        <v>49.1</v>
      </c>
      <c r="P2587">
        <v>51.1</v>
      </c>
      <c r="Q2587">
        <v>48.9</v>
      </c>
    </row>
    <row r="2588" spans="1:17" x14ac:dyDescent="0.25">
      <c r="A2588" s="2">
        <v>45320</v>
      </c>
      <c r="B2588" s="2" t="str">
        <f t="shared" si="80"/>
        <v>Monday</v>
      </c>
      <c r="C2588" s="2" t="b">
        <f t="shared" si="81"/>
        <v>0</v>
      </c>
      <c r="D2588">
        <v>4</v>
      </c>
      <c r="E2588" t="s">
        <v>8</v>
      </c>
      <c r="F2588">
        <v>208</v>
      </c>
      <c r="G2588" s="3">
        <v>2906.94</v>
      </c>
      <c r="H2588" s="3">
        <f>Miami_Retail[[#This Row],[sales_usd]] / Miami_Retail[[#This Row],[customers]]</f>
        <v>13.975673076923076</v>
      </c>
      <c r="I2588">
        <v>67.900000000000006</v>
      </c>
      <c r="J2588">
        <f>(Miami_Retail[[#This Row],[avg_temp_f]]-32) * (5/9)</f>
        <v>19.94444444444445</v>
      </c>
      <c r="K2588">
        <v>0</v>
      </c>
      <c r="L2588">
        <v>0</v>
      </c>
      <c r="M2588">
        <v>47.5</v>
      </c>
      <c r="N2588">
        <v>51.1</v>
      </c>
      <c r="O2588">
        <v>48.9</v>
      </c>
      <c r="P2588">
        <v>45.2</v>
      </c>
      <c r="Q2588">
        <v>54.8</v>
      </c>
    </row>
    <row r="2589" spans="1:17" x14ac:dyDescent="0.25">
      <c r="A2589" s="2">
        <v>45321</v>
      </c>
      <c r="B2589" s="2" t="str">
        <f t="shared" si="80"/>
        <v>Tuesday</v>
      </c>
      <c r="C2589" s="2" t="b">
        <f t="shared" si="81"/>
        <v>0</v>
      </c>
      <c r="D2589">
        <v>4</v>
      </c>
      <c r="E2589" t="s">
        <v>8</v>
      </c>
      <c r="F2589">
        <v>170</v>
      </c>
      <c r="G2589" s="3">
        <v>2539.56</v>
      </c>
      <c r="H2589" s="3">
        <f>Miami_Retail[[#This Row],[sales_usd]] / Miami_Retail[[#This Row],[customers]]</f>
        <v>14.938588235294118</v>
      </c>
      <c r="I2589">
        <v>69.400000000000006</v>
      </c>
      <c r="J2589">
        <f>(Miami_Retail[[#This Row],[avg_temp_f]]-32) * (5/9)</f>
        <v>20.777777777777782</v>
      </c>
      <c r="K2589">
        <v>1.26</v>
      </c>
      <c r="L2589">
        <v>1</v>
      </c>
      <c r="M2589">
        <v>35</v>
      </c>
      <c r="N2589">
        <v>50.8</v>
      </c>
      <c r="O2589">
        <v>49.2</v>
      </c>
      <c r="P2589">
        <v>45.9</v>
      </c>
      <c r="Q2589">
        <v>54.1</v>
      </c>
    </row>
    <row r="2590" spans="1:17" x14ac:dyDescent="0.25">
      <c r="A2590" s="2">
        <v>45322</v>
      </c>
      <c r="B2590" s="2" t="str">
        <f t="shared" si="80"/>
        <v>Wednesday</v>
      </c>
      <c r="C2590" s="2" t="b">
        <f t="shared" si="81"/>
        <v>0</v>
      </c>
      <c r="D2590">
        <v>4</v>
      </c>
      <c r="E2590" t="s">
        <v>8</v>
      </c>
      <c r="F2590">
        <v>157</v>
      </c>
      <c r="G2590" s="3">
        <v>2312.59</v>
      </c>
      <c r="H2590" s="3">
        <f>Miami_Retail[[#This Row],[sales_usd]] / Miami_Retail[[#This Row],[customers]]</f>
        <v>14.72987261146497</v>
      </c>
      <c r="I2590">
        <v>71.900000000000006</v>
      </c>
      <c r="J2590">
        <f>(Miami_Retail[[#This Row],[avg_temp_f]]-32) * (5/9)</f>
        <v>22.166666666666671</v>
      </c>
      <c r="K2590">
        <v>0.86</v>
      </c>
      <c r="L2590">
        <v>1</v>
      </c>
      <c r="M2590">
        <v>43</v>
      </c>
      <c r="N2590">
        <v>51</v>
      </c>
      <c r="O2590">
        <v>49</v>
      </c>
      <c r="P2590">
        <v>46.5</v>
      </c>
      <c r="Q2590">
        <v>53.5</v>
      </c>
    </row>
    <row r="2591" spans="1:17" x14ac:dyDescent="0.25">
      <c r="A2591" s="2">
        <v>45323</v>
      </c>
      <c r="B2591" s="2" t="str">
        <f t="shared" si="80"/>
        <v>Thursday</v>
      </c>
      <c r="C2591" s="2" t="b">
        <f t="shared" si="81"/>
        <v>0</v>
      </c>
      <c r="D2591">
        <v>4</v>
      </c>
      <c r="E2591" t="s">
        <v>8</v>
      </c>
      <c r="F2591">
        <v>139</v>
      </c>
      <c r="G2591" s="3">
        <v>2173.7199999999998</v>
      </c>
      <c r="H2591" s="3">
        <f>Miami_Retail[[#This Row],[sales_usd]] / Miami_Retail[[#This Row],[customers]]</f>
        <v>15.638273381294963</v>
      </c>
      <c r="I2591">
        <v>67</v>
      </c>
      <c r="J2591">
        <f>(Miami_Retail[[#This Row],[avg_temp_f]]-32) * (5/9)</f>
        <v>19.444444444444446</v>
      </c>
      <c r="K2591">
        <v>0</v>
      </c>
      <c r="L2591">
        <v>0</v>
      </c>
      <c r="M2591">
        <v>49.1</v>
      </c>
      <c r="N2591">
        <v>50.5</v>
      </c>
      <c r="O2591">
        <v>49.5</v>
      </c>
      <c r="P2591">
        <v>45.4</v>
      </c>
      <c r="Q2591">
        <v>54.6</v>
      </c>
    </row>
    <row r="2592" spans="1:17" x14ac:dyDescent="0.25">
      <c r="A2592" s="2">
        <v>45324</v>
      </c>
      <c r="B2592" s="2" t="str">
        <f t="shared" si="80"/>
        <v>Friday</v>
      </c>
      <c r="C2592" s="2" t="b">
        <f t="shared" si="81"/>
        <v>0</v>
      </c>
      <c r="D2592">
        <v>4</v>
      </c>
      <c r="E2592" t="s">
        <v>8</v>
      </c>
      <c r="F2592">
        <v>221</v>
      </c>
      <c r="G2592" s="3">
        <v>3378.75</v>
      </c>
      <c r="H2592" s="3">
        <f>Miami_Retail[[#This Row],[sales_usd]] / Miami_Retail[[#This Row],[customers]]</f>
        <v>15.288461538461538</v>
      </c>
      <c r="I2592">
        <v>69</v>
      </c>
      <c r="J2592">
        <f>(Miami_Retail[[#This Row],[avg_temp_f]]-32) * (5/9)</f>
        <v>20.555555555555557</v>
      </c>
      <c r="K2592">
        <v>0</v>
      </c>
      <c r="L2592">
        <v>0</v>
      </c>
      <c r="M2592">
        <v>44.2</v>
      </c>
      <c r="N2592">
        <v>51.2</v>
      </c>
      <c r="O2592">
        <v>48.8</v>
      </c>
      <c r="P2592">
        <v>43.2</v>
      </c>
      <c r="Q2592">
        <v>56.8</v>
      </c>
    </row>
    <row r="2593" spans="1:17" x14ac:dyDescent="0.25">
      <c r="A2593" s="2">
        <v>45325</v>
      </c>
      <c r="B2593" s="2" t="str">
        <f t="shared" si="80"/>
        <v>Saturday</v>
      </c>
      <c r="C2593" s="2" t="b">
        <f t="shared" si="81"/>
        <v>1</v>
      </c>
      <c r="D2593">
        <v>4</v>
      </c>
      <c r="E2593" t="s">
        <v>8</v>
      </c>
      <c r="F2593">
        <v>177</v>
      </c>
      <c r="G2593" s="3">
        <v>2647.05</v>
      </c>
      <c r="H2593" s="3">
        <f>Miami_Retail[[#This Row],[sales_usd]] / Miami_Retail[[#This Row],[customers]]</f>
        <v>14.955084745762713</v>
      </c>
      <c r="I2593">
        <v>67.900000000000006</v>
      </c>
      <c r="J2593">
        <f>(Miami_Retail[[#This Row],[avg_temp_f]]-32) * (5/9)</f>
        <v>19.94444444444445</v>
      </c>
      <c r="K2593">
        <v>0</v>
      </c>
      <c r="L2593">
        <v>0</v>
      </c>
      <c r="M2593">
        <v>37.299999999999997</v>
      </c>
      <c r="N2593">
        <v>50.4</v>
      </c>
      <c r="O2593">
        <v>49.6</v>
      </c>
      <c r="P2593">
        <v>50.7</v>
      </c>
      <c r="Q2593">
        <v>49.3</v>
      </c>
    </row>
    <row r="2594" spans="1:17" x14ac:dyDescent="0.25">
      <c r="A2594" s="2">
        <v>45326</v>
      </c>
      <c r="B2594" s="2" t="str">
        <f t="shared" si="80"/>
        <v>Sunday</v>
      </c>
      <c r="C2594" s="2" t="b">
        <f t="shared" si="81"/>
        <v>1</v>
      </c>
      <c r="D2594">
        <v>4</v>
      </c>
      <c r="E2594" t="s">
        <v>8</v>
      </c>
      <c r="F2594">
        <v>184</v>
      </c>
      <c r="G2594" s="3">
        <v>2839.83</v>
      </c>
      <c r="H2594" s="3">
        <f>Miami_Retail[[#This Row],[sales_usd]] / Miami_Retail[[#This Row],[customers]]</f>
        <v>15.433858695652173</v>
      </c>
      <c r="I2594">
        <v>66.2</v>
      </c>
      <c r="J2594">
        <f>(Miami_Retail[[#This Row],[avg_temp_f]]-32) * (5/9)</f>
        <v>19.000000000000004</v>
      </c>
      <c r="K2594">
        <v>1.5</v>
      </c>
      <c r="L2594">
        <v>1</v>
      </c>
      <c r="M2594">
        <v>35</v>
      </c>
      <c r="N2594">
        <v>50.7</v>
      </c>
      <c r="O2594">
        <v>49.3</v>
      </c>
      <c r="P2594">
        <v>51.6</v>
      </c>
      <c r="Q2594">
        <v>48.4</v>
      </c>
    </row>
    <row r="2595" spans="1:17" x14ac:dyDescent="0.25">
      <c r="A2595" s="2">
        <v>45327</v>
      </c>
      <c r="B2595" s="2" t="str">
        <f t="shared" si="80"/>
        <v>Monday</v>
      </c>
      <c r="C2595" s="2" t="b">
        <f t="shared" si="81"/>
        <v>0</v>
      </c>
      <c r="D2595">
        <v>4</v>
      </c>
      <c r="E2595" t="s">
        <v>8</v>
      </c>
      <c r="F2595">
        <v>166</v>
      </c>
      <c r="G2595" s="3">
        <v>2659.57</v>
      </c>
      <c r="H2595" s="3">
        <f>Miami_Retail[[#This Row],[sales_usd]] / Miami_Retail[[#This Row],[customers]]</f>
        <v>16.021506024096386</v>
      </c>
      <c r="I2595">
        <v>67.599999999999994</v>
      </c>
      <c r="J2595">
        <f>(Miami_Retail[[#This Row],[avg_temp_f]]-32) * (5/9)</f>
        <v>19.777777777777775</v>
      </c>
      <c r="K2595">
        <v>0</v>
      </c>
      <c r="L2595">
        <v>0</v>
      </c>
      <c r="M2595">
        <v>39.9</v>
      </c>
      <c r="N2595">
        <v>51.2</v>
      </c>
      <c r="O2595">
        <v>48.8</v>
      </c>
      <c r="P2595">
        <v>45.5</v>
      </c>
      <c r="Q2595">
        <v>54.5</v>
      </c>
    </row>
    <row r="2596" spans="1:17" x14ac:dyDescent="0.25">
      <c r="A2596" s="2">
        <v>45328</v>
      </c>
      <c r="B2596" s="2" t="str">
        <f t="shared" si="80"/>
        <v>Tuesday</v>
      </c>
      <c r="C2596" s="2" t="b">
        <f t="shared" si="81"/>
        <v>0</v>
      </c>
      <c r="D2596">
        <v>4</v>
      </c>
      <c r="E2596" t="s">
        <v>8</v>
      </c>
      <c r="F2596">
        <v>189</v>
      </c>
      <c r="G2596" s="3">
        <v>2884.51</v>
      </c>
      <c r="H2596" s="3">
        <f>Miami_Retail[[#This Row],[sales_usd]] / Miami_Retail[[#This Row],[customers]]</f>
        <v>15.261957671957672</v>
      </c>
      <c r="I2596">
        <v>71.099999999999994</v>
      </c>
      <c r="J2596">
        <f>(Miami_Retail[[#This Row],[avg_temp_f]]-32) * (5/9)</f>
        <v>21.722222222222221</v>
      </c>
      <c r="K2596">
        <v>0</v>
      </c>
      <c r="L2596">
        <v>0</v>
      </c>
      <c r="M2596">
        <v>45.6</v>
      </c>
      <c r="N2596">
        <v>49.4</v>
      </c>
      <c r="O2596">
        <v>50.6</v>
      </c>
      <c r="P2596">
        <v>44.8</v>
      </c>
      <c r="Q2596">
        <v>55.2</v>
      </c>
    </row>
    <row r="2597" spans="1:17" x14ac:dyDescent="0.25">
      <c r="A2597" s="2">
        <v>45329</v>
      </c>
      <c r="B2597" s="2" t="str">
        <f t="shared" si="80"/>
        <v>Wednesday</v>
      </c>
      <c r="C2597" s="2" t="b">
        <f t="shared" si="81"/>
        <v>0</v>
      </c>
      <c r="D2597">
        <v>4</v>
      </c>
      <c r="E2597" t="s">
        <v>8</v>
      </c>
      <c r="F2597">
        <v>172</v>
      </c>
      <c r="G2597" s="3">
        <v>2647.36</v>
      </c>
      <c r="H2597" s="3">
        <f>Miami_Retail[[#This Row],[sales_usd]] / Miami_Retail[[#This Row],[customers]]</f>
        <v>15.391627906976744</v>
      </c>
      <c r="I2597">
        <v>70.900000000000006</v>
      </c>
      <c r="J2597">
        <f>(Miami_Retail[[#This Row],[avg_temp_f]]-32) * (5/9)</f>
        <v>21.611111111111114</v>
      </c>
      <c r="K2597">
        <v>0</v>
      </c>
      <c r="L2597">
        <v>0</v>
      </c>
      <c r="M2597">
        <v>39.6</v>
      </c>
      <c r="N2597">
        <v>49.7</v>
      </c>
      <c r="O2597">
        <v>50.3</v>
      </c>
      <c r="P2597">
        <v>46</v>
      </c>
      <c r="Q2597">
        <v>54</v>
      </c>
    </row>
    <row r="2598" spans="1:17" x14ac:dyDescent="0.25">
      <c r="A2598" s="2">
        <v>45330</v>
      </c>
      <c r="B2598" s="2" t="str">
        <f t="shared" si="80"/>
        <v>Thursday</v>
      </c>
      <c r="C2598" s="2" t="b">
        <f t="shared" si="81"/>
        <v>0</v>
      </c>
      <c r="D2598">
        <v>4</v>
      </c>
      <c r="E2598" t="s">
        <v>8</v>
      </c>
      <c r="F2598">
        <v>191</v>
      </c>
      <c r="G2598" s="3">
        <v>2961.74</v>
      </c>
      <c r="H2598" s="3">
        <f>Miami_Retail[[#This Row],[sales_usd]] / Miami_Retail[[#This Row],[customers]]</f>
        <v>15.506492146596857</v>
      </c>
      <c r="I2598">
        <v>68.099999999999994</v>
      </c>
      <c r="J2598">
        <f>(Miami_Retail[[#This Row],[avg_temp_f]]-32) * (5/9)</f>
        <v>20.055555555555554</v>
      </c>
      <c r="K2598">
        <v>0</v>
      </c>
      <c r="L2598">
        <v>0</v>
      </c>
      <c r="M2598">
        <v>39.799999999999997</v>
      </c>
      <c r="N2598">
        <v>48.7</v>
      </c>
      <c r="O2598">
        <v>51.3</v>
      </c>
      <c r="P2598">
        <v>46</v>
      </c>
      <c r="Q2598">
        <v>54</v>
      </c>
    </row>
    <row r="2599" spans="1:17" x14ac:dyDescent="0.25">
      <c r="A2599" s="2">
        <v>45331</v>
      </c>
      <c r="B2599" s="2" t="str">
        <f t="shared" si="80"/>
        <v>Friday</v>
      </c>
      <c r="C2599" s="2" t="b">
        <f t="shared" si="81"/>
        <v>0</v>
      </c>
      <c r="D2599">
        <v>4</v>
      </c>
      <c r="E2599" t="s">
        <v>8</v>
      </c>
      <c r="F2599">
        <v>175</v>
      </c>
      <c r="G2599" s="3">
        <v>2403.89</v>
      </c>
      <c r="H2599" s="3">
        <f>Miami_Retail[[#This Row],[sales_usd]] / Miami_Retail[[#This Row],[customers]]</f>
        <v>13.736514285714286</v>
      </c>
      <c r="I2599">
        <v>74.900000000000006</v>
      </c>
      <c r="J2599">
        <f>(Miami_Retail[[#This Row],[avg_temp_f]]-32) * (5/9)</f>
        <v>23.833333333333339</v>
      </c>
      <c r="K2599">
        <v>1.19</v>
      </c>
      <c r="L2599">
        <v>1</v>
      </c>
      <c r="M2599">
        <v>35</v>
      </c>
      <c r="N2599">
        <v>50.9</v>
      </c>
      <c r="O2599">
        <v>49.1</v>
      </c>
      <c r="P2599">
        <v>46.9</v>
      </c>
      <c r="Q2599">
        <v>53.1</v>
      </c>
    </row>
    <row r="2600" spans="1:17" x14ac:dyDescent="0.25">
      <c r="A2600" s="2">
        <v>45332</v>
      </c>
      <c r="B2600" s="2" t="str">
        <f t="shared" si="80"/>
        <v>Saturday</v>
      </c>
      <c r="C2600" s="2" t="b">
        <f t="shared" si="81"/>
        <v>1</v>
      </c>
      <c r="D2600">
        <v>4</v>
      </c>
      <c r="E2600" t="s">
        <v>8</v>
      </c>
      <c r="F2600">
        <v>214</v>
      </c>
      <c r="G2600" s="3">
        <v>3210.63</v>
      </c>
      <c r="H2600" s="3">
        <f>Miami_Retail[[#This Row],[sales_usd]] / Miami_Retail[[#This Row],[customers]]</f>
        <v>15.002943925233645</v>
      </c>
      <c r="I2600">
        <v>65.2</v>
      </c>
      <c r="J2600">
        <f>(Miami_Retail[[#This Row],[avg_temp_f]]-32) * (5/9)</f>
        <v>18.444444444444446</v>
      </c>
      <c r="K2600">
        <v>0</v>
      </c>
      <c r="L2600">
        <v>0</v>
      </c>
      <c r="M2600">
        <v>35</v>
      </c>
      <c r="N2600">
        <v>49.1</v>
      </c>
      <c r="O2600">
        <v>50.9</v>
      </c>
      <c r="P2600">
        <v>52.5</v>
      </c>
      <c r="Q2600">
        <v>47.5</v>
      </c>
    </row>
    <row r="2601" spans="1:17" x14ac:dyDescent="0.25">
      <c r="A2601" s="2">
        <v>45333</v>
      </c>
      <c r="B2601" s="2" t="str">
        <f t="shared" si="80"/>
        <v>Sunday</v>
      </c>
      <c r="C2601" s="2" t="b">
        <f t="shared" si="81"/>
        <v>1</v>
      </c>
      <c r="D2601">
        <v>4</v>
      </c>
      <c r="E2601" t="s">
        <v>8</v>
      </c>
      <c r="F2601">
        <v>208</v>
      </c>
      <c r="G2601" s="3">
        <v>3220.57</v>
      </c>
      <c r="H2601" s="3">
        <f>Miami_Retail[[#This Row],[sales_usd]] / Miami_Retail[[#This Row],[customers]]</f>
        <v>15.483509615384616</v>
      </c>
      <c r="I2601">
        <v>70.400000000000006</v>
      </c>
      <c r="J2601">
        <f>(Miami_Retail[[#This Row],[avg_temp_f]]-32) * (5/9)</f>
        <v>21.333333333333336</v>
      </c>
      <c r="K2601">
        <v>0</v>
      </c>
      <c r="L2601">
        <v>0</v>
      </c>
      <c r="M2601">
        <v>42.1</v>
      </c>
      <c r="N2601">
        <v>51.2</v>
      </c>
      <c r="O2601">
        <v>48.8</v>
      </c>
      <c r="P2601">
        <v>51.2</v>
      </c>
      <c r="Q2601">
        <v>48.8</v>
      </c>
    </row>
    <row r="2602" spans="1:17" x14ac:dyDescent="0.25">
      <c r="A2602" s="2">
        <v>45334</v>
      </c>
      <c r="B2602" s="2" t="str">
        <f t="shared" si="80"/>
        <v>Monday</v>
      </c>
      <c r="C2602" s="2" t="b">
        <f t="shared" si="81"/>
        <v>0</v>
      </c>
      <c r="D2602">
        <v>4</v>
      </c>
      <c r="E2602" t="s">
        <v>8</v>
      </c>
      <c r="F2602">
        <v>147</v>
      </c>
      <c r="G2602" s="3">
        <v>2254.44</v>
      </c>
      <c r="H2602" s="3">
        <f>Miami_Retail[[#This Row],[sales_usd]] / Miami_Retail[[#This Row],[customers]]</f>
        <v>15.336326530612245</v>
      </c>
      <c r="I2602">
        <v>68</v>
      </c>
      <c r="J2602">
        <f>(Miami_Retail[[#This Row],[avg_temp_f]]-32) * (5/9)</f>
        <v>20</v>
      </c>
      <c r="K2602">
        <v>0</v>
      </c>
      <c r="L2602">
        <v>0</v>
      </c>
      <c r="M2602">
        <v>47.9</v>
      </c>
      <c r="N2602">
        <v>51.3</v>
      </c>
      <c r="O2602">
        <v>48.7</v>
      </c>
      <c r="P2602">
        <v>46.9</v>
      </c>
      <c r="Q2602">
        <v>53.1</v>
      </c>
    </row>
    <row r="2603" spans="1:17" x14ac:dyDescent="0.25">
      <c r="A2603" s="2">
        <v>45335</v>
      </c>
      <c r="B2603" s="2" t="str">
        <f t="shared" si="80"/>
        <v>Tuesday</v>
      </c>
      <c r="C2603" s="2" t="b">
        <f t="shared" si="81"/>
        <v>0</v>
      </c>
      <c r="D2603">
        <v>4</v>
      </c>
      <c r="E2603" t="s">
        <v>8</v>
      </c>
      <c r="F2603">
        <v>179</v>
      </c>
      <c r="G2603" s="3">
        <v>2720.73</v>
      </c>
      <c r="H2603" s="3">
        <f>Miami_Retail[[#This Row],[sales_usd]] / Miami_Retail[[#This Row],[customers]]</f>
        <v>15.199608938547486</v>
      </c>
      <c r="I2603">
        <v>63.6</v>
      </c>
      <c r="J2603">
        <f>(Miami_Retail[[#This Row],[avg_temp_f]]-32) * (5/9)</f>
        <v>17.555555555555557</v>
      </c>
      <c r="K2603">
        <v>0</v>
      </c>
      <c r="L2603">
        <v>0</v>
      </c>
      <c r="M2603">
        <v>47.8</v>
      </c>
      <c r="N2603">
        <v>51.9</v>
      </c>
      <c r="O2603">
        <v>48.1</v>
      </c>
      <c r="P2603">
        <v>46.1</v>
      </c>
      <c r="Q2603">
        <v>53.9</v>
      </c>
    </row>
    <row r="2604" spans="1:17" x14ac:dyDescent="0.25">
      <c r="A2604" s="2">
        <v>45336</v>
      </c>
      <c r="B2604" s="2" t="str">
        <f t="shared" si="80"/>
        <v>Wednesday</v>
      </c>
      <c r="C2604" s="2" t="b">
        <f t="shared" si="81"/>
        <v>0</v>
      </c>
      <c r="D2604">
        <v>4</v>
      </c>
      <c r="E2604" t="s">
        <v>8</v>
      </c>
      <c r="F2604">
        <v>140</v>
      </c>
      <c r="G2604" s="3">
        <v>2101.0100000000002</v>
      </c>
      <c r="H2604" s="3">
        <f>Miami_Retail[[#This Row],[sales_usd]] / Miami_Retail[[#This Row],[customers]]</f>
        <v>15.007214285714287</v>
      </c>
      <c r="I2604">
        <v>67.8</v>
      </c>
      <c r="J2604">
        <f>(Miami_Retail[[#This Row],[avg_temp_f]]-32) * (5/9)</f>
        <v>19.888888888888889</v>
      </c>
      <c r="K2604">
        <v>0</v>
      </c>
      <c r="L2604">
        <v>0</v>
      </c>
      <c r="M2604">
        <v>35</v>
      </c>
      <c r="N2604">
        <v>52.2</v>
      </c>
      <c r="O2604">
        <v>47.8</v>
      </c>
      <c r="P2604">
        <v>47.5</v>
      </c>
      <c r="Q2604">
        <v>52.5</v>
      </c>
    </row>
    <row r="2605" spans="1:17" x14ac:dyDescent="0.25">
      <c r="A2605" s="2">
        <v>45337</v>
      </c>
      <c r="B2605" s="2" t="str">
        <f t="shared" si="80"/>
        <v>Thursday</v>
      </c>
      <c r="C2605" s="2" t="b">
        <f t="shared" si="81"/>
        <v>0</v>
      </c>
      <c r="D2605">
        <v>4</v>
      </c>
      <c r="E2605" t="s">
        <v>8</v>
      </c>
      <c r="F2605">
        <v>177</v>
      </c>
      <c r="G2605" s="3">
        <v>2707.9</v>
      </c>
      <c r="H2605" s="3">
        <f>Miami_Retail[[#This Row],[sales_usd]] / Miami_Retail[[#This Row],[customers]]</f>
        <v>15.298870056497176</v>
      </c>
      <c r="I2605">
        <v>68.3</v>
      </c>
      <c r="J2605">
        <f>(Miami_Retail[[#This Row],[avg_temp_f]]-32) * (5/9)</f>
        <v>20.166666666666664</v>
      </c>
      <c r="K2605">
        <v>0</v>
      </c>
      <c r="L2605">
        <v>0</v>
      </c>
      <c r="M2605">
        <v>41.8</v>
      </c>
      <c r="N2605">
        <v>50.5</v>
      </c>
      <c r="O2605">
        <v>49.5</v>
      </c>
      <c r="P2605">
        <v>47.9</v>
      </c>
      <c r="Q2605">
        <v>52.1</v>
      </c>
    </row>
    <row r="2606" spans="1:17" x14ac:dyDescent="0.25">
      <c r="A2606" s="2">
        <v>45338</v>
      </c>
      <c r="B2606" s="2" t="str">
        <f t="shared" si="80"/>
        <v>Friday</v>
      </c>
      <c r="C2606" s="2" t="b">
        <f t="shared" si="81"/>
        <v>0</v>
      </c>
      <c r="D2606">
        <v>4</v>
      </c>
      <c r="E2606" t="s">
        <v>8</v>
      </c>
      <c r="F2606">
        <v>179</v>
      </c>
      <c r="G2606" s="3">
        <v>2760.01</v>
      </c>
      <c r="H2606" s="3">
        <f>Miami_Retail[[#This Row],[sales_usd]] / Miami_Retail[[#This Row],[customers]]</f>
        <v>15.41905027932961</v>
      </c>
      <c r="I2606">
        <v>66.8</v>
      </c>
      <c r="J2606">
        <f>(Miami_Retail[[#This Row],[avg_temp_f]]-32) * (5/9)</f>
        <v>19.333333333333332</v>
      </c>
      <c r="K2606">
        <v>0</v>
      </c>
      <c r="L2606">
        <v>0</v>
      </c>
      <c r="M2606">
        <v>35.799999999999997</v>
      </c>
      <c r="N2606">
        <v>50.4</v>
      </c>
      <c r="O2606">
        <v>49.6</v>
      </c>
      <c r="P2606">
        <v>46.6</v>
      </c>
      <c r="Q2606">
        <v>53.4</v>
      </c>
    </row>
    <row r="2607" spans="1:17" x14ac:dyDescent="0.25">
      <c r="A2607" s="2">
        <v>45339</v>
      </c>
      <c r="B2607" s="2" t="str">
        <f t="shared" si="80"/>
        <v>Saturday</v>
      </c>
      <c r="C2607" s="2" t="b">
        <f t="shared" si="81"/>
        <v>1</v>
      </c>
      <c r="D2607">
        <v>4</v>
      </c>
      <c r="E2607" t="s">
        <v>8</v>
      </c>
      <c r="F2607">
        <v>213</v>
      </c>
      <c r="G2607" s="3">
        <v>3468</v>
      </c>
      <c r="H2607" s="3">
        <f>Miami_Retail[[#This Row],[sales_usd]] / Miami_Retail[[#This Row],[customers]]</f>
        <v>16.281690140845072</v>
      </c>
      <c r="I2607">
        <v>71.7</v>
      </c>
      <c r="J2607">
        <f>(Miami_Retail[[#This Row],[avg_temp_f]]-32) * (5/9)</f>
        <v>22.055555555555557</v>
      </c>
      <c r="K2607">
        <v>0</v>
      </c>
      <c r="L2607">
        <v>0</v>
      </c>
      <c r="M2607">
        <v>35</v>
      </c>
      <c r="N2607">
        <v>51.7</v>
      </c>
      <c r="O2607">
        <v>48.3</v>
      </c>
      <c r="P2607">
        <v>52.5</v>
      </c>
      <c r="Q2607">
        <v>47.5</v>
      </c>
    </row>
    <row r="2608" spans="1:17" x14ac:dyDescent="0.25">
      <c r="A2608" s="2">
        <v>45340</v>
      </c>
      <c r="B2608" s="2" t="str">
        <f t="shared" si="80"/>
        <v>Sunday</v>
      </c>
      <c r="C2608" s="2" t="b">
        <f t="shared" si="81"/>
        <v>1</v>
      </c>
      <c r="D2608">
        <v>4</v>
      </c>
      <c r="E2608" t="s">
        <v>8</v>
      </c>
      <c r="F2608">
        <v>180</v>
      </c>
      <c r="G2608" s="3">
        <v>2723.3</v>
      </c>
      <c r="H2608" s="3">
        <f>Miami_Retail[[#This Row],[sales_usd]] / Miami_Retail[[#This Row],[customers]]</f>
        <v>15.129444444444445</v>
      </c>
      <c r="I2608">
        <v>64</v>
      </c>
      <c r="J2608">
        <f>(Miami_Retail[[#This Row],[avg_temp_f]]-32) * (5/9)</f>
        <v>17.777777777777779</v>
      </c>
      <c r="K2608">
        <v>0.79</v>
      </c>
      <c r="L2608">
        <v>1</v>
      </c>
      <c r="M2608">
        <v>38.799999999999997</v>
      </c>
      <c r="N2608">
        <v>51.7</v>
      </c>
      <c r="O2608">
        <v>48.3</v>
      </c>
      <c r="P2608">
        <v>53.1</v>
      </c>
      <c r="Q2608">
        <v>46.9</v>
      </c>
    </row>
    <row r="2609" spans="1:17" x14ac:dyDescent="0.25">
      <c r="A2609" s="2">
        <v>45341</v>
      </c>
      <c r="B2609" s="2" t="str">
        <f t="shared" si="80"/>
        <v>Monday</v>
      </c>
      <c r="C2609" s="2" t="b">
        <f t="shared" si="81"/>
        <v>0</v>
      </c>
      <c r="D2609">
        <v>4</v>
      </c>
      <c r="E2609" t="s">
        <v>8</v>
      </c>
      <c r="F2609">
        <v>152</v>
      </c>
      <c r="G2609" s="3">
        <v>2388.77</v>
      </c>
      <c r="H2609" s="3">
        <f>Miami_Retail[[#This Row],[sales_usd]] / Miami_Retail[[#This Row],[customers]]</f>
        <v>15.715592105263157</v>
      </c>
      <c r="I2609">
        <v>66</v>
      </c>
      <c r="J2609">
        <f>(Miami_Retail[[#This Row],[avg_temp_f]]-32) * (5/9)</f>
        <v>18.888888888888889</v>
      </c>
      <c r="K2609">
        <v>0</v>
      </c>
      <c r="L2609">
        <v>0</v>
      </c>
      <c r="M2609">
        <v>44.6</v>
      </c>
      <c r="N2609">
        <v>51.6</v>
      </c>
      <c r="O2609">
        <v>48.4</v>
      </c>
      <c r="P2609">
        <v>47.3</v>
      </c>
      <c r="Q2609">
        <v>52.7</v>
      </c>
    </row>
    <row r="2610" spans="1:17" x14ac:dyDescent="0.25">
      <c r="A2610" s="2">
        <v>45342</v>
      </c>
      <c r="B2610" s="2" t="str">
        <f t="shared" si="80"/>
        <v>Tuesday</v>
      </c>
      <c r="C2610" s="2" t="b">
        <f t="shared" si="81"/>
        <v>0</v>
      </c>
      <c r="D2610">
        <v>4</v>
      </c>
      <c r="E2610" t="s">
        <v>8</v>
      </c>
      <c r="F2610">
        <v>185</v>
      </c>
      <c r="G2610" s="3">
        <v>2769.95</v>
      </c>
      <c r="H2610" s="3">
        <f>Miami_Retail[[#This Row],[sales_usd]] / Miami_Retail[[#This Row],[customers]]</f>
        <v>14.972702702702701</v>
      </c>
      <c r="I2610">
        <v>69.8</v>
      </c>
      <c r="J2610">
        <f>(Miami_Retail[[#This Row],[avg_temp_f]]-32) * (5/9)</f>
        <v>21</v>
      </c>
      <c r="K2610">
        <v>0</v>
      </c>
      <c r="L2610">
        <v>0</v>
      </c>
      <c r="M2610">
        <v>37.700000000000003</v>
      </c>
      <c r="N2610">
        <v>51.1</v>
      </c>
      <c r="O2610">
        <v>48.9</v>
      </c>
      <c r="P2610">
        <v>46.4</v>
      </c>
      <c r="Q2610">
        <v>53.6</v>
      </c>
    </row>
    <row r="2611" spans="1:17" x14ac:dyDescent="0.25">
      <c r="A2611" s="2">
        <v>45343</v>
      </c>
      <c r="B2611" s="2" t="str">
        <f t="shared" si="80"/>
        <v>Wednesday</v>
      </c>
      <c r="C2611" s="2" t="b">
        <f t="shared" si="81"/>
        <v>0</v>
      </c>
      <c r="D2611">
        <v>4</v>
      </c>
      <c r="E2611" t="s">
        <v>8</v>
      </c>
      <c r="F2611">
        <v>158</v>
      </c>
      <c r="G2611" s="3">
        <v>2535.4699999999998</v>
      </c>
      <c r="H2611" s="3">
        <f>Miami_Retail[[#This Row],[sales_usd]] / Miami_Retail[[#This Row],[customers]]</f>
        <v>16.047278481012658</v>
      </c>
      <c r="I2611">
        <v>70.900000000000006</v>
      </c>
      <c r="J2611">
        <f>(Miami_Retail[[#This Row],[avg_temp_f]]-32) * (5/9)</f>
        <v>21.611111111111114</v>
      </c>
      <c r="K2611">
        <v>0</v>
      </c>
      <c r="L2611">
        <v>0</v>
      </c>
      <c r="M2611">
        <v>36.700000000000003</v>
      </c>
      <c r="N2611">
        <v>52.4</v>
      </c>
      <c r="O2611">
        <v>47.6</v>
      </c>
      <c r="P2611">
        <v>47.2</v>
      </c>
      <c r="Q2611">
        <v>52.8</v>
      </c>
    </row>
    <row r="2612" spans="1:17" x14ac:dyDescent="0.25">
      <c r="A2612" s="2">
        <v>45344</v>
      </c>
      <c r="B2612" s="2" t="str">
        <f t="shared" si="80"/>
        <v>Thursday</v>
      </c>
      <c r="C2612" s="2" t="b">
        <f t="shared" si="81"/>
        <v>0</v>
      </c>
      <c r="D2612">
        <v>4</v>
      </c>
      <c r="E2612" t="s">
        <v>8</v>
      </c>
      <c r="F2612">
        <v>186</v>
      </c>
      <c r="G2612" s="3">
        <v>2823.1</v>
      </c>
      <c r="H2612" s="3">
        <f>Miami_Retail[[#This Row],[sales_usd]] / Miami_Retail[[#This Row],[customers]]</f>
        <v>15.177956989247312</v>
      </c>
      <c r="I2612">
        <v>72</v>
      </c>
      <c r="J2612">
        <f>(Miami_Retail[[#This Row],[avg_temp_f]]-32) * (5/9)</f>
        <v>22.222222222222221</v>
      </c>
      <c r="K2612">
        <v>0</v>
      </c>
      <c r="L2612">
        <v>0</v>
      </c>
      <c r="M2612">
        <v>36.9</v>
      </c>
      <c r="N2612">
        <v>50.5</v>
      </c>
      <c r="O2612">
        <v>49.5</v>
      </c>
      <c r="P2612">
        <v>47.7</v>
      </c>
      <c r="Q2612">
        <v>52.3</v>
      </c>
    </row>
    <row r="2613" spans="1:17" x14ac:dyDescent="0.25">
      <c r="A2613" s="2">
        <v>45345</v>
      </c>
      <c r="B2613" s="2" t="str">
        <f t="shared" si="80"/>
        <v>Friday</v>
      </c>
      <c r="C2613" s="2" t="b">
        <f t="shared" si="81"/>
        <v>0</v>
      </c>
      <c r="D2613">
        <v>4</v>
      </c>
      <c r="E2613" t="s">
        <v>8</v>
      </c>
      <c r="F2613">
        <v>171</v>
      </c>
      <c r="G2613" s="3">
        <v>2787.33</v>
      </c>
      <c r="H2613" s="3">
        <f>Miami_Retail[[#This Row],[sales_usd]] / Miami_Retail[[#This Row],[customers]]</f>
        <v>16.30017543859649</v>
      </c>
      <c r="I2613">
        <v>65.099999999999994</v>
      </c>
      <c r="J2613">
        <f>(Miami_Retail[[#This Row],[avg_temp_f]]-32) * (5/9)</f>
        <v>18.388888888888886</v>
      </c>
      <c r="K2613">
        <v>1.41</v>
      </c>
      <c r="L2613">
        <v>1</v>
      </c>
      <c r="M2613">
        <v>41.8</v>
      </c>
      <c r="N2613">
        <v>52.4</v>
      </c>
      <c r="O2613">
        <v>47.6</v>
      </c>
      <c r="P2613">
        <v>48.2</v>
      </c>
      <c r="Q2613">
        <v>51.8</v>
      </c>
    </row>
    <row r="2614" spans="1:17" x14ac:dyDescent="0.25">
      <c r="A2614" s="2">
        <v>45346</v>
      </c>
      <c r="B2614" s="2" t="str">
        <f t="shared" si="80"/>
        <v>Saturday</v>
      </c>
      <c r="C2614" s="2" t="b">
        <f t="shared" si="81"/>
        <v>1</v>
      </c>
      <c r="D2614">
        <v>4</v>
      </c>
      <c r="E2614" t="s">
        <v>8</v>
      </c>
      <c r="F2614">
        <v>209</v>
      </c>
      <c r="G2614" s="3">
        <v>3211.03</v>
      </c>
      <c r="H2614" s="3">
        <f>Miami_Retail[[#This Row],[sales_usd]] / Miami_Retail[[#This Row],[customers]]</f>
        <v>15.36377990430622</v>
      </c>
      <c r="I2614">
        <v>63.6</v>
      </c>
      <c r="J2614">
        <f>(Miami_Retail[[#This Row],[avg_temp_f]]-32) * (5/9)</f>
        <v>17.555555555555557</v>
      </c>
      <c r="K2614">
        <v>0</v>
      </c>
      <c r="L2614">
        <v>0</v>
      </c>
      <c r="M2614">
        <v>38</v>
      </c>
      <c r="N2614">
        <v>51.8</v>
      </c>
      <c r="O2614">
        <v>48.2</v>
      </c>
      <c r="P2614">
        <v>51.2</v>
      </c>
      <c r="Q2614">
        <v>48.8</v>
      </c>
    </row>
    <row r="2615" spans="1:17" x14ac:dyDescent="0.25">
      <c r="A2615" s="2">
        <v>45347</v>
      </c>
      <c r="B2615" s="2" t="str">
        <f t="shared" si="80"/>
        <v>Sunday</v>
      </c>
      <c r="C2615" s="2" t="b">
        <f t="shared" si="81"/>
        <v>1</v>
      </c>
      <c r="D2615">
        <v>4</v>
      </c>
      <c r="E2615" t="s">
        <v>8</v>
      </c>
      <c r="F2615">
        <v>195</v>
      </c>
      <c r="G2615" s="3">
        <v>3074.35</v>
      </c>
      <c r="H2615" s="3">
        <f>Miami_Retail[[#This Row],[sales_usd]] / Miami_Retail[[#This Row],[customers]]</f>
        <v>15.765897435897436</v>
      </c>
      <c r="I2615">
        <v>67</v>
      </c>
      <c r="J2615">
        <f>(Miami_Retail[[#This Row],[avg_temp_f]]-32) * (5/9)</f>
        <v>19.444444444444446</v>
      </c>
      <c r="K2615">
        <v>0</v>
      </c>
      <c r="L2615">
        <v>0</v>
      </c>
      <c r="M2615">
        <v>36.299999999999997</v>
      </c>
      <c r="N2615">
        <v>50.8</v>
      </c>
      <c r="O2615">
        <v>49.2</v>
      </c>
      <c r="P2615">
        <v>52.8</v>
      </c>
      <c r="Q2615">
        <v>47.2</v>
      </c>
    </row>
    <row r="2616" spans="1:17" x14ac:dyDescent="0.25">
      <c r="A2616" s="2">
        <v>45348</v>
      </c>
      <c r="B2616" s="2" t="str">
        <f t="shared" si="80"/>
        <v>Monday</v>
      </c>
      <c r="C2616" s="2" t="b">
        <f t="shared" si="81"/>
        <v>0</v>
      </c>
      <c r="D2616">
        <v>4</v>
      </c>
      <c r="E2616" t="s">
        <v>8</v>
      </c>
      <c r="F2616">
        <v>158</v>
      </c>
      <c r="G2616" s="3">
        <v>2366.23</v>
      </c>
      <c r="H2616" s="3">
        <f>Miami_Retail[[#This Row],[sales_usd]] / Miami_Retail[[#This Row],[customers]]</f>
        <v>14.976139240506329</v>
      </c>
      <c r="I2616">
        <v>67</v>
      </c>
      <c r="J2616">
        <f>(Miami_Retail[[#This Row],[avg_temp_f]]-32) * (5/9)</f>
        <v>19.444444444444446</v>
      </c>
      <c r="K2616">
        <v>0</v>
      </c>
      <c r="L2616">
        <v>0</v>
      </c>
      <c r="M2616">
        <v>38.700000000000003</v>
      </c>
      <c r="N2616">
        <v>51.3</v>
      </c>
      <c r="O2616">
        <v>48.7</v>
      </c>
      <c r="P2616">
        <v>47.7</v>
      </c>
      <c r="Q2616">
        <v>52.3</v>
      </c>
    </row>
    <row r="2617" spans="1:17" x14ac:dyDescent="0.25">
      <c r="A2617" s="2">
        <v>45349</v>
      </c>
      <c r="B2617" s="2" t="str">
        <f t="shared" si="80"/>
        <v>Tuesday</v>
      </c>
      <c r="C2617" s="2" t="b">
        <f t="shared" si="81"/>
        <v>0</v>
      </c>
      <c r="D2617">
        <v>4</v>
      </c>
      <c r="E2617" t="s">
        <v>8</v>
      </c>
      <c r="F2617">
        <v>168</v>
      </c>
      <c r="G2617" s="3">
        <v>2802.95</v>
      </c>
      <c r="H2617" s="3">
        <f>Miami_Retail[[#This Row],[sales_usd]] / Miami_Retail[[#This Row],[customers]]</f>
        <v>16.684226190476188</v>
      </c>
      <c r="I2617">
        <v>62.5</v>
      </c>
      <c r="J2617">
        <f>(Miami_Retail[[#This Row],[avg_temp_f]]-32) * (5/9)</f>
        <v>16.944444444444446</v>
      </c>
      <c r="K2617">
        <v>0</v>
      </c>
      <c r="L2617">
        <v>0</v>
      </c>
      <c r="M2617">
        <v>39.700000000000003</v>
      </c>
      <c r="N2617">
        <v>50.6</v>
      </c>
      <c r="O2617">
        <v>49.4</v>
      </c>
      <c r="P2617">
        <v>47.7</v>
      </c>
      <c r="Q2617">
        <v>52.3</v>
      </c>
    </row>
    <row r="2618" spans="1:17" x14ac:dyDescent="0.25">
      <c r="A2618" s="2">
        <v>45350</v>
      </c>
      <c r="B2618" s="2" t="str">
        <f t="shared" si="80"/>
        <v>Wednesday</v>
      </c>
      <c r="C2618" s="2" t="b">
        <f t="shared" si="81"/>
        <v>0</v>
      </c>
      <c r="D2618">
        <v>4</v>
      </c>
      <c r="E2618" t="s">
        <v>8</v>
      </c>
      <c r="F2618">
        <v>171</v>
      </c>
      <c r="G2618" s="3">
        <v>2547.37</v>
      </c>
      <c r="H2618" s="3">
        <f>Miami_Retail[[#This Row],[sales_usd]] / Miami_Retail[[#This Row],[customers]]</f>
        <v>14.89690058479532</v>
      </c>
      <c r="I2618">
        <v>64.8</v>
      </c>
      <c r="J2618">
        <f>(Miami_Retail[[#This Row],[avg_temp_f]]-32) * (5/9)</f>
        <v>18.222222222222221</v>
      </c>
      <c r="K2618">
        <v>0</v>
      </c>
      <c r="L2618">
        <v>0</v>
      </c>
      <c r="M2618">
        <v>35</v>
      </c>
      <c r="N2618">
        <v>52</v>
      </c>
      <c r="O2618">
        <v>48</v>
      </c>
      <c r="P2618">
        <v>48.2</v>
      </c>
      <c r="Q2618">
        <v>51.8</v>
      </c>
    </row>
    <row r="2619" spans="1:17" x14ac:dyDescent="0.25">
      <c r="A2619" s="2">
        <v>45351</v>
      </c>
      <c r="B2619" s="2" t="str">
        <f t="shared" si="80"/>
        <v>Thursday</v>
      </c>
      <c r="C2619" s="2" t="b">
        <f t="shared" si="81"/>
        <v>0</v>
      </c>
      <c r="D2619">
        <v>4</v>
      </c>
      <c r="E2619" t="s">
        <v>8</v>
      </c>
      <c r="F2619">
        <v>171</v>
      </c>
      <c r="G2619" s="3">
        <v>2555.7800000000002</v>
      </c>
      <c r="H2619" s="3">
        <f>Miami_Retail[[#This Row],[sales_usd]] / Miami_Retail[[#This Row],[customers]]</f>
        <v>14.946081871345031</v>
      </c>
      <c r="I2619">
        <v>69.5</v>
      </c>
      <c r="J2619">
        <f>(Miami_Retail[[#This Row],[avg_temp_f]]-32) * (5/9)</f>
        <v>20.833333333333336</v>
      </c>
      <c r="K2619">
        <v>2.56</v>
      </c>
      <c r="L2619">
        <v>1</v>
      </c>
      <c r="M2619">
        <v>35.200000000000003</v>
      </c>
      <c r="N2619">
        <v>52</v>
      </c>
      <c r="O2619">
        <v>48</v>
      </c>
      <c r="P2619">
        <v>47.8</v>
      </c>
      <c r="Q2619">
        <v>52.2</v>
      </c>
    </row>
    <row r="2620" spans="1:17" x14ac:dyDescent="0.25">
      <c r="A2620" s="2">
        <v>45352</v>
      </c>
      <c r="B2620" s="2" t="str">
        <f t="shared" si="80"/>
        <v>Friday</v>
      </c>
      <c r="C2620" s="2" t="b">
        <f t="shared" si="81"/>
        <v>0</v>
      </c>
      <c r="D2620">
        <v>4</v>
      </c>
      <c r="E2620" t="s">
        <v>8</v>
      </c>
      <c r="F2620">
        <v>180</v>
      </c>
      <c r="G2620" s="3">
        <v>2893.6</v>
      </c>
      <c r="H2620" s="3">
        <f>Miami_Retail[[#This Row],[sales_usd]] / Miami_Retail[[#This Row],[customers]]</f>
        <v>16.075555555555557</v>
      </c>
      <c r="I2620">
        <v>64.8</v>
      </c>
      <c r="J2620">
        <f>(Miami_Retail[[#This Row],[avg_temp_f]]-32) * (5/9)</f>
        <v>18.222222222222221</v>
      </c>
      <c r="K2620">
        <v>0.15</v>
      </c>
      <c r="L2620">
        <v>1</v>
      </c>
      <c r="M2620">
        <v>37.1</v>
      </c>
      <c r="N2620">
        <v>50.9</v>
      </c>
      <c r="O2620">
        <v>49.1</v>
      </c>
      <c r="P2620">
        <v>48</v>
      </c>
      <c r="Q2620">
        <v>52</v>
      </c>
    </row>
    <row r="2621" spans="1:17" x14ac:dyDescent="0.25">
      <c r="A2621" s="2">
        <v>45353</v>
      </c>
      <c r="B2621" s="2" t="str">
        <f t="shared" si="80"/>
        <v>Saturday</v>
      </c>
      <c r="C2621" s="2" t="b">
        <f t="shared" si="81"/>
        <v>1</v>
      </c>
      <c r="D2621">
        <v>4</v>
      </c>
      <c r="E2621" t="s">
        <v>8</v>
      </c>
      <c r="F2621">
        <v>217</v>
      </c>
      <c r="G2621" s="3">
        <v>3291.68</v>
      </c>
      <c r="H2621" s="3">
        <f>Miami_Retail[[#This Row],[sales_usd]] / Miami_Retail[[#This Row],[customers]]</f>
        <v>15.169032258064515</v>
      </c>
      <c r="I2621">
        <v>63.1</v>
      </c>
      <c r="J2621">
        <f>(Miami_Retail[[#This Row],[avg_temp_f]]-32) * (5/9)</f>
        <v>17.277777777777779</v>
      </c>
      <c r="K2621">
        <v>0</v>
      </c>
      <c r="L2621">
        <v>0</v>
      </c>
      <c r="M2621">
        <v>35</v>
      </c>
      <c r="N2621">
        <v>51.1</v>
      </c>
      <c r="O2621">
        <v>48.9</v>
      </c>
      <c r="P2621">
        <v>51.8</v>
      </c>
      <c r="Q2621">
        <v>48.2</v>
      </c>
    </row>
    <row r="2622" spans="1:17" x14ac:dyDescent="0.25">
      <c r="A2622" s="2">
        <v>45354</v>
      </c>
      <c r="B2622" s="2" t="str">
        <f t="shared" si="80"/>
        <v>Sunday</v>
      </c>
      <c r="C2622" s="2" t="b">
        <f t="shared" si="81"/>
        <v>1</v>
      </c>
      <c r="D2622">
        <v>4</v>
      </c>
      <c r="E2622" t="s">
        <v>8</v>
      </c>
      <c r="F2622">
        <v>183</v>
      </c>
      <c r="G2622" s="3">
        <v>2577.48</v>
      </c>
      <c r="H2622" s="3">
        <f>Miami_Retail[[#This Row],[sales_usd]] / Miami_Retail[[#This Row],[customers]]</f>
        <v>14.084590163934426</v>
      </c>
      <c r="I2622">
        <v>63.9</v>
      </c>
      <c r="J2622">
        <f>(Miami_Retail[[#This Row],[avg_temp_f]]-32) * (5/9)</f>
        <v>17.722222222222221</v>
      </c>
      <c r="K2622">
        <v>0</v>
      </c>
      <c r="L2622">
        <v>0</v>
      </c>
      <c r="M2622">
        <v>36.200000000000003</v>
      </c>
      <c r="N2622">
        <v>51.5</v>
      </c>
      <c r="O2622">
        <v>48.5</v>
      </c>
      <c r="P2622">
        <v>51.7</v>
      </c>
      <c r="Q2622">
        <v>48.3</v>
      </c>
    </row>
    <row r="2623" spans="1:17" x14ac:dyDescent="0.25">
      <c r="A2623" s="2">
        <v>45355</v>
      </c>
      <c r="B2623" s="2" t="str">
        <f t="shared" si="80"/>
        <v>Monday</v>
      </c>
      <c r="C2623" s="2" t="b">
        <f t="shared" si="81"/>
        <v>0</v>
      </c>
      <c r="D2623">
        <v>4</v>
      </c>
      <c r="E2623" t="s">
        <v>8</v>
      </c>
      <c r="F2623">
        <v>167</v>
      </c>
      <c r="G2623" s="3">
        <v>2605.16</v>
      </c>
      <c r="H2623" s="3">
        <f>Miami_Retail[[#This Row],[sales_usd]] / Miami_Retail[[#This Row],[customers]]</f>
        <v>15.599760479041915</v>
      </c>
      <c r="I2623">
        <v>61.4</v>
      </c>
      <c r="J2623">
        <f>(Miami_Retail[[#This Row],[avg_temp_f]]-32) * (5/9)</f>
        <v>16.333333333333332</v>
      </c>
      <c r="K2623">
        <v>1.1000000000000001</v>
      </c>
      <c r="L2623">
        <v>1</v>
      </c>
      <c r="M2623">
        <v>35</v>
      </c>
      <c r="N2623">
        <v>50.5</v>
      </c>
      <c r="O2623">
        <v>49.5</v>
      </c>
      <c r="P2623">
        <v>48</v>
      </c>
      <c r="Q2623">
        <v>52</v>
      </c>
    </row>
    <row r="2624" spans="1:17" x14ac:dyDescent="0.25">
      <c r="A2624" s="2">
        <v>45356</v>
      </c>
      <c r="B2624" s="2" t="str">
        <f t="shared" si="80"/>
        <v>Tuesday</v>
      </c>
      <c r="C2624" s="2" t="b">
        <f t="shared" si="81"/>
        <v>0</v>
      </c>
      <c r="D2624">
        <v>4</v>
      </c>
      <c r="E2624" t="s">
        <v>8</v>
      </c>
      <c r="F2624">
        <v>131</v>
      </c>
      <c r="G2624" s="3">
        <v>2065.83</v>
      </c>
      <c r="H2624" s="3">
        <f>Miami_Retail[[#This Row],[sales_usd]] / Miami_Retail[[#This Row],[customers]]</f>
        <v>15.769694656488548</v>
      </c>
      <c r="I2624">
        <v>61.4</v>
      </c>
      <c r="J2624">
        <f>(Miami_Retail[[#This Row],[avg_temp_f]]-32) * (5/9)</f>
        <v>16.333333333333332</v>
      </c>
      <c r="K2624">
        <v>0</v>
      </c>
      <c r="L2624">
        <v>0</v>
      </c>
      <c r="M2624">
        <v>43</v>
      </c>
      <c r="N2624">
        <v>51.2</v>
      </c>
      <c r="O2624">
        <v>48.8</v>
      </c>
      <c r="P2624">
        <v>46.1</v>
      </c>
      <c r="Q2624">
        <v>53.9</v>
      </c>
    </row>
    <row r="2625" spans="1:17" x14ac:dyDescent="0.25">
      <c r="A2625" s="2">
        <v>45357</v>
      </c>
      <c r="B2625" s="2" t="str">
        <f t="shared" si="80"/>
        <v>Wednesday</v>
      </c>
      <c r="C2625" s="2" t="b">
        <f t="shared" si="81"/>
        <v>0</v>
      </c>
      <c r="D2625">
        <v>4</v>
      </c>
      <c r="E2625" t="s">
        <v>8</v>
      </c>
      <c r="F2625">
        <v>152</v>
      </c>
      <c r="G2625" s="3">
        <v>2275</v>
      </c>
      <c r="H2625" s="3">
        <f>Miami_Retail[[#This Row],[sales_usd]] / Miami_Retail[[#This Row],[customers]]</f>
        <v>14.967105263157896</v>
      </c>
      <c r="I2625">
        <v>62.7</v>
      </c>
      <c r="J2625">
        <f>(Miami_Retail[[#This Row],[avg_temp_f]]-32) * (5/9)</f>
        <v>17.055555555555557</v>
      </c>
      <c r="K2625">
        <v>0</v>
      </c>
      <c r="L2625">
        <v>0</v>
      </c>
      <c r="M2625">
        <v>36.700000000000003</v>
      </c>
      <c r="N2625">
        <v>51</v>
      </c>
      <c r="O2625">
        <v>49</v>
      </c>
      <c r="P2625">
        <v>46.2</v>
      </c>
      <c r="Q2625">
        <v>53.8</v>
      </c>
    </row>
    <row r="2626" spans="1:17" x14ac:dyDescent="0.25">
      <c r="A2626" s="2">
        <v>45358</v>
      </c>
      <c r="B2626" s="2" t="str">
        <f t="shared" ref="B2626:B2689" si="82">TEXT(A2626, "dddd")</f>
        <v>Thursday</v>
      </c>
      <c r="C2626" s="2" t="b">
        <f t="shared" ref="C2626:C2689" si="83">IF(WEEKDAY(A2626,2)&gt;5,TRUE,FALSE)</f>
        <v>0</v>
      </c>
      <c r="D2626">
        <v>4</v>
      </c>
      <c r="E2626" t="s">
        <v>8</v>
      </c>
      <c r="F2626">
        <v>165</v>
      </c>
      <c r="G2626" s="3">
        <v>2576.9699999999998</v>
      </c>
      <c r="H2626" s="3">
        <f>Miami_Retail[[#This Row],[sales_usd]] / Miami_Retail[[#This Row],[customers]]</f>
        <v>15.617999999999999</v>
      </c>
      <c r="I2626">
        <v>64.3</v>
      </c>
      <c r="J2626">
        <f>(Miami_Retail[[#This Row],[avg_temp_f]]-32) * (5/9)</f>
        <v>17.944444444444443</v>
      </c>
      <c r="K2626">
        <v>1.42</v>
      </c>
      <c r="L2626">
        <v>1</v>
      </c>
      <c r="M2626">
        <v>35</v>
      </c>
      <c r="N2626">
        <v>50.5</v>
      </c>
      <c r="O2626">
        <v>49.5</v>
      </c>
      <c r="P2626">
        <v>46.6</v>
      </c>
      <c r="Q2626">
        <v>53.4</v>
      </c>
    </row>
    <row r="2627" spans="1:17" x14ac:dyDescent="0.25">
      <c r="A2627" s="2">
        <v>45359</v>
      </c>
      <c r="B2627" s="2" t="str">
        <f t="shared" si="82"/>
        <v>Friday</v>
      </c>
      <c r="C2627" s="2" t="b">
        <f t="shared" si="83"/>
        <v>0</v>
      </c>
      <c r="D2627">
        <v>4</v>
      </c>
      <c r="E2627" t="s">
        <v>8</v>
      </c>
      <c r="F2627">
        <v>152</v>
      </c>
      <c r="G2627" s="3">
        <v>2409.48</v>
      </c>
      <c r="H2627" s="3">
        <f>Miami_Retail[[#This Row],[sales_usd]] / Miami_Retail[[#This Row],[customers]]</f>
        <v>15.851842105263158</v>
      </c>
      <c r="I2627">
        <v>64.099999999999994</v>
      </c>
      <c r="J2627">
        <f>(Miami_Retail[[#This Row],[avg_temp_f]]-32) * (5/9)</f>
        <v>17.833333333333332</v>
      </c>
      <c r="K2627">
        <v>0</v>
      </c>
      <c r="L2627">
        <v>0</v>
      </c>
      <c r="M2627">
        <v>35</v>
      </c>
      <c r="N2627">
        <v>50.9</v>
      </c>
      <c r="O2627">
        <v>49.1</v>
      </c>
      <c r="P2627">
        <v>47.1</v>
      </c>
      <c r="Q2627">
        <v>52.9</v>
      </c>
    </row>
    <row r="2628" spans="1:17" x14ac:dyDescent="0.25">
      <c r="A2628" s="2">
        <v>45360</v>
      </c>
      <c r="B2628" s="2" t="str">
        <f t="shared" si="82"/>
        <v>Saturday</v>
      </c>
      <c r="C2628" s="2" t="b">
        <f t="shared" si="83"/>
        <v>1</v>
      </c>
      <c r="D2628">
        <v>4</v>
      </c>
      <c r="E2628" t="s">
        <v>8</v>
      </c>
      <c r="F2628">
        <v>172</v>
      </c>
      <c r="G2628" s="3">
        <v>2878.49</v>
      </c>
      <c r="H2628" s="3">
        <f>Miami_Retail[[#This Row],[sales_usd]] / Miami_Retail[[#This Row],[customers]]</f>
        <v>16.735406976744184</v>
      </c>
      <c r="I2628">
        <v>63.3</v>
      </c>
      <c r="J2628">
        <f>(Miami_Retail[[#This Row],[avg_temp_f]]-32) * (5/9)</f>
        <v>17.388888888888889</v>
      </c>
      <c r="K2628">
        <v>0</v>
      </c>
      <c r="L2628">
        <v>0</v>
      </c>
      <c r="M2628">
        <v>39.1</v>
      </c>
      <c r="N2628">
        <v>52.3</v>
      </c>
      <c r="O2628">
        <v>47.7</v>
      </c>
      <c r="P2628">
        <v>51.5</v>
      </c>
      <c r="Q2628">
        <v>48.5</v>
      </c>
    </row>
    <row r="2629" spans="1:17" x14ac:dyDescent="0.25">
      <c r="A2629" s="2">
        <v>45361</v>
      </c>
      <c r="B2629" s="2" t="str">
        <f t="shared" si="82"/>
        <v>Sunday</v>
      </c>
      <c r="C2629" s="2" t="b">
        <f t="shared" si="83"/>
        <v>1</v>
      </c>
      <c r="D2629">
        <v>4</v>
      </c>
      <c r="E2629" t="s">
        <v>8</v>
      </c>
      <c r="F2629">
        <v>200</v>
      </c>
      <c r="G2629" s="3">
        <v>3319.02</v>
      </c>
      <c r="H2629" s="3">
        <f>Miami_Retail[[#This Row],[sales_usd]] / Miami_Retail[[#This Row],[customers]]</f>
        <v>16.595099999999999</v>
      </c>
      <c r="I2629">
        <v>64.3</v>
      </c>
      <c r="J2629">
        <f>(Miami_Retail[[#This Row],[avg_temp_f]]-32) * (5/9)</f>
        <v>17.944444444444443</v>
      </c>
      <c r="K2629">
        <v>0</v>
      </c>
      <c r="L2629">
        <v>0</v>
      </c>
      <c r="M2629">
        <v>36.200000000000003</v>
      </c>
      <c r="N2629">
        <v>52.1</v>
      </c>
      <c r="O2629">
        <v>47.9</v>
      </c>
      <c r="P2629">
        <v>53.2</v>
      </c>
      <c r="Q2629">
        <v>46.8</v>
      </c>
    </row>
    <row r="2630" spans="1:17" x14ac:dyDescent="0.25">
      <c r="A2630" s="2">
        <v>45362</v>
      </c>
      <c r="B2630" s="2" t="str">
        <f t="shared" si="82"/>
        <v>Monday</v>
      </c>
      <c r="C2630" s="2" t="b">
        <f t="shared" si="83"/>
        <v>0</v>
      </c>
      <c r="D2630">
        <v>4</v>
      </c>
      <c r="E2630" t="s">
        <v>8</v>
      </c>
      <c r="F2630">
        <v>205</v>
      </c>
      <c r="G2630" s="3">
        <v>2933.94</v>
      </c>
      <c r="H2630" s="3">
        <f>Miami_Retail[[#This Row],[sales_usd]] / Miami_Retail[[#This Row],[customers]]</f>
        <v>14.31190243902439</v>
      </c>
      <c r="I2630">
        <v>68.099999999999994</v>
      </c>
      <c r="J2630">
        <f>(Miami_Retail[[#This Row],[avg_temp_f]]-32) * (5/9)</f>
        <v>20.055555555555554</v>
      </c>
      <c r="K2630">
        <v>0.31</v>
      </c>
      <c r="L2630">
        <v>1</v>
      </c>
      <c r="M2630">
        <v>38.299999999999997</v>
      </c>
      <c r="N2630">
        <v>52.1</v>
      </c>
      <c r="O2630">
        <v>47.9</v>
      </c>
      <c r="P2630">
        <v>46.9</v>
      </c>
      <c r="Q2630">
        <v>53.1</v>
      </c>
    </row>
    <row r="2631" spans="1:17" x14ac:dyDescent="0.25">
      <c r="A2631" s="2">
        <v>45363</v>
      </c>
      <c r="B2631" s="2" t="str">
        <f t="shared" si="82"/>
        <v>Tuesday</v>
      </c>
      <c r="C2631" s="2" t="b">
        <f t="shared" si="83"/>
        <v>0</v>
      </c>
      <c r="D2631">
        <v>4</v>
      </c>
      <c r="E2631" t="s">
        <v>8</v>
      </c>
      <c r="F2631">
        <v>150</v>
      </c>
      <c r="G2631" s="3">
        <v>2270.96</v>
      </c>
      <c r="H2631" s="3">
        <f>Miami_Retail[[#This Row],[sales_usd]] / Miami_Retail[[#This Row],[customers]]</f>
        <v>15.139733333333334</v>
      </c>
      <c r="I2631">
        <v>62.9</v>
      </c>
      <c r="J2631">
        <f>(Miami_Retail[[#This Row],[avg_temp_f]]-32) * (5/9)</f>
        <v>17.166666666666668</v>
      </c>
      <c r="K2631">
        <v>0</v>
      </c>
      <c r="L2631">
        <v>0</v>
      </c>
      <c r="M2631">
        <v>35</v>
      </c>
      <c r="N2631">
        <v>51.9</v>
      </c>
      <c r="O2631">
        <v>48.1</v>
      </c>
      <c r="P2631">
        <v>47</v>
      </c>
      <c r="Q2631">
        <v>53</v>
      </c>
    </row>
    <row r="2632" spans="1:17" x14ac:dyDescent="0.25">
      <c r="A2632" s="2">
        <v>45364</v>
      </c>
      <c r="B2632" s="2" t="str">
        <f t="shared" si="82"/>
        <v>Wednesday</v>
      </c>
      <c r="C2632" s="2" t="b">
        <f t="shared" si="83"/>
        <v>0</v>
      </c>
      <c r="D2632">
        <v>4</v>
      </c>
      <c r="E2632" t="s">
        <v>8</v>
      </c>
      <c r="F2632">
        <v>173</v>
      </c>
      <c r="G2632" s="3">
        <v>2675.82</v>
      </c>
      <c r="H2632" s="3">
        <f>Miami_Retail[[#This Row],[sales_usd]] / Miami_Retail[[#This Row],[customers]]</f>
        <v>15.467167630057805</v>
      </c>
      <c r="I2632">
        <v>62.1</v>
      </c>
      <c r="J2632">
        <f>(Miami_Retail[[#This Row],[avg_temp_f]]-32) * (5/9)</f>
        <v>16.722222222222225</v>
      </c>
      <c r="K2632">
        <v>0</v>
      </c>
      <c r="L2632">
        <v>0</v>
      </c>
      <c r="M2632">
        <v>35</v>
      </c>
      <c r="N2632">
        <v>50.7</v>
      </c>
      <c r="O2632">
        <v>49.3</v>
      </c>
      <c r="P2632">
        <v>47.8</v>
      </c>
      <c r="Q2632">
        <v>52.2</v>
      </c>
    </row>
    <row r="2633" spans="1:17" x14ac:dyDescent="0.25">
      <c r="A2633" s="2">
        <v>45365</v>
      </c>
      <c r="B2633" s="2" t="str">
        <f t="shared" si="82"/>
        <v>Thursday</v>
      </c>
      <c r="C2633" s="2" t="b">
        <f t="shared" si="83"/>
        <v>0</v>
      </c>
      <c r="D2633">
        <v>4</v>
      </c>
      <c r="E2633" t="s">
        <v>8</v>
      </c>
      <c r="F2633">
        <v>143</v>
      </c>
      <c r="G2633" s="3">
        <v>2271.41</v>
      </c>
      <c r="H2633" s="3">
        <f>Miami_Retail[[#This Row],[sales_usd]] / Miami_Retail[[#This Row],[customers]]</f>
        <v>15.883986013986013</v>
      </c>
      <c r="I2633">
        <v>72.2</v>
      </c>
      <c r="J2633">
        <f>(Miami_Retail[[#This Row],[avg_temp_f]]-32) * (5/9)</f>
        <v>22.333333333333336</v>
      </c>
      <c r="K2633">
        <v>0</v>
      </c>
      <c r="L2633">
        <v>0</v>
      </c>
      <c r="M2633">
        <v>35</v>
      </c>
      <c r="N2633">
        <v>51.2</v>
      </c>
      <c r="O2633">
        <v>48.8</v>
      </c>
      <c r="P2633">
        <v>45</v>
      </c>
      <c r="Q2633">
        <v>55</v>
      </c>
    </row>
    <row r="2634" spans="1:17" x14ac:dyDescent="0.25">
      <c r="A2634" s="2">
        <v>45366</v>
      </c>
      <c r="B2634" s="2" t="str">
        <f t="shared" si="82"/>
        <v>Friday</v>
      </c>
      <c r="C2634" s="2" t="b">
        <f t="shared" si="83"/>
        <v>0</v>
      </c>
      <c r="D2634">
        <v>4</v>
      </c>
      <c r="E2634" t="s">
        <v>8</v>
      </c>
      <c r="F2634">
        <v>178</v>
      </c>
      <c r="G2634" s="3">
        <v>2686.62</v>
      </c>
      <c r="H2634" s="3">
        <f>Miami_Retail[[#This Row],[sales_usd]] / Miami_Retail[[#This Row],[customers]]</f>
        <v>15.093370786516854</v>
      </c>
      <c r="I2634">
        <v>73.099999999999994</v>
      </c>
      <c r="J2634">
        <f>(Miami_Retail[[#This Row],[avg_temp_f]]-32) * (5/9)</f>
        <v>22.833333333333332</v>
      </c>
      <c r="K2634">
        <v>0</v>
      </c>
      <c r="L2634">
        <v>0</v>
      </c>
      <c r="M2634">
        <v>35</v>
      </c>
      <c r="N2634">
        <v>53.1</v>
      </c>
      <c r="O2634">
        <v>46.9</v>
      </c>
      <c r="P2634">
        <v>48.2</v>
      </c>
      <c r="Q2634">
        <v>51.8</v>
      </c>
    </row>
    <row r="2635" spans="1:17" x14ac:dyDescent="0.25">
      <c r="A2635" s="2">
        <v>45367</v>
      </c>
      <c r="B2635" s="2" t="str">
        <f t="shared" si="82"/>
        <v>Saturday</v>
      </c>
      <c r="C2635" s="2" t="b">
        <f t="shared" si="83"/>
        <v>1</v>
      </c>
      <c r="D2635">
        <v>4</v>
      </c>
      <c r="E2635" t="s">
        <v>8</v>
      </c>
      <c r="F2635">
        <v>187</v>
      </c>
      <c r="G2635" s="3">
        <v>3038.56</v>
      </c>
      <c r="H2635" s="3">
        <f>Miami_Retail[[#This Row],[sales_usd]] / Miami_Retail[[#This Row],[customers]]</f>
        <v>16.248983957219252</v>
      </c>
      <c r="I2635">
        <v>67.2</v>
      </c>
      <c r="J2635">
        <f>(Miami_Retail[[#This Row],[avg_temp_f]]-32) * (5/9)</f>
        <v>19.555555555555557</v>
      </c>
      <c r="K2635">
        <v>0</v>
      </c>
      <c r="L2635">
        <v>0</v>
      </c>
      <c r="M2635">
        <v>35</v>
      </c>
      <c r="N2635">
        <v>52.2</v>
      </c>
      <c r="O2635">
        <v>47.8</v>
      </c>
      <c r="P2635">
        <v>54.9</v>
      </c>
      <c r="Q2635">
        <v>45.1</v>
      </c>
    </row>
    <row r="2636" spans="1:17" x14ac:dyDescent="0.25">
      <c r="A2636" s="2">
        <v>45368</v>
      </c>
      <c r="B2636" s="2" t="str">
        <f t="shared" si="82"/>
        <v>Sunday</v>
      </c>
      <c r="C2636" s="2" t="b">
        <f t="shared" si="83"/>
        <v>1</v>
      </c>
      <c r="D2636">
        <v>4</v>
      </c>
      <c r="E2636" t="s">
        <v>8</v>
      </c>
      <c r="F2636">
        <v>205</v>
      </c>
      <c r="G2636" s="3">
        <v>2843.18</v>
      </c>
      <c r="H2636" s="3">
        <f>Miami_Retail[[#This Row],[sales_usd]] / Miami_Retail[[#This Row],[customers]]</f>
        <v>13.869170731707316</v>
      </c>
      <c r="I2636">
        <v>68.3</v>
      </c>
      <c r="J2636">
        <f>(Miami_Retail[[#This Row],[avg_temp_f]]-32) * (5/9)</f>
        <v>20.166666666666664</v>
      </c>
      <c r="K2636">
        <v>0</v>
      </c>
      <c r="L2636">
        <v>0</v>
      </c>
      <c r="M2636">
        <v>37.4</v>
      </c>
      <c r="N2636">
        <v>50.8</v>
      </c>
      <c r="O2636">
        <v>49.2</v>
      </c>
      <c r="P2636">
        <v>55.6</v>
      </c>
      <c r="Q2636">
        <v>44.4</v>
      </c>
    </row>
    <row r="2637" spans="1:17" x14ac:dyDescent="0.25">
      <c r="A2637" s="2">
        <v>45369</v>
      </c>
      <c r="B2637" s="2" t="str">
        <f t="shared" si="82"/>
        <v>Monday</v>
      </c>
      <c r="C2637" s="2" t="b">
        <f t="shared" si="83"/>
        <v>0</v>
      </c>
      <c r="D2637">
        <v>4</v>
      </c>
      <c r="E2637" t="s">
        <v>8</v>
      </c>
      <c r="F2637">
        <v>164</v>
      </c>
      <c r="G2637" s="3">
        <v>2576.69</v>
      </c>
      <c r="H2637" s="3">
        <f>Miami_Retail[[#This Row],[sales_usd]] / Miami_Retail[[#This Row],[customers]]</f>
        <v>15.711524390243902</v>
      </c>
      <c r="I2637">
        <v>64.099999999999994</v>
      </c>
      <c r="J2637">
        <f>(Miami_Retail[[#This Row],[avg_temp_f]]-32) * (5/9)</f>
        <v>17.833333333333332</v>
      </c>
      <c r="K2637">
        <v>0</v>
      </c>
      <c r="L2637">
        <v>0</v>
      </c>
      <c r="M2637">
        <v>38.9</v>
      </c>
      <c r="N2637">
        <v>50.2</v>
      </c>
      <c r="O2637">
        <v>49.8</v>
      </c>
      <c r="P2637">
        <v>45.3</v>
      </c>
      <c r="Q2637">
        <v>54.7</v>
      </c>
    </row>
    <row r="2638" spans="1:17" x14ac:dyDescent="0.25">
      <c r="A2638" s="2">
        <v>45370</v>
      </c>
      <c r="B2638" s="2" t="str">
        <f t="shared" si="82"/>
        <v>Tuesday</v>
      </c>
      <c r="C2638" s="2" t="b">
        <f t="shared" si="83"/>
        <v>0</v>
      </c>
      <c r="D2638">
        <v>4</v>
      </c>
      <c r="E2638" t="s">
        <v>8</v>
      </c>
      <c r="F2638">
        <v>170</v>
      </c>
      <c r="G2638" s="3">
        <v>2710.89</v>
      </c>
      <c r="H2638" s="3">
        <f>Miami_Retail[[#This Row],[sales_usd]] / Miami_Retail[[#This Row],[customers]]</f>
        <v>15.946411764705882</v>
      </c>
      <c r="I2638">
        <v>64.599999999999994</v>
      </c>
      <c r="J2638">
        <f>(Miami_Retail[[#This Row],[avg_temp_f]]-32) * (5/9)</f>
        <v>18.111111111111107</v>
      </c>
      <c r="K2638">
        <v>0.4</v>
      </c>
      <c r="L2638">
        <v>1</v>
      </c>
      <c r="M2638">
        <v>35</v>
      </c>
      <c r="N2638">
        <v>53.4</v>
      </c>
      <c r="O2638">
        <v>46.6</v>
      </c>
      <c r="P2638">
        <v>47.3</v>
      </c>
      <c r="Q2638">
        <v>52.7</v>
      </c>
    </row>
    <row r="2639" spans="1:17" x14ac:dyDescent="0.25">
      <c r="A2639" s="2">
        <v>45371</v>
      </c>
      <c r="B2639" s="2" t="str">
        <f t="shared" si="82"/>
        <v>Wednesday</v>
      </c>
      <c r="C2639" s="2" t="b">
        <f t="shared" si="83"/>
        <v>0</v>
      </c>
      <c r="D2639">
        <v>4</v>
      </c>
      <c r="E2639" t="s">
        <v>8</v>
      </c>
      <c r="F2639">
        <v>147</v>
      </c>
      <c r="G2639" s="3">
        <v>2310.66</v>
      </c>
      <c r="H2639" s="3">
        <f>Miami_Retail[[#This Row],[sales_usd]] / Miami_Retail[[#This Row],[customers]]</f>
        <v>15.718775510204081</v>
      </c>
      <c r="I2639">
        <v>64.099999999999994</v>
      </c>
      <c r="J2639">
        <f>(Miami_Retail[[#This Row],[avg_temp_f]]-32) * (5/9)</f>
        <v>17.833333333333332</v>
      </c>
      <c r="K2639">
        <v>0.49</v>
      </c>
      <c r="L2639">
        <v>1</v>
      </c>
      <c r="M2639">
        <v>36.9</v>
      </c>
      <c r="N2639">
        <v>52.6</v>
      </c>
      <c r="O2639">
        <v>47.4</v>
      </c>
      <c r="P2639">
        <v>47.2</v>
      </c>
      <c r="Q2639">
        <v>52.8</v>
      </c>
    </row>
    <row r="2640" spans="1:17" x14ac:dyDescent="0.25">
      <c r="A2640" s="2">
        <v>45372</v>
      </c>
      <c r="B2640" s="2" t="str">
        <f t="shared" si="82"/>
        <v>Thursday</v>
      </c>
      <c r="C2640" s="2" t="b">
        <f t="shared" si="83"/>
        <v>0</v>
      </c>
      <c r="D2640">
        <v>4</v>
      </c>
      <c r="E2640" t="s">
        <v>8</v>
      </c>
      <c r="F2640">
        <v>179</v>
      </c>
      <c r="G2640" s="3">
        <v>2810.81</v>
      </c>
      <c r="H2640" s="3">
        <f>Miami_Retail[[#This Row],[sales_usd]] / Miami_Retail[[#This Row],[customers]]</f>
        <v>15.702849162011173</v>
      </c>
      <c r="I2640">
        <v>66.8</v>
      </c>
      <c r="J2640">
        <f>(Miami_Retail[[#This Row],[avg_temp_f]]-32) * (5/9)</f>
        <v>19.333333333333332</v>
      </c>
      <c r="K2640">
        <v>0</v>
      </c>
      <c r="L2640">
        <v>0</v>
      </c>
      <c r="M2640">
        <v>42.2</v>
      </c>
      <c r="N2640">
        <v>52.9</v>
      </c>
      <c r="O2640">
        <v>47.1</v>
      </c>
      <c r="P2640">
        <v>46.6</v>
      </c>
      <c r="Q2640">
        <v>53.4</v>
      </c>
    </row>
    <row r="2641" spans="1:17" x14ac:dyDescent="0.25">
      <c r="A2641" s="2">
        <v>45373</v>
      </c>
      <c r="B2641" s="2" t="str">
        <f t="shared" si="82"/>
        <v>Friday</v>
      </c>
      <c r="C2641" s="2" t="b">
        <f t="shared" si="83"/>
        <v>0</v>
      </c>
      <c r="D2641">
        <v>4</v>
      </c>
      <c r="E2641" t="s">
        <v>8</v>
      </c>
      <c r="F2641">
        <v>169</v>
      </c>
      <c r="G2641" s="3">
        <v>2752.87</v>
      </c>
      <c r="H2641" s="3">
        <f>Miami_Retail[[#This Row],[sales_usd]] / Miami_Retail[[#This Row],[customers]]</f>
        <v>16.289171597633135</v>
      </c>
      <c r="I2641">
        <v>69.400000000000006</v>
      </c>
      <c r="J2641">
        <f>(Miami_Retail[[#This Row],[avg_temp_f]]-32) * (5/9)</f>
        <v>20.777777777777782</v>
      </c>
      <c r="K2641">
        <v>0.18</v>
      </c>
      <c r="L2641">
        <v>1</v>
      </c>
      <c r="M2641">
        <v>38.200000000000003</v>
      </c>
      <c r="N2641">
        <v>51.3</v>
      </c>
      <c r="O2641">
        <v>48.7</v>
      </c>
      <c r="P2641">
        <v>49.9</v>
      </c>
      <c r="Q2641">
        <v>50.1</v>
      </c>
    </row>
    <row r="2642" spans="1:17" x14ac:dyDescent="0.25">
      <c r="A2642" s="2">
        <v>45374</v>
      </c>
      <c r="B2642" s="2" t="str">
        <f t="shared" si="82"/>
        <v>Saturday</v>
      </c>
      <c r="C2642" s="2" t="b">
        <f t="shared" si="83"/>
        <v>1</v>
      </c>
      <c r="D2642">
        <v>4</v>
      </c>
      <c r="E2642" t="s">
        <v>8</v>
      </c>
      <c r="F2642">
        <v>210</v>
      </c>
      <c r="G2642" s="3">
        <v>3407.22</v>
      </c>
      <c r="H2642" s="3">
        <f>Miami_Retail[[#This Row],[sales_usd]] / Miami_Retail[[#This Row],[customers]]</f>
        <v>16.224857142857143</v>
      </c>
      <c r="I2642">
        <v>67.099999999999994</v>
      </c>
      <c r="J2642">
        <f>(Miami_Retail[[#This Row],[avg_temp_f]]-32) * (5/9)</f>
        <v>19.499999999999996</v>
      </c>
      <c r="K2642">
        <v>0</v>
      </c>
      <c r="L2642">
        <v>0</v>
      </c>
      <c r="M2642">
        <v>39</v>
      </c>
      <c r="N2642">
        <v>49.9</v>
      </c>
      <c r="O2642">
        <v>50.1</v>
      </c>
      <c r="P2642">
        <v>55.1</v>
      </c>
      <c r="Q2642">
        <v>44.9</v>
      </c>
    </row>
    <row r="2643" spans="1:17" x14ac:dyDescent="0.25">
      <c r="A2643" s="2">
        <v>45375</v>
      </c>
      <c r="B2643" s="2" t="str">
        <f t="shared" si="82"/>
        <v>Sunday</v>
      </c>
      <c r="C2643" s="2" t="b">
        <f t="shared" si="83"/>
        <v>1</v>
      </c>
      <c r="D2643">
        <v>4</v>
      </c>
      <c r="E2643" t="s">
        <v>8</v>
      </c>
      <c r="F2643">
        <v>209</v>
      </c>
      <c r="G2643" s="3">
        <v>3269.63</v>
      </c>
      <c r="H2643" s="3">
        <f>Miami_Retail[[#This Row],[sales_usd]] / Miami_Retail[[#This Row],[customers]]</f>
        <v>15.644162679425838</v>
      </c>
      <c r="I2643">
        <v>63.8</v>
      </c>
      <c r="J2643">
        <f>(Miami_Retail[[#This Row],[avg_temp_f]]-32) * (5/9)</f>
        <v>17.666666666666664</v>
      </c>
      <c r="K2643">
        <v>0</v>
      </c>
      <c r="L2643">
        <v>0</v>
      </c>
      <c r="M2643">
        <v>35</v>
      </c>
      <c r="N2643">
        <v>51</v>
      </c>
      <c r="O2643">
        <v>49</v>
      </c>
      <c r="P2643">
        <v>52.7</v>
      </c>
      <c r="Q2643">
        <v>47.3</v>
      </c>
    </row>
    <row r="2644" spans="1:17" x14ac:dyDescent="0.25">
      <c r="A2644" s="2">
        <v>45376</v>
      </c>
      <c r="B2644" s="2" t="str">
        <f t="shared" si="82"/>
        <v>Monday</v>
      </c>
      <c r="C2644" s="2" t="b">
        <f t="shared" si="83"/>
        <v>0</v>
      </c>
      <c r="D2644">
        <v>4</v>
      </c>
      <c r="E2644" t="s">
        <v>8</v>
      </c>
      <c r="F2644">
        <v>161</v>
      </c>
      <c r="G2644" s="3">
        <v>2774.55</v>
      </c>
      <c r="H2644" s="3">
        <f>Miami_Retail[[#This Row],[sales_usd]] / Miami_Retail[[#This Row],[customers]]</f>
        <v>17.233229813664597</v>
      </c>
      <c r="I2644">
        <v>69.3</v>
      </c>
      <c r="J2644">
        <f>(Miami_Retail[[#This Row],[avg_temp_f]]-32) * (5/9)</f>
        <v>20.722222222222221</v>
      </c>
      <c r="K2644">
        <v>0</v>
      </c>
      <c r="L2644">
        <v>0</v>
      </c>
      <c r="M2644">
        <v>37.299999999999997</v>
      </c>
      <c r="N2644">
        <v>52</v>
      </c>
      <c r="O2644">
        <v>48</v>
      </c>
      <c r="P2644">
        <v>44.6</v>
      </c>
      <c r="Q2644">
        <v>55.4</v>
      </c>
    </row>
    <row r="2645" spans="1:17" x14ac:dyDescent="0.25">
      <c r="A2645" s="2">
        <v>45377</v>
      </c>
      <c r="B2645" s="2" t="str">
        <f t="shared" si="82"/>
        <v>Tuesday</v>
      </c>
      <c r="C2645" s="2" t="b">
        <f t="shared" si="83"/>
        <v>0</v>
      </c>
      <c r="D2645">
        <v>4</v>
      </c>
      <c r="E2645" t="s">
        <v>8</v>
      </c>
      <c r="F2645">
        <v>180</v>
      </c>
      <c r="G2645" s="3">
        <v>2709.8</v>
      </c>
      <c r="H2645" s="3">
        <f>Miami_Retail[[#This Row],[sales_usd]] / Miami_Retail[[#This Row],[customers]]</f>
        <v>15.054444444444446</v>
      </c>
      <c r="I2645">
        <v>69.599999999999994</v>
      </c>
      <c r="J2645">
        <f>(Miami_Retail[[#This Row],[avg_temp_f]]-32) * (5/9)</f>
        <v>20.888888888888886</v>
      </c>
      <c r="K2645">
        <v>0.45</v>
      </c>
      <c r="L2645">
        <v>1</v>
      </c>
      <c r="M2645">
        <v>35.1</v>
      </c>
      <c r="N2645">
        <v>52.2</v>
      </c>
      <c r="O2645">
        <v>47.8</v>
      </c>
      <c r="P2645">
        <v>46.4</v>
      </c>
      <c r="Q2645">
        <v>53.6</v>
      </c>
    </row>
    <row r="2646" spans="1:17" x14ac:dyDescent="0.25">
      <c r="A2646" s="2">
        <v>45378</v>
      </c>
      <c r="B2646" s="2" t="str">
        <f t="shared" si="82"/>
        <v>Wednesday</v>
      </c>
      <c r="C2646" s="2" t="b">
        <f t="shared" si="83"/>
        <v>0</v>
      </c>
      <c r="D2646">
        <v>4</v>
      </c>
      <c r="E2646" t="s">
        <v>8</v>
      </c>
      <c r="F2646">
        <v>162</v>
      </c>
      <c r="G2646" s="3">
        <v>2506.77</v>
      </c>
      <c r="H2646" s="3">
        <f>Miami_Retail[[#This Row],[sales_usd]] / Miami_Retail[[#This Row],[customers]]</f>
        <v>15.473888888888888</v>
      </c>
      <c r="I2646">
        <v>70.400000000000006</v>
      </c>
      <c r="J2646">
        <f>(Miami_Retail[[#This Row],[avg_temp_f]]-32) * (5/9)</f>
        <v>21.333333333333336</v>
      </c>
      <c r="K2646">
        <v>0</v>
      </c>
      <c r="L2646">
        <v>0</v>
      </c>
      <c r="M2646">
        <v>35.6</v>
      </c>
      <c r="N2646">
        <v>52.7</v>
      </c>
      <c r="O2646">
        <v>47.3</v>
      </c>
      <c r="P2646">
        <v>46.7</v>
      </c>
      <c r="Q2646">
        <v>53.3</v>
      </c>
    </row>
    <row r="2647" spans="1:17" x14ac:dyDescent="0.25">
      <c r="A2647" s="2">
        <v>45379</v>
      </c>
      <c r="B2647" s="2" t="str">
        <f t="shared" si="82"/>
        <v>Thursday</v>
      </c>
      <c r="C2647" s="2" t="b">
        <f t="shared" si="83"/>
        <v>0</v>
      </c>
      <c r="D2647">
        <v>4</v>
      </c>
      <c r="E2647" t="s">
        <v>8</v>
      </c>
      <c r="F2647">
        <v>179</v>
      </c>
      <c r="G2647" s="3">
        <v>2509.27</v>
      </c>
      <c r="H2647" s="3">
        <f>Miami_Retail[[#This Row],[sales_usd]] / Miami_Retail[[#This Row],[customers]]</f>
        <v>14.018268156424581</v>
      </c>
      <c r="I2647">
        <v>72.3</v>
      </c>
      <c r="J2647">
        <f>(Miami_Retail[[#This Row],[avg_temp_f]]-32) * (5/9)</f>
        <v>22.388888888888889</v>
      </c>
      <c r="K2647">
        <v>0</v>
      </c>
      <c r="L2647">
        <v>0</v>
      </c>
      <c r="M2647">
        <v>35</v>
      </c>
      <c r="N2647">
        <v>52.2</v>
      </c>
      <c r="O2647">
        <v>47.8</v>
      </c>
      <c r="P2647">
        <v>49.7</v>
      </c>
      <c r="Q2647">
        <v>50.3</v>
      </c>
    </row>
    <row r="2648" spans="1:17" x14ac:dyDescent="0.25">
      <c r="A2648" s="2">
        <v>45380</v>
      </c>
      <c r="B2648" s="2" t="str">
        <f t="shared" si="82"/>
        <v>Friday</v>
      </c>
      <c r="C2648" s="2" t="b">
        <f t="shared" si="83"/>
        <v>0</v>
      </c>
      <c r="D2648">
        <v>4</v>
      </c>
      <c r="E2648" t="s">
        <v>8</v>
      </c>
      <c r="F2648">
        <v>191</v>
      </c>
      <c r="G2648" s="3">
        <v>3044.19</v>
      </c>
      <c r="H2648" s="3">
        <f>Miami_Retail[[#This Row],[sales_usd]] / Miami_Retail[[#This Row],[customers]]</f>
        <v>15.938167539267017</v>
      </c>
      <c r="I2648">
        <v>71.2</v>
      </c>
      <c r="J2648">
        <f>(Miami_Retail[[#This Row],[avg_temp_f]]-32) * (5/9)</f>
        <v>21.777777777777779</v>
      </c>
      <c r="K2648">
        <v>1.59</v>
      </c>
      <c r="L2648">
        <v>1</v>
      </c>
      <c r="M2648">
        <v>38.200000000000003</v>
      </c>
      <c r="N2648">
        <v>52.2</v>
      </c>
      <c r="O2648">
        <v>47.8</v>
      </c>
      <c r="P2648">
        <v>46.9</v>
      </c>
      <c r="Q2648">
        <v>53.1</v>
      </c>
    </row>
    <row r="2649" spans="1:17" x14ac:dyDescent="0.25">
      <c r="A2649" s="2">
        <v>45381</v>
      </c>
      <c r="B2649" s="2" t="str">
        <f t="shared" si="82"/>
        <v>Saturday</v>
      </c>
      <c r="C2649" s="2" t="b">
        <f t="shared" si="83"/>
        <v>1</v>
      </c>
      <c r="D2649">
        <v>4</v>
      </c>
      <c r="E2649" t="s">
        <v>8</v>
      </c>
      <c r="F2649">
        <v>173</v>
      </c>
      <c r="G2649" s="3">
        <v>2916.21</v>
      </c>
      <c r="H2649" s="3">
        <f>Miami_Retail[[#This Row],[sales_usd]] / Miami_Retail[[#This Row],[customers]]</f>
        <v>16.856705202312138</v>
      </c>
      <c r="I2649">
        <v>58.8</v>
      </c>
      <c r="J2649">
        <f>(Miami_Retail[[#This Row],[avg_temp_f]]-32) * (5/9)</f>
        <v>14.888888888888888</v>
      </c>
      <c r="K2649">
        <v>0</v>
      </c>
      <c r="L2649">
        <v>0</v>
      </c>
      <c r="M2649">
        <v>38.299999999999997</v>
      </c>
      <c r="N2649">
        <v>51.8</v>
      </c>
      <c r="O2649">
        <v>48.2</v>
      </c>
      <c r="P2649">
        <v>54</v>
      </c>
      <c r="Q2649">
        <v>46</v>
      </c>
    </row>
    <row r="2650" spans="1:17" x14ac:dyDescent="0.25">
      <c r="A2650" s="2">
        <v>45382</v>
      </c>
      <c r="B2650" s="2" t="str">
        <f t="shared" si="82"/>
        <v>Sunday</v>
      </c>
      <c r="C2650" s="2" t="b">
        <f t="shared" si="83"/>
        <v>1</v>
      </c>
      <c r="D2650">
        <v>4</v>
      </c>
      <c r="E2650" t="s">
        <v>8</v>
      </c>
      <c r="F2650">
        <v>172</v>
      </c>
      <c r="G2650" s="3">
        <v>2805.49</v>
      </c>
      <c r="H2650" s="3">
        <f>Miami_Retail[[#This Row],[sales_usd]] / Miami_Retail[[#This Row],[customers]]</f>
        <v>16.310988372093021</v>
      </c>
      <c r="I2650">
        <v>65.599999999999994</v>
      </c>
      <c r="J2650">
        <f>(Miami_Retail[[#This Row],[avg_temp_f]]-32) * (5/9)</f>
        <v>18.666666666666664</v>
      </c>
      <c r="K2650">
        <v>0</v>
      </c>
      <c r="L2650">
        <v>0</v>
      </c>
      <c r="M2650">
        <v>35.1</v>
      </c>
      <c r="N2650">
        <v>52.6</v>
      </c>
      <c r="O2650">
        <v>47.4</v>
      </c>
      <c r="P2650">
        <v>54.9</v>
      </c>
      <c r="Q2650">
        <v>45.1</v>
      </c>
    </row>
    <row r="2651" spans="1:17" x14ac:dyDescent="0.25">
      <c r="A2651" s="2">
        <v>45383</v>
      </c>
      <c r="B2651" s="2" t="str">
        <f t="shared" si="82"/>
        <v>Monday</v>
      </c>
      <c r="C2651" s="2" t="b">
        <f t="shared" si="83"/>
        <v>0</v>
      </c>
      <c r="D2651">
        <v>4</v>
      </c>
      <c r="E2651" t="s">
        <v>8</v>
      </c>
      <c r="F2651">
        <v>165</v>
      </c>
      <c r="G2651" s="3">
        <v>2512.87</v>
      </c>
      <c r="H2651" s="3">
        <f>Miami_Retail[[#This Row],[sales_usd]] / Miami_Retail[[#This Row],[customers]]</f>
        <v>15.229515151515152</v>
      </c>
      <c r="I2651">
        <v>58.9</v>
      </c>
      <c r="J2651">
        <f>(Miami_Retail[[#This Row],[avg_temp_f]]-32) * (5/9)</f>
        <v>14.944444444444445</v>
      </c>
      <c r="K2651">
        <v>0</v>
      </c>
      <c r="L2651">
        <v>0</v>
      </c>
      <c r="M2651">
        <v>35</v>
      </c>
      <c r="N2651">
        <v>52</v>
      </c>
      <c r="O2651">
        <v>48</v>
      </c>
      <c r="P2651">
        <v>47.7</v>
      </c>
      <c r="Q2651">
        <v>52.3</v>
      </c>
    </row>
    <row r="2652" spans="1:17" x14ac:dyDescent="0.25">
      <c r="A2652" s="2">
        <v>45384</v>
      </c>
      <c r="B2652" s="2" t="str">
        <f t="shared" si="82"/>
        <v>Tuesday</v>
      </c>
      <c r="C2652" s="2" t="b">
        <f t="shared" si="83"/>
        <v>0</v>
      </c>
      <c r="D2652">
        <v>4</v>
      </c>
      <c r="E2652" t="s">
        <v>8</v>
      </c>
      <c r="F2652">
        <v>167</v>
      </c>
      <c r="G2652" s="3">
        <v>2687.3</v>
      </c>
      <c r="H2652" s="3">
        <f>Miami_Retail[[#This Row],[sales_usd]] / Miami_Retail[[#This Row],[customers]]</f>
        <v>16.091616766467066</v>
      </c>
      <c r="I2652">
        <v>65.5</v>
      </c>
      <c r="J2652">
        <f>(Miami_Retail[[#This Row],[avg_temp_f]]-32) * (5/9)</f>
        <v>18.611111111111111</v>
      </c>
      <c r="K2652">
        <v>0</v>
      </c>
      <c r="L2652">
        <v>0</v>
      </c>
      <c r="M2652">
        <v>42.6</v>
      </c>
      <c r="N2652">
        <v>50.6</v>
      </c>
      <c r="O2652">
        <v>49.4</v>
      </c>
      <c r="P2652">
        <v>46.5</v>
      </c>
      <c r="Q2652">
        <v>53.5</v>
      </c>
    </row>
    <row r="2653" spans="1:17" x14ac:dyDescent="0.25">
      <c r="A2653" s="2">
        <v>45385</v>
      </c>
      <c r="B2653" s="2" t="str">
        <f t="shared" si="82"/>
        <v>Wednesday</v>
      </c>
      <c r="C2653" s="2" t="b">
        <f t="shared" si="83"/>
        <v>0</v>
      </c>
      <c r="D2653">
        <v>4</v>
      </c>
      <c r="E2653" t="s">
        <v>8</v>
      </c>
      <c r="F2653">
        <v>181</v>
      </c>
      <c r="G2653" s="3">
        <v>3010.01</v>
      </c>
      <c r="H2653" s="3">
        <f>Miami_Retail[[#This Row],[sales_usd]] / Miami_Retail[[#This Row],[customers]]</f>
        <v>16.629889502762431</v>
      </c>
      <c r="I2653">
        <v>62.8</v>
      </c>
      <c r="J2653">
        <f>(Miami_Retail[[#This Row],[avg_temp_f]]-32) * (5/9)</f>
        <v>17.111111111111111</v>
      </c>
      <c r="K2653">
        <v>0.44</v>
      </c>
      <c r="L2653">
        <v>1</v>
      </c>
      <c r="M2653">
        <v>40.5</v>
      </c>
      <c r="N2653">
        <v>51.5</v>
      </c>
      <c r="O2653">
        <v>48.5</v>
      </c>
      <c r="P2653">
        <v>47.1</v>
      </c>
      <c r="Q2653">
        <v>52.9</v>
      </c>
    </row>
    <row r="2654" spans="1:17" x14ac:dyDescent="0.25">
      <c r="A2654" s="2">
        <v>45386</v>
      </c>
      <c r="B2654" s="2" t="str">
        <f t="shared" si="82"/>
        <v>Thursday</v>
      </c>
      <c r="C2654" s="2" t="b">
        <f t="shared" si="83"/>
        <v>0</v>
      </c>
      <c r="D2654">
        <v>4</v>
      </c>
      <c r="E2654" t="s">
        <v>8</v>
      </c>
      <c r="F2654">
        <v>188</v>
      </c>
      <c r="G2654" s="3">
        <v>3092.99</v>
      </c>
      <c r="H2654" s="3">
        <f>Miami_Retail[[#This Row],[sales_usd]] / Miami_Retail[[#This Row],[customers]]</f>
        <v>16.452074468085105</v>
      </c>
      <c r="I2654">
        <v>63.9</v>
      </c>
      <c r="J2654">
        <f>(Miami_Retail[[#This Row],[avg_temp_f]]-32) * (5/9)</f>
        <v>17.722222222222221</v>
      </c>
      <c r="K2654">
        <v>0.5</v>
      </c>
      <c r="L2654">
        <v>1</v>
      </c>
      <c r="M2654">
        <v>42.5</v>
      </c>
      <c r="N2654">
        <v>51.5</v>
      </c>
      <c r="O2654">
        <v>48.5</v>
      </c>
      <c r="P2654">
        <v>50</v>
      </c>
      <c r="Q2654">
        <v>50</v>
      </c>
    </row>
    <row r="2655" spans="1:17" x14ac:dyDescent="0.25">
      <c r="A2655" s="2">
        <v>45387</v>
      </c>
      <c r="B2655" s="2" t="str">
        <f t="shared" si="82"/>
        <v>Friday</v>
      </c>
      <c r="C2655" s="2" t="b">
        <f t="shared" si="83"/>
        <v>0</v>
      </c>
      <c r="D2655">
        <v>4</v>
      </c>
      <c r="E2655" t="s">
        <v>8</v>
      </c>
      <c r="F2655">
        <v>162</v>
      </c>
      <c r="G2655" s="3">
        <v>2413.6999999999998</v>
      </c>
      <c r="H2655" s="3">
        <f>Miami_Retail[[#This Row],[sales_usd]] / Miami_Retail[[#This Row],[customers]]</f>
        <v>14.899382716049381</v>
      </c>
      <c r="I2655">
        <v>66.8</v>
      </c>
      <c r="J2655">
        <f>(Miami_Retail[[#This Row],[avg_temp_f]]-32) * (5/9)</f>
        <v>19.333333333333332</v>
      </c>
      <c r="K2655">
        <v>0</v>
      </c>
      <c r="L2655">
        <v>0</v>
      </c>
      <c r="M2655">
        <v>44.1</v>
      </c>
      <c r="N2655">
        <v>53.5</v>
      </c>
      <c r="O2655">
        <v>46.5</v>
      </c>
      <c r="P2655">
        <v>48.8</v>
      </c>
      <c r="Q2655">
        <v>51.2</v>
      </c>
    </row>
    <row r="2656" spans="1:17" x14ac:dyDescent="0.25">
      <c r="A2656" s="2">
        <v>45388</v>
      </c>
      <c r="B2656" s="2" t="str">
        <f t="shared" si="82"/>
        <v>Saturday</v>
      </c>
      <c r="C2656" s="2" t="b">
        <f t="shared" si="83"/>
        <v>1</v>
      </c>
      <c r="D2656">
        <v>4</v>
      </c>
      <c r="E2656" t="s">
        <v>8</v>
      </c>
      <c r="F2656">
        <v>189</v>
      </c>
      <c r="G2656" s="3">
        <v>2947.45</v>
      </c>
      <c r="H2656" s="3">
        <f>Miami_Retail[[#This Row],[sales_usd]] / Miami_Retail[[#This Row],[customers]]</f>
        <v>15.594973544973543</v>
      </c>
      <c r="I2656">
        <v>69.7</v>
      </c>
      <c r="J2656">
        <f>(Miami_Retail[[#This Row],[avg_temp_f]]-32) * (5/9)</f>
        <v>20.944444444444446</v>
      </c>
      <c r="K2656">
        <v>0</v>
      </c>
      <c r="L2656">
        <v>0</v>
      </c>
      <c r="M2656">
        <v>35</v>
      </c>
      <c r="N2656">
        <v>50.9</v>
      </c>
      <c r="O2656">
        <v>49.1</v>
      </c>
      <c r="P2656">
        <v>54.7</v>
      </c>
      <c r="Q2656">
        <v>45.3</v>
      </c>
    </row>
    <row r="2657" spans="1:17" x14ac:dyDescent="0.25">
      <c r="A2657" s="2">
        <v>45389</v>
      </c>
      <c r="B2657" s="2" t="str">
        <f t="shared" si="82"/>
        <v>Sunday</v>
      </c>
      <c r="C2657" s="2" t="b">
        <f t="shared" si="83"/>
        <v>1</v>
      </c>
      <c r="D2657">
        <v>4</v>
      </c>
      <c r="E2657" t="s">
        <v>8</v>
      </c>
      <c r="F2657">
        <v>190</v>
      </c>
      <c r="G2657" s="3">
        <v>2923.16</v>
      </c>
      <c r="H2657" s="3">
        <f>Miami_Retail[[#This Row],[sales_usd]] / Miami_Retail[[#This Row],[customers]]</f>
        <v>15.385052631578947</v>
      </c>
      <c r="I2657">
        <v>62.7</v>
      </c>
      <c r="J2657">
        <f>(Miami_Retail[[#This Row],[avg_temp_f]]-32) * (5/9)</f>
        <v>17.055555555555557</v>
      </c>
      <c r="K2657">
        <v>0</v>
      </c>
      <c r="L2657">
        <v>0</v>
      </c>
      <c r="M2657">
        <v>39.799999999999997</v>
      </c>
      <c r="N2657">
        <v>52</v>
      </c>
      <c r="O2657">
        <v>48</v>
      </c>
      <c r="P2657">
        <v>52.3</v>
      </c>
      <c r="Q2657">
        <v>47.7</v>
      </c>
    </row>
    <row r="2658" spans="1:17" x14ac:dyDescent="0.25">
      <c r="A2658" s="2">
        <v>45390</v>
      </c>
      <c r="B2658" s="2" t="str">
        <f t="shared" si="82"/>
        <v>Monday</v>
      </c>
      <c r="C2658" s="2" t="b">
        <f t="shared" si="83"/>
        <v>0</v>
      </c>
      <c r="D2658">
        <v>4</v>
      </c>
      <c r="E2658" t="s">
        <v>8</v>
      </c>
      <c r="F2658">
        <v>169</v>
      </c>
      <c r="G2658" s="3">
        <v>2677.2</v>
      </c>
      <c r="H2658" s="3">
        <f>Miami_Retail[[#This Row],[sales_usd]] / Miami_Retail[[#This Row],[customers]]</f>
        <v>15.841420118343194</v>
      </c>
      <c r="I2658">
        <v>67.3</v>
      </c>
      <c r="J2658">
        <f>(Miami_Retail[[#This Row],[avg_temp_f]]-32) * (5/9)</f>
        <v>19.611111111111111</v>
      </c>
      <c r="K2658">
        <v>1.7</v>
      </c>
      <c r="L2658">
        <v>1</v>
      </c>
      <c r="M2658">
        <v>45.9</v>
      </c>
      <c r="N2658">
        <v>51.8</v>
      </c>
      <c r="O2658">
        <v>48.2</v>
      </c>
      <c r="P2658">
        <v>48.2</v>
      </c>
      <c r="Q2658">
        <v>51.8</v>
      </c>
    </row>
    <row r="2659" spans="1:17" x14ac:dyDescent="0.25">
      <c r="A2659" s="2">
        <v>45391</v>
      </c>
      <c r="B2659" s="2" t="str">
        <f t="shared" si="82"/>
        <v>Tuesday</v>
      </c>
      <c r="C2659" s="2" t="b">
        <f t="shared" si="83"/>
        <v>0</v>
      </c>
      <c r="D2659">
        <v>4</v>
      </c>
      <c r="E2659" t="s">
        <v>8</v>
      </c>
      <c r="F2659">
        <v>169</v>
      </c>
      <c r="G2659" s="3">
        <v>2488.16</v>
      </c>
      <c r="H2659" s="3">
        <f>Miami_Retail[[#This Row],[sales_usd]] / Miami_Retail[[#This Row],[customers]]</f>
        <v>14.722840236686389</v>
      </c>
      <c r="I2659">
        <v>68.3</v>
      </c>
      <c r="J2659">
        <f>(Miami_Retail[[#This Row],[avg_temp_f]]-32) * (5/9)</f>
        <v>20.166666666666664</v>
      </c>
      <c r="K2659">
        <v>0</v>
      </c>
      <c r="L2659">
        <v>0</v>
      </c>
      <c r="M2659">
        <v>35</v>
      </c>
      <c r="N2659">
        <v>51.2</v>
      </c>
      <c r="O2659">
        <v>48.8</v>
      </c>
      <c r="P2659">
        <v>47.5</v>
      </c>
      <c r="Q2659">
        <v>52.5</v>
      </c>
    </row>
    <row r="2660" spans="1:17" x14ac:dyDescent="0.25">
      <c r="A2660" s="2">
        <v>45392</v>
      </c>
      <c r="B2660" s="2" t="str">
        <f t="shared" si="82"/>
        <v>Wednesday</v>
      </c>
      <c r="C2660" s="2" t="b">
        <f t="shared" si="83"/>
        <v>0</v>
      </c>
      <c r="D2660">
        <v>4</v>
      </c>
      <c r="E2660" t="s">
        <v>8</v>
      </c>
      <c r="F2660">
        <v>161</v>
      </c>
      <c r="G2660" s="3">
        <v>2465.7800000000002</v>
      </c>
      <c r="H2660" s="3">
        <f>Miami_Retail[[#This Row],[sales_usd]] / Miami_Retail[[#This Row],[customers]]</f>
        <v>15.315403726708075</v>
      </c>
      <c r="I2660">
        <v>64.7</v>
      </c>
      <c r="J2660">
        <f>(Miami_Retail[[#This Row],[avg_temp_f]]-32) * (5/9)</f>
        <v>18.166666666666668</v>
      </c>
      <c r="K2660">
        <v>0</v>
      </c>
      <c r="L2660">
        <v>0</v>
      </c>
      <c r="M2660">
        <v>36.200000000000003</v>
      </c>
      <c r="N2660">
        <v>49.7</v>
      </c>
      <c r="O2660">
        <v>50.3</v>
      </c>
      <c r="P2660">
        <v>47.3</v>
      </c>
      <c r="Q2660">
        <v>52.7</v>
      </c>
    </row>
    <row r="2661" spans="1:17" x14ac:dyDescent="0.25">
      <c r="A2661" s="2">
        <v>45393</v>
      </c>
      <c r="B2661" s="2" t="str">
        <f t="shared" si="82"/>
        <v>Thursday</v>
      </c>
      <c r="C2661" s="2" t="b">
        <f t="shared" si="83"/>
        <v>0</v>
      </c>
      <c r="D2661">
        <v>4</v>
      </c>
      <c r="E2661" t="s">
        <v>8</v>
      </c>
      <c r="F2661">
        <v>170</v>
      </c>
      <c r="G2661" s="3">
        <v>2540.8000000000002</v>
      </c>
      <c r="H2661" s="3">
        <f>Miami_Retail[[#This Row],[sales_usd]] / Miami_Retail[[#This Row],[customers]]</f>
        <v>14.945882352941178</v>
      </c>
      <c r="I2661">
        <v>73.099999999999994</v>
      </c>
      <c r="J2661">
        <f>(Miami_Retail[[#This Row],[avg_temp_f]]-32) * (5/9)</f>
        <v>22.833333333333332</v>
      </c>
      <c r="K2661">
        <v>0</v>
      </c>
      <c r="L2661">
        <v>0</v>
      </c>
      <c r="M2661">
        <v>35.1</v>
      </c>
      <c r="N2661">
        <v>52.8</v>
      </c>
      <c r="O2661">
        <v>47.2</v>
      </c>
      <c r="P2661">
        <v>48.8</v>
      </c>
      <c r="Q2661">
        <v>51.2</v>
      </c>
    </row>
    <row r="2662" spans="1:17" x14ac:dyDescent="0.25">
      <c r="A2662" s="2">
        <v>45394</v>
      </c>
      <c r="B2662" s="2" t="str">
        <f t="shared" si="82"/>
        <v>Friday</v>
      </c>
      <c r="C2662" s="2" t="b">
        <f t="shared" si="83"/>
        <v>0</v>
      </c>
      <c r="D2662">
        <v>4</v>
      </c>
      <c r="E2662" t="s">
        <v>8</v>
      </c>
      <c r="F2662">
        <v>168</v>
      </c>
      <c r="G2662" s="3">
        <v>2617.7399999999998</v>
      </c>
      <c r="H2662" s="3">
        <f>Miami_Retail[[#This Row],[sales_usd]] / Miami_Retail[[#This Row],[customers]]</f>
        <v>15.581785714285713</v>
      </c>
      <c r="I2662">
        <v>67.8</v>
      </c>
      <c r="J2662">
        <f>(Miami_Retail[[#This Row],[avg_temp_f]]-32) * (5/9)</f>
        <v>19.888888888888889</v>
      </c>
      <c r="K2662">
        <v>0</v>
      </c>
      <c r="L2662">
        <v>0</v>
      </c>
      <c r="M2662">
        <v>40.700000000000003</v>
      </c>
      <c r="N2662">
        <v>51.1</v>
      </c>
      <c r="O2662">
        <v>48.9</v>
      </c>
      <c r="P2662">
        <v>47.8</v>
      </c>
      <c r="Q2662">
        <v>52.2</v>
      </c>
    </row>
    <row r="2663" spans="1:17" x14ac:dyDescent="0.25">
      <c r="A2663" s="2">
        <v>45395</v>
      </c>
      <c r="B2663" s="2" t="str">
        <f t="shared" si="82"/>
        <v>Saturday</v>
      </c>
      <c r="C2663" s="2" t="b">
        <f t="shared" si="83"/>
        <v>1</v>
      </c>
      <c r="D2663">
        <v>4</v>
      </c>
      <c r="E2663" t="s">
        <v>8</v>
      </c>
      <c r="F2663">
        <v>224</v>
      </c>
      <c r="G2663" s="3">
        <v>3238.45</v>
      </c>
      <c r="H2663" s="3">
        <f>Miami_Retail[[#This Row],[sales_usd]] / Miami_Retail[[#This Row],[customers]]</f>
        <v>14.45736607142857</v>
      </c>
      <c r="I2663">
        <v>67.900000000000006</v>
      </c>
      <c r="J2663">
        <f>(Miami_Retail[[#This Row],[avg_temp_f]]-32) * (5/9)</f>
        <v>19.94444444444445</v>
      </c>
      <c r="K2663">
        <v>0</v>
      </c>
      <c r="L2663">
        <v>0</v>
      </c>
      <c r="M2663">
        <v>35</v>
      </c>
      <c r="N2663">
        <v>50</v>
      </c>
      <c r="O2663">
        <v>50</v>
      </c>
      <c r="P2663">
        <v>54.1</v>
      </c>
      <c r="Q2663">
        <v>45.9</v>
      </c>
    </row>
    <row r="2664" spans="1:17" x14ac:dyDescent="0.25">
      <c r="A2664" s="2">
        <v>45396</v>
      </c>
      <c r="B2664" s="2" t="str">
        <f t="shared" si="82"/>
        <v>Sunday</v>
      </c>
      <c r="C2664" s="2" t="b">
        <f t="shared" si="83"/>
        <v>1</v>
      </c>
      <c r="D2664">
        <v>4</v>
      </c>
      <c r="E2664" t="s">
        <v>8</v>
      </c>
      <c r="F2664">
        <v>186</v>
      </c>
      <c r="G2664" s="3">
        <v>2594.17</v>
      </c>
      <c r="H2664" s="3">
        <f>Miami_Retail[[#This Row],[sales_usd]] / Miami_Retail[[#This Row],[customers]]</f>
        <v>13.947150537634409</v>
      </c>
      <c r="I2664">
        <v>67.7</v>
      </c>
      <c r="J2664">
        <f>(Miami_Retail[[#This Row],[avg_temp_f]]-32) * (5/9)</f>
        <v>19.833333333333336</v>
      </c>
      <c r="K2664">
        <v>0</v>
      </c>
      <c r="L2664">
        <v>0</v>
      </c>
      <c r="M2664">
        <v>36.299999999999997</v>
      </c>
      <c r="N2664">
        <v>49</v>
      </c>
      <c r="O2664">
        <v>51</v>
      </c>
      <c r="P2664">
        <v>54.4</v>
      </c>
      <c r="Q2664">
        <v>45.6</v>
      </c>
    </row>
    <row r="2665" spans="1:17" x14ac:dyDescent="0.25">
      <c r="A2665" s="2">
        <v>45397</v>
      </c>
      <c r="B2665" s="2" t="str">
        <f t="shared" si="82"/>
        <v>Monday</v>
      </c>
      <c r="C2665" s="2" t="b">
        <f t="shared" si="83"/>
        <v>0</v>
      </c>
      <c r="D2665">
        <v>4</v>
      </c>
      <c r="E2665" t="s">
        <v>8</v>
      </c>
      <c r="F2665">
        <v>158</v>
      </c>
      <c r="G2665" s="3">
        <v>2377.42</v>
      </c>
      <c r="H2665" s="3">
        <f>Miami_Retail[[#This Row],[sales_usd]] / Miami_Retail[[#This Row],[customers]]</f>
        <v>15.046962025316455</v>
      </c>
      <c r="I2665">
        <v>67.7</v>
      </c>
      <c r="J2665">
        <f>(Miami_Retail[[#This Row],[avg_temp_f]]-32) * (5/9)</f>
        <v>19.833333333333336</v>
      </c>
      <c r="K2665">
        <v>0</v>
      </c>
      <c r="L2665">
        <v>0</v>
      </c>
      <c r="M2665">
        <v>37.5</v>
      </c>
      <c r="N2665">
        <v>51</v>
      </c>
      <c r="O2665">
        <v>49</v>
      </c>
      <c r="P2665">
        <v>47.7</v>
      </c>
      <c r="Q2665">
        <v>52.3</v>
      </c>
    </row>
    <row r="2666" spans="1:17" x14ac:dyDescent="0.25">
      <c r="A2666" s="2">
        <v>45398</v>
      </c>
      <c r="B2666" s="2" t="str">
        <f t="shared" si="82"/>
        <v>Tuesday</v>
      </c>
      <c r="C2666" s="2" t="b">
        <f t="shared" si="83"/>
        <v>0</v>
      </c>
      <c r="D2666">
        <v>4</v>
      </c>
      <c r="E2666" t="s">
        <v>8</v>
      </c>
      <c r="F2666">
        <v>175</v>
      </c>
      <c r="G2666" s="3">
        <v>2754.98</v>
      </c>
      <c r="H2666" s="3">
        <f>Miami_Retail[[#This Row],[sales_usd]] / Miami_Retail[[#This Row],[customers]]</f>
        <v>15.742742857142858</v>
      </c>
      <c r="I2666">
        <v>71.3</v>
      </c>
      <c r="J2666">
        <f>(Miami_Retail[[#This Row],[avg_temp_f]]-32) * (5/9)</f>
        <v>21.833333333333332</v>
      </c>
      <c r="K2666">
        <v>1.78</v>
      </c>
      <c r="L2666">
        <v>1</v>
      </c>
      <c r="M2666">
        <v>35</v>
      </c>
      <c r="N2666">
        <v>51.5</v>
      </c>
      <c r="O2666">
        <v>48.5</v>
      </c>
      <c r="P2666">
        <v>47.8</v>
      </c>
      <c r="Q2666">
        <v>52.2</v>
      </c>
    </row>
    <row r="2667" spans="1:17" x14ac:dyDescent="0.25">
      <c r="A2667" s="2">
        <v>45399</v>
      </c>
      <c r="B2667" s="2" t="str">
        <f t="shared" si="82"/>
        <v>Wednesday</v>
      </c>
      <c r="C2667" s="2" t="b">
        <f t="shared" si="83"/>
        <v>0</v>
      </c>
      <c r="D2667">
        <v>4</v>
      </c>
      <c r="E2667" t="s">
        <v>8</v>
      </c>
      <c r="F2667">
        <v>149</v>
      </c>
      <c r="G2667" s="3">
        <v>2273.19</v>
      </c>
      <c r="H2667" s="3">
        <f>Miami_Retail[[#This Row],[sales_usd]] / Miami_Retail[[#This Row],[customers]]</f>
        <v>15.256308724832214</v>
      </c>
      <c r="I2667">
        <v>68.900000000000006</v>
      </c>
      <c r="J2667">
        <f>(Miami_Retail[[#This Row],[avg_temp_f]]-32) * (5/9)</f>
        <v>20.500000000000004</v>
      </c>
      <c r="K2667">
        <v>0</v>
      </c>
      <c r="L2667">
        <v>0</v>
      </c>
      <c r="M2667">
        <v>35</v>
      </c>
      <c r="N2667">
        <v>51.6</v>
      </c>
      <c r="O2667">
        <v>48.4</v>
      </c>
      <c r="P2667">
        <v>46.7</v>
      </c>
      <c r="Q2667">
        <v>53.3</v>
      </c>
    </row>
    <row r="2668" spans="1:17" x14ac:dyDescent="0.25">
      <c r="A2668" s="2">
        <v>45400</v>
      </c>
      <c r="B2668" s="2" t="str">
        <f t="shared" si="82"/>
        <v>Thursday</v>
      </c>
      <c r="C2668" s="2" t="b">
        <f t="shared" si="83"/>
        <v>0</v>
      </c>
      <c r="D2668">
        <v>4</v>
      </c>
      <c r="E2668" t="s">
        <v>8</v>
      </c>
      <c r="F2668">
        <v>169</v>
      </c>
      <c r="G2668" s="3">
        <v>2778.83</v>
      </c>
      <c r="H2668" s="3">
        <f>Miami_Retail[[#This Row],[sales_usd]] / Miami_Retail[[#This Row],[customers]]</f>
        <v>16.442781065088756</v>
      </c>
      <c r="I2668">
        <v>67.599999999999994</v>
      </c>
      <c r="J2668">
        <f>(Miami_Retail[[#This Row],[avg_temp_f]]-32) * (5/9)</f>
        <v>19.777777777777775</v>
      </c>
      <c r="K2668">
        <v>0</v>
      </c>
      <c r="L2668">
        <v>0</v>
      </c>
      <c r="M2668">
        <v>39.9</v>
      </c>
      <c r="N2668">
        <v>51.6</v>
      </c>
      <c r="O2668">
        <v>48.4</v>
      </c>
      <c r="P2668">
        <v>48.5</v>
      </c>
      <c r="Q2668">
        <v>51.5</v>
      </c>
    </row>
    <row r="2669" spans="1:17" x14ac:dyDescent="0.25">
      <c r="A2669" s="2">
        <v>45401</v>
      </c>
      <c r="B2669" s="2" t="str">
        <f t="shared" si="82"/>
        <v>Friday</v>
      </c>
      <c r="C2669" s="2" t="b">
        <f t="shared" si="83"/>
        <v>0</v>
      </c>
      <c r="D2669">
        <v>4</v>
      </c>
      <c r="E2669" t="s">
        <v>8</v>
      </c>
      <c r="F2669">
        <v>150</v>
      </c>
      <c r="G2669" s="3">
        <v>2463.4</v>
      </c>
      <c r="H2669" s="3">
        <f>Miami_Retail[[#This Row],[sales_usd]] / Miami_Retail[[#This Row],[customers]]</f>
        <v>16.422666666666668</v>
      </c>
      <c r="I2669">
        <v>75.8</v>
      </c>
      <c r="J2669">
        <f>(Miami_Retail[[#This Row],[avg_temp_f]]-32) * (5/9)</f>
        <v>24.333333333333332</v>
      </c>
      <c r="K2669">
        <v>1.07</v>
      </c>
      <c r="L2669">
        <v>1</v>
      </c>
      <c r="M2669">
        <v>47.8</v>
      </c>
      <c r="N2669">
        <v>51.2</v>
      </c>
      <c r="O2669">
        <v>48.8</v>
      </c>
      <c r="P2669">
        <v>49.2</v>
      </c>
      <c r="Q2669">
        <v>50.8</v>
      </c>
    </row>
    <row r="2670" spans="1:17" x14ac:dyDescent="0.25">
      <c r="A2670" s="2">
        <v>45402</v>
      </c>
      <c r="B2670" s="2" t="str">
        <f t="shared" si="82"/>
        <v>Saturday</v>
      </c>
      <c r="C2670" s="2" t="b">
        <f t="shared" si="83"/>
        <v>1</v>
      </c>
      <c r="D2670">
        <v>4</v>
      </c>
      <c r="E2670" t="s">
        <v>8</v>
      </c>
      <c r="F2670">
        <v>202</v>
      </c>
      <c r="G2670" s="3">
        <v>3193.84</v>
      </c>
      <c r="H2670" s="3">
        <f>Miami_Retail[[#This Row],[sales_usd]] / Miami_Retail[[#This Row],[customers]]</f>
        <v>15.811089108910892</v>
      </c>
      <c r="I2670">
        <v>69.3</v>
      </c>
      <c r="J2670">
        <f>(Miami_Retail[[#This Row],[avg_temp_f]]-32) * (5/9)</f>
        <v>20.722222222222221</v>
      </c>
      <c r="K2670">
        <v>0.42</v>
      </c>
      <c r="L2670">
        <v>1</v>
      </c>
      <c r="M2670">
        <v>39.299999999999997</v>
      </c>
      <c r="N2670">
        <v>52.7</v>
      </c>
      <c r="O2670">
        <v>47.3</v>
      </c>
      <c r="P2670">
        <v>54.1</v>
      </c>
      <c r="Q2670">
        <v>45.9</v>
      </c>
    </row>
    <row r="2671" spans="1:17" x14ac:dyDescent="0.25">
      <c r="A2671" s="2">
        <v>45403</v>
      </c>
      <c r="B2671" s="2" t="str">
        <f t="shared" si="82"/>
        <v>Sunday</v>
      </c>
      <c r="C2671" s="2" t="b">
        <f t="shared" si="83"/>
        <v>1</v>
      </c>
      <c r="D2671">
        <v>4</v>
      </c>
      <c r="E2671" t="s">
        <v>8</v>
      </c>
      <c r="F2671">
        <v>180</v>
      </c>
      <c r="G2671" s="3">
        <v>3026.81</v>
      </c>
      <c r="H2671" s="3">
        <f>Miami_Retail[[#This Row],[sales_usd]] / Miami_Retail[[#This Row],[customers]]</f>
        <v>16.81561111111111</v>
      </c>
      <c r="I2671">
        <v>67.8</v>
      </c>
      <c r="J2671">
        <f>(Miami_Retail[[#This Row],[avg_temp_f]]-32) * (5/9)</f>
        <v>19.888888888888889</v>
      </c>
      <c r="K2671">
        <v>0</v>
      </c>
      <c r="L2671">
        <v>0</v>
      </c>
      <c r="M2671">
        <v>39.1</v>
      </c>
      <c r="N2671">
        <v>50.9</v>
      </c>
      <c r="O2671">
        <v>49.1</v>
      </c>
      <c r="P2671">
        <v>52.4</v>
      </c>
      <c r="Q2671">
        <v>47.6</v>
      </c>
    </row>
    <row r="2672" spans="1:17" x14ac:dyDescent="0.25">
      <c r="A2672" s="2">
        <v>45404</v>
      </c>
      <c r="B2672" s="2" t="str">
        <f t="shared" si="82"/>
        <v>Monday</v>
      </c>
      <c r="C2672" s="2" t="b">
        <f t="shared" si="83"/>
        <v>0</v>
      </c>
      <c r="D2672">
        <v>4</v>
      </c>
      <c r="E2672" t="s">
        <v>8</v>
      </c>
      <c r="F2672">
        <v>138</v>
      </c>
      <c r="G2672" s="3">
        <v>1891.19</v>
      </c>
      <c r="H2672" s="3">
        <f>Miami_Retail[[#This Row],[sales_usd]] / Miami_Retail[[#This Row],[customers]]</f>
        <v>13.704275362318841</v>
      </c>
      <c r="I2672">
        <v>70.099999999999994</v>
      </c>
      <c r="J2672">
        <f>(Miami_Retail[[#This Row],[avg_temp_f]]-32) * (5/9)</f>
        <v>21.166666666666664</v>
      </c>
      <c r="K2672">
        <v>0</v>
      </c>
      <c r="L2672">
        <v>0</v>
      </c>
      <c r="M2672">
        <v>35</v>
      </c>
      <c r="N2672">
        <v>51.2</v>
      </c>
      <c r="O2672">
        <v>48.8</v>
      </c>
      <c r="P2672">
        <v>47.6</v>
      </c>
      <c r="Q2672">
        <v>52.4</v>
      </c>
    </row>
    <row r="2673" spans="1:17" x14ac:dyDescent="0.25">
      <c r="A2673" s="2">
        <v>45405</v>
      </c>
      <c r="B2673" s="2" t="str">
        <f t="shared" si="82"/>
        <v>Tuesday</v>
      </c>
      <c r="C2673" s="2" t="b">
        <f t="shared" si="83"/>
        <v>0</v>
      </c>
      <c r="D2673">
        <v>4</v>
      </c>
      <c r="E2673" t="s">
        <v>8</v>
      </c>
      <c r="F2673">
        <v>159</v>
      </c>
      <c r="G2673" s="3">
        <v>2662.11</v>
      </c>
      <c r="H2673" s="3">
        <f>Miami_Retail[[#This Row],[sales_usd]] / Miami_Retail[[#This Row],[customers]]</f>
        <v>16.742830188679246</v>
      </c>
      <c r="I2673">
        <v>69.2</v>
      </c>
      <c r="J2673">
        <f>(Miami_Retail[[#This Row],[avg_temp_f]]-32) * (5/9)</f>
        <v>20.666666666666668</v>
      </c>
      <c r="K2673">
        <v>0</v>
      </c>
      <c r="L2673">
        <v>0</v>
      </c>
      <c r="M2673">
        <v>39.1</v>
      </c>
      <c r="N2673">
        <v>51.3</v>
      </c>
      <c r="O2673">
        <v>48.7</v>
      </c>
      <c r="P2673">
        <v>47.4</v>
      </c>
      <c r="Q2673">
        <v>52.6</v>
      </c>
    </row>
    <row r="2674" spans="1:17" x14ac:dyDescent="0.25">
      <c r="A2674" s="2">
        <v>45406</v>
      </c>
      <c r="B2674" s="2" t="str">
        <f t="shared" si="82"/>
        <v>Wednesday</v>
      </c>
      <c r="C2674" s="2" t="b">
        <f t="shared" si="83"/>
        <v>0</v>
      </c>
      <c r="D2674">
        <v>4</v>
      </c>
      <c r="E2674" t="s">
        <v>8</v>
      </c>
      <c r="F2674">
        <v>160</v>
      </c>
      <c r="G2674" s="3">
        <v>2616.46</v>
      </c>
      <c r="H2674" s="3">
        <f>Miami_Retail[[#This Row],[sales_usd]] / Miami_Retail[[#This Row],[customers]]</f>
        <v>16.352875000000001</v>
      </c>
      <c r="I2674">
        <v>68.8</v>
      </c>
      <c r="J2674">
        <f>(Miami_Retail[[#This Row],[avg_temp_f]]-32) * (5/9)</f>
        <v>20.444444444444443</v>
      </c>
      <c r="K2674">
        <v>0</v>
      </c>
      <c r="L2674">
        <v>0</v>
      </c>
      <c r="M2674">
        <v>35.5</v>
      </c>
      <c r="N2674">
        <v>51.7</v>
      </c>
      <c r="O2674">
        <v>48.3</v>
      </c>
      <c r="P2674">
        <v>47.2</v>
      </c>
      <c r="Q2674">
        <v>52.8</v>
      </c>
    </row>
    <row r="2675" spans="1:17" x14ac:dyDescent="0.25">
      <c r="A2675" s="2">
        <v>45407</v>
      </c>
      <c r="B2675" s="2" t="str">
        <f t="shared" si="82"/>
        <v>Thursday</v>
      </c>
      <c r="C2675" s="2" t="b">
        <f t="shared" si="83"/>
        <v>0</v>
      </c>
      <c r="D2675">
        <v>4</v>
      </c>
      <c r="E2675" t="s">
        <v>8</v>
      </c>
      <c r="F2675">
        <v>104</v>
      </c>
      <c r="G2675" s="3">
        <v>1588.04</v>
      </c>
      <c r="H2675" s="3">
        <f>Miami_Retail[[#This Row],[sales_usd]] / Miami_Retail[[#This Row],[customers]]</f>
        <v>15.269615384615385</v>
      </c>
      <c r="I2675">
        <v>67</v>
      </c>
      <c r="J2675">
        <f>(Miami_Retail[[#This Row],[avg_temp_f]]-32) * (5/9)</f>
        <v>19.444444444444446</v>
      </c>
      <c r="K2675">
        <v>2.58</v>
      </c>
      <c r="L2675">
        <v>1</v>
      </c>
      <c r="M2675">
        <v>38.1</v>
      </c>
      <c r="N2675">
        <v>53.9</v>
      </c>
      <c r="O2675">
        <v>46.1</v>
      </c>
      <c r="P2675">
        <v>46.8</v>
      </c>
      <c r="Q2675">
        <v>53.2</v>
      </c>
    </row>
    <row r="2676" spans="1:17" x14ac:dyDescent="0.25">
      <c r="A2676" s="2">
        <v>45408</v>
      </c>
      <c r="B2676" s="2" t="str">
        <f t="shared" si="82"/>
        <v>Friday</v>
      </c>
      <c r="C2676" s="2" t="b">
        <f t="shared" si="83"/>
        <v>0</v>
      </c>
      <c r="D2676">
        <v>4</v>
      </c>
      <c r="E2676" t="s">
        <v>8</v>
      </c>
      <c r="F2676">
        <v>136</v>
      </c>
      <c r="G2676" s="3">
        <v>2269.69</v>
      </c>
      <c r="H2676" s="3">
        <f>Miami_Retail[[#This Row],[sales_usd]] / Miami_Retail[[#This Row],[customers]]</f>
        <v>16.688897058823528</v>
      </c>
      <c r="I2676">
        <v>59.9</v>
      </c>
      <c r="J2676">
        <f>(Miami_Retail[[#This Row],[avg_temp_f]]-32) * (5/9)</f>
        <v>15.5</v>
      </c>
      <c r="K2676">
        <v>0</v>
      </c>
      <c r="L2676">
        <v>0</v>
      </c>
      <c r="M2676">
        <v>36.299999999999997</v>
      </c>
      <c r="N2676">
        <v>52.8</v>
      </c>
      <c r="O2676">
        <v>47.2</v>
      </c>
      <c r="P2676">
        <v>47.3</v>
      </c>
      <c r="Q2676">
        <v>52.7</v>
      </c>
    </row>
    <row r="2677" spans="1:17" x14ac:dyDescent="0.25">
      <c r="A2677" s="2">
        <v>45409</v>
      </c>
      <c r="B2677" s="2" t="str">
        <f t="shared" si="82"/>
        <v>Saturday</v>
      </c>
      <c r="C2677" s="2" t="b">
        <f t="shared" si="83"/>
        <v>1</v>
      </c>
      <c r="D2677">
        <v>4</v>
      </c>
      <c r="E2677" t="s">
        <v>8</v>
      </c>
      <c r="F2677">
        <v>161</v>
      </c>
      <c r="G2677" s="3">
        <v>2485.64</v>
      </c>
      <c r="H2677" s="3">
        <f>Miami_Retail[[#This Row],[sales_usd]] / Miami_Retail[[#This Row],[customers]]</f>
        <v>15.438757763975154</v>
      </c>
      <c r="I2677">
        <v>70.400000000000006</v>
      </c>
      <c r="J2677">
        <f>(Miami_Retail[[#This Row],[avg_temp_f]]-32) * (5/9)</f>
        <v>21.333333333333336</v>
      </c>
      <c r="K2677">
        <v>0</v>
      </c>
      <c r="L2677">
        <v>0</v>
      </c>
      <c r="M2677">
        <v>47.3</v>
      </c>
      <c r="N2677">
        <v>50.9</v>
      </c>
      <c r="O2677">
        <v>49.1</v>
      </c>
      <c r="P2677">
        <v>54.7</v>
      </c>
      <c r="Q2677">
        <v>45.3</v>
      </c>
    </row>
    <row r="2678" spans="1:17" x14ac:dyDescent="0.25">
      <c r="A2678" s="2">
        <v>45410</v>
      </c>
      <c r="B2678" s="2" t="str">
        <f t="shared" si="82"/>
        <v>Sunday</v>
      </c>
      <c r="C2678" s="2" t="b">
        <f t="shared" si="83"/>
        <v>1</v>
      </c>
      <c r="D2678">
        <v>4</v>
      </c>
      <c r="E2678" t="s">
        <v>8</v>
      </c>
      <c r="F2678">
        <v>205</v>
      </c>
      <c r="G2678" s="3">
        <v>3214.82</v>
      </c>
      <c r="H2678" s="3">
        <f>Miami_Retail[[#This Row],[sales_usd]] / Miami_Retail[[#This Row],[customers]]</f>
        <v>15.682048780487806</v>
      </c>
      <c r="I2678">
        <v>67.099999999999994</v>
      </c>
      <c r="J2678">
        <f>(Miami_Retail[[#This Row],[avg_temp_f]]-32) * (5/9)</f>
        <v>19.499999999999996</v>
      </c>
      <c r="K2678">
        <v>0</v>
      </c>
      <c r="L2678">
        <v>0</v>
      </c>
      <c r="M2678">
        <v>53.8</v>
      </c>
      <c r="N2678">
        <v>52.4</v>
      </c>
      <c r="O2678">
        <v>47.6</v>
      </c>
      <c r="P2678">
        <v>53.2</v>
      </c>
      <c r="Q2678">
        <v>46.8</v>
      </c>
    </row>
    <row r="2679" spans="1:17" x14ac:dyDescent="0.25">
      <c r="A2679" s="2">
        <v>45411</v>
      </c>
      <c r="B2679" s="2" t="str">
        <f t="shared" si="82"/>
        <v>Monday</v>
      </c>
      <c r="C2679" s="2" t="b">
        <f t="shared" si="83"/>
        <v>0</v>
      </c>
      <c r="D2679">
        <v>4</v>
      </c>
      <c r="E2679" t="s">
        <v>8</v>
      </c>
      <c r="F2679">
        <v>194</v>
      </c>
      <c r="G2679" s="3">
        <v>2818.37</v>
      </c>
      <c r="H2679" s="3">
        <f>Miami_Retail[[#This Row],[sales_usd]] / Miami_Retail[[#This Row],[customers]]</f>
        <v>14.527680412371133</v>
      </c>
      <c r="I2679">
        <v>64.8</v>
      </c>
      <c r="J2679">
        <f>(Miami_Retail[[#This Row],[avg_temp_f]]-32) * (5/9)</f>
        <v>18.222222222222221</v>
      </c>
      <c r="K2679">
        <v>0</v>
      </c>
      <c r="L2679">
        <v>0</v>
      </c>
      <c r="M2679">
        <v>42.9</v>
      </c>
      <c r="N2679">
        <v>51.9</v>
      </c>
      <c r="O2679">
        <v>48.1</v>
      </c>
      <c r="P2679">
        <v>47.9</v>
      </c>
      <c r="Q2679">
        <v>52.1</v>
      </c>
    </row>
    <row r="2680" spans="1:17" x14ac:dyDescent="0.25">
      <c r="A2680" s="2">
        <v>45412</v>
      </c>
      <c r="B2680" s="2" t="str">
        <f t="shared" si="82"/>
        <v>Tuesday</v>
      </c>
      <c r="C2680" s="2" t="b">
        <f t="shared" si="83"/>
        <v>0</v>
      </c>
      <c r="D2680">
        <v>4</v>
      </c>
      <c r="E2680" t="s">
        <v>8</v>
      </c>
      <c r="F2680">
        <v>165</v>
      </c>
      <c r="G2680" s="3">
        <v>2362.7199999999998</v>
      </c>
      <c r="H2680" s="3">
        <f>Miami_Retail[[#This Row],[sales_usd]] / Miami_Retail[[#This Row],[customers]]</f>
        <v>14.31951515151515</v>
      </c>
      <c r="I2680">
        <v>70.099999999999994</v>
      </c>
      <c r="J2680">
        <f>(Miami_Retail[[#This Row],[avg_temp_f]]-32) * (5/9)</f>
        <v>21.166666666666664</v>
      </c>
      <c r="K2680">
        <v>0</v>
      </c>
      <c r="L2680">
        <v>0</v>
      </c>
      <c r="M2680">
        <v>41.7</v>
      </c>
      <c r="N2680">
        <v>50.7</v>
      </c>
      <c r="O2680">
        <v>49.3</v>
      </c>
      <c r="P2680">
        <v>47.7</v>
      </c>
      <c r="Q2680">
        <v>52.3</v>
      </c>
    </row>
    <row r="2681" spans="1:17" x14ac:dyDescent="0.25">
      <c r="A2681" s="2">
        <v>45413</v>
      </c>
      <c r="B2681" s="2" t="str">
        <f t="shared" si="82"/>
        <v>Wednesday</v>
      </c>
      <c r="C2681" s="2" t="b">
        <f t="shared" si="83"/>
        <v>0</v>
      </c>
      <c r="D2681">
        <v>4</v>
      </c>
      <c r="E2681" t="s">
        <v>8</v>
      </c>
      <c r="F2681">
        <v>169</v>
      </c>
      <c r="G2681" s="3">
        <v>2745.64</v>
      </c>
      <c r="H2681" s="3">
        <f>Miami_Retail[[#This Row],[sales_usd]] / Miami_Retail[[#This Row],[customers]]</f>
        <v>16.246390532544378</v>
      </c>
      <c r="I2681">
        <v>66.2</v>
      </c>
      <c r="J2681">
        <f>(Miami_Retail[[#This Row],[avg_temp_f]]-32) * (5/9)</f>
        <v>19.000000000000004</v>
      </c>
      <c r="K2681">
        <v>0</v>
      </c>
      <c r="L2681">
        <v>0</v>
      </c>
      <c r="M2681">
        <v>43.1</v>
      </c>
      <c r="N2681">
        <v>51.2</v>
      </c>
      <c r="O2681">
        <v>48.8</v>
      </c>
      <c r="P2681">
        <v>48.2</v>
      </c>
      <c r="Q2681">
        <v>51.8</v>
      </c>
    </row>
    <row r="2682" spans="1:17" x14ac:dyDescent="0.25">
      <c r="A2682" s="2">
        <v>45414</v>
      </c>
      <c r="B2682" s="2" t="str">
        <f t="shared" si="82"/>
        <v>Thursday</v>
      </c>
      <c r="C2682" s="2" t="b">
        <f t="shared" si="83"/>
        <v>0</v>
      </c>
      <c r="D2682">
        <v>4</v>
      </c>
      <c r="E2682" t="s">
        <v>8</v>
      </c>
      <c r="F2682">
        <v>177</v>
      </c>
      <c r="G2682" s="3">
        <v>2960.49</v>
      </c>
      <c r="H2682" s="3">
        <f>Miami_Retail[[#This Row],[sales_usd]] / Miami_Retail[[#This Row],[customers]]</f>
        <v>16.725932203389828</v>
      </c>
      <c r="I2682">
        <v>72.900000000000006</v>
      </c>
      <c r="J2682">
        <f>(Miami_Retail[[#This Row],[avg_temp_f]]-32) * (5/9)</f>
        <v>22.722222222222225</v>
      </c>
      <c r="K2682">
        <v>0.5</v>
      </c>
      <c r="L2682">
        <v>1</v>
      </c>
      <c r="M2682">
        <v>38.9</v>
      </c>
      <c r="N2682">
        <v>52</v>
      </c>
      <c r="O2682">
        <v>48</v>
      </c>
      <c r="P2682">
        <v>48.9</v>
      </c>
      <c r="Q2682">
        <v>51.1</v>
      </c>
    </row>
    <row r="2683" spans="1:17" x14ac:dyDescent="0.25">
      <c r="A2683" s="2">
        <v>45415</v>
      </c>
      <c r="B2683" s="2" t="str">
        <f t="shared" si="82"/>
        <v>Friday</v>
      </c>
      <c r="C2683" s="2" t="b">
        <f t="shared" si="83"/>
        <v>0</v>
      </c>
      <c r="D2683">
        <v>4</v>
      </c>
      <c r="E2683" t="s">
        <v>8</v>
      </c>
      <c r="F2683">
        <v>153</v>
      </c>
      <c r="G2683" s="3">
        <v>2272.6</v>
      </c>
      <c r="H2683" s="3">
        <f>Miami_Retail[[#This Row],[sales_usd]] / Miami_Retail[[#This Row],[customers]]</f>
        <v>14.853594771241829</v>
      </c>
      <c r="I2683">
        <v>71</v>
      </c>
      <c r="J2683">
        <f>(Miami_Retail[[#This Row],[avg_temp_f]]-32) * (5/9)</f>
        <v>21.666666666666668</v>
      </c>
      <c r="K2683">
        <v>0</v>
      </c>
      <c r="L2683">
        <v>0</v>
      </c>
      <c r="M2683">
        <v>39.299999999999997</v>
      </c>
      <c r="N2683">
        <v>52.4</v>
      </c>
      <c r="O2683">
        <v>47.6</v>
      </c>
      <c r="P2683">
        <v>49</v>
      </c>
      <c r="Q2683">
        <v>51</v>
      </c>
    </row>
    <row r="2684" spans="1:17" x14ac:dyDescent="0.25">
      <c r="A2684" s="2">
        <v>45416</v>
      </c>
      <c r="B2684" s="2" t="str">
        <f t="shared" si="82"/>
        <v>Saturday</v>
      </c>
      <c r="C2684" s="2" t="b">
        <f t="shared" si="83"/>
        <v>1</v>
      </c>
      <c r="D2684">
        <v>4</v>
      </c>
      <c r="E2684" t="s">
        <v>8</v>
      </c>
      <c r="F2684">
        <v>199</v>
      </c>
      <c r="G2684" s="3">
        <v>3166.55</v>
      </c>
      <c r="H2684" s="3">
        <f>Miami_Retail[[#This Row],[sales_usd]] / Miami_Retail[[#This Row],[customers]]</f>
        <v>15.912311557788946</v>
      </c>
      <c r="I2684">
        <v>65.400000000000006</v>
      </c>
      <c r="J2684">
        <f>(Miami_Retail[[#This Row],[avg_temp_f]]-32) * (5/9)</f>
        <v>18.555555555555561</v>
      </c>
      <c r="K2684">
        <v>0</v>
      </c>
      <c r="L2684">
        <v>0</v>
      </c>
      <c r="M2684">
        <v>48.3</v>
      </c>
      <c r="N2684">
        <v>51.7</v>
      </c>
      <c r="O2684">
        <v>48.3</v>
      </c>
      <c r="P2684">
        <v>54.1</v>
      </c>
      <c r="Q2684">
        <v>45.9</v>
      </c>
    </row>
    <row r="2685" spans="1:17" x14ac:dyDescent="0.25">
      <c r="A2685" s="2">
        <v>45417</v>
      </c>
      <c r="B2685" s="2" t="str">
        <f t="shared" si="82"/>
        <v>Sunday</v>
      </c>
      <c r="C2685" s="2" t="b">
        <f t="shared" si="83"/>
        <v>1</v>
      </c>
      <c r="D2685">
        <v>4</v>
      </c>
      <c r="E2685" t="s">
        <v>8</v>
      </c>
      <c r="F2685">
        <v>191</v>
      </c>
      <c r="G2685" s="3">
        <v>2794.36</v>
      </c>
      <c r="H2685" s="3">
        <f>Miami_Retail[[#This Row],[sales_usd]] / Miami_Retail[[#This Row],[customers]]</f>
        <v>14.630157068062827</v>
      </c>
      <c r="I2685">
        <v>68.5</v>
      </c>
      <c r="J2685">
        <f>(Miami_Retail[[#This Row],[avg_temp_f]]-32) * (5/9)</f>
        <v>20.277777777777779</v>
      </c>
      <c r="K2685">
        <v>0.22</v>
      </c>
      <c r="L2685">
        <v>1</v>
      </c>
      <c r="M2685">
        <v>42.6</v>
      </c>
      <c r="N2685">
        <v>51.9</v>
      </c>
      <c r="O2685">
        <v>48.1</v>
      </c>
      <c r="P2685">
        <v>54.8</v>
      </c>
      <c r="Q2685">
        <v>45.2</v>
      </c>
    </row>
    <row r="2686" spans="1:17" x14ac:dyDescent="0.25">
      <c r="A2686" s="2">
        <v>45418</v>
      </c>
      <c r="B2686" s="2" t="str">
        <f t="shared" si="82"/>
        <v>Monday</v>
      </c>
      <c r="C2686" s="2" t="b">
        <f t="shared" si="83"/>
        <v>0</v>
      </c>
      <c r="D2686">
        <v>4</v>
      </c>
      <c r="E2686" t="s">
        <v>8</v>
      </c>
      <c r="F2686">
        <v>155</v>
      </c>
      <c r="G2686" s="3">
        <v>2513.67</v>
      </c>
      <c r="H2686" s="3">
        <f>Miami_Retail[[#This Row],[sales_usd]] / Miami_Retail[[#This Row],[customers]]</f>
        <v>16.217225806451612</v>
      </c>
      <c r="I2686">
        <v>68.5</v>
      </c>
      <c r="J2686">
        <f>(Miami_Retail[[#This Row],[avg_temp_f]]-32) * (5/9)</f>
        <v>20.277777777777779</v>
      </c>
      <c r="K2686">
        <v>0.45</v>
      </c>
      <c r="L2686">
        <v>1</v>
      </c>
      <c r="M2686">
        <v>52.5</v>
      </c>
      <c r="N2686">
        <v>50.4</v>
      </c>
      <c r="O2686">
        <v>49.6</v>
      </c>
      <c r="P2686">
        <v>47.6</v>
      </c>
      <c r="Q2686">
        <v>52.4</v>
      </c>
    </row>
    <row r="2687" spans="1:17" x14ac:dyDescent="0.25">
      <c r="A2687" s="2">
        <v>45419</v>
      </c>
      <c r="B2687" s="2" t="str">
        <f t="shared" si="82"/>
        <v>Tuesday</v>
      </c>
      <c r="C2687" s="2" t="b">
        <f t="shared" si="83"/>
        <v>0</v>
      </c>
      <c r="D2687">
        <v>4</v>
      </c>
      <c r="E2687" t="s">
        <v>8</v>
      </c>
      <c r="F2687">
        <v>171</v>
      </c>
      <c r="G2687" s="3">
        <v>2730.66</v>
      </c>
      <c r="H2687" s="3">
        <f>Miami_Retail[[#This Row],[sales_usd]] / Miami_Retail[[#This Row],[customers]]</f>
        <v>15.968771929824561</v>
      </c>
      <c r="I2687">
        <v>71.3</v>
      </c>
      <c r="J2687">
        <f>(Miami_Retail[[#This Row],[avg_temp_f]]-32) * (5/9)</f>
        <v>21.833333333333332</v>
      </c>
      <c r="K2687">
        <v>0</v>
      </c>
      <c r="L2687">
        <v>0</v>
      </c>
      <c r="M2687">
        <v>52.2</v>
      </c>
      <c r="N2687">
        <v>51.3</v>
      </c>
      <c r="O2687">
        <v>48.7</v>
      </c>
      <c r="P2687">
        <v>48</v>
      </c>
      <c r="Q2687">
        <v>52</v>
      </c>
    </row>
    <row r="2688" spans="1:17" x14ac:dyDescent="0.25">
      <c r="A2688" s="2">
        <v>45420</v>
      </c>
      <c r="B2688" s="2" t="str">
        <f t="shared" si="82"/>
        <v>Wednesday</v>
      </c>
      <c r="C2688" s="2" t="b">
        <f t="shared" si="83"/>
        <v>0</v>
      </c>
      <c r="D2688">
        <v>4</v>
      </c>
      <c r="E2688" t="s">
        <v>8</v>
      </c>
      <c r="F2688">
        <v>146</v>
      </c>
      <c r="G2688" s="3">
        <v>2271.4</v>
      </c>
      <c r="H2688" s="3">
        <f>Miami_Retail[[#This Row],[sales_usd]] / Miami_Retail[[#This Row],[customers]]</f>
        <v>15.557534246575344</v>
      </c>
      <c r="I2688">
        <v>65.599999999999994</v>
      </c>
      <c r="J2688">
        <f>(Miami_Retail[[#This Row],[avg_temp_f]]-32) * (5/9)</f>
        <v>18.666666666666664</v>
      </c>
      <c r="K2688">
        <v>1</v>
      </c>
      <c r="L2688">
        <v>1</v>
      </c>
      <c r="M2688">
        <v>35</v>
      </c>
      <c r="N2688">
        <v>51</v>
      </c>
      <c r="O2688">
        <v>49</v>
      </c>
      <c r="P2688">
        <v>46.9</v>
      </c>
      <c r="Q2688">
        <v>53.1</v>
      </c>
    </row>
    <row r="2689" spans="1:17" x14ac:dyDescent="0.25">
      <c r="A2689" s="2">
        <v>45421</v>
      </c>
      <c r="B2689" s="2" t="str">
        <f t="shared" si="82"/>
        <v>Thursday</v>
      </c>
      <c r="C2689" s="2" t="b">
        <f t="shared" si="83"/>
        <v>0</v>
      </c>
      <c r="D2689">
        <v>4</v>
      </c>
      <c r="E2689" t="s">
        <v>8</v>
      </c>
      <c r="F2689">
        <v>197</v>
      </c>
      <c r="G2689" s="3">
        <v>3054.54</v>
      </c>
      <c r="H2689" s="3">
        <f>Miami_Retail[[#This Row],[sales_usd]] / Miami_Retail[[#This Row],[customers]]</f>
        <v>15.505279187817258</v>
      </c>
      <c r="I2689">
        <v>74.099999999999994</v>
      </c>
      <c r="J2689">
        <f>(Miami_Retail[[#This Row],[avg_temp_f]]-32) * (5/9)</f>
        <v>23.388888888888886</v>
      </c>
      <c r="K2689">
        <v>0</v>
      </c>
      <c r="L2689">
        <v>0</v>
      </c>
      <c r="M2689">
        <v>42.7</v>
      </c>
      <c r="N2689">
        <v>52.2</v>
      </c>
      <c r="O2689">
        <v>47.8</v>
      </c>
      <c r="P2689">
        <v>46.1</v>
      </c>
      <c r="Q2689">
        <v>53.9</v>
      </c>
    </row>
    <row r="2690" spans="1:17" x14ac:dyDescent="0.25">
      <c r="A2690" s="2">
        <v>45422</v>
      </c>
      <c r="B2690" s="2" t="str">
        <f t="shared" ref="B2690:B2753" si="84">TEXT(A2690, "dddd")</f>
        <v>Friday</v>
      </c>
      <c r="C2690" s="2" t="b">
        <f t="shared" ref="C2690:C2753" si="85">IF(WEEKDAY(A2690,2)&gt;5,TRUE,FALSE)</f>
        <v>0</v>
      </c>
      <c r="D2690">
        <v>4</v>
      </c>
      <c r="E2690" t="s">
        <v>8</v>
      </c>
      <c r="F2690">
        <v>164</v>
      </c>
      <c r="G2690" s="3">
        <v>2755.86</v>
      </c>
      <c r="H2690" s="3">
        <f>Miami_Retail[[#This Row],[sales_usd]] / Miami_Retail[[#This Row],[customers]]</f>
        <v>16.804024390243903</v>
      </c>
      <c r="I2690">
        <v>72.400000000000006</v>
      </c>
      <c r="J2690">
        <f>(Miami_Retail[[#This Row],[avg_temp_f]]-32) * (5/9)</f>
        <v>22.44444444444445</v>
      </c>
      <c r="K2690">
        <v>0</v>
      </c>
      <c r="L2690">
        <v>0</v>
      </c>
      <c r="M2690">
        <v>46.8</v>
      </c>
      <c r="N2690">
        <v>48.7</v>
      </c>
      <c r="O2690">
        <v>51.3</v>
      </c>
      <c r="P2690">
        <v>47.6</v>
      </c>
      <c r="Q2690">
        <v>52.4</v>
      </c>
    </row>
    <row r="2691" spans="1:17" x14ac:dyDescent="0.25">
      <c r="A2691" s="2">
        <v>45423</v>
      </c>
      <c r="B2691" s="2" t="str">
        <f t="shared" si="84"/>
        <v>Saturday</v>
      </c>
      <c r="C2691" s="2" t="b">
        <f t="shared" si="85"/>
        <v>1</v>
      </c>
      <c r="D2691">
        <v>4</v>
      </c>
      <c r="E2691" t="s">
        <v>8</v>
      </c>
      <c r="F2691">
        <v>193</v>
      </c>
      <c r="G2691" s="3">
        <v>3069.17</v>
      </c>
      <c r="H2691" s="3">
        <f>Miami_Retail[[#This Row],[sales_usd]] / Miami_Retail[[#This Row],[customers]]</f>
        <v>15.902435233160622</v>
      </c>
      <c r="I2691">
        <v>63.2</v>
      </c>
      <c r="J2691">
        <f>(Miami_Retail[[#This Row],[avg_temp_f]]-32) * (5/9)</f>
        <v>17.333333333333336</v>
      </c>
      <c r="K2691">
        <v>1.59</v>
      </c>
      <c r="L2691">
        <v>1</v>
      </c>
      <c r="M2691">
        <v>49.1</v>
      </c>
      <c r="N2691">
        <v>51</v>
      </c>
      <c r="O2691">
        <v>49</v>
      </c>
      <c r="P2691">
        <v>56.6</v>
      </c>
      <c r="Q2691">
        <v>43.4</v>
      </c>
    </row>
    <row r="2692" spans="1:17" x14ac:dyDescent="0.25">
      <c r="A2692" s="2">
        <v>45424</v>
      </c>
      <c r="B2692" s="2" t="str">
        <f t="shared" si="84"/>
        <v>Sunday</v>
      </c>
      <c r="C2692" s="2" t="b">
        <f t="shared" si="85"/>
        <v>1</v>
      </c>
      <c r="D2692">
        <v>4</v>
      </c>
      <c r="E2692" t="s">
        <v>8</v>
      </c>
      <c r="F2692">
        <v>174</v>
      </c>
      <c r="G2692" s="3">
        <v>2976.39</v>
      </c>
      <c r="H2692" s="3">
        <f>Miami_Retail[[#This Row],[sales_usd]] / Miami_Retail[[#This Row],[customers]]</f>
        <v>17.105689655172412</v>
      </c>
      <c r="I2692">
        <v>74.099999999999994</v>
      </c>
      <c r="J2692">
        <f>(Miami_Retail[[#This Row],[avg_temp_f]]-32) * (5/9)</f>
        <v>23.388888888888886</v>
      </c>
      <c r="K2692">
        <v>0.4</v>
      </c>
      <c r="L2692">
        <v>1</v>
      </c>
      <c r="M2692">
        <v>48.3</v>
      </c>
      <c r="N2692">
        <v>52.6</v>
      </c>
      <c r="O2692">
        <v>47.4</v>
      </c>
      <c r="P2692">
        <v>53.4</v>
      </c>
      <c r="Q2692">
        <v>46.6</v>
      </c>
    </row>
    <row r="2693" spans="1:17" x14ac:dyDescent="0.25">
      <c r="A2693" s="2">
        <v>45425</v>
      </c>
      <c r="B2693" s="2" t="str">
        <f t="shared" si="84"/>
        <v>Monday</v>
      </c>
      <c r="C2693" s="2" t="b">
        <f t="shared" si="85"/>
        <v>0</v>
      </c>
      <c r="D2693">
        <v>4</v>
      </c>
      <c r="E2693" t="s">
        <v>8</v>
      </c>
      <c r="F2693">
        <v>135</v>
      </c>
      <c r="G2693" s="3">
        <v>2285.64</v>
      </c>
      <c r="H2693" s="3">
        <f>Miami_Retail[[#This Row],[sales_usd]] / Miami_Retail[[#This Row],[customers]]</f>
        <v>16.930666666666667</v>
      </c>
      <c r="I2693">
        <v>68.900000000000006</v>
      </c>
      <c r="J2693">
        <f>(Miami_Retail[[#This Row],[avg_temp_f]]-32) * (5/9)</f>
        <v>20.500000000000004</v>
      </c>
      <c r="K2693">
        <v>0.37</v>
      </c>
      <c r="L2693">
        <v>1</v>
      </c>
      <c r="M2693">
        <v>49.5</v>
      </c>
      <c r="N2693">
        <v>50.7</v>
      </c>
      <c r="O2693">
        <v>49.3</v>
      </c>
      <c r="P2693">
        <v>50.6</v>
      </c>
      <c r="Q2693">
        <v>49.4</v>
      </c>
    </row>
    <row r="2694" spans="1:17" x14ac:dyDescent="0.25">
      <c r="A2694" s="2">
        <v>45426</v>
      </c>
      <c r="B2694" s="2" t="str">
        <f t="shared" si="84"/>
        <v>Tuesday</v>
      </c>
      <c r="C2694" s="2" t="b">
        <f t="shared" si="85"/>
        <v>0</v>
      </c>
      <c r="D2694">
        <v>4</v>
      </c>
      <c r="E2694" t="s">
        <v>8</v>
      </c>
      <c r="F2694">
        <v>216</v>
      </c>
      <c r="G2694" s="3">
        <v>3455.55</v>
      </c>
      <c r="H2694" s="3">
        <f>Miami_Retail[[#This Row],[sales_usd]] / Miami_Retail[[#This Row],[customers]]</f>
        <v>15.997916666666667</v>
      </c>
      <c r="I2694">
        <v>77.400000000000006</v>
      </c>
      <c r="J2694">
        <f>(Miami_Retail[[#This Row],[avg_temp_f]]-32) * (5/9)</f>
        <v>25.222222222222225</v>
      </c>
      <c r="K2694">
        <v>0</v>
      </c>
      <c r="L2694">
        <v>0</v>
      </c>
      <c r="M2694">
        <v>43.2</v>
      </c>
      <c r="N2694">
        <v>50.6</v>
      </c>
      <c r="O2694">
        <v>49.4</v>
      </c>
      <c r="P2694">
        <v>46.6</v>
      </c>
      <c r="Q2694">
        <v>53.4</v>
      </c>
    </row>
    <row r="2695" spans="1:17" x14ac:dyDescent="0.25">
      <c r="A2695" s="2">
        <v>45427</v>
      </c>
      <c r="B2695" s="2" t="str">
        <f t="shared" si="84"/>
        <v>Wednesday</v>
      </c>
      <c r="C2695" s="2" t="b">
        <f t="shared" si="85"/>
        <v>0</v>
      </c>
      <c r="D2695">
        <v>4</v>
      </c>
      <c r="E2695" t="s">
        <v>8</v>
      </c>
      <c r="F2695">
        <v>163</v>
      </c>
      <c r="G2695" s="3">
        <v>2689.45</v>
      </c>
      <c r="H2695" s="3">
        <f>Miami_Retail[[#This Row],[sales_usd]] / Miami_Retail[[#This Row],[customers]]</f>
        <v>16.499693251533742</v>
      </c>
      <c r="I2695">
        <v>71.599999999999994</v>
      </c>
      <c r="J2695">
        <f>(Miami_Retail[[#This Row],[avg_temp_f]]-32) * (5/9)</f>
        <v>21.999999999999996</v>
      </c>
      <c r="K2695">
        <v>0</v>
      </c>
      <c r="L2695">
        <v>0</v>
      </c>
      <c r="M2695">
        <v>41.7</v>
      </c>
      <c r="N2695">
        <v>50.5</v>
      </c>
      <c r="O2695">
        <v>49.5</v>
      </c>
      <c r="P2695">
        <v>48.1</v>
      </c>
      <c r="Q2695">
        <v>51.9</v>
      </c>
    </row>
    <row r="2696" spans="1:17" x14ac:dyDescent="0.25">
      <c r="A2696" s="2">
        <v>45428</v>
      </c>
      <c r="B2696" s="2" t="str">
        <f t="shared" si="84"/>
        <v>Thursday</v>
      </c>
      <c r="C2696" s="2" t="b">
        <f t="shared" si="85"/>
        <v>0</v>
      </c>
      <c r="D2696">
        <v>4</v>
      </c>
      <c r="E2696" t="s">
        <v>8</v>
      </c>
      <c r="F2696">
        <v>201</v>
      </c>
      <c r="G2696" s="3">
        <v>3189.06</v>
      </c>
      <c r="H2696" s="3">
        <f>Miami_Retail[[#This Row],[sales_usd]] / Miami_Retail[[#This Row],[customers]]</f>
        <v>15.865970149253732</v>
      </c>
      <c r="I2696">
        <v>73.8</v>
      </c>
      <c r="J2696">
        <f>(Miami_Retail[[#This Row],[avg_temp_f]]-32) * (5/9)</f>
        <v>23.222222222222221</v>
      </c>
      <c r="K2696">
        <v>0</v>
      </c>
      <c r="L2696">
        <v>0</v>
      </c>
      <c r="M2696">
        <v>38.799999999999997</v>
      </c>
      <c r="N2696">
        <v>50.4</v>
      </c>
      <c r="O2696">
        <v>49.6</v>
      </c>
      <c r="P2696">
        <v>49.6</v>
      </c>
      <c r="Q2696">
        <v>50.4</v>
      </c>
    </row>
    <row r="2697" spans="1:17" x14ac:dyDescent="0.25">
      <c r="A2697" s="2">
        <v>45429</v>
      </c>
      <c r="B2697" s="2" t="str">
        <f t="shared" si="84"/>
        <v>Friday</v>
      </c>
      <c r="C2697" s="2" t="b">
        <f t="shared" si="85"/>
        <v>0</v>
      </c>
      <c r="D2697">
        <v>4</v>
      </c>
      <c r="E2697" t="s">
        <v>8</v>
      </c>
      <c r="F2697">
        <v>184</v>
      </c>
      <c r="G2697" s="3">
        <v>2895.38</v>
      </c>
      <c r="H2697" s="3">
        <f>Miami_Retail[[#This Row],[sales_usd]] / Miami_Retail[[#This Row],[customers]]</f>
        <v>15.735760869565217</v>
      </c>
      <c r="I2697">
        <v>70.599999999999994</v>
      </c>
      <c r="J2697">
        <f>(Miami_Retail[[#This Row],[avg_temp_f]]-32) * (5/9)</f>
        <v>21.444444444444443</v>
      </c>
      <c r="K2697">
        <v>0</v>
      </c>
      <c r="L2697">
        <v>0</v>
      </c>
      <c r="M2697">
        <v>49</v>
      </c>
      <c r="N2697">
        <v>50.4</v>
      </c>
      <c r="O2697">
        <v>49.6</v>
      </c>
      <c r="P2697">
        <v>49</v>
      </c>
      <c r="Q2697">
        <v>51</v>
      </c>
    </row>
    <row r="2698" spans="1:17" x14ac:dyDescent="0.25">
      <c r="A2698" s="2">
        <v>45430</v>
      </c>
      <c r="B2698" s="2" t="str">
        <f t="shared" si="84"/>
        <v>Saturday</v>
      </c>
      <c r="C2698" s="2" t="b">
        <f t="shared" si="85"/>
        <v>1</v>
      </c>
      <c r="D2698">
        <v>4</v>
      </c>
      <c r="E2698" t="s">
        <v>8</v>
      </c>
      <c r="F2698">
        <v>183</v>
      </c>
      <c r="G2698" s="3">
        <v>2614.5500000000002</v>
      </c>
      <c r="H2698" s="3">
        <f>Miami_Retail[[#This Row],[sales_usd]] / Miami_Retail[[#This Row],[customers]]</f>
        <v>14.287158469945355</v>
      </c>
      <c r="I2698">
        <v>74.599999999999994</v>
      </c>
      <c r="J2698">
        <f>(Miami_Retail[[#This Row],[avg_temp_f]]-32) * (5/9)</f>
        <v>23.666666666666664</v>
      </c>
      <c r="K2698">
        <v>0</v>
      </c>
      <c r="L2698">
        <v>0</v>
      </c>
      <c r="M2698">
        <v>46.7</v>
      </c>
      <c r="N2698">
        <v>50.9</v>
      </c>
      <c r="O2698">
        <v>49.1</v>
      </c>
      <c r="P2698">
        <v>54.3</v>
      </c>
      <c r="Q2698">
        <v>45.7</v>
      </c>
    </row>
    <row r="2699" spans="1:17" x14ac:dyDescent="0.25">
      <c r="A2699" s="2">
        <v>45431</v>
      </c>
      <c r="B2699" s="2" t="str">
        <f t="shared" si="84"/>
        <v>Sunday</v>
      </c>
      <c r="C2699" s="2" t="b">
        <f t="shared" si="85"/>
        <v>1</v>
      </c>
      <c r="D2699">
        <v>4</v>
      </c>
      <c r="E2699" t="s">
        <v>8</v>
      </c>
      <c r="F2699">
        <v>209</v>
      </c>
      <c r="G2699" s="3">
        <v>2969.64</v>
      </c>
      <c r="H2699" s="3">
        <f>Miami_Retail[[#This Row],[sales_usd]] / Miami_Retail[[#This Row],[customers]]</f>
        <v>14.208803827751195</v>
      </c>
      <c r="I2699">
        <v>71.099999999999994</v>
      </c>
      <c r="J2699">
        <f>(Miami_Retail[[#This Row],[avg_temp_f]]-32) * (5/9)</f>
        <v>21.722222222222221</v>
      </c>
      <c r="K2699">
        <v>0.41</v>
      </c>
      <c r="L2699">
        <v>1</v>
      </c>
      <c r="M2699">
        <v>53.6</v>
      </c>
      <c r="N2699">
        <v>50.6</v>
      </c>
      <c r="O2699">
        <v>49.4</v>
      </c>
      <c r="P2699">
        <v>54.1</v>
      </c>
      <c r="Q2699">
        <v>45.9</v>
      </c>
    </row>
    <row r="2700" spans="1:17" x14ac:dyDescent="0.25">
      <c r="A2700" s="2">
        <v>45432</v>
      </c>
      <c r="B2700" s="2" t="str">
        <f t="shared" si="84"/>
        <v>Monday</v>
      </c>
      <c r="C2700" s="2" t="b">
        <f t="shared" si="85"/>
        <v>0</v>
      </c>
      <c r="D2700">
        <v>4</v>
      </c>
      <c r="E2700" t="s">
        <v>8</v>
      </c>
      <c r="F2700">
        <v>149</v>
      </c>
      <c r="G2700" s="3">
        <v>2036.06</v>
      </c>
      <c r="H2700" s="3">
        <f>Miami_Retail[[#This Row],[sales_usd]] / Miami_Retail[[#This Row],[customers]]</f>
        <v>13.6648322147651</v>
      </c>
      <c r="I2700">
        <v>69.3</v>
      </c>
      <c r="J2700">
        <f>(Miami_Retail[[#This Row],[avg_temp_f]]-32) * (5/9)</f>
        <v>20.722222222222221</v>
      </c>
      <c r="K2700">
        <v>0</v>
      </c>
      <c r="L2700">
        <v>0</v>
      </c>
      <c r="M2700">
        <v>55.6</v>
      </c>
      <c r="N2700">
        <v>49.2</v>
      </c>
      <c r="O2700">
        <v>50.8</v>
      </c>
      <c r="P2700">
        <v>46.7</v>
      </c>
      <c r="Q2700">
        <v>53.3</v>
      </c>
    </row>
    <row r="2701" spans="1:17" x14ac:dyDescent="0.25">
      <c r="A2701" s="2">
        <v>45433</v>
      </c>
      <c r="B2701" s="2" t="str">
        <f t="shared" si="84"/>
        <v>Tuesday</v>
      </c>
      <c r="C2701" s="2" t="b">
        <f t="shared" si="85"/>
        <v>0</v>
      </c>
      <c r="D2701">
        <v>4</v>
      </c>
      <c r="E2701" t="s">
        <v>8</v>
      </c>
      <c r="F2701">
        <v>168</v>
      </c>
      <c r="G2701" s="3">
        <v>2701.03</v>
      </c>
      <c r="H2701" s="3">
        <f>Miami_Retail[[#This Row],[sales_usd]] / Miami_Retail[[#This Row],[customers]]</f>
        <v>16.077559523809526</v>
      </c>
      <c r="I2701">
        <v>72</v>
      </c>
      <c r="J2701">
        <f>(Miami_Retail[[#This Row],[avg_temp_f]]-32) * (5/9)</f>
        <v>22.222222222222221</v>
      </c>
      <c r="K2701">
        <v>0</v>
      </c>
      <c r="L2701">
        <v>0</v>
      </c>
      <c r="M2701">
        <v>52.1</v>
      </c>
      <c r="N2701">
        <v>50</v>
      </c>
      <c r="O2701">
        <v>50</v>
      </c>
      <c r="P2701">
        <v>48.5</v>
      </c>
      <c r="Q2701">
        <v>51.5</v>
      </c>
    </row>
    <row r="2702" spans="1:17" x14ac:dyDescent="0.25">
      <c r="A2702" s="2">
        <v>45434</v>
      </c>
      <c r="B2702" s="2" t="str">
        <f t="shared" si="84"/>
        <v>Wednesday</v>
      </c>
      <c r="C2702" s="2" t="b">
        <f t="shared" si="85"/>
        <v>0</v>
      </c>
      <c r="D2702">
        <v>4</v>
      </c>
      <c r="E2702" t="s">
        <v>8</v>
      </c>
      <c r="F2702">
        <v>185</v>
      </c>
      <c r="G2702" s="3">
        <v>3019.43</v>
      </c>
      <c r="H2702" s="3">
        <f>Miami_Retail[[#This Row],[sales_usd]] / Miami_Retail[[#This Row],[customers]]</f>
        <v>16.321243243243241</v>
      </c>
      <c r="I2702">
        <v>70.400000000000006</v>
      </c>
      <c r="J2702">
        <f>(Miami_Retail[[#This Row],[avg_temp_f]]-32) * (5/9)</f>
        <v>21.333333333333336</v>
      </c>
      <c r="K2702">
        <v>0.26</v>
      </c>
      <c r="L2702">
        <v>1</v>
      </c>
      <c r="M2702">
        <v>47.9</v>
      </c>
      <c r="N2702">
        <v>48.9</v>
      </c>
      <c r="O2702">
        <v>51.1</v>
      </c>
      <c r="P2702">
        <v>48.7</v>
      </c>
      <c r="Q2702">
        <v>51.3</v>
      </c>
    </row>
    <row r="2703" spans="1:17" x14ac:dyDescent="0.25">
      <c r="A2703" s="2">
        <v>45435</v>
      </c>
      <c r="B2703" s="2" t="str">
        <f t="shared" si="84"/>
        <v>Thursday</v>
      </c>
      <c r="C2703" s="2" t="b">
        <f t="shared" si="85"/>
        <v>0</v>
      </c>
      <c r="D2703">
        <v>4</v>
      </c>
      <c r="E2703" t="s">
        <v>8</v>
      </c>
      <c r="F2703">
        <v>171</v>
      </c>
      <c r="G2703" s="3">
        <v>2570</v>
      </c>
      <c r="H2703" s="3">
        <f>Miami_Retail[[#This Row],[sales_usd]] / Miami_Retail[[#This Row],[customers]]</f>
        <v>15.029239766081872</v>
      </c>
      <c r="I2703">
        <v>70.599999999999994</v>
      </c>
      <c r="J2703">
        <f>(Miami_Retail[[#This Row],[avg_temp_f]]-32) * (5/9)</f>
        <v>21.444444444444443</v>
      </c>
      <c r="K2703">
        <v>0</v>
      </c>
      <c r="L2703">
        <v>0</v>
      </c>
      <c r="M2703">
        <v>47.1</v>
      </c>
      <c r="N2703">
        <v>51</v>
      </c>
      <c r="O2703">
        <v>49</v>
      </c>
      <c r="P2703">
        <v>49</v>
      </c>
      <c r="Q2703">
        <v>51</v>
      </c>
    </row>
    <row r="2704" spans="1:17" x14ac:dyDescent="0.25">
      <c r="A2704" s="2">
        <v>45436</v>
      </c>
      <c r="B2704" s="2" t="str">
        <f t="shared" si="84"/>
        <v>Friday</v>
      </c>
      <c r="C2704" s="2" t="b">
        <f t="shared" si="85"/>
        <v>0</v>
      </c>
      <c r="D2704">
        <v>4</v>
      </c>
      <c r="E2704" t="s">
        <v>8</v>
      </c>
      <c r="F2704">
        <v>168</v>
      </c>
      <c r="G2704" s="3">
        <v>2509.08</v>
      </c>
      <c r="H2704" s="3">
        <f>Miami_Retail[[#This Row],[sales_usd]] / Miami_Retail[[#This Row],[customers]]</f>
        <v>14.934999999999999</v>
      </c>
      <c r="I2704">
        <v>83.1</v>
      </c>
      <c r="J2704">
        <f>(Miami_Retail[[#This Row],[avg_temp_f]]-32) * (5/9)</f>
        <v>28.388888888888886</v>
      </c>
      <c r="K2704">
        <v>1.65</v>
      </c>
      <c r="L2704">
        <v>1</v>
      </c>
      <c r="M2704">
        <v>53.9</v>
      </c>
      <c r="N2704">
        <v>52.1</v>
      </c>
      <c r="O2704">
        <v>47.9</v>
      </c>
      <c r="P2704">
        <v>47.7</v>
      </c>
      <c r="Q2704">
        <v>52.3</v>
      </c>
    </row>
    <row r="2705" spans="1:17" x14ac:dyDescent="0.25">
      <c r="A2705" s="2">
        <v>45437</v>
      </c>
      <c r="B2705" s="2" t="str">
        <f t="shared" si="84"/>
        <v>Saturday</v>
      </c>
      <c r="C2705" s="2" t="b">
        <f t="shared" si="85"/>
        <v>1</v>
      </c>
      <c r="D2705">
        <v>4</v>
      </c>
      <c r="E2705" t="s">
        <v>8</v>
      </c>
      <c r="F2705">
        <v>219</v>
      </c>
      <c r="G2705" s="3">
        <v>3181.14</v>
      </c>
      <c r="H2705" s="3">
        <f>Miami_Retail[[#This Row],[sales_usd]] / Miami_Retail[[#This Row],[customers]]</f>
        <v>14.525753424657534</v>
      </c>
      <c r="I2705">
        <v>75.400000000000006</v>
      </c>
      <c r="J2705">
        <f>(Miami_Retail[[#This Row],[avg_temp_f]]-32) * (5/9)</f>
        <v>24.111111111111114</v>
      </c>
      <c r="K2705">
        <v>0.71</v>
      </c>
      <c r="L2705">
        <v>1</v>
      </c>
      <c r="M2705">
        <v>55.1</v>
      </c>
      <c r="N2705">
        <v>50.7</v>
      </c>
      <c r="O2705">
        <v>49.3</v>
      </c>
      <c r="P2705">
        <v>53.8</v>
      </c>
      <c r="Q2705">
        <v>46.2</v>
      </c>
    </row>
    <row r="2706" spans="1:17" x14ac:dyDescent="0.25">
      <c r="A2706" s="2">
        <v>45438</v>
      </c>
      <c r="B2706" s="2" t="str">
        <f t="shared" si="84"/>
        <v>Sunday</v>
      </c>
      <c r="C2706" s="2" t="b">
        <f t="shared" si="85"/>
        <v>1</v>
      </c>
      <c r="D2706">
        <v>4</v>
      </c>
      <c r="E2706" t="s">
        <v>8</v>
      </c>
      <c r="F2706">
        <v>192</v>
      </c>
      <c r="G2706" s="3">
        <v>2954.14</v>
      </c>
      <c r="H2706" s="3">
        <f>Miami_Retail[[#This Row],[sales_usd]] / Miami_Retail[[#This Row],[customers]]</f>
        <v>15.386145833333332</v>
      </c>
      <c r="I2706">
        <v>73.2</v>
      </c>
      <c r="J2706">
        <f>(Miami_Retail[[#This Row],[avg_temp_f]]-32) * (5/9)</f>
        <v>22.888888888888893</v>
      </c>
      <c r="K2706">
        <v>0.13</v>
      </c>
      <c r="L2706">
        <v>1</v>
      </c>
      <c r="M2706">
        <v>57.8</v>
      </c>
      <c r="N2706">
        <v>50.3</v>
      </c>
      <c r="O2706">
        <v>49.7</v>
      </c>
      <c r="P2706">
        <v>53.7</v>
      </c>
      <c r="Q2706">
        <v>46.3</v>
      </c>
    </row>
    <row r="2707" spans="1:17" x14ac:dyDescent="0.25">
      <c r="A2707" s="2">
        <v>45439</v>
      </c>
      <c r="B2707" s="2" t="str">
        <f t="shared" si="84"/>
        <v>Monday</v>
      </c>
      <c r="C2707" s="2" t="b">
        <f t="shared" si="85"/>
        <v>0</v>
      </c>
      <c r="D2707">
        <v>4</v>
      </c>
      <c r="E2707" t="s">
        <v>8</v>
      </c>
      <c r="F2707">
        <v>202</v>
      </c>
      <c r="G2707" s="3">
        <v>3353.43</v>
      </c>
      <c r="H2707" s="3">
        <f>Miami_Retail[[#This Row],[sales_usd]] / Miami_Retail[[#This Row],[customers]]</f>
        <v>16.601138613861384</v>
      </c>
      <c r="I2707">
        <v>69.900000000000006</v>
      </c>
      <c r="J2707">
        <f>(Miami_Retail[[#This Row],[avg_temp_f]]-32) * (5/9)</f>
        <v>21.055555555555561</v>
      </c>
      <c r="K2707">
        <v>0</v>
      </c>
      <c r="L2707">
        <v>0</v>
      </c>
      <c r="M2707">
        <v>48.7</v>
      </c>
      <c r="N2707">
        <v>50.5</v>
      </c>
      <c r="O2707">
        <v>49.5</v>
      </c>
      <c r="P2707">
        <v>47.5</v>
      </c>
      <c r="Q2707">
        <v>52.5</v>
      </c>
    </row>
    <row r="2708" spans="1:17" x14ac:dyDescent="0.25">
      <c r="A2708" s="2">
        <v>45440</v>
      </c>
      <c r="B2708" s="2" t="str">
        <f t="shared" si="84"/>
        <v>Tuesday</v>
      </c>
      <c r="C2708" s="2" t="b">
        <f t="shared" si="85"/>
        <v>0</v>
      </c>
      <c r="D2708">
        <v>4</v>
      </c>
      <c r="E2708" t="s">
        <v>8</v>
      </c>
      <c r="F2708">
        <v>169</v>
      </c>
      <c r="G2708" s="3">
        <v>2515.9899999999998</v>
      </c>
      <c r="H2708" s="3">
        <f>Miami_Retail[[#This Row],[sales_usd]] / Miami_Retail[[#This Row],[customers]]</f>
        <v>14.887514792899408</v>
      </c>
      <c r="I2708">
        <v>67.5</v>
      </c>
      <c r="J2708">
        <f>(Miami_Retail[[#This Row],[avg_temp_f]]-32) * (5/9)</f>
        <v>19.722222222222221</v>
      </c>
      <c r="K2708">
        <v>0</v>
      </c>
      <c r="L2708">
        <v>0</v>
      </c>
      <c r="M2708">
        <v>54</v>
      </c>
      <c r="N2708">
        <v>50.8</v>
      </c>
      <c r="O2708">
        <v>49.2</v>
      </c>
      <c r="P2708">
        <v>47.4</v>
      </c>
      <c r="Q2708">
        <v>52.6</v>
      </c>
    </row>
    <row r="2709" spans="1:17" x14ac:dyDescent="0.25">
      <c r="A2709" s="2">
        <v>45441</v>
      </c>
      <c r="B2709" s="2" t="str">
        <f t="shared" si="84"/>
        <v>Wednesday</v>
      </c>
      <c r="C2709" s="2" t="b">
        <f t="shared" si="85"/>
        <v>0</v>
      </c>
      <c r="D2709">
        <v>4</v>
      </c>
      <c r="E2709" t="s">
        <v>8</v>
      </c>
      <c r="F2709">
        <v>172</v>
      </c>
      <c r="G2709" s="3">
        <v>2502.13</v>
      </c>
      <c r="H2709" s="3">
        <f>Miami_Retail[[#This Row],[sales_usd]] / Miami_Retail[[#This Row],[customers]]</f>
        <v>14.547267441860466</v>
      </c>
      <c r="I2709">
        <v>71.3</v>
      </c>
      <c r="J2709">
        <f>(Miami_Retail[[#This Row],[avg_temp_f]]-32) * (5/9)</f>
        <v>21.833333333333332</v>
      </c>
      <c r="K2709">
        <v>0</v>
      </c>
      <c r="L2709">
        <v>0</v>
      </c>
      <c r="M2709">
        <v>50.9</v>
      </c>
      <c r="N2709">
        <v>51.2</v>
      </c>
      <c r="O2709">
        <v>48.8</v>
      </c>
      <c r="P2709">
        <v>47.7</v>
      </c>
      <c r="Q2709">
        <v>52.3</v>
      </c>
    </row>
    <row r="2710" spans="1:17" x14ac:dyDescent="0.25">
      <c r="A2710" s="2">
        <v>45442</v>
      </c>
      <c r="B2710" s="2" t="str">
        <f t="shared" si="84"/>
        <v>Thursday</v>
      </c>
      <c r="C2710" s="2" t="b">
        <f t="shared" si="85"/>
        <v>0</v>
      </c>
      <c r="D2710">
        <v>4</v>
      </c>
      <c r="E2710" t="s">
        <v>8</v>
      </c>
      <c r="F2710">
        <v>224</v>
      </c>
      <c r="G2710" s="3">
        <v>3426.7</v>
      </c>
      <c r="H2710" s="3">
        <f>Miami_Retail[[#This Row],[sales_usd]] / Miami_Retail[[#This Row],[customers]]</f>
        <v>15.297767857142857</v>
      </c>
      <c r="I2710">
        <v>77.2</v>
      </c>
      <c r="J2710">
        <f>(Miami_Retail[[#This Row],[avg_temp_f]]-32) * (5/9)</f>
        <v>25.111111111111114</v>
      </c>
      <c r="K2710">
        <v>0</v>
      </c>
      <c r="L2710">
        <v>0</v>
      </c>
      <c r="M2710">
        <v>51.2</v>
      </c>
      <c r="N2710">
        <v>50</v>
      </c>
      <c r="O2710">
        <v>50</v>
      </c>
      <c r="P2710">
        <v>48.1</v>
      </c>
      <c r="Q2710">
        <v>51.9</v>
      </c>
    </row>
    <row r="2711" spans="1:17" x14ac:dyDescent="0.25">
      <c r="A2711" s="2">
        <v>45443</v>
      </c>
      <c r="B2711" s="2" t="str">
        <f t="shared" si="84"/>
        <v>Friday</v>
      </c>
      <c r="C2711" s="2" t="b">
        <f t="shared" si="85"/>
        <v>0</v>
      </c>
      <c r="D2711">
        <v>4</v>
      </c>
      <c r="E2711" t="s">
        <v>8</v>
      </c>
      <c r="F2711">
        <v>230</v>
      </c>
      <c r="G2711" s="3">
        <v>2950.94</v>
      </c>
      <c r="H2711" s="3">
        <f>Miami_Retail[[#This Row],[sales_usd]] / Miami_Retail[[#This Row],[customers]]</f>
        <v>12.830173913043479</v>
      </c>
      <c r="I2711">
        <v>78.400000000000006</v>
      </c>
      <c r="J2711">
        <f>(Miami_Retail[[#This Row],[avg_temp_f]]-32) * (5/9)</f>
        <v>25.777777777777782</v>
      </c>
      <c r="K2711">
        <v>0.52</v>
      </c>
      <c r="L2711">
        <v>1</v>
      </c>
      <c r="M2711">
        <v>57.9</v>
      </c>
      <c r="N2711">
        <v>52.2</v>
      </c>
      <c r="O2711">
        <v>47.8</v>
      </c>
      <c r="P2711">
        <v>47.4</v>
      </c>
      <c r="Q2711">
        <v>52.6</v>
      </c>
    </row>
    <row r="2712" spans="1:17" x14ac:dyDescent="0.25">
      <c r="A2712" s="2">
        <v>45444</v>
      </c>
      <c r="B2712" s="2" t="str">
        <f t="shared" si="84"/>
        <v>Saturday</v>
      </c>
      <c r="C2712" s="2" t="b">
        <f t="shared" si="85"/>
        <v>1</v>
      </c>
      <c r="D2712">
        <v>4</v>
      </c>
      <c r="E2712" t="s">
        <v>8</v>
      </c>
      <c r="F2712">
        <v>201</v>
      </c>
      <c r="G2712" s="3">
        <v>3179.91</v>
      </c>
      <c r="H2712" s="3">
        <f>Miami_Retail[[#This Row],[sales_usd]] / Miami_Retail[[#This Row],[customers]]</f>
        <v>15.820447761194028</v>
      </c>
      <c r="I2712">
        <v>74.599999999999994</v>
      </c>
      <c r="J2712">
        <f>(Miami_Retail[[#This Row],[avg_temp_f]]-32) * (5/9)</f>
        <v>23.666666666666664</v>
      </c>
      <c r="K2712">
        <v>0.54</v>
      </c>
      <c r="L2712">
        <v>1</v>
      </c>
      <c r="M2712">
        <v>51.6</v>
      </c>
      <c r="N2712">
        <v>49</v>
      </c>
      <c r="O2712">
        <v>51</v>
      </c>
      <c r="P2712">
        <v>53.6</v>
      </c>
      <c r="Q2712">
        <v>46.4</v>
      </c>
    </row>
    <row r="2713" spans="1:17" x14ac:dyDescent="0.25">
      <c r="A2713" s="2">
        <v>45445</v>
      </c>
      <c r="B2713" s="2" t="str">
        <f t="shared" si="84"/>
        <v>Sunday</v>
      </c>
      <c r="C2713" s="2" t="b">
        <f t="shared" si="85"/>
        <v>1</v>
      </c>
      <c r="D2713">
        <v>4</v>
      </c>
      <c r="E2713" t="s">
        <v>8</v>
      </c>
      <c r="F2713">
        <v>156</v>
      </c>
      <c r="G2713" s="3">
        <v>2295.64</v>
      </c>
      <c r="H2713" s="3">
        <f>Miami_Retail[[#This Row],[sales_usd]] / Miami_Retail[[#This Row],[customers]]</f>
        <v>14.715641025641025</v>
      </c>
      <c r="I2713">
        <v>66.7</v>
      </c>
      <c r="J2713">
        <f>(Miami_Retail[[#This Row],[avg_temp_f]]-32) * (5/9)</f>
        <v>19.277777777777779</v>
      </c>
      <c r="K2713">
        <v>1.07</v>
      </c>
      <c r="L2713">
        <v>1</v>
      </c>
      <c r="M2713">
        <v>48.5</v>
      </c>
      <c r="N2713">
        <v>52.5</v>
      </c>
      <c r="O2713">
        <v>47.5</v>
      </c>
      <c r="P2713">
        <v>53.9</v>
      </c>
      <c r="Q2713">
        <v>46.1</v>
      </c>
    </row>
    <row r="2714" spans="1:17" x14ac:dyDescent="0.25">
      <c r="A2714" s="2">
        <v>45446</v>
      </c>
      <c r="B2714" s="2" t="str">
        <f t="shared" si="84"/>
        <v>Monday</v>
      </c>
      <c r="C2714" s="2" t="b">
        <f t="shared" si="85"/>
        <v>0</v>
      </c>
      <c r="D2714">
        <v>4</v>
      </c>
      <c r="E2714" t="s">
        <v>8</v>
      </c>
      <c r="F2714">
        <v>230</v>
      </c>
      <c r="G2714" s="3">
        <v>3232.09</v>
      </c>
      <c r="H2714" s="3">
        <f>Miami_Retail[[#This Row],[sales_usd]] / Miami_Retail[[#This Row],[customers]]</f>
        <v>14.052565217391304</v>
      </c>
      <c r="I2714">
        <v>76.8</v>
      </c>
      <c r="J2714">
        <f>(Miami_Retail[[#This Row],[avg_temp_f]]-32) * (5/9)</f>
        <v>24.888888888888889</v>
      </c>
      <c r="K2714">
        <v>1.63</v>
      </c>
      <c r="L2714">
        <v>1</v>
      </c>
      <c r="M2714">
        <v>55.3</v>
      </c>
      <c r="N2714">
        <v>51.5</v>
      </c>
      <c r="O2714">
        <v>48.5</v>
      </c>
      <c r="P2714">
        <v>48.5</v>
      </c>
      <c r="Q2714">
        <v>51.5</v>
      </c>
    </row>
    <row r="2715" spans="1:17" x14ac:dyDescent="0.25">
      <c r="A2715" s="2">
        <v>45447</v>
      </c>
      <c r="B2715" s="2" t="str">
        <f t="shared" si="84"/>
        <v>Tuesday</v>
      </c>
      <c r="C2715" s="2" t="b">
        <f t="shared" si="85"/>
        <v>0</v>
      </c>
      <c r="D2715">
        <v>4</v>
      </c>
      <c r="E2715" t="s">
        <v>8</v>
      </c>
      <c r="F2715">
        <v>188</v>
      </c>
      <c r="G2715" s="3">
        <v>2756.1</v>
      </c>
      <c r="H2715" s="3">
        <f>Miami_Retail[[#This Row],[sales_usd]] / Miami_Retail[[#This Row],[customers]]</f>
        <v>14.660106382978723</v>
      </c>
      <c r="I2715">
        <v>77.400000000000006</v>
      </c>
      <c r="J2715">
        <f>(Miami_Retail[[#This Row],[avg_temp_f]]-32) * (5/9)</f>
        <v>25.222222222222225</v>
      </c>
      <c r="K2715">
        <v>0</v>
      </c>
      <c r="L2715">
        <v>0</v>
      </c>
      <c r="M2715">
        <v>44.1</v>
      </c>
      <c r="N2715">
        <v>50.5</v>
      </c>
      <c r="O2715">
        <v>49.5</v>
      </c>
      <c r="P2715">
        <v>47.5</v>
      </c>
      <c r="Q2715">
        <v>52.5</v>
      </c>
    </row>
    <row r="2716" spans="1:17" x14ac:dyDescent="0.25">
      <c r="A2716" s="2">
        <v>45448</v>
      </c>
      <c r="B2716" s="2" t="str">
        <f t="shared" si="84"/>
        <v>Wednesday</v>
      </c>
      <c r="C2716" s="2" t="b">
        <f t="shared" si="85"/>
        <v>0</v>
      </c>
      <c r="D2716">
        <v>4</v>
      </c>
      <c r="E2716" t="s">
        <v>8</v>
      </c>
      <c r="F2716">
        <v>176</v>
      </c>
      <c r="G2716" s="3">
        <v>2656.95</v>
      </c>
      <c r="H2716" s="3">
        <f>Miami_Retail[[#This Row],[sales_usd]] / Miami_Retail[[#This Row],[customers]]</f>
        <v>15.096306818181818</v>
      </c>
      <c r="I2716">
        <v>76.5</v>
      </c>
      <c r="J2716">
        <f>(Miami_Retail[[#This Row],[avg_temp_f]]-32) * (5/9)</f>
        <v>24.722222222222225</v>
      </c>
      <c r="K2716">
        <v>0</v>
      </c>
      <c r="L2716">
        <v>0</v>
      </c>
      <c r="M2716">
        <v>56.7</v>
      </c>
      <c r="N2716">
        <v>49.5</v>
      </c>
      <c r="O2716">
        <v>50.5</v>
      </c>
      <c r="P2716">
        <v>46.6</v>
      </c>
      <c r="Q2716">
        <v>53.4</v>
      </c>
    </row>
    <row r="2717" spans="1:17" x14ac:dyDescent="0.25">
      <c r="A2717" s="2">
        <v>45449</v>
      </c>
      <c r="B2717" s="2" t="str">
        <f t="shared" si="84"/>
        <v>Thursday</v>
      </c>
      <c r="C2717" s="2" t="b">
        <f t="shared" si="85"/>
        <v>0</v>
      </c>
      <c r="D2717">
        <v>4</v>
      </c>
      <c r="E2717" t="s">
        <v>8</v>
      </c>
      <c r="F2717">
        <v>236</v>
      </c>
      <c r="G2717" s="3">
        <v>3759.48</v>
      </c>
      <c r="H2717" s="3">
        <f>Miami_Retail[[#This Row],[sales_usd]] / Miami_Retail[[#This Row],[customers]]</f>
        <v>15.93</v>
      </c>
      <c r="I2717">
        <v>78.8</v>
      </c>
      <c r="J2717">
        <f>(Miami_Retail[[#This Row],[avg_temp_f]]-32) * (5/9)</f>
        <v>26</v>
      </c>
      <c r="K2717">
        <v>0.28999999999999998</v>
      </c>
      <c r="L2717">
        <v>1</v>
      </c>
      <c r="M2717">
        <v>52.1</v>
      </c>
      <c r="N2717">
        <v>49.3</v>
      </c>
      <c r="O2717">
        <v>50.7</v>
      </c>
      <c r="P2717">
        <v>48.1</v>
      </c>
      <c r="Q2717">
        <v>51.9</v>
      </c>
    </row>
    <row r="2718" spans="1:17" x14ac:dyDescent="0.25">
      <c r="A2718" s="2">
        <v>45450</v>
      </c>
      <c r="B2718" s="2" t="str">
        <f t="shared" si="84"/>
        <v>Friday</v>
      </c>
      <c r="C2718" s="2" t="b">
        <f t="shared" si="85"/>
        <v>0</v>
      </c>
      <c r="D2718">
        <v>4</v>
      </c>
      <c r="E2718" t="s">
        <v>8</v>
      </c>
      <c r="F2718">
        <v>141</v>
      </c>
      <c r="G2718" s="3">
        <v>2258.84</v>
      </c>
      <c r="H2718" s="3">
        <f>Miami_Retail[[#This Row],[sales_usd]] / Miami_Retail[[#This Row],[customers]]</f>
        <v>16.020141843971633</v>
      </c>
      <c r="I2718">
        <v>74</v>
      </c>
      <c r="J2718">
        <f>(Miami_Retail[[#This Row],[avg_temp_f]]-32) * (5/9)</f>
        <v>23.333333333333336</v>
      </c>
      <c r="K2718">
        <v>0</v>
      </c>
      <c r="L2718">
        <v>0</v>
      </c>
      <c r="M2718">
        <v>52.8</v>
      </c>
      <c r="N2718">
        <v>50.3</v>
      </c>
      <c r="O2718">
        <v>49.7</v>
      </c>
      <c r="P2718">
        <v>48.2</v>
      </c>
      <c r="Q2718">
        <v>51.8</v>
      </c>
    </row>
    <row r="2719" spans="1:17" x14ac:dyDescent="0.25">
      <c r="A2719" s="2">
        <v>45451</v>
      </c>
      <c r="B2719" s="2" t="str">
        <f t="shared" si="84"/>
        <v>Saturday</v>
      </c>
      <c r="C2719" s="2" t="b">
        <f t="shared" si="85"/>
        <v>1</v>
      </c>
      <c r="D2719">
        <v>4</v>
      </c>
      <c r="E2719" t="s">
        <v>8</v>
      </c>
      <c r="F2719">
        <v>206</v>
      </c>
      <c r="G2719" s="3">
        <v>3094.46</v>
      </c>
      <c r="H2719" s="3">
        <f>Miami_Retail[[#This Row],[sales_usd]] / Miami_Retail[[#This Row],[customers]]</f>
        <v>15.021650485436894</v>
      </c>
      <c r="I2719">
        <v>73.599999999999994</v>
      </c>
      <c r="J2719">
        <f>(Miami_Retail[[#This Row],[avg_temp_f]]-32) * (5/9)</f>
        <v>23.111111111111111</v>
      </c>
      <c r="K2719">
        <v>0.68</v>
      </c>
      <c r="L2719">
        <v>1</v>
      </c>
      <c r="M2719">
        <v>52.4</v>
      </c>
      <c r="N2719">
        <v>49.3</v>
      </c>
      <c r="O2719">
        <v>50.7</v>
      </c>
      <c r="P2719">
        <v>53.9</v>
      </c>
      <c r="Q2719">
        <v>46.1</v>
      </c>
    </row>
    <row r="2720" spans="1:17" x14ac:dyDescent="0.25">
      <c r="A2720" s="2">
        <v>45452</v>
      </c>
      <c r="B2720" s="2" t="str">
        <f t="shared" si="84"/>
        <v>Sunday</v>
      </c>
      <c r="C2720" s="2" t="b">
        <f t="shared" si="85"/>
        <v>1</v>
      </c>
      <c r="D2720">
        <v>4</v>
      </c>
      <c r="E2720" t="s">
        <v>8</v>
      </c>
      <c r="F2720">
        <v>200</v>
      </c>
      <c r="G2720" s="3">
        <v>2970.2</v>
      </c>
      <c r="H2720" s="3">
        <f>Miami_Retail[[#This Row],[sales_usd]] / Miami_Retail[[#This Row],[customers]]</f>
        <v>14.850999999999999</v>
      </c>
      <c r="I2720">
        <v>69.3</v>
      </c>
      <c r="J2720">
        <f>(Miami_Retail[[#This Row],[avg_temp_f]]-32) * (5/9)</f>
        <v>20.722222222222221</v>
      </c>
      <c r="K2720">
        <v>0.27</v>
      </c>
      <c r="L2720">
        <v>1</v>
      </c>
      <c r="M2720">
        <v>54.1</v>
      </c>
      <c r="N2720">
        <v>53.2</v>
      </c>
      <c r="O2720">
        <v>46.8</v>
      </c>
      <c r="P2720">
        <v>54.6</v>
      </c>
      <c r="Q2720">
        <v>45.4</v>
      </c>
    </row>
    <row r="2721" spans="1:17" x14ac:dyDescent="0.25">
      <c r="A2721" s="2">
        <v>45453</v>
      </c>
      <c r="B2721" s="2" t="str">
        <f t="shared" si="84"/>
        <v>Monday</v>
      </c>
      <c r="C2721" s="2" t="b">
        <f t="shared" si="85"/>
        <v>0</v>
      </c>
      <c r="D2721">
        <v>4</v>
      </c>
      <c r="E2721" t="s">
        <v>8</v>
      </c>
      <c r="F2721">
        <v>190</v>
      </c>
      <c r="G2721" s="3">
        <v>2977.65</v>
      </c>
      <c r="H2721" s="3">
        <f>Miami_Retail[[#This Row],[sales_usd]] / Miami_Retail[[#This Row],[customers]]</f>
        <v>15.671842105263158</v>
      </c>
      <c r="I2721">
        <v>69.599999999999994</v>
      </c>
      <c r="J2721">
        <f>(Miami_Retail[[#This Row],[avg_temp_f]]-32) * (5/9)</f>
        <v>20.888888888888886</v>
      </c>
      <c r="K2721">
        <v>0</v>
      </c>
      <c r="L2721">
        <v>0</v>
      </c>
      <c r="M2721">
        <v>58.9</v>
      </c>
      <c r="N2721">
        <v>48.3</v>
      </c>
      <c r="O2721">
        <v>51.7</v>
      </c>
      <c r="P2721">
        <v>46.2</v>
      </c>
      <c r="Q2721">
        <v>53.8</v>
      </c>
    </row>
    <row r="2722" spans="1:17" x14ac:dyDescent="0.25">
      <c r="A2722" s="2">
        <v>45454</v>
      </c>
      <c r="B2722" s="2" t="str">
        <f t="shared" si="84"/>
        <v>Tuesday</v>
      </c>
      <c r="C2722" s="2" t="b">
        <f t="shared" si="85"/>
        <v>0</v>
      </c>
      <c r="D2722">
        <v>4</v>
      </c>
      <c r="E2722" t="s">
        <v>8</v>
      </c>
      <c r="F2722">
        <v>181</v>
      </c>
      <c r="G2722" s="3">
        <v>2975.62</v>
      </c>
      <c r="H2722" s="3">
        <f>Miami_Retail[[#This Row],[sales_usd]] / Miami_Retail[[#This Row],[customers]]</f>
        <v>16.43988950276243</v>
      </c>
      <c r="I2722">
        <v>72.8</v>
      </c>
      <c r="J2722">
        <f>(Miami_Retail[[#This Row],[avg_temp_f]]-32) * (5/9)</f>
        <v>22.666666666666668</v>
      </c>
      <c r="K2722">
        <v>0</v>
      </c>
      <c r="L2722">
        <v>0</v>
      </c>
      <c r="M2722">
        <v>61.4</v>
      </c>
      <c r="N2722">
        <v>52.3</v>
      </c>
      <c r="O2722">
        <v>47.7</v>
      </c>
      <c r="P2722">
        <v>47.4</v>
      </c>
      <c r="Q2722">
        <v>52.6</v>
      </c>
    </row>
    <row r="2723" spans="1:17" x14ac:dyDescent="0.25">
      <c r="A2723" s="2">
        <v>45455</v>
      </c>
      <c r="B2723" s="2" t="str">
        <f t="shared" si="84"/>
        <v>Wednesday</v>
      </c>
      <c r="C2723" s="2" t="b">
        <f t="shared" si="85"/>
        <v>0</v>
      </c>
      <c r="D2723">
        <v>4</v>
      </c>
      <c r="E2723" t="s">
        <v>8</v>
      </c>
      <c r="F2723">
        <v>208</v>
      </c>
      <c r="G2723" s="3">
        <v>3143.96</v>
      </c>
      <c r="H2723" s="3">
        <f>Miami_Retail[[#This Row],[sales_usd]] / Miami_Retail[[#This Row],[customers]]</f>
        <v>15.115192307692308</v>
      </c>
      <c r="I2723">
        <v>78</v>
      </c>
      <c r="J2723">
        <f>(Miami_Retail[[#This Row],[avg_temp_f]]-32) * (5/9)</f>
        <v>25.555555555555557</v>
      </c>
      <c r="K2723">
        <v>0.5</v>
      </c>
      <c r="L2723">
        <v>1</v>
      </c>
      <c r="M2723">
        <v>45</v>
      </c>
      <c r="N2723">
        <v>48.7</v>
      </c>
      <c r="O2723">
        <v>51.3</v>
      </c>
      <c r="P2723">
        <v>46.9</v>
      </c>
      <c r="Q2723">
        <v>53.1</v>
      </c>
    </row>
    <row r="2724" spans="1:17" x14ac:dyDescent="0.25">
      <c r="A2724" s="2">
        <v>45456</v>
      </c>
      <c r="B2724" s="2" t="str">
        <f t="shared" si="84"/>
        <v>Thursday</v>
      </c>
      <c r="C2724" s="2" t="b">
        <f t="shared" si="85"/>
        <v>0</v>
      </c>
      <c r="D2724">
        <v>4</v>
      </c>
      <c r="E2724" t="s">
        <v>8</v>
      </c>
      <c r="F2724">
        <v>194</v>
      </c>
      <c r="G2724" s="3">
        <v>3065.33</v>
      </c>
      <c r="H2724" s="3">
        <f>Miami_Retail[[#This Row],[sales_usd]] / Miami_Retail[[#This Row],[customers]]</f>
        <v>15.800670103092783</v>
      </c>
      <c r="I2724">
        <v>75.7</v>
      </c>
      <c r="J2724">
        <f>(Miami_Retail[[#This Row],[avg_temp_f]]-32) * (5/9)</f>
        <v>24.277777777777782</v>
      </c>
      <c r="K2724">
        <v>0</v>
      </c>
      <c r="L2724">
        <v>0</v>
      </c>
      <c r="M2724">
        <v>49.5</v>
      </c>
      <c r="N2724">
        <v>49.6</v>
      </c>
      <c r="O2724">
        <v>50.4</v>
      </c>
      <c r="P2724">
        <v>48.4</v>
      </c>
      <c r="Q2724">
        <v>51.6</v>
      </c>
    </row>
    <row r="2725" spans="1:17" x14ac:dyDescent="0.25">
      <c r="A2725" s="2">
        <v>45457</v>
      </c>
      <c r="B2725" s="2" t="str">
        <f t="shared" si="84"/>
        <v>Friday</v>
      </c>
      <c r="C2725" s="2" t="b">
        <f t="shared" si="85"/>
        <v>0</v>
      </c>
      <c r="D2725">
        <v>4</v>
      </c>
      <c r="E2725" t="s">
        <v>8</v>
      </c>
      <c r="F2725">
        <v>211</v>
      </c>
      <c r="G2725" s="3">
        <v>3283.04</v>
      </c>
      <c r="H2725" s="3">
        <f>Miami_Retail[[#This Row],[sales_usd]] / Miami_Retail[[#This Row],[customers]]</f>
        <v>15.559431279620853</v>
      </c>
      <c r="I2725">
        <v>76.8</v>
      </c>
      <c r="J2725">
        <f>(Miami_Retail[[#This Row],[avg_temp_f]]-32) * (5/9)</f>
        <v>24.888888888888889</v>
      </c>
      <c r="K2725">
        <v>0</v>
      </c>
      <c r="L2725">
        <v>0</v>
      </c>
      <c r="M2725">
        <v>58.7</v>
      </c>
      <c r="N2725">
        <v>50.6</v>
      </c>
      <c r="O2725">
        <v>49.4</v>
      </c>
      <c r="P2725">
        <v>48.2</v>
      </c>
      <c r="Q2725">
        <v>51.8</v>
      </c>
    </row>
    <row r="2726" spans="1:17" x14ac:dyDescent="0.25">
      <c r="A2726" s="2">
        <v>45458</v>
      </c>
      <c r="B2726" s="2" t="str">
        <f t="shared" si="84"/>
        <v>Saturday</v>
      </c>
      <c r="C2726" s="2" t="b">
        <f t="shared" si="85"/>
        <v>1</v>
      </c>
      <c r="D2726">
        <v>4</v>
      </c>
      <c r="E2726" t="s">
        <v>8</v>
      </c>
      <c r="F2726">
        <v>238</v>
      </c>
      <c r="G2726" s="3">
        <v>3799.64</v>
      </c>
      <c r="H2726" s="3">
        <f>Miami_Retail[[#This Row],[sales_usd]] / Miami_Retail[[#This Row],[customers]]</f>
        <v>15.964873949579831</v>
      </c>
      <c r="I2726">
        <v>81.400000000000006</v>
      </c>
      <c r="J2726">
        <f>(Miami_Retail[[#This Row],[avg_temp_f]]-32) * (5/9)</f>
        <v>27.44444444444445</v>
      </c>
      <c r="K2726">
        <v>0</v>
      </c>
      <c r="L2726">
        <v>0</v>
      </c>
      <c r="M2726">
        <v>58.5</v>
      </c>
      <c r="N2726">
        <v>50.7</v>
      </c>
      <c r="O2726">
        <v>49.3</v>
      </c>
      <c r="P2726">
        <v>55.2</v>
      </c>
      <c r="Q2726">
        <v>44.8</v>
      </c>
    </row>
    <row r="2727" spans="1:17" x14ac:dyDescent="0.25">
      <c r="A2727" s="2">
        <v>45459</v>
      </c>
      <c r="B2727" s="2" t="str">
        <f t="shared" si="84"/>
        <v>Sunday</v>
      </c>
      <c r="C2727" s="2" t="b">
        <f t="shared" si="85"/>
        <v>1</v>
      </c>
      <c r="D2727">
        <v>4</v>
      </c>
      <c r="E2727" t="s">
        <v>8</v>
      </c>
      <c r="F2727">
        <v>210</v>
      </c>
      <c r="G2727" s="3">
        <v>3221.27</v>
      </c>
      <c r="H2727" s="3">
        <f>Miami_Retail[[#This Row],[sales_usd]] / Miami_Retail[[#This Row],[customers]]</f>
        <v>15.339380952380953</v>
      </c>
      <c r="I2727">
        <v>73.3</v>
      </c>
      <c r="J2727">
        <f>(Miami_Retail[[#This Row],[avg_temp_f]]-32) * (5/9)</f>
        <v>22.944444444444443</v>
      </c>
      <c r="K2727">
        <v>0</v>
      </c>
      <c r="L2727">
        <v>0</v>
      </c>
      <c r="M2727">
        <v>63.4</v>
      </c>
      <c r="N2727">
        <v>49.5</v>
      </c>
      <c r="O2727">
        <v>50.5</v>
      </c>
      <c r="P2727">
        <v>53.4</v>
      </c>
      <c r="Q2727">
        <v>46.6</v>
      </c>
    </row>
    <row r="2728" spans="1:17" x14ac:dyDescent="0.25">
      <c r="A2728" s="2">
        <v>45460</v>
      </c>
      <c r="B2728" s="2" t="str">
        <f t="shared" si="84"/>
        <v>Monday</v>
      </c>
      <c r="C2728" s="2" t="b">
        <f t="shared" si="85"/>
        <v>0</v>
      </c>
      <c r="D2728">
        <v>4</v>
      </c>
      <c r="E2728" t="s">
        <v>8</v>
      </c>
      <c r="F2728">
        <v>247</v>
      </c>
      <c r="G2728" s="3">
        <v>4072</v>
      </c>
      <c r="H2728" s="3">
        <f>Miami_Retail[[#This Row],[sales_usd]] / Miami_Retail[[#This Row],[customers]]</f>
        <v>16.48582995951417</v>
      </c>
      <c r="I2728">
        <v>78.3</v>
      </c>
      <c r="J2728">
        <f>(Miami_Retail[[#This Row],[avg_temp_f]]-32) * (5/9)</f>
        <v>25.722222222222221</v>
      </c>
      <c r="K2728">
        <v>0</v>
      </c>
      <c r="L2728">
        <v>0</v>
      </c>
      <c r="M2728">
        <v>45.9</v>
      </c>
      <c r="N2728">
        <v>50.4</v>
      </c>
      <c r="O2728">
        <v>49.6</v>
      </c>
      <c r="P2728">
        <v>46.7</v>
      </c>
      <c r="Q2728">
        <v>53.3</v>
      </c>
    </row>
    <row r="2729" spans="1:17" x14ac:dyDescent="0.25">
      <c r="A2729" s="2">
        <v>45461</v>
      </c>
      <c r="B2729" s="2" t="str">
        <f t="shared" si="84"/>
        <v>Tuesday</v>
      </c>
      <c r="C2729" s="2" t="b">
        <f t="shared" si="85"/>
        <v>0</v>
      </c>
      <c r="D2729">
        <v>4</v>
      </c>
      <c r="E2729" t="s">
        <v>8</v>
      </c>
      <c r="F2729">
        <v>181</v>
      </c>
      <c r="G2729" s="3">
        <v>2863.2</v>
      </c>
      <c r="H2729" s="3">
        <f>Miami_Retail[[#This Row],[sales_usd]] / Miami_Retail[[#This Row],[customers]]</f>
        <v>15.81878453038674</v>
      </c>
      <c r="I2729">
        <v>73.099999999999994</v>
      </c>
      <c r="J2729">
        <f>(Miami_Retail[[#This Row],[avg_temp_f]]-32) * (5/9)</f>
        <v>22.833333333333332</v>
      </c>
      <c r="K2729">
        <v>0</v>
      </c>
      <c r="L2729">
        <v>0</v>
      </c>
      <c r="M2729">
        <v>62.9</v>
      </c>
      <c r="N2729">
        <v>49.1</v>
      </c>
      <c r="O2729">
        <v>50.9</v>
      </c>
      <c r="P2729">
        <v>46.6</v>
      </c>
      <c r="Q2729">
        <v>53.4</v>
      </c>
    </row>
    <row r="2730" spans="1:17" x14ac:dyDescent="0.25">
      <c r="A2730" s="2">
        <v>45462</v>
      </c>
      <c r="B2730" s="2" t="str">
        <f t="shared" si="84"/>
        <v>Wednesday</v>
      </c>
      <c r="C2730" s="2" t="b">
        <f t="shared" si="85"/>
        <v>0</v>
      </c>
      <c r="D2730">
        <v>4</v>
      </c>
      <c r="E2730" t="s">
        <v>8</v>
      </c>
      <c r="F2730">
        <v>197</v>
      </c>
      <c r="G2730" s="3">
        <v>2905.75</v>
      </c>
      <c r="H2730" s="3">
        <f>Miami_Retail[[#This Row],[sales_usd]] / Miami_Retail[[#This Row],[customers]]</f>
        <v>14.75</v>
      </c>
      <c r="I2730">
        <v>81.3</v>
      </c>
      <c r="J2730">
        <f>(Miami_Retail[[#This Row],[avg_temp_f]]-32) * (5/9)</f>
        <v>27.388888888888889</v>
      </c>
      <c r="K2730">
        <v>1.21</v>
      </c>
      <c r="L2730">
        <v>1</v>
      </c>
      <c r="M2730">
        <v>56.5</v>
      </c>
      <c r="N2730">
        <v>47.5</v>
      </c>
      <c r="O2730">
        <v>52.5</v>
      </c>
      <c r="P2730">
        <v>47</v>
      </c>
      <c r="Q2730">
        <v>53</v>
      </c>
    </row>
    <row r="2731" spans="1:17" x14ac:dyDescent="0.25">
      <c r="A2731" s="2">
        <v>45463</v>
      </c>
      <c r="B2731" s="2" t="str">
        <f t="shared" si="84"/>
        <v>Thursday</v>
      </c>
      <c r="C2731" s="2" t="b">
        <f t="shared" si="85"/>
        <v>0</v>
      </c>
      <c r="D2731">
        <v>4</v>
      </c>
      <c r="E2731" t="s">
        <v>8</v>
      </c>
      <c r="F2731">
        <v>149</v>
      </c>
      <c r="G2731" s="3">
        <v>2396.9899999999998</v>
      </c>
      <c r="H2731" s="3">
        <f>Miami_Retail[[#This Row],[sales_usd]] / Miami_Retail[[#This Row],[customers]]</f>
        <v>16.087181208053689</v>
      </c>
      <c r="I2731">
        <v>73.900000000000006</v>
      </c>
      <c r="J2731">
        <f>(Miami_Retail[[#This Row],[avg_temp_f]]-32) * (5/9)</f>
        <v>23.277777777777782</v>
      </c>
      <c r="K2731">
        <v>1.39</v>
      </c>
      <c r="L2731">
        <v>1</v>
      </c>
      <c r="M2731">
        <v>63.3</v>
      </c>
      <c r="N2731">
        <v>49.9</v>
      </c>
      <c r="O2731">
        <v>50.1</v>
      </c>
      <c r="P2731">
        <v>48</v>
      </c>
      <c r="Q2731">
        <v>52</v>
      </c>
    </row>
    <row r="2732" spans="1:17" x14ac:dyDescent="0.25">
      <c r="A2732" s="2">
        <v>45464</v>
      </c>
      <c r="B2732" s="2" t="str">
        <f t="shared" si="84"/>
        <v>Friday</v>
      </c>
      <c r="C2732" s="2" t="b">
        <f t="shared" si="85"/>
        <v>0</v>
      </c>
      <c r="D2732">
        <v>4</v>
      </c>
      <c r="E2732" t="s">
        <v>8</v>
      </c>
      <c r="F2732">
        <v>191</v>
      </c>
      <c r="G2732" s="3">
        <v>3043.28</v>
      </c>
      <c r="H2732" s="3">
        <f>Miami_Retail[[#This Row],[sales_usd]] / Miami_Retail[[#This Row],[customers]]</f>
        <v>15.933403141361257</v>
      </c>
      <c r="I2732">
        <v>76.900000000000006</v>
      </c>
      <c r="J2732">
        <f>(Miami_Retail[[#This Row],[avg_temp_f]]-32) * (5/9)</f>
        <v>24.94444444444445</v>
      </c>
      <c r="K2732">
        <v>0</v>
      </c>
      <c r="L2732">
        <v>0</v>
      </c>
      <c r="M2732">
        <v>62.4</v>
      </c>
      <c r="N2732">
        <v>51.1</v>
      </c>
      <c r="O2732">
        <v>48.9</v>
      </c>
      <c r="P2732">
        <v>48.6</v>
      </c>
      <c r="Q2732">
        <v>51.4</v>
      </c>
    </row>
    <row r="2733" spans="1:17" x14ac:dyDescent="0.25">
      <c r="A2733" s="2">
        <v>45465</v>
      </c>
      <c r="B2733" s="2" t="str">
        <f t="shared" si="84"/>
        <v>Saturday</v>
      </c>
      <c r="C2733" s="2" t="b">
        <f t="shared" si="85"/>
        <v>1</v>
      </c>
      <c r="D2733">
        <v>4</v>
      </c>
      <c r="E2733" t="s">
        <v>8</v>
      </c>
      <c r="F2733">
        <v>227</v>
      </c>
      <c r="G2733" s="3">
        <v>3402.42</v>
      </c>
      <c r="H2733" s="3">
        <f>Miami_Retail[[#This Row],[sales_usd]] / Miami_Retail[[#This Row],[customers]]</f>
        <v>14.98863436123348</v>
      </c>
      <c r="I2733">
        <v>76.400000000000006</v>
      </c>
      <c r="J2733">
        <f>(Miami_Retail[[#This Row],[avg_temp_f]]-32) * (5/9)</f>
        <v>24.666666666666671</v>
      </c>
      <c r="K2733">
        <v>0</v>
      </c>
      <c r="L2733">
        <v>0</v>
      </c>
      <c r="M2733">
        <v>48</v>
      </c>
      <c r="N2733">
        <v>50.2</v>
      </c>
      <c r="O2733">
        <v>49.8</v>
      </c>
      <c r="P2733">
        <v>54.3</v>
      </c>
      <c r="Q2733">
        <v>45.7</v>
      </c>
    </row>
    <row r="2734" spans="1:17" x14ac:dyDescent="0.25">
      <c r="A2734" s="2">
        <v>45466</v>
      </c>
      <c r="B2734" s="2" t="str">
        <f t="shared" si="84"/>
        <v>Sunday</v>
      </c>
      <c r="C2734" s="2" t="b">
        <f t="shared" si="85"/>
        <v>1</v>
      </c>
      <c r="D2734">
        <v>4</v>
      </c>
      <c r="E2734" t="s">
        <v>8</v>
      </c>
      <c r="F2734">
        <v>203</v>
      </c>
      <c r="G2734" s="3">
        <v>3216.51</v>
      </c>
      <c r="H2734" s="3">
        <f>Miami_Retail[[#This Row],[sales_usd]] / Miami_Retail[[#This Row],[customers]]</f>
        <v>15.844876847290642</v>
      </c>
      <c r="I2734">
        <v>77.900000000000006</v>
      </c>
      <c r="J2734">
        <f>(Miami_Retail[[#This Row],[avg_temp_f]]-32) * (5/9)</f>
        <v>25.500000000000004</v>
      </c>
      <c r="K2734">
        <v>0</v>
      </c>
      <c r="L2734">
        <v>0</v>
      </c>
      <c r="M2734">
        <v>51.2</v>
      </c>
      <c r="N2734">
        <v>50.5</v>
      </c>
      <c r="O2734">
        <v>49.5</v>
      </c>
      <c r="P2734">
        <v>51.9</v>
      </c>
      <c r="Q2734">
        <v>48.1</v>
      </c>
    </row>
    <row r="2735" spans="1:17" x14ac:dyDescent="0.25">
      <c r="A2735" s="2">
        <v>45467</v>
      </c>
      <c r="B2735" s="2" t="str">
        <f t="shared" si="84"/>
        <v>Monday</v>
      </c>
      <c r="C2735" s="2" t="b">
        <f t="shared" si="85"/>
        <v>0</v>
      </c>
      <c r="D2735">
        <v>4</v>
      </c>
      <c r="E2735" t="s">
        <v>8</v>
      </c>
      <c r="F2735">
        <v>219</v>
      </c>
      <c r="G2735" s="3">
        <v>3107.94</v>
      </c>
      <c r="H2735" s="3">
        <f>Miami_Retail[[#This Row],[sales_usd]] / Miami_Retail[[#This Row],[customers]]</f>
        <v>14.191506849315068</v>
      </c>
      <c r="I2735">
        <v>81.599999999999994</v>
      </c>
      <c r="J2735">
        <f>(Miami_Retail[[#This Row],[avg_temp_f]]-32) * (5/9)</f>
        <v>27.555555555555554</v>
      </c>
      <c r="K2735">
        <v>0.54</v>
      </c>
      <c r="L2735">
        <v>1</v>
      </c>
      <c r="M2735">
        <v>67</v>
      </c>
      <c r="N2735">
        <v>48.6</v>
      </c>
      <c r="O2735">
        <v>51.4</v>
      </c>
      <c r="P2735">
        <v>48.4</v>
      </c>
      <c r="Q2735">
        <v>51.6</v>
      </c>
    </row>
    <row r="2736" spans="1:17" x14ac:dyDescent="0.25">
      <c r="A2736" s="2">
        <v>45468</v>
      </c>
      <c r="B2736" s="2" t="str">
        <f t="shared" si="84"/>
        <v>Tuesday</v>
      </c>
      <c r="C2736" s="2" t="b">
        <f t="shared" si="85"/>
        <v>0</v>
      </c>
      <c r="D2736">
        <v>4</v>
      </c>
      <c r="E2736" t="s">
        <v>8</v>
      </c>
      <c r="F2736">
        <v>220</v>
      </c>
      <c r="G2736" s="3">
        <v>3271.47</v>
      </c>
      <c r="H2736" s="3">
        <f>Miami_Retail[[#This Row],[sales_usd]] / Miami_Retail[[#This Row],[customers]]</f>
        <v>14.870318181818181</v>
      </c>
      <c r="I2736">
        <v>77.8</v>
      </c>
      <c r="J2736">
        <f>(Miami_Retail[[#This Row],[avg_temp_f]]-32) * (5/9)</f>
        <v>25.444444444444443</v>
      </c>
      <c r="K2736">
        <v>0</v>
      </c>
      <c r="L2736">
        <v>0</v>
      </c>
      <c r="M2736">
        <v>59.2</v>
      </c>
      <c r="N2736">
        <v>49.2</v>
      </c>
      <c r="O2736">
        <v>50.8</v>
      </c>
      <c r="P2736">
        <v>46.6</v>
      </c>
      <c r="Q2736">
        <v>53.4</v>
      </c>
    </row>
    <row r="2737" spans="1:17" x14ac:dyDescent="0.25">
      <c r="A2737" s="2">
        <v>45469</v>
      </c>
      <c r="B2737" s="2" t="str">
        <f t="shared" si="84"/>
        <v>Wednesday</v>
      </c>
      <c r="C2737" s="2" t="b">
        <f t="shared" si="85"/>
        <v>0</v>
      </c>
      <c r="D2737">
        <v>4</v>
      </c>
      <c r="E2737" t="s">
        <v>8</v>
      </c>
      <c r="F2737">
        <v>212</v>
      </c>
      <c r="G2737" s="3">
        <v>3339.75</v>
      </c>
      <c r="H2737" s="3">
        <f>Miami_Retail[[#This Row],[sales_usd]] / Miami_Retail[[#This Row],[customers]]</f>
        <v>15.753537735849056</v>
      </c>
      <c r="I2737">
        <v>76.900000000000006</v>
      </c>
      <c r="J2737">
        <f>(Miami_Retail[[#This Row],[avg_temp_f]]-32) * (5/9)</f>
        <v>24.94444444444445</v>
      </c>
      <c r="K2737">
        <v>0.28000000000000003</v>
      </c>
      <c r="L2737">
        <v>1</v>
      </c>
      <c r="M2737">
        <v>56.9</v>
      </c>
      <c r="N2737">
        <v>49.6</v>
      </c>
      <c r="O2737">
        <v>50.4</v>
      </c>
      <c r="P2737">
        <v>46.5</v>
      </c>
      <c r="Q2737">
        <v>53.5</v>
      </c>
    </row>
    <row r="2738" spans="1:17" x14ac:dyDescent="0.25">
      <c r="A2738" s="2">
        <v>45470</v>
      </c>
      <c r="B2738" s="2" t="str">
        <f t="shared" si="84"/>
        <v>Thursday</v>
      </c>
      <c r="C2738" s="2" t="b">
        <f t="shared" si="85"/>
        <v>0</v>
      </c>
      <c r="D2738">
        <v>4</v>
      </c>
      <c r="E2738" t="s">
        <v>8</v>
      </c>
      <c r="F2738">
        <v>212</v>
      </c>
      <c r="G2738" s="3">
        <v>3409.59</v>
      </c>
      <c r="H2738" s="3">
        <f>Miami_Retail[[#This Row],[sales_usd]] / Miami_Retail[[#This Row],[customers]]</f>
        <v>16.082971698113209</v>
      </c>
      <c r="I2738">
        <v>77.5</v>
      </c>
      <c r="J2738">
        <f>(Miami_Retail[[#This Row],[avg_temp_f]]-32) * (5/9)</f>
        <v>25.277777777777779</v>
      </c>
      <c r="K2738">
        <v>0.72</v>
      </c>
      <c r="L2738">
        <v>1</v>
      </c>
      <c r="M2738">
        <v>59.8</v>
      </c>
      <c r="N2738">
        <v>49</v>
      </c>
      <c r="O2738">
        <v>51</v>
      </c>
      <c r="P2738">
        <v>45.1</v>
      </c>
      <c r="Q2738">
        <v>54.9</v>
      </c>
    </row>
    <row r="2739" spans="1:17" x14ac:dyDescent="0.25">
      <c r="A2739" s="2">
        <v>45471</v>
      </c>
      <c r="B2739" s="2" t="str">
        <f t="shared" si="84"/>
        <v>Friday</v>
      </c>
      <c r="C2739" s="2" t="b">
        <f t="shared" si="85"/>
        <v>0</v>
      </c>
      <c r="D2739">
        <v>4</v>
      </c>
      <c r="E2739" t="s">
        <v>8</v>
      </c>
      <c r="F2739">
        <v>197</v>
      </c>
      <c r="G2739" s="3">
        <v>2957.67</v>
      </c>
      <c r="H2739" s="3">
        <f>Miami_Retail[[#This Row],[sales_usd]] / Miami_Retail[[#This Row],[customers]]</f>
        <v>15.013553299492386</v>
      </c>
      <c r="I2739">
        <v>83.3</v>
      </c>
      <c r="J2739">
        <f>(Miami_Retail[[#This Row],[avg_temp_f]]-32) * (5/9)</f>
        <v>28.5</v>
      </c>
      <c r="K2739">
        <v>0</v>
      </c>
      <c r="L2739">
        <v>0</v>
      </c>
      <c r="M2739">
        <v>57</v>
      </c>
      <c r="N2739">
        <v>49.3</v>
      </c>
      <c r="O2739">
        <v>50.7</v>
      </c>
      <c r="P2739">
        <v>47.7</v>
      </c>
      <c r="Q2739">
        <v>52.3</v>
      </c>
    </row>
    <row r="2740" spans="1:17" x14ac:dyDescent="0.25">
      <c r="A2740" s="2">
        <v>45472</v>
      </c>
      <c r="B2740" s="2" t="str">
        <f t="shared" si="84"/>
        <v>Saturday</v>
      </c>
      <c r="C2740" s="2" t="b">
        <f t="shared" si="85"/>
        <v>1</v>
      </c>
      <c r="D2740">
        <v>4</v>
      </c>
      <c r="E2740" t="s">
        <v>8</v>
      </c>
      <c r="F2740">
        <v>248</v>
      </c>
      <c r="G2740" s="3">
        <v>4167.33</v>
      </c>
      <c r="H2740" s="3">
        <f>Miami_Retail[[#This Row],[sales_usd]] / Miami_Retail[[#This Row],[customers]]</f>
        <v>16.803750000000001</v>
      </c>
      <c r="I2740">
        <v>79.2</v>
      </c>
      <c r="J2740">
        <f>(Miami_Retail[[#This Row],[avg_temp_f]]-32) * (5/9)</f>
        <v>26.222222222222225</v>
      </c>
      <c r="K2740">
        <v>1.75</v>
      </c>
      <c r="L2740">
        <v>1</v>
      </c>
      <c r="M2740">
        <v>58.9</v>
      </c>
      <c r="N2740">
        <v>47.6</v>
      </c>
      <c r="O2740">
        <v>52.4</v>
      </c>
      <c r="P2740">
        <v>52.9</v>
      </c>
      <c r="Q2740">
        <v>47.1</v>
      </c>
    </row>
    <row r="2741" spans="1:17" x14ac:dyDescent="0.25">
      <c r="A2741" s="2">
        <v>45473</v>
      </c>
      <c r="B2741" s="2" t="str">
        <f t="shared" si="84"/>
        <v>Sunday</v>
      </c>
      <c r="C2741" s="2" t="b">
        <f t="shared" si="85"/>
        <v>1</v>
      </c>
      <c r="D2741">
        <v>4</v>
      </c>
      <c r="E2741" t="s">
        <v>8</v>
      </c>
      <c r="F2741">
        <v>259</v>
      </c>
      <c r="G2741" s="3">
        <v>4172.3599999999997</v>
      </c>
      <c r="H2741" s="3">
        <f>Miami_Retail[[#This Row],[sales_usd]] / Miami_Retail[[#This Row],[customers]]</f>
        <v>16.10949806949807</v>
      </c>
      <c r="I2741">
        <v>80.400000000000006</v>
      </c>
      <c r="J2741">
        <f>(Miami_Retail[[#This Row],[avg_temp_f]]-32) * (5/9)</f>
        <v>26.888888888888893</v>
      </c>
      <c r="K2741">
        <v>0</v>
      </c>
      <c r="L2741">
        <v>0</v>
      </c>
      <c r="M2741">
        <v>56.5</v>
      </c>
      <c r="N2741">
        <v>49.1</v>
      </c>
      <c r="O2741">
        <v>50.9</v>
      </c>
      <c r="P2741">
        <v>53</v>
      </c>
      <c r="Q2741">
        <v>47</v>
      </c>
    </row>
    <row r="2742" spans="1:17" x14ac:dyDescent="0.25">
      <c r="A2742" s="2">
        <v>45474</v>
      </c>
      <c r="B2742" s="2" t="str">
        <f t="shared" si="84"/>
        <v>Monday</v>
      </c>
      <c r="C2742" s="2" t="b">
        <f t="shared" si="85"/>
        <v>0</v>
      </c>
      <c r="D2742">
        <v>4</v>
      </c>
      <c r="E2742" t="s">
        <v>8</v>
      </c>
      <c r="F2742">
        <v>201</v>
      </c>
      <c r="G2742" s="3">
        <v>3177.12</v>
      </c>
      <c r="H2742" s="3">
        <f>Miami_Retail[[#This Row],[sales_usd]] / Miami_Retail[[#This Row],[customers]]</f>
        <v>15.806567164179103</v>
      </c>
      <c r="I2742">
        <v>81.900000000000006</v>
      </c>
      <c r="J2742">
        <f>(Miami_Retail[[#This Row],[avg_temp_f]]-32) * (5/9)</f>
        <v>27.722222222222225</v>
      </c>
      <c r="K2742">
        <v>0</v>
      </c>
      <c r="L2742">
        <v>0</v>
      </c>
      <c r="M2742">
        <v>57.6</v>
      </c>
      <c r="N2742">
        <v>50.1</v>
      </c>
      <c r="O2742">
        <v>49.9</v>
      </c>
      <c r="P2742">
        <v>46.8</v>
      </c>
      <c r="Q2742">
        <v>53.2</v>
      </c>
    </row>
    <row r="2743" spans="1:17" x14ac:dyDescent="0.25">
      <c r="A2743" s="2">
        <v>45475</v>
      </c>
      <c r="B2743" s="2" t="str">
        <f t="shared" si="84"/>
        <v>Tuesday</v>
      </c>
      <c r="C2743" s="2" t="b">
        <f t="shared" si="85"/>
        <v>0</v>
      </c>
      <c r="D2743">
        <v>4</v>
      </c>
      <c r="E2743" t="s">
        <v>8</v>
      </c>
      <c r="F2743">
        <v>232</v>
      </c>
      <c r="G2743" s="3">
        <v>3570.94</v>
      </c>
      <c r="H2743" s="3">
        <f>Miami_Retail[[#This Row],[sales_usd]] / Miami_Retail[[#This Row],[customers]]</f>
        <v>15.39198275862069</v>
      </c>
      <c r="I2743">
        <v>83.8</v>
      </c>
      <c r="J2743">
        <f>(Miami_Retail[[#This Row],[avg_temp_f]]-32) * (5/9)</f>
        <v>28.777777777777779</v>
      </c>
      <c r="K2743">
        <v>0</v>
      </c>
      <c r="L2743">
        <v>0</v>
      </c>
      <c r="M2743">
        <v>69.400000000000006</v>
      </c>
      <c r="N2743">
        <v>50</v>
      </c>
      <c r="O2743">
        <v>50</v>
      </c>
      <c r="P2743">
        <v>47.3</v>
      </c>
      <c r="Q2743">
        <v>52.7</v>
      </c>
    </row>
    <row r="2744" spans="1:17" x14ac:dyDescent="0.25">
      <c r="A2744" s="2">
        <v>45476</v>
      </c>
      <c r="B2744" s="2" t="str">
        <f t="shared" si="84"/>
        <v>Wednesday</v>
      </c>
      <c r="C2744" s="2" t="b">
        <f t="shared" si="85"/>
        <v>0</v>
      </c>
      <c r="D2744">
        <v>4</v>
      </c>
      <c r="E2744" t="s">
        <v>8</v>
      </c>
      <c r="F2744">
        <v>258</v>
      </c>
      <c r="G2744" s="3">
        <v>4156.83</v>
      </c>
      <c r="H2744" s="3">
        <f>Miami_Retail[[#This Row],[sales_usd]] / Miami_Retail[[#This Row],[customers]]</f>
        <v>16.111744186046511</v>
      </c>
      <c r="I2744">
        <v>85.3</v>
      </c>
      <c r="J2744">
        <f>(Miami_Retail[[#This Row],[avg_temp_f]]-32) * (5/9)</f>
        <v>29.611111111111111</v>
      </c>
      <c r="K2744">
        <v>0.26</v>
      </c>
      <c r="L2744">
        <v>1</v>
      </c>
      <c r="M2744">
        <v>62.1</v>
      </c>
      <c r="N2744">
        <v>50.3</v>
      </c>
      <c r="O2744">
        <v>49.7</v>
      </c>
      <c r="P2744">
        <v>48.3</v>
      </c>
      <c r="Q2744">
        <v>51.7</v>
      </c>
    </row>
    <row r="2745" spans="1:17" x14ac:dyDescent="0.25">
      <c r="A2745" s="2">
        <v>45477</v>
      </c>
      <c r="B2745" s="2" t="str">
        <f t="shared" si="84"/>
        <v>Thursday</v>
      </c>
      <c r="C2745" s="2" t="b">
        <f t="shared" si="85"/>
        <v>0</v>
      </c>
      <c r="D2745">
        <v>4</v>
      </c>
      <c r="E2745" t="s">
        <v>8</v>
      </c>
      <c r="F2745">
        <v>222</v>
      </c>
      <c r="G2745" s="3">
        <v>3053.27</v>
      </c>
      <c r="H2745" s="3">
        <f>Miami_Retail[[#This Row],[sales_usd]] / Miami_Retail[[#This Row],[customers]]</f>
        <v>13.753468468468469</v>
      </c>
      <c r="I2745">
        <v>78.5</v>
      </c>
      <c r="J2745">
        <f>(Miami_Retail[[#This Row],[avg_temp_f]]-32) * (5/9)</f>
        <v>25.833333333333336</v>
      </c>
      <c r="K2745">
        <v>0</v>
      </c>
      <c r="L2745">
        <v>0</v>
      </c>
      <c r="M2745">
        <v>57.6</v>
      </c>
      <c r="N2745">
        <v>48.6</v>
      </c>
      <c r="O2745">
        <v>51.4</v>
      </c>
      <c r="P2745">
        <v>47.8</v>
      </c>
      <c r="Q2745">
        <v>52.2</v>
      </c>
    </row>
    <row r="2746" spans="1:17" x14ac:dyDescent="0.25">
      <c r="A2746" s="2">
        <v>45478</v>
      </c>
      <c r="B2746" s="2" t="str">
        <f t="shared" si="84"/>
        <v>Friday</v>
      </c>
      <c r="C2746" s="2" t="b">
        <f t="shared" si="85"/>
        <v>0</v>
      </c>
      <c r="D2746">
        <v>4</v>
      </c>
      <c r="E2746" t="s">
        <v>8</v>
      </c>
      <c r="F2746">
        <v>183</v>
      </c>
      <c r="G2746" s="3">
        <v>2800.87</v>
      </c>
      <c r="H2746" s="3">
        <f>Miami_Retail[[#This Row],[sales_usd]] / Miami_Retail[[#This Row],[customers]]</f>
        <v>15.305300546448088</v>
      </c>
      <c r="I2746">
        <v>77</v>
      </c>
      <c r="J2746">
        <f>(Miami_Retail[[#This Row],[avg_temp_f]]-32) * (5/9)</f>
        <v>25</v>
      </c>
      <c r="K2746">
        <v>0</v>
      </c>
      <c r="L2746">
        <v>0</v>
      </c>
      <c r="M2746">
        <v>65</v>
      </c>
      <c r="N2746">
        <v>47.6</v>
      </c>
      <c r="O2746">
        <v>52.4</v>
      </c>
      <c r="P2746">
        <v>47.7</v>
      </c>
      <c r="Q2746">
        <v>52.3</v>
      </c>
    </row>
    <row r="2747" spans="1:17" x14ac:dyDescent="0.25">
      <c r="A2747" s="2">
        <v>45479</v>
      </c>
      <c r="B2747" s="2" t="str">
        <f t="shared" si="84"/>
        <v>Saturday</v>
      </c>
      <c r="C2747" s="2" t="b">
        <f t="shared" si="85"/>
        <v>1</v>
      </c>
      <c r="D2747">
        <v>4</v>
      </c>
      <c r="E2747" t="s">
        <v>8</v>
      </c>
      <c r="F2747">
        <v>247</v>
      </c>
      <c r="G2747" s="3">
        <v>3572.71</v>
      </c>
      <c r="H2747" s="3">
        <f>Miami_Retail[[#This Row],[sales_usd]] / Miami_Retail[[#This Row],[customers]]</f>
        <v>14.464412955465587</v>
      </c>
      <c r="I2747">
        <v>82.1</v>
      </c>
      <c r="J2747">
        <f>(Miami_Retail[[#This Row],[avg_temp_f]]-32) * (5/9)</f>
        <v>27.833333333333332</v>
      </c>
      <c r="K2747">
        <v>0</v>
      </c>
      <c r="L2747">
        <v>0</v>
      </c>
      <c r="M2747">
        <v>57.2</v>
      </c>
      <c r="N2747">
        <v>50.3</v>
      </c>
      <c r="O2747">
        <v>49.7</v>
      </c>
      <c r="P2747">
        <v>53.6</v>
      </c>
      <c r="Q2747">
        <v>46.4</v>
      </c>
    </row>
    <row r="2748" spans="1:17" x14ac:dyDescent="0.25">
      <c r="A2748" s="2">
        <v>45480</v>
      </c>
      <c r="B2748" s="2" t="str">
        <f t="shared" si="84"/>
        <v>Sunday</v>
      </c>
      <c r="C2748" s="2" t="b">
        <f t="shared" si="85"/>
        <v>1</v>
      </c>
      <c r="D2748">
        <v>4</v>
      </c>
      <c r="E2748" t="s">
        <v>8</v>
      </c>
      <c r="F2748">
        <v>237</v>
      </c>
      <c r="G2748" s="3">
        <v>4194.51</v>
      </c>
      <c r="H2748" s="3">
        <f>Miami_Retail[[#This Row],[sales_usd]] / Miami_Retail[[#This Row],[customers]]</f>
        <v>17.698354430379748</v>
      </c>
      <c r="I2748">
        <v>82.3</v>
      </c>
      <c r="J2748">
        <f>(Miami_Retail[[#This Row],[avg_temp_f]]-32) * (5/9)</f>
        <v>27.944444444444443</v>
      </c>
      <c r="K2748">
        <v>0</v>
      </c>
      <c r="L2748">
        <v>0</v>
      </c>
      <c r="M2748">
        <v>61.4</v>
      </c>
      <c r="N2748">
        <v>49.9</v>
      </c>
      <c r="O2748">
        <v>50.1</v>
      </c>
      <c r="P2748">
        <v>52.8</v>
      </c>
      <c r="Q2748">
        <v>47.2</v>
      </c>
    </row>
    <row r="2749" spans="1:17" x14ac:dyDescent="0.25">
      <c r="A2749" s="2">
        <v>45481</v>
      </c>
      <c r="B2749" s="2" t="str">
        <f t="shared" si="84"/>
        <v>Monday</v>
      </c>
      <c r="C2749" s="2" t="b">
        <f t="shared" si="85"/>
        <v>0</v>
      </c>
      <c r="D2749">
        <v>4</v>
      </c>
      <c r="E2749" t="s">
        <v>8</v>
      </c>
      <c r="F2749">
        <v>197</v>
      </c>
      <c r="G2749" s="3">
        <v>2860.84</v>
      </c>
      <c r="H2749" s="3">
        <f>Miami_Retail[[#This Row],[sales_usd]] / Miami_Retail[[#This Row],[customers]]</f>
        <v>14.522030456852793</v>
      </c>
      <c r="I2749">
        <v>86.2</v>
      </c>
      <c r="J2749">
        <f>(Miami_Retail[[#This Row],[avg_temp_f]]-32) * (5/9)</f>
        <v>30.111111111111114</v>
      </c>
      <c r="K2749">
        <v>1.61</v>
      </c>
      <c r="L2749">
        <v>1</v>
      </c>
      <c r="M2749">
        <v>72.3</v>
      </c>
      <c r="N2749">
        <v>50</v>
      </c>
      <c r="O2749">
        <v>50</v>
      </c>
      <c r="P2749">
        <v>46.8</v>
      </c>
      <c r="Q2749">
        <v>53.2</v>
      </c>
    </row>
    <row r="2750" spans="1:17" x14ac:dyDescent="0.25">
      <c r="A2750" s="2">
        <v>45482</v>
      </c>
      <c r="B2750" s="2" t="str">
        <f t="shared" si="84"/>
        <v>Tuesday</v>
      </c>
      <c r="C2750" s="2" t="b">
        <f t="shared" si="85"/>
        <v>0</v>
      </c>
      <c r="D2750">
        <v>4</v>
      </c>
      <c r="E2750" t="s">
        <v>8</v>
      </c>
      <c r="F2750">
        <v>231</v>
      </c>
      <c r="G2750" s="3">
        <v>3416.97</v>
      </c>
      <c r="H2750" s="3">
        <f>Miami_Retail[[#This Row],[sales_usd]] / Miami_Retail[[#This Row],[customers]]</f>
        <v>14.792077922077921</v>
      </c>
      <c r="I2750">
        <v>81.3</v>
      </c>
      <c r="J2750">
        <f>(Miami_Retail[[#This Row],[avg_temp_f]]-32) * (5/9)</f>
        <v>27.388888888888889</v>
      </c>
      <c r="K2750">
        <v>0</v>
      </c>
      <c r="L2750">
        <v>0</v>
      </c>
      <c r="M2750">
        <v>59</v>
      </c>
      <c r="N2750">
        <v>48.5</v>
      </c>
      <c r="O2750">
        <v>51.5</v>
      </c>
      <c r="P2750">
        <v>46.3</v>
      </c>
      <c r="Q2750">
        <v>53.7</v>
      </c>
    </row>
    <row r="2751" spans="1:17" x14ac:dyDescent="0.25">
      <c r="A2751" s="2">
        <v>45483</v>
      </c>
      <c r="B2751" s="2" t="str">
        <f t="shared" si="84"/>
        <v>Wednesday</v>
      </c>
      <c r="C2751" s="2" t="b">
        <f t="shared" si="85"/>
        <v>0</v>
      </c>
      <c r="D2751">
        <v>4</v>
      </c>
      <c r="E2751" t="s">
        <v>8</v>
      </c>
      <c r="F2751">
        <v>202</v>
      </c>
      <c r="G2751" s="3">
        <v>3214.86</v>
      </c>
      <c r="H2751" s="3">
        <f>Miami_Retail[[#This Row],[sales_usd]] / Miami_Retail[[#This Row],[customers]]</f>
        <v>15.915148514851486</v>
      </c>
      <c r="I2751">
        <v>79.099999999999994</v>
      </c>
      <c r="J2751">
        <f>(Miami_Retail[[#This Row],[avg_temp_f]]-32) * (5/9)</f>
        <v>26.166666666666664</v>
      </c>
      <c r="K2751">
        <v>0.73</v>
      </c>
      <c r="L2751">
        <v>1</v>
      </c>
      <c r="M2751">
        <v>59.8</v>
      </c>
      <c r="N2751">
        <v>49.4</v>
      </c>
      <c r="O2751">
        <v>50.6</v>
      </c>
      <c r="P2751">
        <v>46.4</v>
      </c>
      <c r="Q2751">
        <v>53.6</v>
      </c>
    </row>
    <row r="2752" spans="1:17" x14ac:dyDescent="0.25">
      <c r="A2752" s="2">
        <v>45484</v>
      </c>
      <c r="B2752" s="2" t="str">
        <f t="shared" si="84"/>
        <v>Thursday</v>
      </c>
      <c r="C2752" s="2" t="b">
        <f t="shared" si="85"/>
        <v>0</v>
      </c>
      <c r="D2752">
        <v>4</v>
      </c>
      <c r="E2752" t="s">
        <v>8</v>
      </c>
      <c r="F2752">
        <v>208</v>
      </c>
      <c r="G2752" s="3">
        <v>3052.85</v>
      </c>
      <c r="H2752" s="3">
        <f>Miami_Retail[[#This Row],[sales_usd]] / Miami_Retail[[#This Row],[customers]]</f>
        <v>14.677163461538461</v>
      </c>
      <c r="I2752">
        <v>82</v>
      </c>
      <c r="J2752">
        <f>(Miami_Retail[[#This Row],[avg_temp_f]]-32) * (5/9)</f>
        <v>27.777777777777779</v>
      </c>
      <c r="K2752">
        <v>0.63</v>
      </c>
      <c r="L2752">
        <v>1</v>
      </c>
      <c r="M2752">
        <v>65.400000000000006</v>
      </c>
      <c r="N2752">
        <v>49.3</v>
      </c>
      <c r="O2752">
        <v>50.7</v>
      </c>
      <c r="P2752">
        <v>46.5</v>
      </c>
      <c r="Q2752">
        <v>53.5</v>
      </c>
    </row>
    <row r="2753" spans="1:17" x14ac:dyDescent="0.25">
      <c r="A2753" s="2">
        <v>45485</v>
      </c>
      <c r="B2753" s="2" t="str">
        <f t="shared" si="84"/>
        <v>Friday</v>
      </c>
      <c r="C2753" s="2" t="b">
        <f t="shared" si="85"/>
        <v>0</v>
      </c>
      <c r="D2753">
        <v>4</v>
      </c>
      <c r="E2753" t="s">
        <v>8</v>
      </c>
      <c r="F2753">
        <v>196</v>
      </c>
      <c r="G2753" s="3">
        <v>2911.26</v>
      </c>
      <c r="H2753" s="3">
        <f>Miami_Retail[[#This Row],[sales_usd]] / Miami_Retail[[#This Row],[customers]]</f>
        <v>14.853367346938777</v>
      </c>
      <c r="I2753">
        <v>77.099999999999994</v>
      </c>
      <c r="J2753">
        <f>(Miami_Retail[[#This Row],[avg_temp_f]]-32) * (5/9)</f>
        <v>25.055555555555554</v>
      </c>
      <c r="K2753">
        <v>0.73</v>
      </c>
      <c r="L2753">
        <v>1</v>
      </c>
      <c r="M2753">
        <v>68.5</v>
      </c>
      <c r="N2753">
        <v>49.4</v>
      </c>
      <c r="O2753">
        <v>50.6</v>
      </c>
      <c r="P2753">
        <v>47.9</v>
      </c>
      <c r="Q2753">
        <v>52.1</v>
      </c>
    </row>
    <row r="2754" spans="1:17" x14ac:dyDescent="0.25">
      <c r="A2754" s="2">
        <v>45486</v>
      </c>
      <c r="B2754" s="2" t="str">
        <f t="shared" ref="B2754:B2817" si="86">TEXT(A2754, "dddd")</f>
        <v>Saturday</v>
      </c>
      <c r="C2754" s="2" t="b">
        <f t="shared" ref="C2754:C2817" si="87">IF(WEEKDAY(A2754,2)&gt;5,TRUE,FALSE)</f>
        <v>1</v>
      </c>
      <c r="D2754">
        <v>4</v>
      </c>
      <c r="E2754" t="s">
        <v>8</v>
      </c>
      <c r="F2754">
        <v>254</v>
      </c>
      <c r="G2754" s="3">
        <v>3906.51</v>
      </c>
      <c r="H2754" s="3">
        <f>Miami_Retail[[#This Row],[sales_usd]] / Miami_Retail[[#This Row],[customers]]</f>
        <v>15.379960629921261</v>
      </c>
      <c r="I2754">
        <v>80.3</v>
      </c>
      <c r="J2754">
        <f>(Miami_Retail[[#This Row],[avg_temp_f]]-32) * (5/9)</f>
        <v>26.833333333333332</v>
      </c>
      <c r="K2754">
        <v>0</v>
      </c>
      <c r="L2754">
        <v>0</v>
      </c>
      <c r="M2754">
        <v>73.400000000000006</v>
      </c>
      <c r="N2754">
        <v>49.4</v>
      </c>
      <c r="O2754">
        <v>50.6</v>
      </c>
      <c r="P2754">
        <v>52.8</v>
      </c>
      <c r="Q2754">
        <v>47.2</v>
      </c>
    </row>
    <row r="2755" spans="1:17" x14ac:dyDescent="0.25">
      <c r="A2755" s="2">
        <v>45487</v>
      </c>
      <c r="B2755" s="2" t="str">
        <f t="shared" si="86"/>
        <v>Sunday</v>
      </c>
      <c r="C2755" s="2" t="b">
        <f t="shared" si="87"/>
        <v>1</v>
      </c>
      <c r="D2755">
        <v>4</v>
      </c>
      <c r="E2755" t="s">
        <v>8</v>
      </c>
      <c r="F2755">
        <v>229</v>
      </c>
      <c r="G2755" s="3">
        <v>3628.47</v>
      </c>
      <c r="H2755" s="3">
        <f>Miami_Retail[[#This Row],[sales_usd]] / Miami_Retail[[#This Row],[customers]]</f>
        <v>15.844847161572051</v>
      </c>
      <c r="I2755">
        <v>80.900000000000006</v>
      </c>
      <c r="J2755">
        <f>(Miami_Retail[[#This Row],[avg_temp_f]]-32) * (5/9)</f>
        <v>27.166666666666671</v>
      </c>
      <c r="K2755">
        <v>0</v>
      </c>
      <c r="L2755">
        <v>0</v>
      </c>
      <c r="M2755">
        <v>71.3</v>
      </c>
      <c r="N2755">
        <v>46.5</v>
      </c>
      <c r="O2755">
        <v>53.5</v>
      </c>
      <c r="P2755">
        <v>52.7</v>
      </c>
      <c r="Q2755">
        <v>47.3</v>
      </c>
    </row>
    <row r="2756" spans="1:17" x14ac:dyDescent="0.25">
      <c r="A2756" s="2">
        <v>45488</v>
      </c>
      <c r="B2756" s="2" t="str">
        <f t="shared" si="86"/>
        <v>Monday</v>
      </c>
      <c r="C2756" s="2" t="b">
        <f t="shared" si="87"/>
        <v>0</v>
      </c>
      <c r="D2756">
        <v>4</v>
      </c>
      <c r="E2756" t="s">
        <v>8</v>
      </c>
      <c r="F2756">
        <v>223</v>
      </c>
      <c r="G2756" s="3">
        <v>3462.08</v>
      </c>
      <c r="H2756" s="3">
        <f>Miami_Retail[[#This Row],[sales_usd]] / Miami_Retail[[#This Row],[customers]]</f>
        <v>15.525022421524664</v>
      </c>
      <c r="I2756">
        <v>84.4</v>
      </c>
      <c r="J2756">
        <f>(Miami_Retail[[#This Row],[avg_temp_f]]-32) * (5/9)</f>
        <v>29.111111111111114</v>
      </c>
      <c r="K2756">
        <v>0.56999999999999995</v>
      </c>
      <c r="L2756">
        <v>1</v>
      </c>
      <c r="M2756">
        <v>65.2</v>
      </c>
      <c r="N2756">
        <v>48.1</v>
      </c>
      <c r="O2756">
        <v>51.9</v>
      </c>
      <c r="P2756">
        <v>46.8</v>
      </c>
      <c r="Q2756">
        <v>53.2</v>
      </c>
    </row>
    <row r="2757" spans="1:17" x14ac:dyDescent="0.25">
      <c r="A2757" s="2">
        <v>45489</v>
      </c>
      <c r="B2757" s="2" t="str">
        <f t="shared" si="86"/>
        <v>Tuesday</v>
      </c>
      <c r="C2757" s="2" t="b">
        <f t="shared" si="87"/>
        <v>0</v>
      </c>
      <c r="D2757">
        <v>4</v>
      </c>
      <c r="E2757" t="s">
        <v>8</v>
      </c>
      <c r="F2757">
        <v>222</v>
      </c>
      <c r="G2757" s="3">
        <v>3351.84</v>
      </c>
      <c r="H2757" s="3">
        <f>Miami_Retail[[#This Row],[sales_usd]] / Miami_Retail[[#This Row],[customers]]</f>
        <v>15.09837837837838</v>
      </c>
      <c r="I2757">
        <v>89.4</v>
      </c>
      <c r="J2757">
        <f>(Miami_Retail[[#This Row],[avg_temp_f]]-32) * (5/9)</f>
        <v>31.888888888888893</v>
      </c>
      <c r="K2757">
        <v>0</v>
      </c>
      <c r="L2757">
        <v>0</v>
      </c>
      <c r="M2757">
        <v>69.5</v>
      </c>
      <c r="N2757">
        <v>49.1</v>
      </c>
      <c r="O2757">
        <v>50.9</v>
      </c>
      <c r="P2757">
        <v>47.6</v>
      </c>
      <c r="Q2757">
        <v>52.4</v>
      </c>
    </row>
    <row r="2758" spans="1:17" x14ac:dyDescent="0.25">
      <c r="A2758" s="2">
        <v>45490</v>
      </c>
      <c r="B2758" s="2" t="str">
        <f t="shared" si="86"/>
        <v>Wednesday</v>
      </c>
      <c r="C2758" s="2" t="b">
        <f t="shared" si="87"/>
        <v>0</v>
      </c>
      <c r="D2758">
        <v>4</v>
      </c>
      <c r="E2758" t="s">
        <v>8</v>
      </c>
      <c r="F2758">
        <v>195</v>
      </c>
      <c r="G2758" s="3">
        <v>2936.38</v>
      </c>
      <c r="H2758" s="3">
        <f>Miami_Retail[[#This Row],[sales_usd]] / Miami_Retail[[#This Row],[customers]]</f>
        <v>15.058358974358974</v>
      </c>
      <c r="I2758">
        <v>80.7</v>
      </c>
      <c r="J2758">
        <f>(Miami_Retail[[#This Row],[avg_temp_f]]-32) * (5/9)</f>
        <v>27.055555555555557</v>
      </c>
      <c r="K2758">
        <v>0</v>
      </c>
      <c r="L2758">
        <v>0</v>
      </c>
      <c r="M2758">
        <v>63.8</v>
      </c>
      <c r="N2758">
        <v>48</v>
      </c>
      <c r="O2758">
        <v>52</v>
      </c>
      <c r="P2758">
        <v>46.6</v>
      </c>
      <c r="Q2758">
        <v>53.4</v>
      </c>
    </row>
    <row r="2759" spans="1:17" x14ac:dyDescent="0.25">
      <c r="A2759" s="2">
        <v>45491</v>
      </c>
      <c r="B2759" s="2" t="str">
        <f t="shared" si="86"/>
        <v>Thursday</v>
      </c>
      <c r="C2759" s="2" t="b">
        <f t="shared" si="87"/>
        <v>0</v>
      </c>
      <c r="D2759">
        <v>4</v>
      </c>
      <c r="E2759" t="s">
        <v>8</v>
      </c>
      <c r="F2759">
        <v>213</v>
      </c>
      <c r="G2759" s="3">
        <v>3519.13</v>
      </c>
      <c r="H2759" s="3">
        <f>Miami_Retail[[#This Row],[sales_usd]] / Miami_Retail[[#This Row],[customers]]</f>
        <v>16.521737089201878</v>
      </c>
      <c r="I2759">
        <v>80.3</v>
      </c>
      <c r="J2759">
        <f>(Miami_Retail[[#This Row],[avg_temp_f]]-32) * (5/9)</f>
        <v>26.833333333333332</v>
      </c>
      <c r="K2759">
        <v>0.57999999999999996</v>
      </c>
      <c r="L2759">
        <v>1</v>
      </c>
      <c r="M2759">
        <v>77.7</v>
      </c>
      <c r="N2759">
        <v>49.2</v>
      </c>
      <c r="O2759">
        <v>50.8</v>
      </c>
      <c r="P2759">
        <v>48.3</v>
      </c>
      <c r="Q2759">
        <v>51.7</v>
      </c>
    </row>
    <row r="2760" spans="1:17" x14ac:dyDescent="0.25">
      <c r="A2760" s="2">
        <v>45492</v>
      </c>
      <c r="B2760" s="2" t="str">
        <f t="shared" si="86"/>
        <v>Friday</v>
      </c>
      <c r="C2760" s="2" t="b">
        <f t="shared" si="87"/>
        <v>0</v>
      </c>
      <c r="D2760">
        <v>4</v>
      </c>
      <c r="E2760" t="s">
        <v>8</v>
      </c>
      <c r="F2760">
        <v>229</v>
      </c>
      <c r="G2760" s="3">
        <v>3614.43</v>
      </c>
      <c r="H2760" s="3">
        <f>Miami_Retail[[#This Row],[sales_usd]] / Miami_Retail[[#This Row],[customers]]</f>
        <v>15.783537117903929</v>
      </c>
      <c r="I2760">
        <v>81</v>
      </c>
      <c r="J2760">
        <f>(Miami_Retail[[#This Row],[avg_temp_f]]-32) * (5/9)</f>
        <v>27.222222222222225</v>
      </c>
      <c r="K2760">
        <v>0</v>
      </c>
      <c r="L2760">
        <v>0</v>
      </c>
      <c r="M2760">
        <v>68.3</v>
      </c>
      <c r="N2760">
        <v>47.4</v>
      </c>
      <c r="O2760">
        <v>52.6</v>
      </c>
      <c r="P2760">
        <v>45.5</v>
      </c>
      <c r="Q2760">
        <v>54.5</v>
      </c>
    </row>
    <row r="2761" spans="1:17" x14ac:dyDescent="0.25">
      <c r="A2761" s="2">
        <v>45493</v>
      </c>
      <c r="B2761" s="2" t="str">
        <f t="shared" si="86"/>
        <v>Saturday</v>
      </c>
      <c r="C2761" s="2" t="b">
        <f t="shared" si="87"/>
        <v>1</v>
      </c>
      <c r="D2761">
        <v>4</v>
      </c>
      <c r="E2761" t="s">
        <v>8</v>
      </c>
      <c r="F2761">
        <v>249</v>
      </c>
      <c r="G2761" s="3">
        <v>3735.42</v>
      </c>
      <c r="H2761" s="3">
        <f>Miami_Retail[[#This Row],[sales_usd]] / Miami_Retail[[#This Row],[customers]]</f>
        <v>15.001686746987952</v>
      </c>
      <c r="I2761">
        <v>85.9</v>
      </c>
      <c r="J2761">
        <f>(Miami_Retail[[#This Row],[avg_temp_f]]-32) * (5/9)</f>
        <v>29.94444444444445</v>
      </c>
      <c r="K2761">
        <v>0</v>
      </c>
      <c r="L2761">
        <v>0</v>
      </c>
      <c r="M2761">
        <v>77.099999999999994</v>
      </c>
      <c r="N2761">
        <v>48</v>
      </c>
      <c r="O2761">
        <v>52</v>
      </c>
      <c r="P2761">
        <v>51.4</v>
      </c>
      <c r="Q2761">
        <v>48.6</v>
      </c>
    </row>
    <row r="2762" spans="1:17" x14ac:dyDescent="0.25">
      <c r="A2762" s="2">
        <v>45494</v>
      </c>
      <c r="B2762" s="2" t="str">
        <f t="shared" si="86"/>
        <v>Sunday</v>
      </c>
      <c r="C2762" s="2" t="b">
        <f t="shared" si="87"/>
        <v>1</v>
      </c>
      <c r="D2762">
        <v>4</v>
      </c>
      <c r="E2762" t="s">
        <v>8</v>
      </c>
      <c r="F2762">
        <v>205</v>
      </c>
      <c r="G2762" s="3">
        <v>3108.54</v>
      </c>
      <c r="H2762" s="3">
        <f>Miami_Retail[[#This Row],[sales_usd]] / Miami_Retail[[#This Row],[customers]]</f>
        <v>15.163609756097561</v>
      </c>
      <c r="I2762">
        <v>84.5</v>
      </c>
      <c r="J2762">
        <f>(Miami_Retail[[#This Row],[avg_temp_f]]-32) * (5/9)</f>
        <v>29.166666666666668</v>
      </c>
      <c r="K2762">
        <v>0</v>
      </c>
      <c r="L2762">
        <v>0</v>
      </c>
      <c r="M2762">
        <v>70.2</v>
      </c>
      <c r="N2762">
        <v>45.5</v>
      </c>
      <c r="O2762">
        <v>54.5</v>
      </c>
      <c r="P2762">
        <v>51.2</v>
      </c>
      <c r="Q2762">
        <v>48.8</v>
      </c>
    </row>
    <row r="2763" spans="1:17" x14ac:dyDescent="0.25">
      <c r="A2763" s="2">
        <v>45495</v>
      </c>
      <c r="B2763" s="2" t="str">
        <f t="shared" si="86"/>
        <v>Monday</v>
      </c>
      <c r="C2763" s="2" t="b">
        <f t="shared" si="87"/>
        <v>0</v>
      </c>
      <c r="D2763">
        <v>4</v>
      </c>
      <c r="E2763" t="s">
        <v>8</v>
      </c>
      <c r="F2763">
        <v>248</v>
      </c>
      <c r="G2763" s="3">
        <v>3895.44</v>
      </c>
      <c r="H2763" s="3">
        <f>Miami_Retail[[#This Row],[sales_usd]] / Miami_Retail[[#This Row],[customers]]</f>
        <v>15.707419354838709</v>
      </c>
      <c r="I2763">
        <v>92.5</v>
      </c>
      <c r="J2763">
        <f>(Miami_Retail[[#This Row],[avg_temp_f]]-32) * (5/9)</f>
        <v>33.611111111111114</v>
      </c>
      <c r="K2763">
        <v>0</v>
      </c>
      <c r="L2763">
        <v>0</v>
      </c>
      <c r="M2763">
        <v>70.900000000000006</v>
      </c>
      <c r="N2763">
        <v>48.8</v>
      </c>
      <c r="O2763">
        <v>51.2</v>
      </c>
      <c r="P2763">
        <v>47.4</v>
      </c>
      <c r="Q2763">
        <v>52.6</v>
      </c>
    </row>
    <row r="2764" spans="1:17" x14ac:dyDescent="0.25">
      <c r="A2764" s="2">
        <v>45496</v>
      </c>
      <c r="B2764" s="2" t="str">
        <f t="shared" si="86"/>
        <v>Tuesday</v>
      </c>
      <c r="C2764" s="2" t="b">
        <f t="shared" si="87"/>
        <v>0</v>
      </c>
      <c r="D2764">
        <v>4</v>
      </c>
      <c r="E2764" t="s">
        <v>8</v>
      </c>
      <c r="F2764">
        <v>242</v>
      </c>
      <c r="G2764" s="3">
        <v>3514.65</v>
      </c>
      <c r="H2764" s="3">
        <f>Miami_Retail[[#This Row],[sales_usd]] / Miami_Retail[[#This Row],[customers]]</f>
        <v>14.523347107438017</v>
      </c>
      <c r="I2764">
        <v>87.1</v>
      </c>
      <c r="J2764">
        <f>(Miami_Retail[[#This Row],[avg_temp_f]]-32) * (5/9)</f>
        <v>30.611111111111111</v>
      </c>
      <c r="K2764">
        <v>0</v>
      </c>
      <c r="L2764">
        <v>0</v>
      </c>
      <c r="M2764">
        <v>71.900000000000006</v>
      </c>
      <c r="N2764">
        <v>48</v>
      </c>
      <c r="O2764">
        <v>52</v>
      </c>
      <c r="P2764">
        <v>47.2</v>
      </c>
      <c r="Q2764">
        <v>52.8</v>
      </c>
    </row>
    <row r="2765" spans="1:17" x14ac:dyDescent="0.25">
      <c r="A2765" s="2">
        <v>45497</v>
      </c>
      <c r="B2765" s="2" t="str">
        <f t="shared" si="86"/>
        <v>Wednesday</v>
      </c>
      <c r="C2765" s="2" t="b">
        <f t="shared" si="87"/>
        <v>0</v>
      </c>
      <c r="D2765">
        <v>4</v>
      </c>
      <c r="E2765" t="s">
        <v>8</v>
      </c>
      <c r="F2765">
        <v>217</v>
      </c>
      <c r="G2765" s="3">
        <v>3474.93</v>
      </c>
      <c r="H2765" s="3">
        <f>Miami_Retail[[#This Row],[sales_usd]] / Miami_Retail[[#This Row],[customers]]</f>
        <v>16.013502304147465</v>
      </c>
      <c r="I2765">
        <v>81.3</v>
      </c>
      <c r="J2765">
        <f>(Miami_Retail[[#This Row],[avg_temp_f]]-32) * (5/9)</f>
        <v>27.388888888888889</v>
      </c>
      <c r="K2765">
        <v>0.33</v>
      </c>
      <c r="L2765">
        <v>1</v>
      </c>
      <c r="M2765">
        <v>60.8</v>
      </c>
      <c r="N2765">
        <v>46.4</v>
      </c>
      <c r="O2765">
        <v>53.6</v>
      </c>
      <c r="P2765">
        <v>47.6</v>
      </c>
      <c r="Q2765">
        <v>52.4</v>
      </c>
    </row>
    <row r="2766" spans="1:17" x14ac:dyDescent="0.25">
      <c r="A2766" s="2">
        <v>45498</v>
      </c>
      <c r="B2766" s="2" t="str">
        <f t="shared" si="86"/>
        <v>Thursday</v>
      </c>
      <c r="C2766" s="2" t="b">
        <f t="shared" si="87"/>
        <v>0</v>
      </c>
      <c r="D2766">
        <v>4</v>
      </c>
      <c r="E2766" t="s">
        <v>8</v>
      </c>
      <c r="F2766">
        <v>244</v>
      </c>
      <c r="G2766" s="3">
        <v>3599.98</v>
      </c>
      <c r="H2766" s="3">
        <f>Miami_Retail[[#This Row],[sales_usd]] / Miami_Retail[[#This Row],[customers]]</f>
        <v>14.754016393442623</v>
      </c>
      <c r="I2766">
        <v>87.7</v>
      </c>
      <c r="J2766">
        <f>(Miami_Retail[[#This Row],[avg_temp_f]]-32) * (5/9)</f>
        <v>30.944444444444446</v>
      </c>
      <c r="K2766">
        <v>0</v>
      </c>
      <c r="L2766">
        <v>0</v>
      </c>
      <c r="M2766">
        <v>70.099999999999994</v>
      </c>
      <c r="N2766">
        <v>49.5</v>
      </c>
      <c r="O2766">
        <v>50.5</v>
      </c>
      <c r="P2766">
        <v>46.2</v>
      </c>
      <c r="Q2766">
        <v>53.8</v>
      </c>
    </row>
    <row r="2767" spans="1:17" x14ac:dyDescent="0.25">
      <c r="A2767" s="2">
        <v>45499</v>
      </c>
      <c r="B2767" s="2" t="str">
        <f t="shared" si="86"/>
        <v>Friday</v>
      </c>
      <c r="C2767" s="2" t="b">
        <f t="shared" si="87"/>
        <v>0</v>
      </c>
      <c r="D2767">
        <v>4</v>
      </c>
      <c r="E2767" t="s">
        <v>8</v>
      </c>
      <c r="F2767">
        <v>217</v>
      </c>
      <c r="G2767" s="3">
        <v>3467.06</v>
      </c>
      <c r="H2767" s="3">
        <f>Miami_Retail[[#This Row],[sales_usd]] / Miami_Retail[[#This Row],[customers]]</f>
        <v>15.977235023041475</v>
      </c>
      <c r="I2767">
        <v>87</v>
      </c>
      <c r="J2767">
        <f>(Miami_Retail[[#This Row],[avg_temp_f]]-32) * (5/9)</f>
        <v>30.555555555555557</v>
      </c>
      <c r="K2767">
        <v>1.0900000000000001</v>
      </c>
      <c r="L2767">
        <v>1</v>
      </c>
      <c r="M2767">
        <v>64.5</v>
      </c>
      <c r="N2767">
        <v>48.3</v>
      </c>
      <c r="O2767">
        <v>51.7</v>
      </c>
      <c r="P2767">
        <v>46.2</v>
      </c>
      <c r="Q2767">
        <v>53.8</v>
      </c>
    </row>
    <row r="2768" spans="1:17" x14ac:dyDescent="0.25">
      <c r="A2768" s="2">
        <v>45500</v>
      </c>
      <c r="B2768" s="2" t="str">
        <f t="shared" si="86"/>
        <v>Saturday</v>
      </c>
      <c r="C2768" s="2" t="b">
        <f t="shared" si="87"/>
        <v>1</v>
      </c>
      <c r="D2768">
        <v>4</v>
      </c>
      <c r="E2768" t="s">
        <v>8</v>
      </c>
      <c r="F2768">
        <v>195</v>
      </c>
      <c r="G2768" s="3">
        <v>3165.78</v>
      </c>
      <c r="H2768" s="3">
        <f>Miami_Retail[[#This Row],[sales_usd]] / Miami_Retail[[#This Row],[customers]]</f>
        <v>16.234769230769231</v>
      </c>
      <c r="I2768">
        <v>82.5</v>
      </c>
      <c r="J2768">
        <f>(Miami_Retail[[#This Row],[avg_temp_f]]-32) * (5/9)</f>
        <v>28.055555555555557</v>
      </c>
      <c r="K2768">
        <v>0</v>
      </c>
      <c r="L2768">
        <v>0</v>
      </c>
      <c r="M2768">
        <v>69.099999999999994</v>
      </c>
      <c r="N2768">
        <v>48.2</v>
      </c>
      <c r="O2768">
        <v>51.8</v>
      </c>
      <c r="P2768">
        <v>52.4</v>
      </c>
      <c r="Q2768">
        <v>47.6</v>
      </c>
    </row>
    <row r="2769" spans="1:17" x14ac:dyDescent="0.25">
      <c r="A2769" s="2">
        <v>45501</v>
      </c>
      <c r="B2769" s="2" t="str">
        <f t="shared" si="86"/>
        <v>Sunday</v>
      </c>
      <c r="C2769" s="2" t="b">
        <f t="shared" si="87"/>
        <v>1</v>
      </c>
      <c r="D2769">
        <v>4</v>
      </c>
      <c r="E2769" t="s">
        <v>8</v>
      </c>
      <c r="F2769">
        <v>244</v>
      </c>
      <c r="G2769" s="3">
        <v>3730.61</v>
      </c>
      <c r="H2769" s="3">
        <f>Miami_Retail[[#This Row],[sales_usd]] / Miami_Retail[[#This Row],[customers]]</f>
        <v>15.28938524590164</v>
      </c>
      <c r="I2769">
        <v>88.3</v>
      </c>
      <c r="J2769">
        <f>(Miami_Retail[[#This Row],[avg_temp_f]]-32) * (5/9)</f>
        <v>31.277777777777779</v>
      </c>
      <c r="K2769">
        <v>0</v>
      </c>
      <c r="L2769">
        <v>0</v>
      </c>
      <c r="M2769">
        <v>66.5</v>
      </c>
      <c r="N2769">
        <v>47.2</v>
      </c>
      <c r="O2769">
        <v>52.8</v>
      </c>
      <c r="P2769">
        <v>54</v>
      </c>
      <c r="Q2769">
        <v>46</v>
      </c>
    </row>
    <row r="2770" spans="1:17" x14ac:dyDescent="0.25">
      <c r="A2770" s="2">
        <v>45502</v>
      </c>
      <c r="B2770" s="2" t="str">
        <f t="shared" si="86"/>
        <v>Monday</v>
      </c>
      <c r="C2770" s="2" t="b">
        <f t="shared" si="87"/>
        <v>0</v>
      </c>
      <c r="D2770">
        <v>4</v>
      </c>
      <c r="E2770" t="s">
        <v>8</v>
      </c>
      <c r="F2770">
        <v>244</v>
      </c>
      <c r="G2770" s="3">
        <v>3572.41</v>
      </c>
      <c r="H2770" s="3">
        <f>Miami_Retail[[#This Row],[sales_usd]] / Miami_Retail[[#This Row],[customers]]</f>
        <v>14.641024590163934</v>
      </c>
      <c r="I2770">
        <v>85.5</v>
      </c>
      <c r="J2770">
        <f>(Miami_Retail[[#This Row],[avg_temp_f]]-32) * (5/9)</f>
        <v>29.722222222222225</v>
      </c>
      <c r="K2770">
        <v>0</v>
      </c>
      <c r="L2770">
        <v>0</v>
      </c>
      <c r="M2770">
        <v>68.8</v>
      </c>
      <c r="N2770">
        <v>48</v>
      </c>
      <c r="O2770">
        <v>52</v>
      </c>
      <c r="P2770">
        <v>47.7</v>
      </c>
      <c r="Q2770">
        <v>52.3</v>
      </c>
    </row>
    <row r="2771" spans="1:17" x14ac:dyDescent="0.25">
      <c r="A2771" s="2">
        <v>45503</v>
      </c>
      <c r="B2771" s="2" t="str">
        <f t="shared" si="86"/>
        <v>Tuesday</v>
      </c>
      <c r="C2771" s="2" t="b">
        <f t="shared" si="87"/>
        <v>0</v>
      </c>
      <c r="D2771">
        <v>4</v>
      </c>
      <c r="E2771" t="s">
        <v>8</v>
      </c>
      <c r="F2771">
        <v>221</v>
      </c>
      <c r="G2771" s="3">
        <v>4058.86</v>
      </c>
      <c r="H2771" s="3">
        <f>Miami_Retail[[#This Row],[sales_usd]] / Miami_Retail[[#This Row],[customers]]</f>
        <v>18.365882352941178</v>
      </c>
      <c r="I2771">
        <v>88.2</v>
      </c>
      <c r="J2771">
        <f>(Miami_Retail[[#This Row],[avg_temp_f]]-32) * (5/9)</f>
        <v>31.222222222222225</v>
      </c>
      <c r="K2771">
        <v>0.5</v>
      </c>
      <c r="L2771">
        <v>1</v>
      </c>
      <c r="M2771">
        <v>68.2</v>
      </c>
      <c r="N2771">
        <v>48</v>
      </c>
      <c r="O2771">
        <v>52</v>
      </c>
      <c r="P2771">
        <v>45.4</v>
      </c>
      <c r="Q2771">
        <v>54.6</v>
      </c>
    </row>
    <row r="2772" spans="1:17" x14ac:dyDescent="0.25">
      <c r="A2772" s="2">
        <v>45504</v>
      </c>
      <c r="B2772" s="2" t="str">
        <f t="shared" si="86"/>
        <v>Wednesday</v>
      </c>
      <c r="C2772" s="2" t="b">
        <f t="shared" si="87"/>
        <v>0</v>
      </c>
      <c r="D2772">
        <v>4</v>
      </c>
      <c r="E2772" t="s">
        <v>8</v>
      </c>
      <c r="F2772">
        <v>226</v>
      </c>
      <c r="G2772" s="3">
        <v>3272.65</v>
      </c>
      <c r="H2772" s="3">
        <f>Miami_Retail[[#This Row],[sales_usd]] / Miami_Retail[[#This Row],[customers]]</f>
        <v>14.480752212389381</v>
      </c>
      <c r="I2772">
        <v>86.7</v>
      </c>
      <c r="J2772">
        <f>(Miami_Retail[[#This Row],[avg_temp_f]]-32) * (5/9)</f>
        <v>30.388888888888893</v>
      </c>
      <c r="K2772">
        <v>0</v>
      </c>
      <c r="L2772">
        <v>0</v>
      </c>
      <c r="M2772">
        <v>69.3</v>
      </c>
      <c r="N2772">
        <v>48.5</v>
      </c>
      <c r="O2772">
        <v>51.5</v>
      </c>
      <c r="P2772">
        <v>47.1</v>
      </c>
      <c r="Q2772">
        <v>52.9</v>
      </c>
    </row>
    <row r="2773" spans="1:17" x14ac:dyDescent="0.25">
      <c r="A2773" s="2">
        <v>45505</v>
      </c>
      <c r="B2773" s="2" t="str">
        <f t="shared" si="86"/>
        <v>Thursday</v>
      </c>
      <c r="C2773" s="2" t="b">
        <f t="shared" si="87"/>
        <v>0</v>
      </c>
      <c r="D2773">
        <v>4</v>
      </c>
      <c r="E2773" t="s">
        <v>8</v>
      </c>
      <c r="F2773">
        <v>221</v>
      </c>
      <c r="G2773" s="3">
        <v>3684.14</v>
      </c>
      <c r="H2773" s="3">
        <f>Miami_Retail[[#This Row],[sales_usd]] / Miami_Retail[[#This Row],[customers]]</f>
        <v>16.670316742081447</v>
      </c>
      <c r="I2773">
        <v>88.1</v>
      </c>
      <c r="J2773">
        <f>(Miami_Retail[[#This Row],[avg_temp_f]]-32) * (5/9)</f>
        <v>31.166666666666664</v>
      </c>
      <c r="K2773">
        <v>0.99</v>
      </c>
      <c r="L2773">
        <v>1</v>
      </c>
      <c r="M2773">
        <v>65.7</v>
      </c>
      <c r="N2773">
        <v>48.7</v>
      </c>
      <c r="O2773">
        <v>51.3</v>
      </c>
      <c r="P2773">
        <v>46.4</v>
      </c>
      <c r="Q2773">
        <v>53.6</v>
      </c>
    </row>
    <row r="2774" spans="1:17" x14ac:dyDescent="0.25">
      <c r="A2774" s="2">
        <v>45506</v>
      </c>
      <c r="B2774" s="2" t="str">
        <f t="shared" si="86"/>
        <v>Friday</v>
      </c>
      <c r="C2774" s="2" t="b">
        <f t="shared" si="87"/>
        <v>0</v>
      </c>
      <c r="D2774">
        <v>4</v>
      </c>
      <c r="E2774" t="s">
        <v>8</v>
      </c>
      <c r="F2774">
        <v>234</v>
      </c>
      <c r="G2774" s="3">
        <v>3849.57</v>
      </c>
      <c r="H2774" s="3">
        <f>Miami_Retail[[#This Row],[sales_usd]] / Miami_Retail[[#This Row],[customers]]</f>
        <v>16.451153846153847</v>
      </c>
      <c r="I2774">
        <v>87.9</v>
      </c>
      <c r="J2774">
        <f>(Miami_Retail[[#This Row],[avg_temp_f]]-32) * (5/9)</f>
        <v>31.055555555555561</v>
      </c>
      <c r="K2774">
        <v>0</v>
      </c>
      <c r="L2774">
        <v>0</v>
      </c>
      <c r="M2774">
        <v>74.2</v>
      </c>
      <c r="N2774">
        <v>48.6</v>
      </c>
      <c r="O2774">
        <v>51.4</v>
      </c>
      <c r="P2774">
        <v>46.8</v>
      </c>
      <c r="Q2774">
        <v>53.2</v>
      </c>
    </row>
    <row r="2775" spans="1:17" x14ac:dyDescent="0.25">
      <c r="A2775" s="2">
        <v>45507</v>
      </c>
      <c r="B2775" s="2" t="str">
        <f t="shared" si="86"/>
        <v>Saturday</v>
      </c>
      <c r="C2775" s="2" t="b">
        <f t="shared" si="87"/>
        <v>1</v>
      </c>
      <c r="D2775">
        <v>4</v>
      </c>
      <c r="E2775" t="s">
        <v>8</v>
      </c>
      <c r="F2775">
        <v>292</v>
      </c>
      <c r="G2775" s="3">
        <v>4124.17</v>
      </c>
      <c r="H2775" s="3">
        <f>Miami_Retail[[#This Row],[sales_usd]] / Miami_Retail[[#This Row],[customers]]</f>
        <v>14.123869863013699</v>
      </c>
      <c r="I2775">
        <v>86.5</v>
      </c>
      <c r="J2775">
        <f>(Miami_Retail[[#This Row],[avg_temp_f]]-32) * (5/9)</f>
        <v>30.277777777777779</v>
      </c>
      <c r="K2775">
        <v>0</v>
      </c>
      <c r="L2775">
        <v>0</v>
      </c>
      <c r="M2775">
        <v>68.599999999999994</v>
      </c>
      <c r="N2775">
        <v>49.5</v>
      </c>
      <c r="O2775">
        <v>50.5</v>
      </c>
      <c r="P2775">
        <v>52.9</v>
      </c>
      <c r="Q2775">
        <v>47.1</v>
      </c>
    </row>
    <row r="2776" spans="1:17" x14ac:dyDescent="0.25">
      <c r="A2776" s="2">
        <v>45508</v>
      </c>
      <c r="B2776" s="2" t="str">
        <f t="shared" si="86"/>
        <v>Sunday</v>
      </c>
      <c r="C2776" s="2" t="b">
        <f t="shared" si="87"/>
        <v>1</v>
      </c>
      <c r="D2776">
        <v>4</v>
      </c>
      <c r="E2776" t="s">
        <v>8</v>
      </c>
      <c r="F2776">
        <v>269</v>
      </c>
      <c r="G2776" s="3">
        <v>4282.8</v>
      </c>
      <c r="H2776" s="3">
        <f>Miami_Retail[[#This Row],[sales_usd]] / Miami_Retail[[#This Row],[customers]]</f>
        <v>15.921189591078068</v>
      </c>
      <c r="I2776">
        <v>86.9</v>
      </c>
      <c r="J2776">
        <f>(Miami_Retail[[#This Row],[avg_temp_f]]-32) * (5/9)</f>
        <v>30.500000000000004</v>
      </c>
      <c r="K2776">
        <v>0</v>
      </c>
      <c r="L2776">
        <v>0</v>
      </c>
      <c r="M2776">
        <v>76.900000000000006</v>
      </c>
      <c r="N2776">
        <v>48.5</v>
      </c>
      <c r="O2776">
        <v>51.5</v>
      </c>
      <c r="P2776">
        <v>51.5</v>
      </c>
      <c r="Q2776">
        <v>48.5</v>
      </c>
    </row>
    <row r="2777" spans="1:17" x14ac:dyDescent="0.25">
      <c r="A2777" s="2">
        <v>45509</v>
      </c>
      <c r="B2777" s="2" t="str">
        <f t="shared" si="86"/>
        <v>Monday</v>
      </c>
      <c r="C2777" s="2" t="b">
        <f t="shared" si="87"/>
        <v>0</v>
      </c>
      <c r="D2777">
        <v>4</v>
      </c>
      <c r="E2777" t="s">
        <v>8</v>
      </c>
      <c r="F2777">
        <v>268</v>
      </c>
      <c r="G2777" s="3">
        <v>4085.02</v>
      </c>
      <c r="H2777" s="3">
        <f>Miami_Retail[[#This Row],[sales_usd]] / Miami_Retail[[#This Row],[customers]]</f>
        <v>15.242611940298508</v>
      </c>
      <c r="I2777">
        <v>90.7</v>
      </c>
      <c r="J2777">
        <f>(Miami_Retail[[#This Row],[avg_temp_f]]-32) * (5/9)</f>
        <v>32.611111111111114</v>
      </c>
      <c r="K2777">
        <v>0</v>
      </c>
      <c r="L2777">
        <v>0</v>
      </c>
      <c r="M2777">
        <v>71.7</v>
      </c>
      <c r="N2777">
        <v>47.5</v>
      </c>
      <c r="O2777">
        <v>52.5</v>
      </c>
      <c r="P2777">
        <v>47.3</v>
      </c>
      <c r="Q2777">
        <v>52.7</v>
      </c>
    </row>
    <row r="2778" spans="1:17" x14ac:dyDescent="0.25">
      <c r="A2778" s="2">
        <v>45510</v>
      </c>
      <c r="B2778" s="2" t="str">
        <f t="shared" si="86"/>
        <v>Tuesday</v>
      </c>
      <c r="C2778" s="2" t="b">
        <f t="shared" si="87"/>
        <v>0</v>
      </c>
      <c r="D2778">
        <v>4</v>
      </c>
      <c r="E2778" t="s">
        <v>8</v>
      </c>
      <c r="F2778">
        <v>214</v>
      </c>
      <c r="G2778" s="3">
        <v>3368.49</v>
      </c>
      <c r="H2778" s="3">
        <f>Miami_Retail[[#This Row],[sales_usd]] / Miami_Retail[[#This Row],[customers]]</f>
        <v>15.740607476635512</v>
      </c>
      <c r="I2778">
        <v>84.8</v>
      </c>
      <c r="J2778">
        <f>(Miami_Retail[[#This Row],[avg_temp_f]]-32) * (5/9)</f>
        <v>29.333333333333332</v>
      </c>
      <c r="K2778">
        <v>0</v>
      </c>
      <c r="L2778">
        <v>0</v>
      </c>
      <c r="M2778">
        <v>84</v>
      </c>
      <c r="N2778">
        <v>45.2</v>
      </c>
      <c r="O2778">
        <v>54.8</v>
      </c>
      <c r="P2778">
        <v>46.2</v>
      </c>
      <c r="Q2778">
        <v>53.8</v>
      </c>
    </row>
    <row r="2779" spans="1:17" x14ac:dyDescent="0.25">
      <c r="A2779" s="2">
        <v>45511</v>
      </c>
      <c r="B2779" s="2" t="str">
        <f t="shared" si="86"/>
        <v>Wednesday</v>
      </c>
      <c r="C2779" s="2" t="b">
        <f t="shared" si="87"/>
        <v>0</v>
      </c>
      <c r="D2779">
        <v>4</v>
      </c>
      <c r="E2779" t="s">
        <v>8</v>
      </c>
      <c r="F2779">
        <v>208</v>
      </c>
      <c r="G2779" s="3">
        <v>3471.68</v>
      </c>
      <c r="H2779" s="3">
        <f>Miami_Retail[[#This Row],[sales_usd]] / Miami_Retail[[#This Row],[customers]]</f>
        <v>16.690769230769231</v>
      </c>
      <c r="I2779">
        <v>89.5</v>
      </c>
      <c r="J2779">
        <f>(Miami_Retail[[#This Row],[avg_temp_f]]-32) * (5/9)</f>
        <v>31.944444444444446</v>
      </c>
      <c r="K2779">
        <v>1.25</v>
      </c>
      <c r="L2779">
        <v>1</v>
      </c>
      <c r="M2779">
        <v>73.3</v>
      </c>
      <c r="N2779">
        <v>46.7</v>
      </c>
      <c r="O2779">
        <v>53.3</v>
      </c>
      <c r="P2779">
        <v>46.3</v>
      </c>
      <c r="Q2779">
        <v>53.7</v>
      </c>
    </row>
    <row r="2780" spans="1:17" x14ac:dyDescent="0.25">
      <c r="A2780" s="2">
        <v>45512</v>
      </c>
      <c r="B2780" s="2" t="str">
        <f t="shared" si="86"/>
        <v>Thursday</v>
      </c>
      <c r="C2780" s="2" t="b">
        <f t="shared" si="87"/>
        <v>0</v>
      </c>
      <c r="D2780">
        <v>4</v>
      </c>
      <c r="E2780" t="s">
        <v>8</v>
      </c>
      <c r="F2780">
        <v>231</v>
      </c>
      <c r="G2780" s="3">
        <v>3504.26</v>
      </c>
      <c r="H2780" s="3">
        <f>Miami_Retail[[#This Row],[sales_usd]] / Miami_Retail[[#This Row],[customers]]</f>
        <v>15.169956709956711</v>
      </c>
      <c r="I2780">
        <v>91.6</v>
      </c>
      <c r="J2780">
        <f>(Miami_Retail[[#This Row],[avg_temp_f]]-32) * (5/9)</f>
        <v>33.111111111111107</v>
      </c>
      <c r="K2780">
        <v>0</v>
      </c>
      <c r="L2780">
        <v>0</v>
      </c>
      <c r="M2780">
        <v>73.2</v>
      </c>
      <c r="N2780">
        <v>46.9</v>
      </c>
      <c r="O2780">
        <v>53.1</v>
      </c>
      <c r="P2780">
        <v>47.2</v>
      </c>
      <c r="Q2780">
        <v>52.8</v>
      </c>
    </row>
    <row r="2781" spans="1:17" x14ac:dyDescent="0.25">
      <c r="A2781" s="2">
        <v>45513</v>
      </c>
      <c r="B2781" s="2" t="str">
        <f t="shared" si="86"/>
        <v>Friday</v>
      </c>
      <c r="C2781" s="2" t="b">
        <f t="shared" si="87"/>
        <v>0</v>
      </c>
      <c r="D2781">
        <v>4</v>
      </c>
      <c r="E2781" t="s">
        <v>8</v>
      </c>
      <c r="F2781">
        <v>217</v>
      </c>
      <c r="G2781" s="3">
        <v>3015.08</v>
      </c>
      <c r="H2781" s="3">
        <f>Miami_Retail[[#This Row],[sales_usd]] / Miami_Retail[[#This Row],[customers]]</f>
        <v>13.894377880184331</v>
      </c>
      <c r="I2781">
        <v>83.8</v>
      </c>
      <c r="J2781">
        <f>(Miami_Retail[[#This Row],[avg_temp_f]]-32) * (5/9)</f>
        <v>28.777777777777779</v>
      </c>
      <c r="K2781">
        <v>0.97</v>
      </c>
      <c r="L2781">
        <v>1</v>
      </c>
      <c r="M2781">
        <v>69.400000000000006</v>
      </c>
      <c r="N2781">
        <v>46.9</v>
      </c>
      <c r="O2781">
        <v>53.1</v>
      </c>
      <c r="P2781">
        <v>47.3</v>
      </c>
      <c r="Q2781">
        <v>52.7</v>
      </c>
    </row>
    <row r="2782" spans="1:17" x14ac:dyDescent="0.25">
      <c r="A2782" s="2">
        <v>45514</v>
      </c>
      <c r="B2782" s="2" t="str">
        <f t="shared" si="86"/>
        <v>Saturday</v>
      </c>
      <c r="C2782" s="2" t="b">
        <f t="shared" si="87"/>
        <v>1</v>
      </c>
      <c r="D2782">
        <v>4</v>
      </c>
      <c r="E2782" t="s">
        <v>8</v>
      </c>
      <c r="F2782">
        <v>258</v>
      </c>
      <c r="G2782" s="3">
        <v>3902.42</v>
      </c>
      <c r="H2782" s="3">
        <f>Miami_Retail[[#This Row],[sales_usd]] / Miami_Retail[[#This Row],[customers]]</f>
        <v>15.125658914728682</v>
      </c>
      <c r="I2782">
        <v>88.7</v>
      </c>
      <c r="J2782">
        <f>(Miami_Retail[[#This Row],[avg_temp_f]]-32) * (5/9)</f>
        <v>31.500000000000004</v>
      </c>
      <c r="K2782">
        <v>0</v>
      </c>
      <c r="L2782">
        <v>0</v>
      </c>
      <c r="M2782">
        <v>78.7</v>
      </c>
      <c r="N2782">
        <v>46.5</v>
      </c>
      <c r="O2782">
        <v>53.5</v>
      </c>
      <c r="P2782">
        <v>51.9</v>
      </c>
      <c r="Q2782">
        <v>48.1</v>
      </c>
    </row>
    <row r="2783" spans="1:17" x14ac:dyDescent="0.25">
      <c r="A2783" s="2">
        <v>45515</v>
      </c>
      <c r="B2783" s="2" t="str">
        <f t="shared" si="86"/>
        <v>Sunday</v>
      </c>
      <c r="C2783" s="2" t="b">
        <f t="shared" si="87"/>
        <v>1</v>
      </c>
      <c r="D2783">
        <v>4</v>
      </c>
      <c r="E2783" t="s">
        <v>8</v>
      </c>
      <c r="F2783">
        <v>261</v>
      </c>
      <c r="G2783" s="3">
        <v>4313.7700000000004</v>
      </c>
      <c r="H2783" s="3">
        <f>Miami_Retail[[#This Row],[sales_usd]] / Miami_Retail[[#This Row],[customers]]</f>
        <v>16.52785440613027</v>
      </c>
      <c r="I2783">
        <v>93.2</v>
      </c>
      <c r="J2783">
        <f>(Miami_Retail[[#This Row],[avg_temp_f]]-32) * (5/9)</f>
        <v>34</v>
      </c>
      <c r="K2783">
        <v>0</v>
      </c>
      <c r="L2783">
        <v>0</v>
      </c>
      <c r="M2783">
        <v>69.900000000000006</v>
      </c>
      <c r="N2783">
        <v>46.4</v>
      </c>
      <c r="O2783">
        <v>53.6</v>
      </c>
      <c r="P2783">
        <v>51.1</v>
      </c>
      <c r="Q2783">
        <v>48.9</v>
      </c>
    </row>
    <row r="2784" spans="1:17" x14ac:dyDescent="0.25">
      <c r="A2784" s="2">
        <v>45516</v>
      </c>
      <c r="B2784" s="2" t="str">
        <f t="shared" si="86"/>
        <v>Monday</v>
      </c>
      <c r="C2784" s="2" t="b">
        <f t="shared" si="87"/>
        <v>0</v>
      </c>
      <c r="D2784">
        <v>4</v>
      </c>
      <c r="E2784" t="s">
        <v>8</v>
      </c>
      <c r="F2784">
        <v>262</v>
      </c>
      <c r="G2784" s="3">
        <v>4108.53</v>
      </c>
      <c r="H2784" s="3">
        <f>Miami_Retail[[#This Row],[sales_usd]] / Miami_Retail[[#This Row],[customers]]</f>
        <v>15.681412213740456</v>
      </c>
      <c r="I2784">
        <v>84.6</v>
      </c>
      <c r="J2784">
        <f>(Miami_Retail[[#This Row],[avg_temp_f]]-32) * (5/9)</f>
        <v>29.222222222222221</v>
      </c>
      <c r="K2784">
        <v>0</v>
      </c>
      <c r="L2784">
        <v>0</v>
      </c>
      <c r="M2784">
        <v>80.099999999999994</v>
      </c>
      <c r="N2784">
        <v>47.9</v>
      </c>
      <c r="O2784">
        <v>52.1</v>
      </c>
      <c r="P2784">
        <v>46</v>
      </c>
      <c r="Q2784">
        <v>54</v>
      </c>
    </row>
    <row r="2785" spans="1:17" x14ac:dyDescent="0.25">
      <c r="A2785" s="2">
        <v>45517</v>
      </c>
      <c r="B2785" s="2" t="str">
        <f t="shared" si="86"/>
        <v>Tuesday</v>
      </c>
      <c r="C2785" s="2" t="b">
        <f t="shared" si="87"/>
        <v>0</v>
      </c>
      <c r="D2785">
        <v>4</v>
      </c>
      <c r="E2785" t="s">
        <v>8</v>
      </c>
      <c r="F2785">
        <v>197</v>
      </c>
      <c r="G2785" s="3">
        <v>3094.25</v>
      </c>
      <c r="H2785" s="3">
        <f>Miami_Retail[[#This Row],[sales_usd]] / Miami_Retail[[#This Row],[customers]]</f>
        <v>15.706852791878173</v>
      </c>
      <c r="I2785">
        <v>85.9</v>
      </c>
      <c r="J2785">
        <f>(Miami_Retail[[#This Row],[avg_temp_f]]-32) * (5/9)</f>
        <v>29.94444444444445</v>
      </c>
      <c r="K2785">
        <v>0</v>
      </c>
      <c r="L2785">
        <v>0</v>
      </c>
      <c r="M2785">
        <v>65.900000000000006</v>
      </c>
      <c r="N2785">
        <v>45.6</v>
      </c>
      <c r="O2785">
        <v>54.4</v>
      </c>
      <c r="P2785">
        <v>47.1</v>
      </c>
      <c r="Q2785">
        <v>52.9</v>
      </c>
    </row>
    <row r="2786" spans="1:17" x14ac:dyDescent="0.25">
      <c r="A2786" s="2">
        <v>45518</v>
      </c>
      <c r="B2786" s="2" t="str">
        <f t="shared" si="86"/>
        <v>Wednesday</v>
      </c>
      <c r="C2786" s="2" t="b">
        <f t="shared" si="87"/>
        <v>0</v>
      </c>
      <c r="D2786">
        <v>4</v>
      </c>
      <c r="E2786" t="s">
        <v>8</v>
      </c>
      <c r="F2786">
        <v>209</v>
      </c>
      <c r="G2786" s="3">
        <v>3305.4</v>
      </c>
      <c r="H2786" s="3">
        <f>Miami_Retail[[#This Row],[sales_usd]] / Miami_Retail[[#This Row],[customers]]</f>
        <v>15.815311004784689</v>
      </c>
      <c r="I2786">
        <v>85.5</v>
      </c>
      <c r="J2786">
        <f>(Miami_Retail[[#This Row],[avg_temp_f]]-32) * (5/9)</f>
        <v>29.722222222222225</v>
      </c>
      <c r="K2786">
        <v>0</v>
      </c>
      <c r="L2786">
        <v>0</v>
      </c>
      <c r="M2786">
        <v>76</v>
      </c>
      <c r="N2786">
        <v>48.6</v>
      </c>
      <c r="O2786">
        <v>51.4</v>
      </c>
      <c r="P2786">
        <v>47.8</v>
      </c>
      <c r="Q2786">
        <v>52.2</v>
      </c>
    </row>
    <row r="2787" spans="1:17" x14ac:dyDescent="0.25">
      <c r="A2787" s="2">
        <v>45519</v>
      </c>
      <c r="B2787" s="2" t="str">
        <f t="shared" si="86"/>
        <v>Thursday</v>
      </c>
      <c r="C2787" s="2" t="b">
        <f t="shared" si="87"/>
        <v>0</v>
      </c>
      <c r="D2787">
        <v>4</v>
      </c>
      <c r="E2787" t="s">
        <v>8</v>
      </c>
      <c r="F2787">
        <v>241</v>
      </c>
      <c r="G2787" s="3">
        <v>3711</v>
      </c>
      <c r="H2787" s="3">
        <f>Miami_Retail[[#This Row],[sales_usd]] / Miami_Retail[[#This Row],[customers]]</f>
        <v>15.398340248962656</v>
      </c>
      <c r="I2787">
        <v>86.7</v>
      </c>
      <c r="J2787">
        <f>(Miami_Retail[[#This Row],[avg_temp_f]]-32) * (5/9)</f>
        <v>30.388888888888893</v>
      </c>
      <c r="K2787">
        <v>0</v>
      </c>
      <c r="L2787">
        <v>0</v>
      </c>
      <c r="M2787">
        <v>74.2</v>
      </c>
      <c r="N2787">
        <v>48.7</v>
      </c>
      <c r="O2787">
        <v>51.3</v>
      </c>
      <c r="P2787">
        <v>45.1</v>
      </c>
      <c r="Q2787">
        <v>54.9</v>
      </c>
    </row>
    <row r="2788" spans="1:17" x14ac:dyDescent="0.25">
      <c r="A2788" s="2">
        <v>45520</v>
      </c>
      <c r="B2788" s="2" t="str">
        <f t="shared" si="86"/>
        <v>Friday</v>
      </c>
      <c r="C2788" s="2" t="b">
        <f t="shared" si="87"/>
        <v>0</v>
      </c>
      <c r="D2788">
        <v>4</v>
      </c>
      <c r="E2788" t="s">
        <v>8</v>
      </c>
      <c r="F2788">
        <v>243</v>
      </c>
      <c r="G2788" s="3">
        <v>3949.06</v>
      </c>
      <c r="H2788" s="3">
        <f>Miami_Retail[[#This Row],[sales_usd]] / Miami_Retail[[#This Row],[customers]]</f>
        <v>16.25127572016461</v>
      </c>
      <c r="I2788">
        <v>83.4</v>
      </c>
      <c r="J2788">
        <f>(Miami_Retail[[#This Row],[avg_temp_f]]-32) * (5/9)</f>
        <v>28.555555555555561</v>
      </c>
      <c r="K2788">
        <v>0</v>
      </c>
      <c r="L2788">
        <v>0</v>
      </c>
      <c r="M2788">
        <v>74.8</v>
      </c>
      <c r="N2788">
        <v>47.3</v>
      </c>
      <c r="O2788">
        <v>52.7</v>
      </c>
      <c r="P2788">
        <v>45.2</v>
      </c>
      <c r="Q2788">
        <v>54.8</v>
      </c>
    </row>
    <row r="2789" spans="1:17" x14ac:dyDescent="0.25">
      <c r="A2789" s="2">
        <v>45521</v>
      </c>
      <c r="B2789" s="2" t="str">
        <f t="shared" si="86"/>
        <v>Saturday</v>
      </c>
      <c r="C2789" s="2" t="b">
        <f t="shared" si="87"/>
        <v>1</v>
      </c>
      <c r="D2789">
        <v>4</v>
      </c>
      <c r="E2789" t="s">
        <v>8</v>
      </c>
      <c r="F2789">
        <v>221</v>
      </c>
      <c r="G2789" s="3">
        <v>3987.23</v>
      </c>
      <c r="H2789" s="3">
        <f>Miami_Retail[[#This Row],[sales_usd]] / Miami_Retail[[#This Row],[customers]]</f>
        <v>18.041764705882354</v>
      </c>
      <c r="I2789">
        <v>87.5</v>
      </c>
      <c r="J2789">
        <f>(Miami_Retail[[#This Row],[avg_temp_f]]-32) * (5/9)</f>
        <v>30.833333333333336</v>
      </c>
      <c r="K2789">
        <v>1.1599999999999999</v>
      </c>
      <c r="L2789">
        <v>1</v>
      </c>
      <c r="M2789">
        <v>67.599999999999994</v>
      </c>
      <c r="N2789">
        <v>46.6</v>
      </c>
      <c r="O2789">
        <v>53.4</v>
      </c>
      <c r="P2789">
        <v>50.4</v>
      </c>
      <c r="Q2789">
        <v>49.6</v>
      </c>
    </row>
    <row r="2790" spans="1:17" x14ac:dyDescent="0.25">
      <c r="A2790" s="2">
        <v>45522</v>
      </c>
      <c r="B2790" s="2" t="str">
        <f t="shared" si="86"/>
        <v>Sunday</v>
      </c>
      <c r="C2790" s="2" t="b">
        <f t="shared" si="87"/>
        <v>1</v>
      </c>
      <c r="D2790">
        <v>4</v>
      </c>
      <c r="E2790" t="s">
        <v>8</v>
      </c>
      <c r="F2790">
        <v>252</v>
      </c>
      <c r="G2790" s="3">
        <v>3879.64</v>
      </c>
      <c r="H2790" s="3">
        <f>Miami_Retail[[#This Row],[sales_usd]] / Miami_Retail[[#This Row],[customers]]</f>
        <v>15.395396825396825</v>
      </c>
      <c r="I2790">
        <v>85</v>
      </c>
      <c r="J2790">
        <f>(Miami_Retail[[#This Row],[avg_temp_f]]-32) * (5/9)</f>
        <v>29.444444444444446</v>
      </c>
      <c r="K2790">
        <v>0</v>
      </c>
      <c r="L2790">
        <v>0</v>
      </c>
      <c r="M2790">
        <v>72.099999999999994</v>
      </c>
      <c r="N2790">
        <v>45.6</v>
      </c>
      <c r="O2790">
        <v>54.4</v>
      </c>
      <c r="P2790">
        <v>51.3</v>
      </c>
      <c r="Q2790">
        <v>48.7</v>
      </c>
    </row>
    <row r="2791" spans="1:17" x14ac:dyDescent="0.25">
      <c r="A2791" s="2">
        <v>45523</v>
      </c>
      <c r="B2791" s="2" t="str">
        <f t="shared" si="86"/>
        <v>Monday</v>
      </c>
      <c r="C2791" s="2" t="b">
        <f t="shared" si="87"/>
        <v>0</v>
      </c>
      <c r="D2791">
        <v>4</v>
      </c>
      <c r="E2791" t="s">
        <v>8</v>
      </c>
      <c r="F2791">
        <v>217</v>
      </c>
      <c r="G2791" s="3">
        <v>3295.25</v>
      </c>
      <c r="H2791" s="3">
        <f>Miami_Retail[[#This Row],[sales_usd]] / Miami_Retail[[#This Row],[customers]]</f>
        <v>15.185483870967742</v>
      </c>
      <c r="I2791">
        <v>85.5</v>
      </c>
      <c r="J2791">
        <f>(Miami_Retail[[#This Row],[avg_temp_f]]-32) * (5/9)</f>
        <v>29.722222222222225</v>
      </c>
      <c r="K2791">
        <v>1.25</v>
      </c>
      <c r="L2791">
        <v>1</v>
      </c>
      <c r="M2791">
        <v>75.5</v>
      </c>
      <c r="N2791">
        <v>46.1</v>
      </c>
      <c r="O2791">
        <v>53.9</v>
      </c>
      <c r="P2791">
        <v>47.7</v>
      </c>
      <c r="Q2791">
        <v>52.3</v>
      </c>
    </row>
    <row r="2792" spans="1:17" x14ac:dyDescent="0.25">
      <c r="A2792" s="2">
        <v>45524</v>
      </c>
      <c r="B2792" s="2" t="str">
        <f t="shared" si="86"/>
        <v>Tuesday</v>
      </c>
      <c r="C2792" s="2" t="b">
        <f t="shared" si="87"/>
        <v>0</v>
      </c>
      <c r="D2792">
        <v>4</v>
      </c>
      <c r="E2792" t="s">
        <v>8</v>
      </c>
      <c r="F2792">
        <v>245</v>
      </c>
      <c r="G2792" s="3">
        <v>3902.57</v>
      </c>
      <c r="H2792" s="3">
        <f>Miami_Retail[[#This Row],[sales_usd]] / Miami_Retail[[#This Row],[customers]]</f>
        <v>15.928857142857144</v>
      </c>
      <c r="I2792">
        <v>89</v>
      </c>
      <c r="J2792">
        <f>(Miami_Retail[[#This Row],[avg_temp_f]]-32) * (5/9)</f>
        <v>31.666666666666668</v>
      </c>
      <c r="K2792">
        <v>0</v>
      </c>
      <c r="L2792">
        <v>0</v>
      </c>
      <c r="M2792">
        <v>76.5</v>
      </c>
      <c r="N2792">
        <v>46</v>
      </c>
      <c r="O2792">
        <v>54</v>
      </c>
      <c r="P2792">
        <v>45.7</v>
      </c>
      <c r="Q2792">
        <v>54.3</v>
      </c>
    </row>
    <row r="2793" spans="1:17" x14ac:dyDescent="0.25">
      <c r="A2793" s="2">
        <v>45525</v>
      </c>
      <c r="B2793" s="2" t="str">
        <f t="shared" si="86"/>
        <v>Wednesday</v>
      </c>
      <c r="C2793" s="2" t="b">
        <f t="shared" si="87"/>
        <v>0</v>
      </c>
      <c r="D2793">
        <v>4</v>
      </c>
      <c r="E2793" t="s">
        <v>8</v>
      </c>
      <c r="F2793">
        <v>228</v>
      </c>
      <c r="G2793" s="3">
        <v>3673.13</v>
      </c>
      <c r="H2793" s="3">
        <f>Miami_Retail[[#This Row],[sales_usd]] / Miami_Retail[[#This Row],[customers]]</f>
        <v>16.110219298245614</v>
      </c>
      <c r="I2793">
        <v>89.8</v>
      </c>
      <c r="J2793">
        <f>(Miami_Retail[[#This Row],[avg_temp_f]]-32) * (5/9)</f>
        <v>32.111111111111114</v>
      </c>
      <c r="K2793">
        <v>0</v>
      </c>
      <c r="L2793">
        <v>0</v>
      </c>
      <c r="M2793">
        <v>76.099999999999994</v>
      </c>
      <c r="N2793">
        <v>47.6</v>
      </c>
      <c r="O2793">
        <v>52.4</v>
      </c>
      <c r="P2793">
        <v>44.7</v>
      </c>
      <c r="Q2793">
        <v>55.3</v>
      </c>
    </row>
    <row r="2794" spans="1:17" x14ac:dyDescent="0.25">
      <c r="A2794" s="2">
        <v>45526</v>
      </c>
      <c r="B2794" s="2" t="str">
        <f t="shared" si="86"/>
        <v>Thursday</v>
      </c>
      <c r="C2794" s="2" t="b">
        <f t="shared" si="87"/>
        <v>0</v>
      </c>
      <c r="D2794">
        <v>4</v>
      </c>
      <c r="E2794" t="s">
        <v>8</v>
      </c>
      <c r="F2794">
        <v>241</v>
      </c>
      <c r="G2794" s="3">
        <v>3582.58</v>
      </c>
      <c r="H2794" s="3">
        <f>Miami_Retail[[#This Row],[sales_usd]] / Miami_Retail[[#This Row],[customers]]</f>
        <v>14.865477178423236</v>
      </c>
      <c r="I2794">
        <v>88.5</v>
      </c>
      <c r="J2794">
        <f>(Miami_Retail[[#This Row],[avg_temp_f]]-32) * (5/9)</f>
        <v>31.388888888888889</v>
      </c>
      <c r="K2794">
        <v>0</v>
      </c>
      <c r="L2794">
        <v>0</v>
      </c>
      <c r="M2794">
        <v>86.6</v>
      </c>
      <c r="N2794">
        <v>46.2</v>
      </c>
      <c r="O2794">
        <v>53.8</v>
      </c>
      <c r="P2794">
        <v>43.4</v>
      </c>
      <c r="Q2794">
        <v>56.6</v>
      </c>
    </row>
    <row r="2795" spans="1:17" x14ac:dyDescent="0.25">
      <c r="A2795" s="2">
        <v>45527</v>
      </c>
      <c r="B2795" s="2" t="str">
        <f t="shared" si="86"/>
        <v>Friday</v>
      </c>
      <c r="C2795" s="2" t="b">
        <f t="shared" si="87"/>
        <v>0</v>
      </c>
      <c r="D2795">
        <v>4</v>
      </c>
      <c r="E2795" t="s">
        <v>8</v>
      </c>
      <c r="F2795">
        <v>235</v>
      </c>
      <c r="G2795" s="3">
        <v>3808.17</v>
      </c>
      <c r="H2795" s="3">
        <f>Miami_Retail[[#This Row],[sales_usd]] / Miami_Retail[[#This Row],[customers]]</f>
        <v>16.204978723404256</v>
      </c>
      <c r="I2795">
        <v>83.9</v>
      </c>
      <c r="J2795">
        <f>(Miami_Retail[[#This Row],[avg_temp_f]]-32) * (5/9)</f>
        <v>28.833333333333339</v>
      </c>
      <c r="K2795">
        <v>0</v>
      </c>
      <c r="L2795">
        <v>0</v>
      </c>
      <c r="M2795">
        <v>69.900000000000006</v>
      </c>
      <c r="N2795">
        <v>47.6</v>
      </c>
      <c r="O2795">
        <v>52.4</v>
      </c>
      <c r="P2795">
        <v>45.1</v>
      </c>
      <c r="Q2795">
        <v>54.9</v>
      </c>
    </row>
    <row r="2796" spans="1:17" x14ac:dyDescent="0.25">
      <c r="A2796" s="2">
        <v>45528</v>
      </c>
      <c r="B2796" s="2" t="str">
        <f t="shared" si="86"/>
        <v>Saturday</v>
      </c>
      <c r="C2796" s="2" t="b">
        <f t="shared" si="87"/>
        <v>1</v>
      </c>
      <c r="D2796">
        <v>4</v>
      </c>
      <c r="E2796" t="s">
        <v>8</v>
      </c>
      <c r="F2796">
        <v>269</v>
      </c>
      <c r="G2796" s="3">
        <v>4121.41</v>
      </c>
      <c r="H2796" s="3">
        <f>Miami_Retail[[#This Row],[sales_usd]] / Miami_Retail[[#This Row],[customers]]</f>
        <v>15.321226765799256</v>
      </c>
      <c r="I2796">
        <v>83.4</v>
      </c>
      <c r="J2796">
        <f>(Miami_Retail[[#This Row],[avg_temp_f]]-32) * (5/9)</f>
        <v>28.555555555555561</v>
      </c>
      <c r="K2796">
        <v>0</v>
      </c>
      <c r="L2796">
        <v>0</v>
      </c>
      <c r="M2796">
        <v>74</v>
      </c>
      <c r="N2796">
        <v>46.8</v>
      </c>
      <c r="O2796">
        <v>53.2</v>
      </c>
      <c r="P2796">
        <v>51.7</v>
      </c>
      <c r="Q2796">
        <v>48.3</v>
      </c>
    </row>
    <row r="2797" spans="1:17" x14ac:dyDescent="0.25">
      <c r="A2797" s="2">
        <v>45529</v>
      </c>
      <c r="B2797" s="2" t="str">
        <f t="shared" si="86"/>
        <v>Sunday</v>
      </c>
      <c r="C2797" s="2" t="b">
        <f t="shared" si="87"/>
        <v>1</v>
      </c>
      <c r="D2797">
        <v>4</v>
      </c>
      <c r="E2797" t="s">
        <v>8</v>
      </c>
      <c r="F2797">
        <v>263</v>
      </c>
      <c r="G2797" s="3">
        <v>3708.43</v>
      </c>
      <c r="H2797" s="3">
        <f>Miami_Retail[[#This Row],[sales_usd]] / Miami_Retail[[#This Row],[customers]]</f>
        <v>14.100494296577946</v>
      </c>
      <c r="I2797">
        <v>85.6</v>
      </c>
      <c r="J2797">
        <f>(Miami_Retail[[#This Row],[avg_temp_f]]-32) * (5/9)</f>
        <v>29.777777777777775</v>
      </c>
      <c r="K2797">
        <v>1.89</v>
      </c>
      <c r="L2797">
        <v>1</v>
      </c>
      <c r="M2797">
        <v>76</v>
      </c>
      <c r="N2797">
        <v>46.5</v>
      </c>
      <c r="O2797">
        <v>53.5</v>
      </c>
      <c r="P2797">
        <v>50.5</v>
      </c>
      <c r="Q2797">
        <v>49.5</v>
      </c>
    </row>
    <row r="2798" spans="1:17" x14ac:dyDescent="0.25">
      <c r="A2798" s="2">
        <v>45530</v>
      </c>
      <c r="B2798" s="2" t="str">
        <f t="shared" si="86"/>
        <v>Monday</v>
      </c>
      <c r="C2798" s="2" t="b">
        <f t="shared" si="87"/>
        <v>0</v>
      </c>
      <c r="D2798">
        <v>4</v>
      </c>
      <c r="E2798" t="s">
        <v>8</v>
      </c>
      <c r="F2798">
        <v>271</v>
      </c>
      <c r="G2798" s="3">
        <v>3887.52</v>
      </c>
      <c r="H2798" s="3">
        <f>Miami_Retail[[#This Row],[sales_usd]] / Miami_Retail[[#This Row],[customers]]</f>
        <v>14.345092250922509</v>
      </c>
      <c r="I2798">
        <v>92.1</v>
      </c>
      <c r="J2798">
        <f>(Miami_Retail[[#This Row],[avg_temp_f]]-32) * (5/9)</f>
        <v>33.388888888888886</v>
      </c>
      <c r="K2798">
        <v>7.0000000000000007E-2</v>
      </c>
      <c r="L2798">
        <v>1</v>
      </c>
      <c r="M2798">
        <v>73.599999999999994</v>
      </c>
      <c r="N2798">
        <v>47.7</v>
      </c>
      <c r="O2798">
        <v>52.3</v>
      </c>
      <c r="P2798">
        <v>46.7</v>
      </c>
      <c r="Q2798">
        <v>53.3</v>
      </c>
    </row>
    <row r="2799" spans="1:17" x14ac:dyDescent="0.25">
      <c r="A2799" s="2">
        <v>45531</v>
      </c>
      <c r="B2799" s="2" t="str">
        <f t="shared" si="86"/>
        <v>Tuesday</v>
      </c>
      <c r="C2799" s="2" t="b">
        <f t="shared" si="87"/>
        <v>0</v>
      </c>
      <c r="D2799">
        <v>4</v>
      </c>
      <c r="E2799" t="s">
        <v>8</v>
      </c>
      <c r="F2799">
        <v>231</v>
      </c>
      <c r="G2799" s="3">
        <v>3517.04</v>
      </c>
      <c r="H2799" s="3">
        <f>Miami_Retail[[#This Row],[sales_usd]] / Miami_Retail[[#This Row],[customers]]</f>
        <v>15.225281385281384</v>
      </c>
      <c r="I2799">
        <v>85.6</v>
      </c>
      <c r="J2799">
        <f>(Miami_Retail[[#This Row],[avg_temp_f]]-32) * (5/9)</f>
        <v>29.777777777777775</v>
      </c>
      <c r="K2799">
        <v>0.91</v>
      </c>
      <c r="L2799">
        <v>1</v>
      </c>
      <c r="M2799">
        <v>77.400000000000006</v>
      </c>
      <c r="N2799">
        <v>46.9</v>
      </c>
      <c r="O2799">
        <v>53.1</v>
      </c>
      <c r="P2799">
        <v>45.7</v>
      </c>
      <c r="Q2799">
        <v>54.3</v>
      </c>
    </row>
    <row r="2800" spans="1:17" x14ac:dyDescent="0.25">
      <c r="A2800" s="2">
        <v>45532</v>
      </c>
      <c r="B2800" s="2" t="str">
        <f t="shared" si="86"/>
        <v>Wednesday</v>
      </c>
      <c r="C2800" s="2" t="b">
        <f t="shared" si="87"/>
        <v>0</v>
      </c>
      <c r="D2800">
        <v>4</v>
      </c>
      <c r="E2800" t="s">
        <v>8</v>
      </c>
      <c r="F2800">
        <v>221</v>
      </c>
      <c r="G2800" s="3">
        <v>3225.02</v>
      </c>
      <c r="H2800" s="3">
        <f>Miami_Retail[[#This Row],[sales_usd]] / Miami_Retail[[#This Row],[customers]]</f>
        <v>14.592850678733031</v>
      </c>
      <c r="I2800">
        <v>94.6</v>
      </c>
      <c r="J2800">
        <f>(Miami_Retail[[#This Row],[avg_temp_f]]-32) * (5/9)</f>
        <v>34.777777777777779</v>
      </c>
      <c r="K2800">
        <v>0</v>
      </c>
      <c r="L2800">
        <v>0</v>
      </c>
      <c r="M2800">
        <v>81.099999999999994</v>
      </c>
      <c r="N2800">
        <v>48.2</v>
      </c>
      <c r="O2800">
        <v>51.8</v>
      </c>
      <c r="P2800">
        <v>45.2</v>
      </c>
      <c r="Q2800">
        <v>54.8</v>
      </c>
    </row>
    <row r="2801" spans="1:17" x14ac:dyDescent="0.25">
      <c r="A2801" s="2">
        <v>45533</v>
      </c>
      <c r="B2801" s="2" t="str">
        <f t="shared" si="86"/>
        <v>Thursday</v>
      </c>
      <c r="C2801" s="2" t="b">
        <f t="shared" si="87"/>
        <v>0</v>
      </c>
      <c r="D2801">
        <v>4</v>
      </c>
      <c r="E2801" t="s">
        <v>8</v>
      </c>
      <c r="F2801">
        <v>231</v>
      </c>
      <c r="G2801" s="3">
        <v>3827.55</v>
      </c>
      <c r="H2801" s="3">
        <f>Miami_Retail[[#This Row],[sales_usd]] / Miami_Retail[[#This Row],[customers]]</f>
        <v>16.569480519480521</v>
      </c>
      <c r="I2801">
        <v>87.2</v>
      </c>
      <c r="J2801">
        <f>(Miami_Retail[[#This Row],[avg_temp_f]]-32) * (5/9)</f>
        <v>30.666666666666668</v>
      </c>
      <c r="K2801">
        <v>0.19</v>
      </c>
      <c r="L2801">
        <v>1</v>
      </c>
      <c r="M2801">
        <v>81.900000000000006</v>
      </c>
      <c r="N2801">
        <v>46.6</v>
      </c>
      <c r="O2801">
        <v>53.4</v>
      </c>
      <c r="P2801">
        <v>45.6</v>
      </c>
      <c r="Q2801">
        <v>54.4</v>
      </c>
    </row>
    <row r="2802" spans="1:17" x14ac:dyDescent="0.25">
      <c r="A2802" s="2">
        <v>45534</v>
      </c>
      <c r="B2802" s="2" t="str">
        <f t="shared" si="86"/>
        <v>Friday</v>
      </c>
      <c r="C2802" s="2" t="b">
        <f t="shared" si="87"/>
        <v>0</v>
      </c>
      <c r="D2802">
        <v>4</v>
      </c>
      <c r="E2802" t="s">
        <v>8</v>
      </c>
      <c r="F2802">
        <v>259</v>
      </c>
      <c r="G2802" s="3">
        <v>4069.09</v>
      </c>
      <c r="H2802" s="3">
        <f>Miami_Retail[[#This Row],[sales_usd]] / Miami_Retail[[#This Row],[customers]]</f>
        <v>15.710772200772201</v>
      </c>
      <c r="I2802">
        <v>91.1</v>
      </c>
      <c r="J2802">
        <f>(Miami_Retail[[#This Row],[avg_temp_f]]-32) * (5/9)</f>
        <v>32.833333333333329</v>
      </c>
      <c r="K2802">
        <v>0</v>
      </c>
      <c r="L2802">
        <v>0</v>
      </c>
      <c r="M2802">
        <v>77</v>
      </c>
      <c r="N2802">
        <v>45.3</v>
      </c>
      <c r="O2802">
        <v>54.7</v>
      </c>
      <c r="P2802">
        <v>46.2</v>
      </c>
      <c r="Q2802">
        <v>53.8</v>
      </c>
    </row>
    <row r="2803" spans="1:17" x14ac:dyDescent="0.25">
      <c r="A2803" s="2">
        <v>45535</v>
      </c>
      <c r="B2803" s="2" t="str">
        <f t="shared" si="86"/>
        <v>Saturday</v>
      </c>
      <c r="C2803" s="2" t="b">
        <f t="shared" si="87"/>
        <v>1</v>
      </c>
      <c r="D2803">
        <v>4</v>
      </c>
      <c r="E2803" t="s">
        <v>8</v>
      </c>
      <c r="F2803">
        <v>249</v>
      </c>
      <c r="G2803" s="3">
        <v>3849.58</v>
      </c>
      <c r="H2803" s="3">
        <f>Miami_Retail[[#This Row],[sales_usd]] / Miami_Retail[[#This Row],[customers]]</f>
        <v>15.460160642570282</v>
      </c>
      <c r="I2803">
        <v>92.4</v>
      </c>
      <c r="J2803">
        <f>(Miami_Retail[[#This Row],[avg_temp_f]]-32) * (5/9)</f>
        <v>33.555555555555557</v>
      </c>
      <c r="K2803">
        <v>2.13</v>
      </c>
      <c r="L2803">
        <v>1</v>
      </c>
      <c r="M2803">
        <v>68.099999999999994</v>
      </c>
      <c r="N2803">
        <v>45</v>
      </c>
      <c r="O2803">
        <v>55</v>
      </c>
      <c r="P2803">
        <v>51.6</v>
      </c>
      <c r="Q2803">
        <v>48.4</v>
      </c>
    </row>
    <row r="2804" spans="1:17" x14ac:dyDescent="0.25">
      <c r="A2804" s="2">
        <v>45536</v>
      </c>
      <c r="B2804" s="2" t="str">
        <f t="shared" si="86"/>
        <v>Sunday</v>
      </c>
      <c r="C2804" s="2" t="b">
        <f t="shared" si="87"/>
        <v>1</v>
      </c>
      <c r="D2804">
        <v>4</v>
      </c>
      <c r="E2804" t="s">
        <v>8</v>
      </c>
      <c r="F2804">
        <v>270</v>
      </c>
      <c r="G2804" s="3">
        <v>4020.87</v>
      </c>
      <c r="H2804" s="3">
        <f>Miami_Retail[[#This Row],[sales_usd]] / Miami_Retail[[#This Row],[customers]]</f>
        <v>14.892111111111111</v>
      </c>
      <c r="I2804">
        <v>91.2</v>
      </c>
      <c r="J2804">
        <f>(Miami_Retail[[#This Row],[avg_temp_f]]-32) * (5/9)</f>
        <v>32.888888888888893</v>
      </c>
      <c r="K2804">
        <v>0.87</v>
      </c>
      <c r="L2804">
        <v>1</v>
      </c>
      <c r="M2804">
        <v>75.7</v>
      </c>
      <c r="N2804">
        <v>46.5</v>
      </c>
      <c r="O2804">
        <v>53.5</v>
      </c>
      <c r="P2804">
        <v>49.7</v>
      </c>
      <c r="Q2804">
        <v>50.3</v>
      </c>
    </row>
    <row r="2805" spans="1:17" x14ac:dyDescent="0.25">
      <c r="A2805" s="2">
        <v>45537</v>
      </c>
      <c r="B2805" s="2" t="str">
        <f t="shared" si="86"/>
        <v>Monday</v>
      </c>
      <c r="C2805" s="2" t="b">
        <f t="shared" si="87"/>
        <v>0</v>
      </c>
      <c r="D2805">
        <v>4</v>
      </c>
      <c r="E2805" t="s">
        <v>8</v>
      </c>
      <c r="F2805">
        <v>213</v>
      </c>
      <c r="G2805" s="3">
        <v>3152.58</v>
      </c>
      <c r="H2805" s="3">
        <f>Miami_Retail[[#This Row],[sales_usd]] / Miami_Retail[[#This Row],[customers]]</f>
        <v>14.800845070422534</v>
      </c>
      <c r="I2805">
        <v>94.3</v>
      </c>
      <c r="J2805">
        <f>(Miami_Retail[[#This Row],[avg_temp_f]]-32) * (5/9)</f>
        <v>34.611111111111114</v>
      </c>
      <c r="K2805">
        <v>0</v>
      </c>
      <c r="L2805">
        <v>0</v>
      </c>
      <c r="M2805">
        <v>84.8</v>
      </c>
      <c r="N2805">
        <v>45.1</v>
      </c>
      <c r="O2805">
        <v>54.9</v>
      </c>
      <c r="P2805">
        <v>46.2</v>
      </c>
      <c r="Q2805">
        <v>53.8</v>
      </c>
    </row>
    <row r="2806" spans="1:17" x14ac:dyDescent="0.25">
      <c r="A2806" s="2">
        <v>45538</v>
      </c>
      <c r="B2806" s="2" t="str">
        <f t="shared" si="86"/>
        <v>Tuesday</v>
      </c>
      <c r="C2806" s="2" t="b">
        <f t="shared" si="87"/>
        <v>0</v>
      </c>
      <c r="D2806">
        <v>4</v>
      </c>
      <c r="E2806" t="s">
        <v>8</v>
      </c>
      <c r="F2806">
        <v>219</v>
      </c>
      <c r="G2806" s="3">
        <v>3361.69</v>
      </c>
      <c r="H2806" s="3">
        <f>Miami_Retail[[#This Row],[sales_usd]] / Miami_Retail[[#This Row],[customers]]</f>
        <v>15.350182648401827</v>
      </c>
      <c r="I2806">
        <v>90.5</v>
      </c>
      <c r="J2806">
        <f>(Miami_Retail[[#This Row],[avg_temp_f]]-32) * (5/9)</f>
        <v>32.5</v>
      </c>
      <c r="K2806">
        <v>2.5499999999999998</v>
      </c>
      <c r="L2806">
        <v>1</v>
      </c>
      <c r="M2806">
        <v>71.8</v>
      </c>
      <c r="N2806">
        <v>48</v>
      </c>
      <c r="O2806">
        <v>52</v>
      </c>
      <c r="P2806">
        <v>44.7</v>
      </c>
      <c r="Q2806">
        <v>55.3</v>
      </c>
    </row>
    <row r="2807" spans="1:17" x14ac:dyDescent="0.25">
      <c r="A2807" s="2">
        <v>45539</v>
      </c>
      <c r="B2807" s="2" t="str">
        <f t="shared" si="86"/>
        <v>Wednesday</v>
      </c>
      <c r="C2807" s="2" t="b">
        <f t="shared" si="87"/>
        <v>0</v>
      </c>
      <c r="D2807">
        <v>4</v>
      </c>
      <c r="E2807" t="s">
        <v>8</v>
      </c>
      <c r="F2807">
        <v>232</v>
      </c>
      <c r="G2807" s="3">
        <v>3341.3</v>
      </c>
      <c r="H2807" s="3">
        <f>Miami_Retail[[#This Row],[sales_usd]] / Miami_Retail[[#This Row],[customers]]</f>
        <v>14.402155172413794</v>
      </c>
      <c r="I2807">
        <v>82.6</v>
      </c>
      <c r="J2807">
        <f>(Miami_Retail[[#This Row],[avg_temp_f]]-32) * (5/9)</f>
        <v>28.111111111111111</v>
      </c>
      <c r="K2807">
        <v>0</v>
      </c>
      <c r="L2807">
        <v>0</v>
      </c>
      <c r="M2807">
        <v>84.7</v>
      </c>
      <c r="N2807">
        <v>45.8</v>
      </c>
      <c r="O2807">
        <v>54.2</v>
      </c>
      <c r="P2807">
        <v>45.4</v>
      </c>
      <c r="Q2807">
        <v>54.6</v>
      </c>
    </row>
    <row r="2808" spans="1:17" x14ac:dyDescent="0.25">
      <c r="A2808" s="2">
        <v>45540</v>
      </c>
      <c r="B2808" s="2" t="str">
        <f t="shared" si="86"/>
        <v>Thursday</v>
      </c>
      <c r="C2808" s="2" t="b">
        <f t="shared" si="87"/>
        <v>0</v>
      </c>
      <c r="D2808">
        <v>4</v>
      </c>
      <c r="E2808" t="s">
        <v>8</v>
      </c>
      <c r="F2808">
        <v>203</v>
      </c>
      <c r="G2808" s="3">
        <v>3025.16</v>
      </c>
      <c r="H2808" s="3">
        <f>Miami_Retail[[#This Row],[sales_usd]] / Miami_Retail[[#This Row],[customers]]</f>
        <v>14.902266009852216</v>
      </c>
      <c r="I2808">
        <v>87.4</v>
      </c>
      <c r="J2808">
        <f>(Miami_Retail[[#This Row],[avg_temp_f]]-32) * (5/9)</f>
        <v>30.777777777777782</v>
      </c>
      <c r="K2808">
        <v>4.01</v>
      </c>
      <c r="L2808">
        <v>1</v>
      </c>
      <c r="M2808">
        <v>75.400000000000006</v>
      </c>
      <c r="N2808">
        <v>47.8</v>
      </c>
      <c r="O2808">
        <v>52.2</v>
      </c>
      <c r="P2808">
        <v>43.6</v>
      </c>
      <c r="Q2808">
        <v>56.4</v>
      </c>
    </row>
    <row r="2809" spans="1:17" x14ac:dyDescent="0.25">
      <c r="A2809" s="2">
        <v>45541</v>
      </c>
      <c r="B2809" s="2" t="str">
        <f t="shared" si="86"/>
        <v>Friday</v>
      </c>
      <c r="C2809" s="2" t="b">
        <f t="shared" si="87"/>
        <v>0</v>
      </c>
      <c r="D2809">
        <v>4</v>
      </c>
      <c r="E2809" t="s">
        <v>8</v>
      </c>
      <c r="F2809">
        <v>278</v>
      </c>
      <c r="G2809" s="3">
        <v>4478.22</v>
      </c>
      <c r="H2809" s="3">
        <f>Miami_Retail[[#This Row],[sales_usd]] / Miami_Retail[[#This Row],[customers]]</f>
        <v>16.108705035971223</v>
      </c>
      <c r="I2809">
        <v>89.8</v>
      </c>
      <c r="J2809">
        <f>(Miami_Retail[[#This Row],[avg_temp_f]]-32) * (5/9)</f>
        <v>32.111111111111114</v>
      </c>
      <c r="K2809">
        <v>0</v>
      </c>
      <c r="L2809">
        <v>0</v>
      </c>
      <c r="M2809">
        <v>74.8</v>
      </c>
      <c r="N2809">
        <v>47.9</v>
      </c>
      <c r="O2809">
        <v>52.1</v>
      </c>
      <c r="P2809">
        <v>45.2</v>
      </c>
      <c r="Q2809">
        <v>54.8</v>
      </c>
    </row>
    <row r="2810" spans="1:17" x14ac:dyDescent="0.25">
      <c r="A2810" s="2">
        <v>45542</v>
      </c>
      <c r="B2810" s="2" t="str">
        <f t="shared" si="86"/>
        <v>Saturday</v>
      </c>
      <c r="C2810" s="2" t="b">
        <f t="shared" si="87"/>
        <v>1</v>
      </c>
      <c r="D2810">
        <v>4</v>
      </c>
      <c r="E2810" t="s">
        <v>8</v>
      </c>
      <c r="F2810">
        <v>262</v>
      </c>
      <c r="G2810" s="3">
        <v>3882.74</v>
      </c>
      <c r="H2810" s="3">
        <f>Miami_Retail[[#This Row],[sales_usd]] / Miami_Retail[[#This Row],[customers]]</f>
        <v>14.819618320610687</v>
      </c>
      <c r="I2810">
        <v>88.6</v>
      </c>
      <c r="J2810">
        <f>(Miami_Retail[[#This Row],[avg_temp_f]]-32) * (5/9)</f>
        <v>31.444444444444443</v>
      </c>
      <c r="K2810">
        <v>0</v>
      </c>
      <c r="L2810">
        <v>0</v>
      </c>
      <c r="M2810">
        <v>72.2</v>
      </c>
      <c r="N2810">
        <v>44.8</v>
      </c>
      <c r="O2810">
        <v>55.2</v>
      </c>
      <c r="P2810">
        <v>50.8</v>
      </c>
      <c r="Q2810">
        <v>49.2</v>
      </c>
    </row>
    <row r="2811" spans="1:17" x14ac:dyDescent="0.25">
      <c r="A2811" s="2">
        <v>45543</v>
      </c>
      <c r="B2811" s="2" t="str">
        <f t="shared" si="86"/>
        <v>Sunday</v>
      </c>
      <c r="C2811" s="2" t="b">
        <f t="shared" si="87"/>
        <v>1</v>
      </c>
      <c r="D2811">
        <v>4</v>
      </c>
      <c r="E2811" t="s">
        <v>8</v>
      </c>
      <c r="F2811">
        <v>242</v>
      </c>
      <c r="G2811" s="3">
        <v>3738.75</v>
      </c>
      <c r="H2811" s="3">
        <f>Miami_Retail[[#This Row],[sales_usd]] / Miami_Retail[[#This Row],[customers]]</f>
        <v>15.449380165289256</v>
      </c>
      <c r="I2811">
        <v>83.8</v>
      </c>
      <c r="J2811">
        <f>(Miami_Retail[[#This Row],[avg_temp_f]]-32) * (5/9)</f>
        <v>28.777777777777779</v>
      </c>
      <c r="K2811">
        <v>0.45</v>
      </c>
      <c r="L2811">
        <v>1</v>
      </c>
      <c r="M2811">
        <v>81.5</v>
      </c>
      <c r="N2811">
        <v>46.5</v>
      </c>
      <c r="O2811">
        <v>53.5</v>
      </c>
      <c r="P2811">
        <v>50.7</v>
      </c>
      <c r="Q2811">
        <v>49.3</v>
      </c>
    </row>
    <row r="2812" spans="1:17" x14ac:dyDescent="0.25">
      <c r="A2812" s="2">
        <v>45544</v>
      </c>
      <c r="B2812" s="2" t="str">
        <f t="shared" si="86"/>
        <v>Monday</v>
      </c>
      <c r="C2812" s="2" t="b">
        <f t="shared" si="87"/>
        <v>0</v>
      </c>
      <c r="D2812">
        <v>4</v>
      </c>
      <c r="E2812" t="s">
        <v>8</v>
      </c>
      <c r="F2812">
        <v>246</v>
      </c>
      <c r="G2812" s="3">
        <v>3837.94</v>
      </c>
      <c r="H2812" s="3">
        <f>Miami_Retail[[#This Row],[sales_usd]] / Miami_Retail[[#This Row],[customers]]</f>
        <v>15.601382113821138</v>
      </c>
      <c r="I2812">
        <v>87.9</v>
      </c>
      <c r="J2812">
        <f>(Miami_Retail[[#This Row],[avg_temp_f]]-32) * (5/9)</f>
        <v>31.055555555555561</v>
      </c>
      <c r="K2812">
        <v>0</v>
      </c>
      <c r="L2812">
        <v>0</v>
      </c>
      <c r="M2812">
        <v>74.8</v>
      </c>
      <c r="N2812">
        <v>44.8</v>
      </c>
      <c r="O2812">
        <v>55.2</v>
      </c>
      <c r="P2812">
        <v>43.7</v>
      </c>
      <c r="Q2812">
        <v>56.3</v>
      </c>
    </row>
    <row r="2813" spans="1:17" x14ac:dyDescent="0.25">
      <c r="A2813" s="2">
        <v>45545</v>
      </c>
      <c r="B2813" s="2" t="str">
        <f t="shared" si="86"/>
        <v>Tuesday</v>
      </c>
      <c r="C2813" s="2" t="b">
        <f t="shared" si="87"/>
        <v>0</v>
      </c>
      <c r="D2813">
        <v>4</v>
      </c>
      <c r="E2813" t="s">
        <v>8</v>
      </c>
      <c r="F2813">
        <v>234</v>
      </c>
      <c r="G2813" s="3">
        <v>3464.3</v>
      </c>
      <c r="H2813" s="3">
        <f>Miami_Retail[[#This Row],[sales_usd]] / Miami_Retail[[#This Row],[customers]]</f>
        <v>14.804700854700856</v>
      </c>
      <c r="I2813">
        <v>96.3</v>
      </c>
      <c r="J2813">
        <f>(Miami_Retail[[#This Row],[avg_temp_f]]-32) * (5/9)</f>
        <v>35.722222222222221</v>
      </c>
      <c r="K2813">
        <v>0</v>
      </c>
      <c r="L2813">
        <v>0</v>
      </c>
      <c r="M2813">
        <v>71.599999999999994</v>
      </c>
      <c r="N2813">
        <v>44.7</v>
      </c>
      <c r="O2813">
        <v>55.3</v>
      </c>
      <c r="P2813">
        <v>44.2</v>
      </c>
      <c r="Q2813">
        <v>55.8</v>
      </c>
    </row>
    <row r="2814" spans="1:17" x14ac:dyDescent="0.25">
      <c r="A2814" s="2">
        <v>45546</v>
      </c>
      <c r="B2814" s="2" t="str">
        <f t="shared" si="86"/>
        <v>Wednesday</v>
      </c>
      <c r="C2814" s="2" t="b">
        <f t="shared" si="87"/>
        <v>0</v>
      </c>
      <c r="D2814">
        <v>4</v>
      </c>
      <c r="E2814" t="s">
        <v>8</v>
      </c>
      <c r="F2814">
        <v>180</v>
      </c>
      <c r="G2814" s="3">
        <v>2969.03</v>
      </c>
      <c r="H2814" s="3">
        <f>Miami_Retail[[#This Row],[sales_usd]] / Miami_Retail[[#This Row],[customers]]</f>
        <v>16.494611111111112</v>
      </c>
      <c r="I2814">
        <v>87.3</v>
      </c>
      <c r="J2814">
        <f>(Miami_Retail[[#This Row],[avg_temp_f]]-32) * (5/9)</f>
        <v>30.722222222222221</v>
      </c>
      <c r="K2814">
        <v>0</v>
      </c>
      <c r="L2814">
        <v>0</v>
      </c>
      <c r="M2814">
        <v>72.599999999999994</v>
      </c>
      <c r="N2814">
        <v>46.1</v>
      </c>
      <c r="O2814">
        <v>53.9</v>
      </c>
      <c r="P2814">
        <v>45.6</v>
      </c>
      <c r="Q2814">
        <v>54.4</v>
      </c>
    </row>
    <row r="2815" spans="1:17" x14ac:dyDescent="0.25">
      <c r="A2815" s="2">
        <v>45547</v>
      </c>
      <c r="B2815" s="2" t="str">
        <f t="shared" si="86"/>
        <v>Thursday</v>
      </c>
      <c r="C2815" s="2" t="b">
        <f t="shared" si="87"/>
        <v>0</v>
      </c>
      <c r="D2815">
        <v>4</v>
      </c>
      <c r="E2815" t="s">
        <v>8</v>
      </c>
      <c r="F2815">
        <v>250</v>
      </c>
      <c r="G2815" s="3">
        <v>3718.41</v>
      </c>
      <c r="H2815" s="3">
        <f>Miami_Retail[[#This Row],[sales_usd]] / Miami_Retail[[#This Row],[customers]]</f>
        <v>14.87364</v>
      </c>
      <c r="I2815">
        <v>91.7</v>
      </c>
      <c r="J2815">
        <f>(Miami_Retail[[#This Row],[avg_temp_f]]-32) * (5/9)</f>
        <v>33.166666666666671</v>
      </c>
      <c r="K2815">
        <v>0.94</v>
      </c>
      <c r="L2815">
        <v>1</v>
      </c>
      <c r="M2815">
        <v>68</v>
      </c>
      <c r="N2815">
        <v>46.5</v>
      </c>
      <c r="O2815">
        <v>53.5</v>
      </c>
      <c r="P2815">
        <v>45.6</v>
      </c>
      <c r="Q2815">
        <v>54.4</v>
      </c>
    </row>
    <row r="2816" spans="1:17" x14ac:dyDescent="0.25">
      <c r="A2816" s="2">
        <v>45548</v>
      </c>
      <c r="B2816" s="2" t="str">
        <f t="shared" si="86"/>
        <v>Friday</v>
      </c>
      <c r="C2816" s="2" t="b">
        <f t="shared" si="87"/>
        <v>0</v>
      </c>
      <c r="D2816">
        <v>4</v>
      </c>
      <c r="E2816" t="s">
        <v>8</v>
      </c>
      <c r="F2816">
        <v>217</v>
      </c>
      <c r="G2816" s="3">
        <v>3534.9</v>
      </c>
      <c r="H2816" s="3">
        <f>Miami_Retail[[#This Row],[sales_usd]] / Miami_Retail[[#This Row],[customers]]</f>
        <v>16.289861751152074</v>
      </c>
      <c r="I2816">
        <v>90.9</v>
      </c>
      <c r="J2816">
        <f>(Miami_Retail[[#This Row],[avg_temp_f]]-32) * (5/9)</f>
        <v>32.722222222222229</v>
      </c>
      <c r="K2816">
        <v>0</v>
      </c>
      <c r="L2816">
        <v>0</v>
      </c>
      <c r="M2816">
        <v>71.3</v>
      </c>
      <c r="N2816">
        <v>46.6</v>
      </c>
      <c r="O2816">
        <v>53.4</v>
      </c>
      <c r="P2816">
        <v>45.3</v>
      </c>
      <c r="Q2816">
        <v>54.7</v>
      </c>
    </row>
    <row r="2817" spans="1:17" x14ac:dyDescent="0.25">
      <c r="A2817" s="2">
        <v>45549</v>
      </c>
      <c r="B2817" s="2" t="str">
        <f t="shared" si="86"/>
        <v>Saturday</v>
      </c>
      <c r="C2817" s="2" t="b">
        <f t="shared" si="87"/>
        <v>1</v>
      </c>
      <c r="D2817">
        <v>4</v>
      </c>
      <c r="E2817" t="s">
        <v>8</v>
      </c>
      <c r="F2817">
        <v>276</v>
      </c>
      <c r="G2817" s="3">
        <v>4239.9399999999996</v>
      </c>
      <c r="H2817" s="3">
        <f>Miami_Retail[[#This Row],[sales_usd]] / Miami_Retail[[#This Row],[customers]]</f>
        <v>15.362101449275361</v>
      </c>
      <c r="I2817">
        <v>90.2</v>
      </c>
      <c r="J2817">
        <f>(Miami_Retail[[#This Row],[avg_temp_f]]-32) * (5/9)</f>
        <v>32.333333333333336</v>
      </c>
      <c r="K2817">
        <v>0</v>
      </c>
      <c r="L2817">
        <v>0</v>
      </c>
      <c r="M2817">
        <v>67.5</v>
      </c>
      <c r="N2817">
        <v>45.3</v>
      </c>
      <c r="O2817">
        <v>54.7</v>
      </c>
      <c r="P2817">
        <v>50.8</v>
      </c>
      <c r="Q2817">
        <v>49.2</v>
      </c>
    </row>
    <row r="2818" spans="1:17" x14ac:dyDescent="0.25">
      <c r="A2818" s="2">
        <v>45550</v>
      </c>
      <c r="B2818" s="2" t="str">
        <f t="shared" ref="B2818:B2881" si="88">TEXT(A2818, "dddd")</f>
        <v>Sunday</v>
      </c>
      <c r="C2818" s="2" t="b">
        <f t="shared" ref="C2818:C2881" si="89">IF(WEEKDAY(A2818,2)&gt;5,TRUE,FALSE)</f>
        <v>1</v>
      </c>
      <c r="D2818">
        <v>4</v>
      </c>
      <c r="E2818" t="s">
        <v>8</v>
      </c>
      <c r="F2818">
        <v>278</v>
      </c>
      <c r="G2818" s="3">
        <v>4326.9799999999996</v>
      </c>
      <c r="H2818" s="3">
        <f>Miami_Retail[[#This Row],[sales_usd]] / Miami_Retail[[#This Row],[customers]]</f>
        <v>15.564676258992804</v>
      </c>
      <c r="I2818">
        <v>88.9</v>
      </c>
      <c r="J2818">
        <f>(Miami_Retail[[#This Row],[avg_temp_f]]-32) * (5/9)</f>
        <v>31.611111111111114</v>
      </c>
      <c r="K2818">
        <v>0</v>
      </c>
      <c r="L2818">
        <v>0</v>
      </c>
      <c r="M2818">
        <v>75.5</v>
      </c>
      <c r="N2818">
        <v>48</v>
      </c>
      <c r="O2818">
        <v>52</v>
      </c>
      <c r="P2818">
        <v>51.6</v>
      </c>
      <c r="Q2818">
        <v>48.4</v>
      </c>
    </row>
    <row r="2819" spans="1:17" x14ac:dyDescent="0.25">
      <c r="A2819" s="2">
        <v>45551</v>
      </c>
      <c r="B2819" s="2" t="str">
        <f t="shared" si="88"/>
        <v>Monday</v>
      </c>
      <c r="C2819" s="2" t="b">
        <f t="shared" si="89"/>
        <v>0</v>
      </c>
      <c r="D2819">
        <v>4</v>
      </c>
      <c r="E2819" t="s">
        <v>8</v>
      </c>
      <c r="F2819">
        <v>231</v>
      </c>
      <c r="G2819" s="3">
        <v>3426.64</v>
      </c>
      <c r="H2819" s="3">
        <f>Miami_Retail[[#This Row],[sales_usd]] / Miami_Retail[[#This Row],[customers]]</f>
        <v>14.833939393939394</v>
      </c>
      <c r="I2819">
        <v>86.3</v>
      </c>
      <c r="J2819">
        <f>(Miami_Retail[[#This Row],[avg_temp_f]]-32) * (5/9)</f>
        <v>30.166666666666668</v>
      </c>
      <c r="K2819">
        <v>0</v>
      </c>
      <c r="L2819">
        <v>0</v>
      </c>
      <c r="M2819">
        <v>78.8</v>
      </c>
      <c r="N2819">
        <v>48.7</v>
      </c>
      <c r="O2819">
        <v>51.3</v>
      </c>
      <c r="P2819">
        <v>45.6</v>
      </c>
      <c r="Q2819">
        <v>54.4</v>
      </c>
    </row>
    <row r="2820" spans="1:17" x14ac:dyDescent="0.25">
      <c r="A2820" s="2">
        <v>45552</v>
      </c>
      <c r="B2820" s="2" t="str">
        <f t="shared" si="88"/>
        <v>Tuesday</v>
      </c>
      <c r="C2820" s="2" t="b">
        <f t="shared" si="89"/>
        <v>0</v>
      </c>
      <c r="D2820">
        <v>4</v>
      </c>
      <c r="E2820" t="s">
        <v>8</v>
      </c>
      <c r="F2820">
        <v>232</v>
      </c>
      <c r="G2820" s="3">
        <v>3279.61</v>
      </c>
      <c r="H2820" s="3">
        <f>Miami_Retail[[#This Row],[sales_usd]] / Miami_Retail[[#This Row],[customers]]</f>
        <v>14.13625</v>
      </c>
      <c r="I2820">
        <v>89.1</v>
      </c>
      <c r="J2820">
        <f>(Miami_Retail[[#This Row],[avg_temp_f]]-32) * (5/9)</f>
        <v>31.722222222222221</v>
      </c>
      <c r="K2820">
        <v>0.83</v>
      </c>
      <c r="L2820">
        <v>1</v>
      </c>
      <c r="M2820">
        <v>82.8</v>
      </c>
      <c r="N2820">
        <v>46.4</v>
      </c>
      <c r="O2820">
        <v>53.6</v>
      </c>
      <c r="P2820">
        <v>45.1</v>
      </c>
      <c r="Q2820">
        <v>54.9</v>
      </c>
    </row>
    <row r="2821" spans="1:17" x14ac:dyDescent="0.25">
      <c r="A2821" s="2">
        <v>45553</v>
      </c>
      <c r="B2821" s="2" t="str">
        <f t="shared" si="88"/>
        <v>Wednesday</v>
      </c>
      <c r="C2821" s="2" t="b">
        <f t="shared" si="89"/>
        <v>0</v>
      </c>
      <c r="D2821">
        <v>4</v>
      </c>
      <c r="E2821" t="s">
        <v>8</v>
      </c>
      <c r="F2821">
        <v>214</v>
      </c>
      <c r="G2821" s="3">
        <v>3238.37</v>
      </c>
      <c r="H2821" s="3">
        <f>Miami_Retail[[#This Row],[sales_usd]] / Miami_Retail[[#This Row],[customers]]</f>
        <v>15.132570093457943</v>
      </c>
      <c r="I2821">
        <v>89.8</v>
      </c>
      <c r="J2821">
        <f>(Miami_Retail[[#This Row],[avg_temp_f]]-32) * (5/9)</f>
        <v>32.111111111111114</v>
      </c>
      <c r="K2821">
        <v>0.83</v>
      </c>
      <c r="L2821">
        <v>1</v>
      </c>
      <c r="M2821">
        <v>78.400000000000006</v>
      </c>
      <c r="N2821">
        <v>46.2</v>
      </c>
      <c r="O2821">
        <v>53.8</v>
      </c>
      <c r="P2821">
        <v>44</v>
      </c>
      <c r="Q2821">
        <v>56</v>
      </c>
    </row>
    <row r="2822" spans="1:17" x14ac:dyDescent="0.25">
      <c r="A2822" s="2">
        <v>45554</v>
      </c>
      <c r="B2822" s="2" t="str">
        <f t="shared" si="88"/>
        <v>Thursday</v>
      </c>
      <c r="C2822" s="2" t="b">
        <f t="shared" si="89"/>
        <v>0</v>
      </c>
      <c r="D2822">
        <v>4</v>
      </c>
      <c r="E2822" t="s">
        <v>8</v>
      </c>
      <c r="F2822">
        <v>232</v>
      </c>
      <c r="G2822" s="3">
        <v>3759.66</v>
      </c>
      <c r="H2822" s="3">
        <f>Miami_Retail[[#This Row],[sales_usd]] / Miami_Retail[[#This Row],[customers]]</f>
        <v>16.205431034482757</v>
      </c>
      <c r="I2822">
        <v>90.5</v>
      </c>
      <c r="J2822">
        <f>(Miami_Retail[[#This Row],[avg_temp_f]]-32) * (5/9)</f>
        <v>32.5</v>
      </c>
      <c r="K2822">
        <v>0.68</v>
      </c>
      <c r="L2822">
        <v>1</v>
      </c>
      <c r="M2822">
        <v>75.400000000000006</v>
      </c>
      <c r="N2822">
        <v>44.6</v>
      </c>
      <c r="O2822">
        <v>55.4</v>
      </c>
      <c r="P2822">
        <v>43</v>
      </c>
      <c r="Q2822">
        <v>57</v>
      </c>
    </row>
    <row r="2823" spans="1:17" x14ac:dyDescent="0.25">
      <c r="A2823" s="2">
        <v>45555</v>
      </c>
      <c r="B2823" s="2" t="str">
        <f t="shared" si="88"/>
        <v>Friday</v>
      </c>
      <c r="C2823" s="2" t="b">
        <f t="shared" si="89"/>
        <v>0</v>
      </c>
      <c r="D2823">
        <v>4</v>
      </c>
      <c r="E2823" t="s">
        <v>8</v>
      </c>
      <c r="F2823">
        <v>193</v>
      </c>
      <c r="G2823" s="3">
        <v>3075.93</v>
      </c>
      <c r="H2823" s="3">
        <f>Miami_Retail[[#This Row],[sales_usd]] / Miami_Retail[[#This Row],[customers]]</f>
        <v>15.937461139896373</v>
      </c>
      <c r="I2823">
        <v>87.4</v>
      </c>
      <c r="J2823">
        <f>(Miami_Retail[[#This Row],[avg_temp_f]]-32) * (5/9)</f>
        <v>30.777777777777782</v>
      </c>
      <c r="K2823">
        <v>7.0000000000000007E-2</v>
      </c>
      <c r="L2823">
        <v>1</v>
      </c>
      <c r="M2823">
        <v>76.900000000000006</v>
      </c>
      <c r="N2823">
        <v>46.2</v>
      </c>
      <c r="O2823">
        <v>53.8</v>
      </c>
      <c r="P2823">
        <v>44.2</v>
      </c>
      <c r="Q2823">
        <v>55.8</v>
      </c>
    </row>
    <row r="2824" spans="1:17" x14ac:dyDescent="0.25">
      <c r="A2824" s="2">
        <v>45556</v>
      </c>
      <c r="B2824" s="2" t="str">
        <f t="shared" si="88"/>
        <v>Saturday</v>
      </c>
      <c r="C2824" s="2" t="b">
        <f t="shared" si="89"/>
        <v>1</v>
      </c>
      <c r="D2824">
        <v>4</v>
      </c>
      <c r="E2824" t="s">
        <v>8</v>
      </c>
      <c r="F2824">
        <v>220</v>
      </c>
      <c r="G2824" s="3">
        <v>3268.12</v>
      </c>
      <c r="H2824" s="3">
        <f>Miami_Retail[[#This Row],[sales_usd]] / Miami_Retail[[#This Row],[customers]]</f>
        <v>14.855090909090908</v>
      </c>
      <c r="I2824">
        <v>89.5</v>
      </c>
      <c r="J2824">
        <f>(Miami_Retail[[#This Row],[avg_temp_f]]-32) * (5/9)</f>
        <v>31.944444444444446</v>
      </c>
      <c r="K2824">
        <v>0</v>
      </c>
      <c r="L2824">
        <v>0</v>
      </c>
      <c r="M2824">
        <v>71.8</v>
      </c>
      <c r="N2824">
        <v>46.3</v>
      </c>
      <c r="O2824">
        <v>53.7</v>
      </c>
      <c r="P2824">
        <v>49.8</v>
      </c>
      <c r="Q2824">
        <v>50.2</v>
      </c>
    </row>
    <row r="2825" spans="1:17" x14ac:dyDescent="0.25">
      <c r="A2825" s="2">
        <v>45557</v>
      </c>
      <c r="B2825" s="2" t="str">
        <f t="shared" si="88"/>
        <v>Sunday</v>
      </c>
      <c r="C2825" s="2" t="b">
        <f t="shared" si="89"/>
        <v>1</v>
      </c>
      <c r="D2825">
        <v>4</v>
      </c>
      <c r="E2825" t="s">
        <v>8</v>
      </c>
      <c r="F2825">
        <v>247</v>
      </c>
      <c r="G2825" s="3">
        <v>3952.16</v>
      </c>
      <c r="H2825" s="3">
        <f>Miami_Retail[[#This Row],[sales_usd]] / Miami_Retail[[#This Row],[customers]]</f>
        <v>16.000647773279351</v>
      </c>
      <c r="I2825">
        <v>89.4</v>
      </c>
      <c r="J2825">
        <f>(Miami_Retail[[#This Row],[avg_temp_f]]-32) * (5/9)</f>
        <v>31.888888888888893</v>
      </c>
      <c r="K2825">
        <v>0</v>
      </c>
      <c r="L2825">
        <v>0</v>
      </c>
      <c r="M2825">
        <v>77.5</v>
      </c>
      <c r="N2825">
        <v>44.9</v>
      </c>
      <c r="O2825">
        <v>55.1</v>
      </c>
      <c r="P2825">
        <v>50</v>
      </c>
      <c r="Q2825">
        <v>50</v>
      </c>
    </row>
    <row r="2826" spans="1:17" x14ac:dyDescent="0.25">
      <c r="A2826" s="2">
        <v>45558</v>
      </c>
      <c r="B2826" s="2" t="str">
        <f t="shared" si="88"/>
        <v>Monday</v>
      </c>
      <c r="C2826" s="2" t="b">
        <f t="shared" si="89"/>
        <v>0</v>
      </c>
      <c r="D2826">
        <v>4</v>
      </c>
      <c r="E2826" t="s">
        <v>8</v>
      </c>
      <c r="F2826">
        <v>193</v>
      </c>
      <c r="G2826" s="3">
        <v>2907.8</v>
      </c>
      <c r="H2826" s="3">
        <f>Miami_Retail[[#This Row],[sales_usd]] / Miami_Retail[[#This Row],[customers]]</f>
        <v>15.066321243523317</v>
      </c>
      <c r="I2826">
        <v>91.2</v>
      </c>
      <c r="J2826">
        <f>(Miami_Retail[[#This Row],[avg_temp_f]]-32) * (5/9)</f>
        <v>32.888888888888893</v>
      </c>
      <c r="K2826">
        <v>0</v>
      </c>
      <c r="L2826">
        <v>0</v>
      </c>
      <c r="M2826">
        <v>78.400000000000006</v>
      </c>
      <c r="N2826">
        <v>45.6</v>
      </c>
      <c r="O2826">
        <v>54.4</v>
      </c>
      <c r="P2826">
        <v>46</v>
      </c>
      <c r="Q2826">
        <v>54</v>
      </c>
    </row>
    <row r="2827" spans="1:17" x14ac:dyDescent="0.25">
      <c r="A2827" s="2">
        <v>45559</v>
      </c>
      <c r="B2827" s="2" t="str">
        <f t="shared" si="88"/>
        <v>Tuesday</v>
      </c>
      <c r="C2827" s="2" t="b">
        <f t="shared" si="89"/>
        <v>0</v>
      </c>
      <c r="D2827">
        <v>4</v>
      </c>
      <c r="E2827" t="s">
        <v>8</v>
      </c>
      <c r="F2827">
        <v>223</v>
      </c>
      <c r="G2827" s="3">
        <v>3808.73</v>
      </c>
      <c r="H2827" s="3">
        <f>Miami_Retail[[#This Row],[sales_usd]] / Miami_Retail[[#This Row],[customers]]</f>
        <v>17.079506726457399</v>
      </c>
      <c r="I2827">
        <v>90.2</v>
      </c>
      <c r="J2827">
        <f>(Miami_Retail[[#This Row],[avg_temp_f]]-32) * (5/9)</f>
        <v>32.333333333333336</v>
      </c>
      <c r="K2827">
        <v>0</v>
      </c>
      <c r="L2827">
        <v>0</v>
      </c>
      <c r="M2827">
        <v>69.7</v>
      </c>
      <c r="N2827">
        <v>45.5</v>
      </c>
      <c r="O2827">
        <v>54.5</v>
      </c>
      <c r="P2827">
        <v>44</v>
      </c>
      <c r="Q2827">
        <v>56</v>
      </c>
    </row>
    <row r="2828" spans="1:17" x14ac:dyDescent="0.25">
      <c r="A2828" s="2">
        <v>45560</v>
      </c>
      <c r="B2828" s="2" t="str">
        <f t="shared" si="88"/>
        <v>Wednesday</v>
      </c>
      <c r="C2828" s="2" t="b">
        <f t="shared" si="89"/>
        <v>0</v>
      </c>
      <c r="D2828">
        <v>4</v>
      </c>
      <c r="E2828" t="s">
        <v>8</v>
      </c>
      <c r="F2828">
        <v>222</v>
      </c>
      <c r="G2828" s="3">
        <v>3200.93</v>
      </c>
      <c r="H2828" s="3">
        <f>Miami_Retail[[#This Row],[sales_usd]] / Miami_Retail[[#This Row],[customers]]</f>
        <v>14.418603603603604</v>
      </c>
      <c r="I2828">
        <v>87.6</v>
      </c>
      <c r="J2828">
        <f>(Miami_Retail[[#This Row],[avg_temp_f]]-32) * (5/9)</f>
        <v>30.888888888888886</v>
      </c>
      <c r="K2828">
        <v>0</v>
      </c>
      <c r="L2828">
        <v>0</v>
      </c>
      <c r="M2828">
        <v>82.3</v>
      </c>
      <c r="N2828">
        <v>47</v>
      </c>
      <c r="O2828">
        <v>53</v>
      </c>
      <c r="P2828">
        <v>44.5</v>
      </c>
      <c r="Q2828">
        <v>55.5</v>
      </c>
    </row>
    <row r="2829" spans="1:17" x14ac:dyDescent="0.25">
      <c r="A2829" s="2">
        <v>45561</v>
      </c>
      <c r="B2829" s="2" t="str">
        <f t="shared" si="88"/>
        <v>Thursday</v>
      </c>
      <c r="C2829" s="2" t="b">
        <f t="shared" si="89"/>
        <v>0</v>
      </c>
      <c r="D2829">
        <v>4</v>
      </c>
      <c r="E2829" t="s">
        <v>8</v>
      </c>
      <c r="F2829">
        <v>228</v>
      </c>
      <c r="G2829" s="3">
        <v>3246.07</v>
      </c>
      <c r="H2829" s="3">
        <f>Miami_Retail[[#This Row],[sales_usd]] / Miami_Retail[[#This Row],[customers]]</f>
        <v>14.237149122807018</v>
      </c>
      <c r="I2829">
        <v>89.3</v>
      </c>
      <c r="J2829">
        <f>(Miami_Retail[[#This Row],[avg_temp_f]]-32) * (5/9)</f>
        <v>31.833333333333332</v>
      </c>
      <c r="K2829">
        <v>0.8</v>
      </c>
      <c r="L2829">
        <v>1</v>
      </c>
      <c r="M2829">
        <v>79.099999999999994</v>
      </c>
      <c r="N2829">
        <v>45.9</v>
      </c>
      <c r="O2829">
        <v>54.1</v>
      </c>
      <c r="P2829">
        <v>44.9</v>
      </c>
      <c r="Q2829">
        <v>55.1</v>
      </c>
    </row>
    <row r="2830" spans="1:17" x14ac:dyDescent="0.25">
      <c r="A2830" s="2">
        <v>45562</v>
      </c>
      <c r="B2830" s="2" t="str">
        <f t="shared" si="88"/>
        <v>Friday</v>
      </c>
      <c r="C2830" s="2" t="b">
        <f t="shared" si="89"/>
        <v>0</v>
      </c>
      <c r="D2830">
        <v>4</v>
      </c>
      <c r="E2830" t="s">
        <v>8</v>
      </c>
      <c r="F2830">
        <v>215</v>
      </c>
      <c r="G2830" s="3">
        <v>3326.94</v>
      </c>
      <c r="H2830" s="3">
        <f>Miami_Retail[[#This Row],[sales_usd]] / Miami_Retail[[#This Row],[customers]]</f>
        <v>15.474139534883721</v>
      </c>
      <c r="I2830">
        <v>89.2</v>
      </c>
      <c r="J2830">
        <f>(Miami_Retail[[#This Row],[avg_temp_f]]-32) * (5/9)</f>
        <v>31.777777777777782</v>
      </c>
      <c r="K2830">
        <v>0.23</v>
      </c>
      <c r="L2830">
        <v>1</v>
      </c>
      <c r="M2830">
        <v>69.5</v>
      </c>
      <c r="N2830">
        <v>46.7</v>
      </c>
      <c r="O2830">
        <v>53.3</v>
      </c>
      <c r="P2830">
        <v>45.3</v>
      </c>
      <c r="Q2830">
        <v>54.7</v>
      </c>
    </row>
    <row r="2831" spans="1:17" x14ac:dyDescent="0.25">
      <c r="A2831" s="2">
        <v>45563</v>
      </c>
      <c r="B2831" s="2" t="str">
        <f t="shared" si="88"/>
        <v>Saturday</v>
      </c>
      <c r="C2831" s="2" t="b">
        <f t="shared" si="89"/>
        <v>1</v>
      </c>
      <c r="D2831">
        <v>4</v>
      </c>
      <c r="E2831" t="s">
        <v>8</v>
      </c>
      <c r="F2831">
        <v>282</v>
      </c>
      <c r="G2831" s="3">
        <v>4265.09</v>
      </c>
      <c r="H2831" s="3">
        <f>Miami_Retail[[#This Row],[sales_usd]] / Miami_Retail[[#This Row],[customers]]</f>
        <v>15.124432624113476</v>
      </c>
      <c r="I2831">
        <v>89.2</v>
      </c>
      <c r="J2831">
        <f>(Miami_Retail[[#This Row],[avg_temp_f]]-32) * (5/9)</f>
        <v>31.777777777777782</v>
      </c>
      <c r="K2831">
        <v>0</v>
      </c>
      <c r="L2831">
        <v>0</v>
      </c>
      <c r="M2831">
        <v>69.8</v>
      </c>
      <c r="N2831">
        <v>47</v>
      </c>
      <c r="O2831">
        <v>53</v>
      </c>
      <c r="P2831">
        <v>51.2</v>
      </c>
      <c r="Q2831">
        <v>48.8</v>
      </c>
    </row>
    <row r="2832" spans="1:17" x14ac:dyDescent="0.25">
      <c r="A2832" s="2">
        <v>45564</v>
      </c>
      <c r="B2832" s="2" t="str">
        <f t="shared" si="88"/>
        <v>Sunday</v>
      </c>
      <c r="C2832" s="2" t="b">
        <f t="shared" si="89"/>
        <v>1</v>
      </c>
      <c r="D2832">
        <v>4</v>
      </c>
      <c r="E2832" t="s">
        <v>8</v>
      </c>
      <c r="F2832">
        <v>249</v>
      </c>
      <c r="G2832" s="3">
        <v>3796.5</v>
      </c>
      <c r="H2832" s="3">
        <f>Miami_Retail[[#This Row],[sales_usd]] / Miami_Retail[[#This Row],[customers]]</f>
        <v>15.246987951807229</v>
      </c>
      <c r="I2832">
        <v>89.4</v>
      </c>
      <c r="J2832">
        <f>(Miami_Retail[[#This Row],[avg_temp_f]]-32) * (5/9)</f>
        <v>31.888888888888893</v>
      </c>
      <c r="K2832">
        <v>0</v>
      </c>
      <c r="L2832">
        <v>0</v>
      </c>
      <c r="M2832">
        <v>75</v>
      </c>
      <c r="N2832">
        <v>45.2</v>
      </c>
      <c r="O2832">
        <v>54.8</v>
      </c>
      <c r="P2832">
        <v>51.2</v>
      </c>
      <c r="Q2832">
        <v>48.8</v>
      </c>
    </row>
    <row r="2833" spans="1:17" x14ac:dyDescent="0.25">
      <c r="A2833" s="2">
        <v>45565</v>
      </c>
      <c r="B2833" s="2" t="str">
        <f t="shared" si="88"/>
        <v>Monday</v>
      </c>
      <c r="C2833" s="2" t="b">
        <f t="shared" si="89"/>
        <v>0</v>
      </c>
      <c r="D2833">
        <v>4</v>
      </c>
      <c r="E2833" t="s">
        <v>8</v>
      </c>
      <c r="F2833">
        <v>246</v>
      </c>
      <c r="G2833" s="3">
        <v>3745.83</v>
      </c>
      <c r="H2833" s="3">
        <f>Miami_Retail[[#This Row],[sales_usd]] / Miami_Retail[[#This Row],[customers]]</f>
        <v>15.226951219512195</v>
      </c>
      <c r="I2833">
        <v>91.3</v>
      </c>
      <c r="J2833">
        <f>(Miami_Retail[[#This Row],[avg_temp_f]]-32) * (5/9)</f>
        <v>32.944444444444443</v>
      </c>
      <c r="K2833">
        <v>0</v>
      </c>
      <c r="L2833">
        <v>0</v>
      </c>
      <c r="M2833">
        <v>59.2</v>
      </c>
      <c r="N2833">
        <v>46.5</v>
      </c>
      <c r="O2833">
        <v>53.5</v>
      </c>
      <c r="P2833">
        <v>45.1</v>
      </c>
      <c r="Q2833">
        <v>54.9</v>
      </c>
    </row>
    <row r="2834" spans="1:17" x14ac:dyDescent="0.25">
      <c r="A2834" s="2">
        <v>45566</v>
      </c>
      <c r="B2834" s="2" t="str">
        <f t="shared" si="88"/>
        <v>Tuesday</v>
      </c>
      <c r="C2834" s="2" t="b">
        <f t="shared" si="89"/>
        <v>0</v>
      </c>
      <c r="D2834">
        <v>4</v>
      </c>
      <c r="E2834" t="s">
        <v>8</v>
      </c>
      <c r="F2834">
        <v>248</v>
      </c>
      <c r="G2834" s="3">
        <v>3992.59</v>
      </c>
      <c r="H2834" s="3">
        <f>Miami_Retail[[#This Row],[sales_usd]] / Miami_Retail[[#This Row],[customers]]</f>
        <v>16.099153225806454</v>
      </c>
      <c r="I2834">
        <v>86.8</v>
      </c>
      <c r="J2834">
        <f>(Miami_Retail[[#This Row],[avg_temp_f]]-32) * (5/9)</f>
        <v>30.444444444444443</v>
      </c>
      <c r="K2834">
        <v>0</v>
      </c>
      <c r="L2834">
        <v>0</v>
      </c>
      <c r="M2834">
        <v>71</v>
      </c>
      <c r="N2834">
        <v>47.3</v>
      </c>
      <c r="O2834">
        <v>52.7</v>
      </c>
      <c r="P2834">
        <v>43.9</v>
      </c>
      <c r="Q2834">
        <v>56.1</v>
      </c>
    </row>
    <row r="2835" spans="1:17" x14ac:dyDescent="0.25">
      <c r="A2835" s="2">
        <v>45567</v>
      </c>
      <c r="B2835" s="2" t="str">
        <f t="shared" si="88"/>
        <v>Wednesday</v>
      </c>
      <c r="C2835" s="2" t="b">
        <f t="shared" si="89"/>
        <v>0</v>
      </c>
      <c r="D2835">
        <v>4</v>
      </c>
      <c r="E2835" t="s">
        <v>8</v>
      </c>
      <c r="F2835">
        <v>202</v>
      </c>
      <c r="G2835" s="3">
        <v>3327.75</v>
      </c>
      <c r="H2835" s="3">
        <f>Miami_Retail[[#This Row],[sales_usd]] / Miami_Retail[[#This Row],[customers]]</f>
        <v>16.474009900990097</v>
      </c>
      <c r="I2835">
        <v>88.1</v>
      </c>
      <c r="J2835">
        <f>(Miami_Retail[[#This Row],[avg_temp_f]]-32) * (5/9)</f>
        <v>31.166666666666664</v>
      </c>
      <c r="K2835">
        <v>0</v>
      </c>
      <c r="L2835">
        <v>0</v>
      </c>
      <c r="M2835">
        <v>73.8</v>
      </c>
      <c r="N2835">
        <v>44.7</v>
      </c>
      <c r="O2835">
        <v>55.3</v>
      </c>
      <c r="P2835">
        <v>45.3</v>
      </c>
      <c r="Q2835">
        <v>54.7</v>
      </c>
    </row>
    <row r="2836" spans="1:17" x14ac:dyDescent="0.25">
      <c r="A2836" s="2">
        <v>45568</v>
      </c>
      <c r="B2836" s="2" t="str">
        <f t="shared" si="88"/>
        <v>Thursday</v>
      </c>
      <c r="C2836" s="2" t="b">
        <f t="shared" si="89"/>
        <v>0</v>
      </c>
      <c r="D2836">
        <v>4</v>
      </c>
      <c r="E2836" t="s">
        <v>8</v>
      </c>
      <c r="F2836">
        <v>262</v>
      </c>
      <c r="G2836" s="3">
        <v>4045.15</v>
      </c>
      <c r="H2836" s="3">
        <f>Miami_Retail[[#This Row],[sales_usd]] / Miami_Retail[[#This Row],[customers]]</f>
        <v>15.439503816793893</v>
      </c>
      <c r="I2836">
        <v>94.9</v>
      </c>
      <c r="J2836">
        <f>(Miami_Retail[[#This Row],[avg_temp_f]]-32) * (5/9)</f>
        <v>34.94444444444445</v>
      </c>
      <c r="K2836">
        <v>0</v>
      </c>
      <c r="L2836">
        <v>0</v>
      </c>
      <c r="M2836">
        <v>64.900000000000006</v>
      </c>
      <c r="N2836">
        <v>44.6</v>
      </c>
      <c r="O2836">
        <v>55.4</v>
      </c>
      <c r="P2836">
        <v>42.6</v>
      </c>
      <c r="Q2836">
        <v>57.4</v>
      </c>
    </row>
    <row r="2837" spans="1:17" x14ac:dyDescent="0.25">
      <c r="A2837" s="2">
        <v>45569</v>
      </c>
      <c r="B2837" s="2" t="str">
        <f t="shared" si="88"/>
        <v>Friday</v>
      </c>
      <c r="C2837" s="2" t="b">
        <f t="shared" si="89"/>
        <v>0</v>
      </c>
      <c r="D2837">
        <v>4</v>
      </c>
      <c r="E2837" t="s">
        <v>8</v>
      </c>
      <c r="F2837">
        <v>212</v>
      </c>
      <c r="G2837" s="3">
        <v>3199.39</v>
      </c>
      <c r="H2837" s="3">
        <f>Miami_Retail[[#This Row],[sales_usd]] / Miami_Retail[[#This Row],[customers]]</f>
        <v>15.091462264150943</v>
      </c>
      <c r="I2837">
        <v>90</v>
      </c>
      <c r="J2837">
        <f>(Miami_Retail[[#This Row],[avg_temp_f]]-32) * (5/9)</f>
        <v>32.222222222222221</v>
      </c>
      <c r="K2837">
        <v>0</v>
      </c>
      <c r="L2837">
        <v>0</v>
      </c>
      <c r="M2837">
        <v>67.2</v>
      </c>
      <c r="N2837">
        <v>48</v>
      </c>
      <c r="O2837">
        <v>52</v>
      </c>
      <c r="P2837">
        <v>44.5</v>
      </c>
      <c r="Q2837">
        <v>55.5</v>
      </c>
    </row>
    <row r="2838" spans="1:17" x14ac:dyDescent="0.25">
      <c r="A2838" s="2">
        <v>45570</v>
      </c>
      <c r="B2838" s="2" t="str">
        <f t="shared" si="88"/>
        <v>Saturday</v>
      </c>
      <c r="C2838" s="2" t="b">
        <f t="shared" si="89"/>
        <v>1</v>
      </c>
      <c r="D2838">
        <v>4</v>
      </c>
      <c r="E2838" t="s">
        <v>8</v>
      </c>
      <c r="F2838">
        <v>269</v>
      </c>
      <c r="G2838" s="3">
        <v>4017.98</v>
      </c>
      <c r="H2838" s="3">
        <f>Miami_Retail[[#This Row],[sales_usd]] / Miami_Retail[[#This Row],[customers]]</f>
        <v>14.936728624535316</v>
      </c>
      <c r="I2838">
        <v>94.9</v>
      </c>
      <c r="J2838">
        <f>(Miami_Retail[[#This Row],[avg_temp_f]]-32) * (5/9)</f>
        <v>34.94444444444445</v>
      </c>
      <c r="K2838">
        <v>0</v>
      </c>
      <c r="L2838">
        <v>0</v>
      </c>
      <c r="M2838">
        <v>77.7</v>
      </c>
      <c r="N2838">
        <v>46.6</v>
      </c>
      <c r="O2838">
        <v>53.4</v>
      </c>
      <c r="P2838">
        <v>49.6</v>
      </c>
      <c r="Q2838">
        <v>50.4</v>
      </c>
    </row>
    <row r="2839" spans="1:17" x14ac:dyDescent="0.25">
      <c r="A2839" s="2">
        <v>45571</v>
      </c>
      <c r="B2839" s="2" t="str">
        <f t="shared" si="88"/>
        <v>Sunday</v>
      </c>
      <c r="C2839" s="2" t="b">
        <f t="shared" si="89"/>
        <v>1</v>
      </c>
      <c r="D2839">
        <v>4</v>
      </c>
      <c r="E2839" t="s">
        <v>8</v>
      </c>
      <c r="F2839">
        <v>267</v>
      </c>
      <c r="G2839" s="3">
        <v>3996.86</v>
      </c>
      <c r="H2839" s="3">
        <f>Miami_Retail[[#This Row],[sales_usd]] / Miami_Retail[[#This Row],[customers]]</f>
        <v>14.969513108614233</v>
      </c>
      <c r="I2839">
        <v>88</v>
      </c>
      <c r="J2839">
        <f>(Miami_Retail[[#This Row],[avg_temp_f]]-32) * (5/9)</f>
        <v>31.111111111111114</v>
      </c>
      <c r="K2839">
        <v>0</v>
      </c>
      <c r="L2839">
        <v>0</v>
      </c>
      <c r="M2839">
        <v>63.1</v>
      </c>
      <c r="N2839">
        <v>45.4</v>
      </c>
      <c r="O2839">
        <v>54.6</v>
      </c>
      <c r="P2839">
        <v>48.1</v>
      </c>
      <c r="Q2839">
        <v>51.9</v>
      </c>
    </row>
    <row r="2840" spans="1:17" x14ac:dyDescent="0.25">
      <c r="A2840" s="2">
        <v>45572</v>
      </c>
      <c r="B2840" s="2" t="str">
        <f t="shared" si="88"/>
        <v>Monday</v>
      </c>
      <c r="C2840" s="2" t="b">
        <f t="shared" si="89"/>
        <v>0</v>
      </c>
      <c r="D2840">
        <v>4</v>
      </c>
      <c r="E2840" t="s">
        <v>8</v>
      </c>
      <c r="F2840">
        <v>214</v>
      </c>
      <c r="G2840" s="3">
        <v>3546.35</v>
      </c>
      <c r="H2840" s="3">
        <f>Miami_Retail[[#This Row],[sales_usd]] / Miami_Retail[[#This Row],[customers]]</f>
        <v>16.571728971962617</v>
      </c>
      <c r="I2840">
        <v>89</v>
      </c>
      <c r="J2840">
        <f>(Miami_Retail[[#This Row],[avg_temp_f]]-32) * (5/9)</f>
        <v>31.666666666666668</v>
      </c>
      <c r="K2840">
        <v>0</v>
      </c>
      <c r="L2840">
        <v>0</v>
      </c>
      <c r="M2840">
        <v>72.2</v>
      </c>
      <c r="N2840">
        <v>47.2</v>
      </c>
      <c r="O2840">
        <v>52.8</v>
      </c>
      <c r="P2840">
        <v>44</v>
      </c>
      <c r="Q2840">
        <v>56</v>
      </c>
    </row>
    <row r="2841" spans="1:17" x14ac:dyDescent="0.25">
      <c r="A2841" s="2">
        <v>45573</v>
      </c>
      <c r="B2841" s="2" t="str">
        <f t="shared" si="88"/>
        <v>Tuesday</v>
      </c>
      <c r="C2841" s="2" t="b">
        <f t="shared" si="89"/>
        <v>0</v>
      </c>
      <c r="D2841">
        <v>4</v>
      </c>
      <c r="E2841" t="s">
        <v>8</v>
      </c>
      <c r="F2841">
        <v>204</v>
      </c>
      <c r="G2841" s="3">
        <v>3302.48</v>
      </c>
      <c r="H2841" s="3">
        <f>Miami_Retail[[#This Row],[sales_usd]] / Miami_Retail[[#This Row],[customers]]</f>
        <v>16.188627450980391</v>
      </c>
      <c r="I2841">
        <v>90.1</v>
      </c>
      <c r="J2841">
        <f>(Miami_Retail[[#This Row],[avg_temp_f]]-32) * (5/9)</f>
        <v>32.277777777777779</v>
      </c>
      <c r="K2841">
        <v>0</v>
      </c>
      <c r="L2841">
        <v>0</v>
      </c>
      <c r="M2841">
        <v>72.900000000000006</v>
      </c>
      <c r="N2841">
        <v>47.7</v>
      </c>
      <c r="O2841">
        <v>52.3</v>
      </c>
      <c r="P2841">
        <v>46.2</v>
      </c>
      <c r="Q2841">
        <v>53.8</v>
      </c>
    </row>
    <row r="2842" spans="1:17" x14ac:dyDescent="0.25">
      <c r="A2842" s="2">
        <v>45574</v>
      </c>
      <c r="B2842" s="2" t="str">
        <f t="shared" si="88"/>
        <v>Wednesday</v>
      </c>
      <c r="C2842" s="2" t="b">
        <f t="shared" si="89"/>
        <v>0</v>
      </c>
      <c r="D2842">
        <v>4</v>
      </c>
      <c r="E2842" t="s">
        <v>8</v>
      </c>
      <c r="F2842">
        <v>213</v>
      </c>
      <c r="G2842" s="3">
        <v>3238.89</v>
      </c>
      <c r="H2842" s="3">
        <f>Miami_Retail[[#This Row],[sales_usd]] / Miami_Retail[[#This Row],[customers]]</f>
        <v>15.206056338028169</v>
      </c>
      <c r="I2842">
        <v>86.9</v>
      </c>
      <c r="J2842">
        <f>(Miami_Retail[[#This Row],[avg_temp_f]]-32) * (5/9)</f>
        <v>30.500000000000004</v>
      </c>
      <c r="K2842">
        <v>0</v>
      </c>
      <c r="L2842">
        <v>0</v>
      </c>
      <c r="M2842">
        <v>69.400000000000006</v>
      </c>
      <c r="N2842">
        <v>46.8</v>
      </c>
      <c r="O2842">
        <v>53.2</v>
      </c>
      <c r="P2842">
        <v>43.4</v>
      </c>
      <c r="Q2842">
        <v>56.6</v>
      </c>
    </row>
    <row r="2843" spans="1:17" x14ac:dyDescent="0.25">
      <c r="A2843" s="2">
        <v>45575</v>
      </c>
      <c r="B2843" s="2" t="str">
        <f t="shared" si="88"/>
        <v>Thursday</v>
      </c>
      <c r="C2843" s="2" t="b">
        <f t="shared" si="89"/>
        <v>0</v>
      </c>
      <c r="D2843">
        <v>4</v>
      </c>
      <c r="E2843" t="s">
        <v>8</v>
      </c>
      <c r="F2843">
        <v>238</v>
      </c>
      <c r="G2843" s="3">
        <v>3819.84</v>
      </c>
      <c r="H2843" s="3">
        <f>Miami_Retail[[#This Row],[sales_usd]] / Miami_Retail[[#This Row],[customers]]</f>
        <v>16.049747899159666</v>
      </c>
      <c r="I2843">
        <v>87.9</v>
      </c>
      <c r="J2843">
        <f>(Miami_Retail[[#This Row],[avg_temp_f]]-32) * (5/9)</f>
        <v>31.055555555555561</v>
      </c>
      <c r="K2843">
        <v>0.08</v>
      </c>
      <c r="L2843">
        <v>1</v>
      </c>
      <c r="M2843">
        <v>73.2</v>
      </c>
      <c r="N2843">
        <v>45.4</v>
      </c>
      <c r="O2843">
        <v>54.6</v>
      </c>
      <c r="P2843">
        <v>44.7</v>
      </c>
      <c r="Q2843">
        <v>55.3</v>
      </c>
    </row>
    <row r="2844" spans="1:17" x14ac:dyDescent="0.25">
      <c r="A2844" s="2">
        <v>45576</v>
      </c>
      <c r="B2844" s="2" t="str">
        <f t="shared" si="88"/>
        <v>Friday</v>
      </c>
      <c r="C2844" s="2" t="b">
        <f t="shared" si="89"/>
        <v>0</v>
      </c>
      <c r="D2844">
        <v>4</v>
      </c>
      <c r="E2844" t="s">
        <v>8</v>
      </c>
      <c r="F2844">
        <v>193</v>
      </c>
      <c r="G2844" s="3">
        <v>2851.83</v>
      </c>
      <c r="H2844" s="3">
        <f>Miami_Retail[[#This Row],[sales_usd]] / Miami_Retail[[#This Row],[customers]]</f>
        <v>14.776321243523316</v>
      </c>
      <c r="I2844">
        <v>83.1</v>
      </c>
      <c r="J2844">
        <f>(Miami_Retail[[#This Row],[avg_temp_f]]-32) * (5/9)</f>
        <v>28.388888888888886</v>
      </c>
      <c r="K2844">
        <v>0</v>
      </c>
      <c r="L2844">
        <v>0</v>
      </c>
      <c r="M2844">
        <v>80.3</v>
      </c>
      <c r="N2844">
        <v>45.3</v>
      </c>
      <c r="O2844">
        <v>54.7</v>
      </c>
      <c r="P2844">
        <v>43.2</v>
      </c>
      <c r="Q2844">
        <v>56.8</v>
      </c>
    </row>
    <row r="2845" spans="1:17" x14ac:dyDescent="0.25">
      <c r="A2845" s="2">
        <v>45577</v>
      </c>
      <c r="B2845" s="2" t="str">
        <f t="shared" si="88"/>
        <v>Saturday</v>
      </c>
      <c r="C2845" s="2" t="b">
        <f t="shared" si="89"/>
        <v>1</v>
      </c>
      <c r="D2845">
        <v>4</v>
      </c>
      <c r="E2845" t="s">
        <v>8</v>
      </c>
      <c r="F2845">
        <v>229</v>
      </c>
      <c r="G2845" s="3">
        <v>3541.23</v>
      </c>
      <c r="H2845" s="3">
        <f>Miami_Retail[[#This Row],[sales_usd]] / Miami_Retail[[#This Row],[customers]]</f>
        <v>15.463886462882096</v>
      </c>
      <c r="I2845">
        <v>87.8</v>
      </c>
      <c r="J2845">
        <f>(Miami_Retail[[#This Row],[avg_temp_f]]-32) * (5/9)</f>
        <v>31</v>
      </c>
      <c r="K2845">
        <v>0</v>
      </c>
      <c r="L2845">
        <v>0</v>
      </c>
      <c r="M2845">
        <v>78.8</v>
      </c>
      <c r="N2845">
        <v>45.3</v>
      </c>
      <c r="O2845">
        <v>54.7</v>
      </c>
      <c r="P2845">
        <v>49.4</v>
      </c>
      <c r="Q2845">
        <v>50.6</v>
      </c>
    </row>
    <row r="2846" spans="1:17" x14ac:dyDescent="0.25">
      <c r="A2846" s="2">
        <v>45578</v>
      </c>
      <c r="B2846" s="2" t="str">
        <f t="shared" si="88"/>
        <v>Sunday</v>
      </c>
      <c r="C2846" s="2" t="b">
        <f t="shared" si="89"/>
        <v>1</v>
      </c>
      <c r="D2846">
        <v>4</v>
      </c>
      <c r="E2846" t="s">
        <v>8</v>
      </c>
      <c r="F2846">
        <v>226</v>
      </c>
      <c r="G2846" s="3">
        <v>3490.94</v>
      </c>
      <c r="H2846" s="3">
        <f>Miami_Retail[[#This Row],[sales_usd]] / Miami_Retail[[#This Row],[customers]]</f>
        <v>15.446637168141594</v>
      </c>
      <c r="I2846">
        <v>87.7</v>
      </c>
      <c r="J2846">
        <f>(Miami_Retail[[#This Row],[avg_temp_f]]-32) * (5/9)</f>
        <v>30.944444444444446</v>
      </c>
      <c r="K2846">
        <v>0</v>
      </c>
      <c r="L2846">
        <v>0</v>
      </c>
      <c r="M2846">
        <v>71.8</v>
      </c>
      <c r="N2846">
        <v>44.2</v>
      </c>
      <c r="O2846">
        <v>55.8</v>
      </c>
      <c r="P2846">
        <v>50.3</v>
      </c>
      <c r="Q2846">
        <v>49.7</v>
      </c>
    </row>
    <row r="2847" spans="1:17" x14ac:dyDescent="0.25">
      <c r="A2847" s="2">
        <v>45579</v>
      </c>
      <c r="B2847" s="2" t="str">
        <f t="shared" si="88"/>
        <v>Monday</v>
      </c>
      <c r="C2847" s="2" t="b">
        <f t="shared" si="89"/>
        <v>0</v>
      </c>
      <c r="D2847">
        <v>4</v>
      </c>
      <c r="E2847" t="s">
        <v>8</v>
      </c>
      <c r="F2847">
        <v>227</v>
      </c>
      <c r="G2847" s="3">
        <v>3594.81</v>
      </c>
      <c r="H2847" s="3">
        <f>Miami_Retail[[#This Row],[sales_usd]] / Miami_Retail[[#This Row],[customers]]</f>
        <v>15.836167400881058</v>
      </c>
      <c r="I2847">
        <v>86.3</v>
      </c>
      <c r="J2847">
        <f>(Miami_Retail[[#This Row],[avg_temp_f]]-32) * (5/9)</f>
        <v>30.166666666666668</v>
      </c>
      <c r="K2847">
        <v>0</v>
      </c>
      <c r="L2847">
        <v>0</v>
      </c>
      <c r="M2847">
        <v>63.6</v>
      </c>
      <c r="N2847">
        <v>46.7</v>
      </c>
      <c r="O2847">
        <v>53.3</v>
      </c>
      <c r="P2847">
        <v>42.6</v>
      </c>
      <c r="Q2847">
        <v>57.4</v>
      </c>
    </row>
    <row r="2848" spans="1:17" x14ac:dyDescent="0.25">
      <c r="A2848" s="2">
        <v>45580</v>
      </c>
      <c r="B2848" s="2" t="str">
        <f t="shared" si="88"/>
        <v>Tuesday</v>
      </c>
      <c r="C2848" s="2" t="b">
        <f t="shared" si="89"/>
        <v>0</v>
      </c>
      <c r="D2848">
        <v>4</v>
      </c>
      <c r="E2848" t="s">
        <v>8</v>
      </c>
      <c r="F2848">
        <v>241</v>
      </c>
      <c r="G2848" s="3">
        <v>4091.29</v>
      </c>
      <c r="H2848" s="3">
        <f>Miami_Retail[[#This Row],[sales_usd]] / Miami_Retail[[#This Row],[customers]]</f>
        <v>16.976307053941909</v>
      </c>
      <c r="I2848">
        <v>88.5</v>
      </c>
      <c r="J2848">
        <f>(Miami_Retail[[#This Row],[avg_temp_f]]-32) * (5/9)</f>
        <v>31.388888888888889</v>
      </c>
      <c r="K2848">
        <v>0</v>
      </c>
      <c r="L2848">
        <v>0</v>
      </c>
      <c r="M2848">
        <v>63.3</v>
      </c>
      <c r="N2848">
        <v>45.5</v>
      </c>
      <c r="O2848">
        <v>54.5</v>
      </c>
      <c r="P2848">
        <v>44.4</v>
      </c>
      <c r="Q2848">
        <v>55.6</v>
      </c>
    </row>
    <row r="2849" spans="1:17" x14ac:dyDescent="0.25">
      <c r="A2849" s="2">
        <v>45581</v>
      </c>
      <c r="B2849" s="2" t="str">
        <f t="shared" si="88"/>
        <v>Wednesday</v>
      </c>
      <c r="C2849" s="2" t="b">
        <f t="shared" si="89"/>
        <v>0</v>
      </c>
      <c r="D2849">
        <v>4</v>
      </c>
      <c r="E2849" t="s">
        <v>8</v>
      </c>
      <c r="F2849">
        <v>264</v>
      </c>
      <c r="G2849" s="3">
        <v>4280.8999999999996</v>
      </c>
      <c r="H2849" s="3">
        <f>Miami_Retail[[#This Row],[sales_usd]] / Miami_Retail[[#This Row],[customers]]</f>
        <v>16.215530303030302</v>
      </c>
      <c r="I2849">
        <v>96.1</v>
      </c>
      <c r="J2849">
        <f>(Miami_Retail[[#This Row],[avg_temp_f]]-32) * (5/9)</f>
        <v>35.611111111111107</v>
      </c>
      <c r="K2849">
        <v>0</v>
      </c>
      <c r="L2849">
        <v>0</v>
      </c>
      <c r="M2849">
        <v>68.900000000000006</v>
      </c>
      <c r="N2849">
        <v>45.3</v>
      </c>
      <c r="O2849">
        <v>54.7</v>
      </c>
      <c r="P2849">
        <v>45.2</v>
      </c>
      <c r="Q2849">
        <v>54.8</v>
      </c>
    </row>
    <row r="2850" spans="1:17" x14ac:dyDescent="0.25">
      <c r="A2850" s="2">
        <v>45582</v>
      </c>
      <c r="B2850" s="2" t="str">
        <f t="shared" si="88"/>
        <v>Thursday</v>
      </c>
      <c r="C2850" s="2" t="b">
        <f t="shared" si="89"/>
        <v>0</v>
      </c>
      <c r="D2850">
        <v>4</v>
      </c>
      <c r="E2850" t="s">
        <v>8</v>
      </c>
      <c r="F2850">
        <v>234</v>
      </c>
      <c r="G2850" s="3">
        <v>3683.26</v>
      </c>
      <c r="H2850" s="3">
        <f>Miami_Retail[[#This Row],[sales_usd]] / Miami_Retail[[#This Row],[customers]]</f>
        <v>15.740427350427352</v>
      </c>
      <c r="I2850">
        <v>88.8</v>
      </c>
      <c r="J2850">
        <f>(Miami_Retail[[#This Row],[avg_temp_f]]-32) * (5/9)</f>
        <v>31.555555555555557</v>
      </c>
      <c r="K2850">
        <v>0</v>
      </c>
      <c r="L2850">
        <v>0</v>
      </c>
      <c r="M2850">
        <v>70</v>
      </c>
      <c r="N2850">
        <v>45.7</v>
      </c>
      <c r="O2850">
        <v>54.3</v>
      </c>
      <c r="P2850">
        <v>43.5</v>
      </c>
      <c r="Q2850">
        <v>56.5</v>
      </c>
    </row>
    <row r="2851" spans="1:17" x14ac:dyDescent="0.25">
      <c r="A2851" s="2">
        <v>45583</v>
      </c>
      <c r="B2851" s="2" t="str">
        <f t="shared" si="88"/>
        <v>Friday</v>
      </c>
      <c r="C2851" s="2" t="b">
        <f t="shared" si="89"/>
        <v>0</v>
      </c>
      <c r="D2851">
        <v>4</v>
      </c>
      <c r="E2851" t="s">
        <v>8</v>
      </c>
      <c r="F2851">
        <v>233</v>
      </c>
      <c r="G2851" s="3">
        <v>3837.42</v>
      </c>
      <c r="H2851" s="3">
        <f>Miami_Retail[[#This Row],[sales_usd]] / Miami_Retail[[#This Row],[customers]]</f>
        <v>16.469613733905579</v>
      </c>
      <c r="I2851">
        <v>89.4</v>
      </c>
      <c r="J2851">
        <f>(Miami_Retail[[#This Row],[avg_temp_f]]-32) * (5/9)</f>
        <v>31.888888888888893</v>
      </c>
      <c r="K2851">
        <v>0</v>
      </c>
      <c r="L2851">
        <v>0</v>
      </c>
      <c r="M2851">
        <v>78.400000000000006</v>
      </c>
      <c r="N2851">
        <v>46.3</v>
      </c>
      <c r="O2851">
        <v>53.7</v>
      </c>
      <c r="P2851">
        <v>43.9</v>
      </c>
      <c r="Q2851">
        <v>56.1</v>
      </c>
    </row>
    <row r="2852" spans="1:17" x14ac:dyDescent="0.25">
      <c r="A2852" s="2">
        <v>45584</v>
      </c>
      <c r="B2852" s="2" t="str">
        <f t="shared" si="88"/>
        <v>Saturday</v>
      </c>
      <c r="C2852" s="2" t="b">
        <f t="shared" si="89"/>
        <v>1</v>
      </c>
      <c r="D2852">
        <v>4</v>
      </c>
      <c r="E2852" t="s">
        <v>8</v>
      </c>
      <c r="F2852">
        <v>244</v>
      </c>
      <c r="G2852" s="3">
        <v>3868.96</v>
      </c>
      <c r="H2852" s="3">
        <f>Miami_Retail[[#This Row],[sales_usd]] / Miami_Retail[[#This Row],[customers]]</f>
        <v>15.85639344262295</v>
      </c>
      <c r="I2852">
        <v>88.6</v>
      </c>
      <c r="J2852">
        <f>(Miami_Retail[[#This Row],[avg_temp_f]]-32) * (5/9)</f>
        <v>31.444444444444443</v>
      </c>
      <c r="K2852">
        <v>0</v>
      </c>
      <c r="L2852">
        <v>0</v>
      </c>
      <c r="M2852">
        <v>69.599999999999994</v>
      </c>
      <c r="N2852">
        <v>46.5</v>
      </c>
      <c r="O2852">
        <v>53.5</v>
      </c>
      <c r="P2852">
        <v>50.7</v>
      </c>
      <c r="Q2852">
        <v>49.3</v>
      </c>
    </row>
    <row r="2853" spans="1:17" x14ac:dyDescent="0.25">
      <c r="A2853" s="2">
        <v>45585</v>
      </c>
      <c r="B2853" s="2" t="str">
        <f t="shared" si="88"/>
        <v>Sunday</v>
      </c>
      <c r="C2853" s="2" t="b">
        <f t="shared" si="89"/>
        <v>1</v>
      </c>
      <c r="D2853">
        <v>4</v>
      </c>
      <c r="E2853" t="s">
        <v>8</v>
      </c>
      <c r="F2853">
        <v>256</v>
      </c>
      <c r="G2853" s="3">
        <v>3761.86</v>
      </c>
      <c r="H2853" s="3">
        <f>Miami_Retail[[#This Row],[sales_usd]] / Miami_Retail[[#This Row],[customers]]</f>
        <v>14.694765625</v>
      </c>
      <c r="I2853">
        <v>87.6</v>
      </c>
      <c r="J2853">
        <f>(Miami_Retail[[#This Row],[avg_temp_f]]-32) * (5/9)</f>
        <v>30.888888888888886</v>
      </c>
      <c r="K2853">
        <v>0</v>
      </c>
      <c r="L2853">
        <v>0</v>
      </c>
      <c r="M2853">
        <v>75</v>
      </c>
      <c r="N2853">
        <v>46.2</v>
      </c>
      <c r="O2853">
        <v>53.8</v>
      </c>
      <c r="P2853">
        <v>51.6</v>
      </c>
      <c r="Q2853">
        <v>48.4</v>
      </c>
    </row>
    <row r="2854" spans="1:17" x14ac:dyDescent="0.25">
      <c r="A2854" s="2">
        <v>45586</v>
      </c>
      <c r="B2854" s="2" t="str">
        <f t="shared" si="88"/>
        <v>Monday</v>
      </c>
      <c r="C2854" s="2" t="b">
        <f t="shared" si="89"/>
        <v>0</v>
      </c>
      <c r="D2854">
        <v>4</v>
      </c>
      <c r="E2854" t="s">
        <v>8</v>
      </c>
      <c r="F2854">
        <v>235</v>
      </c>
      <c r="G2854" s="3">
        <v>3484.11</v>
      </c>
      <c r="H2854" s="3">
        <f>Miami_Retail[[#This Row],[sales_usd]] / Miami_Retail[[#This Row],[customers]]</f>
        <v>14.826000000000001</v>
      </c>
      <c r="I2854">
        <v>87.5</v>
      </c>
      <c r="J2854">
        <f>(Miami_Retail[[#This Row],[avg_temp_f]]-32) * (5/9)</f>
        <v>30.833333333333336</v>
      </c>
      <c r="K2854">
        <v>0</v>
      </c>
      <c r="L2854">
        <v>0</v>
      </c>
      <c r="M2854">
        <v>63.4</v>
      </c>
      <c r="N2854">
        <v>44.4</v>
      </c>
      <c r="O2854">
        <v>55.6</v>
      </c>
      <c r="P2854">
        <v>43.3</v>
      </c>
      <c r="Q2854">
        <v>56.7</v>
      </c>
    </row>
    <row r="2855" spans="1:17" x14ac:dyDescent="0.25">
      <c r="A2855" s="2">
        <v>45587</v>
      </c>
      <c r="B2855" s="2" t="str">
        <f t="shared" si="88"/>
        <v>Tuesday</v>
      </c>
      <c r="C2855" s="2" t="b">
        <f t="shared" si="89"/>
        <v>0</v>
      </c>
      <c r="D2855">
        <v>4</v>
      </c>
      <c r="E2855" t="s">
        <v>8</v>
      </c>
      <c r="F2855">
        <v>215</v>
      </c>
      <c r="G2855" s="3">
        <v>3430.67</v>
      </c>
      <c r="H2855" s="3">
        <f>Miami_Retail[[#This Row],[sales_usd]] / Miami_Retail[[#This Row],[customers]]</f>
        <v>15.956604651162792</v>
      </c>
      <c r="I2855">
        <v>86</v>
      </c>
      <c r="J2855">
        <f>(Miami_Retail[[#This Row],[avg_temp_f]]-32) * (5/9)</f>
        <v>30</v>
      </c>
      <c r="K2855">
        <v>0</v>
      </c>
      <c r="L2855">
        <v>0</v>
      </c>
      <c r="M2855">
        <v>59.2</v>
      </c>
      <c r="N2855">
        <v>46.2</v>
      </c>
      <c r="O2855">
        <v>53.8</v>
      </c>
      <c r="P2855">
        <v>43.5</v>
      </c>
      <c r="Q2855">
        <v>56.5</v>
      </c>
    </row>
    <row r="2856" spans="1:17" x14ac:dyDescent="0.25">
      <c r="A2856" s="2">
        <v>45588</v>
      </c>
      <c r="B2856" s="2" t="str">
        <f t="shared" si="88"/>
        <v>Wednesday</v>
      </c>
      <c r="C2856" s="2" t="b">
        <f t="shared" si="89"/>
        <v>0</v>
      </c>
      <c r="D2856">
        <v>4</v>
      </c>
      <c r="E2856" t="s">
        <v>8</v>
      </c>
      <c r="F2856">
        <v>224</v>
      </c>
      <c r="G2856" s="3">
        <v>3726.19</v>
      </c>
      <c r="H2856" s="3">
        <f>Miami_Retail[[#This Row],[sales_usd]] / Miami_Retail[[#This Row],[customers]]</f>
        <v>16.634776785714287</v>
      </c>
      <c r="I2856">
        <v>90.4</v>
      </c>
      <c r="J2856">
        <f>(Miami_Retail[[#This Row],[avg_temp_f]]-32) * (5/9)</f>
        <v>32.44444444444445</v>
      </c>
      <c r="K2856">
        <v>0.52</v>
      </c>
      <c r="L2856">
        <v>1</v>
      </c>
      <c r="M2856">
        <v>70.400000000000006</v>
      </c>
      <c r="N2856">
        <v>46.9</v>
      </c>
      <c r="O2856">
        <v>53.1</v>
      </c>
      <c r="P2856">
        <v>45.2</v>
      </c>
      <c r="Q2856">
        <v>54.8</v>
      </c>
    </row>
    <row r="2857" spans="1:17" x14ac:dyDescent="0.25">
      <c r="A2857" s="2">
        <v>45589</v>
      </c>
      <c r="B2857" s="2" t="str">
        <f t="shared" si="88"/>
        <v>Thursday</v>
      </c>
      <c r="C2857" s="2" t="b">
        <f t="shared" si="89"/>
        <v>0</v>
      </c>
      <c r="D2857">
        <v>4</v>
      </c>
      <c r="E2857" t="s">
        <v>8</v>
      </c>
      <c r="F2857">
        <v>246</v>
      </c>
      <c r="G2857" s="3">
        <v>3934.19</v>
      </c>
      <c r="H2857" s="3">
        <f>Miami_Retail[[#This Row],[sales_usd]] / Miami_Retail[[#This Row],[customers]]</f>
        <v>15.992642276422764</v>
      </c>
      <c r="I2857">
        <v>88.1</v>
      </c>
      <c r="J2857">
        <f>(Miami_Retail[[#This Row],[avg_temp_f]]-32) * (5/9)</f>
        <v>31.166666666666664</v>
      </c>
      <c r="K2857">
        <v>0</v>
      </c>
      <c r="L2857">
        <v>0</v>
      </c>
      <c r="M2857">
        <v>66.2</v>
      </c>
      <c r="N2857">
        <v>47.4</v>
      </c>
      <c r="O2857">
        <v>52.6</v>
      </c>
      <c r="P2857">
        <v>44</v>
      </c>
      <c r="Q2857">
        <v>56</v>
      </c>
    </row>
    <row r="2858" spans="1:17" x14ac:dyDescent="0.25">
      <c r="A2858" s="2">
        <v>45590</v>
      </c>
      <c r="B2858" s="2" t="str">
        <f t="shared" si="88"/>
        <v>Friday</v>
      </c>
      <c r="C2858" s="2" t="b">
        <f t="shared" si="89"/>
        <v>0</v>
      </c>
      <c r="D2858">
        <v>4</v>
      </c>
      <c r="E2858" t="s">
        <v>8</v>
      </c>
      <c r="F2858">
        <v>254</v>
      </c>
      <c r="G2858" s="3">
        <v>4014.75</v>
      </c>
      <c r="H2858" s="3">
        <f>Miami_Retail[[#This Row],[sales_usd]] / Miami_Retail[[#This Row],[customers]]</f>
        <v>15.806102362204724</v>
      </c>
      <c r="I2858">
        <v>87.7</v>
      </c>
      <c r="J2858">
        <f>(Miami_Retail[[#This Row],[avg_temp_f]]-32) * (5/9)</f>
        <v>30.944444444444446</v>
      </c>
      <c r="K2858">
        <v>0</v>
      </c>
      <c r="L2858">
        <v>0</v>
      </c>
      <c r="M2858">
        <v>67.099999999999994</v>
      </c>
      <c r="N2858">
        <v>45.4</v>
      </c>
      <c r="O2858">
        <v>54.6</v>
      </c>
      <c r="P2858">
        <v>43.4</v>
      </c>
      <c r="Q2858">
        <v>56.6</v>
      </c>
    </row>
    <row r="2859" spans="1:17" x14ac:dyDescent="0.25">
      <c r="A2859" s="2">
        <v>45591</v>
      </c>
      <c r="B2859" s="2" t="str">
        <f t="shared" si="88"/>
        <v>Saturday</v>
      </c>
      <c r="C2859" s="2" t="b">
        <f t="shared" si="89"/>
        <v>1</v>
      </c>
      <c r="D2859">
        <v>4</v>
      </c>
      <c r="E2859" t="s">
        <v>8</v>
      </c>
      <c r="F2859">
        <v>248</v>
      </c>
      <c r="G2859" s="3">
        <v>4342.1899999999996</v>
      </c>
      <c r="H2859" s="3">
        <f>Miami_Retail[[#This Row],[sales_usd]] / Miami_Retail[[#This Row],[customers]]</f>
        <v>17.508830645161289</v>
      </c>
      <c r="I2859">
        <v>82.8</v>
      </c>
      <c r="J2859">
        <f>(Miami_Retail[[#This Row],[avg_temp_f]]-32) * (5/9)</f>
        <v>28.222222222222221</v>
      </c>
      <c r="K2859">
        <v>0</v>
      </c>
      <c r="L2859">
        <v>0</v>
      </c>
      <c r="M2859">
        <v>69.8</v>
      </c>
      <c r="N2859">
        <v>46.4</v>
      </c>
      <c r="O2859">
        <v>53.6</v>
      </c>
      <c r="P2859">
        <v>50.9</v>
      </c>
      <c r="Q2859">
        <v>49.1</v>
      </c>
    </row>
    <row r="2860" spans="1:17" x14ac:dyDescent="0.25">
      <c r="A2860" s="2">
        <v>45592</v>
      </c>
      <c r="B2860" s="2" t="str">
        <f t="shared" si="88"/>
        <v>Sunday</v>
      </c>
      <c r="C2860" s="2" t="b">
        <f t="shared" si="89"/>
        <v>1</v>
      </c>
      <c r="D2860">
        <v>4</v>
      </c>
      <c r="E2860" t="s">
        <v>8</v>
      </c>
      <c r="F2860">
        <v>250</v>
      </c>
      <c r="G2860" s="3">
        <v>3625.22</v>
      </c>
      <c r="H2860" s="3">
        <f>Miami_Retail[[#This Row],[sales_usd]] / Miami_Retail[[#This Row],[customers]]</f>
        <v>14.500879999999999</v>
      </c>
      <c r="I2860">
        <v>85.7</v>
      </c>
      <c r="J2860">
        <f>(Miami_Retail[[#This Row],[avg_temp_f]]-32) * (5/9)</f>
        <v>29.833333333333336</v>
      </c>
      <c r="K2860">
        <v>0.14000000000000001</v>
      </c>
      <c r="L2860">
        <v>1</v>
      </c>
      <c r="M2860">
        <v>65.099999999999994</v>
      </c>
      <c r="N2860">
        <v>45.1</v>
      </c>
      <c r="O2860">
        <v>54.9</v>
      </c>
      <c r="P2860">
        <v>48.8</v>
      </c>
      <c r="Q2860">
        <v>51.2</v>
      </c>
    </row>
    <row r="2861" spans="1:17" x14ac:dyDescent="0.25">
      <c r="A2861" s="2">
        <v>45593</v>
      </c>
      <c r="B2861" s="2" t="str">
        <f t="shared" si="88"/>
        <v>Monday</v>
      </c>
      <c r="C2861" s="2" t="b">
        <f t="shared" si="89"/>
        <v>0</v>
      </c>
      <c r="D2861">
        <v>4</v>
      </c>
      <c r="E2861" t="s">
        <v>8</v>
      </c>
      <c r="F2861">
        <v>205</v>
      </c>
      <c r="G2861" s="3">
        <v>3119.47</v>
      </c>
      <c r="H2861" s="3">
        <f>Miami_Retail[[#This Row],[sales_usd]] / Miami_Retail[[#This Row],[customers]]</f>
        <v>15.216926829268292</v>
      </c>
      <c r="I2861">
        <v>87.5</v>
      </c>
      <c r="J2861">
        <f>(Miami_Retail[[#This Row],[avg_temp_f]]-32) * (5/9)</f>
        <v>30.833333333333336</v>
      </c>
      <c r="K2861">
        <v>0</v>
      </c>
      <c r="L2861">
        <v>0</v>
      </c>
      <c r="M2861">
        <v>66.3</v>
      </c>
      <c r="N2861">
        <v>44.6</v>
      </c>
      <c r="O2861">
        <v>55.4</v>
      </c>
      <c r="P2861">
        <v>45.3</v>
      </c>
      <c r="Q2861">
        <v>54.7</v>
      </c>
    </row>
    <row r="2862" spans="1:17" x14ac:dyDescent="0.25">
      <c r="A2862" s="2">
        <v>45594</v>
      </c>
      <c r="B2862" s="2" t="str">
        <f t="shared" si="88"/>
        <v>Tuesday</v>
      </c>
      <c r="C2862" s="2" t="b">
        <f t="shared" si="89"/>
        <v>0</v>
      </c>
      <c r="D2862">
        <v>4</v>
      </c>
      <c r="E2862" t="s">
        <v>8</v>
      </c>
      <c r="F2862">
        <v>268</v>
      </c>
      <c r="G2862" s="3">
        <v>3897.11</v>
      </c>
      <c r="H2862" s="3">
        <f>Miami_Retail[[#This Row],[sales_usd]] / Miami_Retail[[#This Row],[customers]]</f>
        <v>14.541455223880597</v>
      </c>
      <c r="I2862">
        <v>90.1</v>
      </c>
      <c r="J2862">
        <f>(Miami_Retail[[#This Row],[avg_temp_f]]-32) * (5/9)</f>
        <v>32.277777777777779</v>
      </c>
      <c r="K2862">
        <v>0</v>
      </c>
      <c r="L2862">
        <v>0</v>
      </c>
      <c r="M2862">
        <v>61.6</v>
      </c>
      <c r="N2862">
        <v>46.8</v>
      </c>
      <c r="O2862">
        <v>53.2</v>
      </c>
      <c r="P2862">
        <v>45</v>
      </c>
      <c r="Q2862">
        <v>55</v>
      </c>
    </row>
    <row r="2863" spans="1:17" x14ac:dyDescent="0.25">
      <c r="A2863" s="2">
        <v>45595</v>
      </c>
      <c r="B2863" s="2" t="str">
        <f t="shared" si="88"/>
        <v>Wednesday</v>
      </c>
      <c r="C2863" s="2" t="b">
        <f t="shared" si="89"/>
        <v>0</v>
      </c>
      <c r="D2863">
        <v>4</v>
      </c>
      <c r="E2863" t="s">
        <v>8</v>
      </c>
      <c r="F2863">
        <v>179</v>
      </c>
      <c r="G2863" s="3">
        <v>2911.85</v>
      </c>
      <c r="H2863" s="3">
        <f>Miami_Retail[[#This Row],[sales_usd]] / Miami_Retail[[#This Row],[customers]]</f>
        <v>16.267318435754188</v>
      </c>
      <c r="I2863">
        <v>83.3</v>
      </c>
      <c r="J2863">
        <f>(Miami_Retail[[#This Row],[avg_temp_f]]-32) * (5/9)</f>
        <v>28.5</v>
      </c>
      <c r="K2863">
        <v>1.25</v>
      </c>
      <c r="L2863">
        <v>1</v>
      </c>
      <c r="M2863">
        <v>66</v>
      </c>
      <c r="N2863">
        <v>46.6</v>
      </c>
      <c r="O2863">
        <v>53.4</v>
      </c>
      <c r="P2863">
        <v>42.7</v>
      </c>
      <c r="Q2863">
        <v>57.3</v>
      </c>
    </row>
    <row r="2864" spans="1:17" x14ac:dyDescent="0.25">
      <c r="A2864" s="2">
        <v>45596</v>
      </c>
      <c r="B2864" s="2" t="str">
        <f t="shared" si="88"/>
        <v>Thursday</v>
      </c>
      <c r="C2864" s="2" t="b">
        <f t="shared" si="89"/>
        <v>0</v>
      </c>
      <c r="D2864">
        <v>4</v>
      </c>
      <c r="E2864" t="s">
        <v>8</v>
      </c>
      <c r="F2864">
        <v>237</v>
      </c>
      <c r="G2864" s="3">
        <v>3883.98</v>
      </c>
      <c r="H2864" s="3">
        <f>Miami_Retail[[#This Row],[sales_usd]] / Miami_Retail[[#This Row],[customers]]</f>
        <v>16.388101265822783</v>
      </c>
      <c r="I2864">
        <v>86.7</v>
      </c>
      <c r="J2864">
        <f>(Miami_Retail[[#This Row],[avg_temp_f]]-32) * (5/9)</f>
        <v>30.388888888888893</v>
      </c>
      <c r="K2864">
        <v>0</v>
      </c>
      <c r="L2864">
        <v>0</v>
      </c>
      <c r="M2864">
        <v>64.2</v>
      </c>
      <c r="N2864">
        <v>44.6</v>
      </c>
      <c r="O2864">
        <v>55.4</v>
      </c>
      <c r="P2864">
        <v>44.6</v>
      </c>
      <c r="Q2864">
        <v>55.4</v>
      </c>
    </row>
    <row r="2865" spans="1:17" x14ac:dyDescent="0.25">
      <c r="A2865" s="2">
        <v>45597</v>
      </c>
      <c r="B2865" s="2" t="str">
        <f t="shared" si="88"/>
        <v>Friday</v>
      </c>
      <c r="C2865" s="2" t="b">
        <f t="shared" si="89"/>
        <v>0</v>
      </c>
      <c r="D2865">
        <v>4</v>
      </c>
      <c r="E2865" t="s">
        <v>8</v>
      </c>
      <c r="F2865">
        <v>178</v>
      </c>
      <c r="G2865" s="3">
        <v>2925.46</v>
      </c>
      <c r="H2865" s="3">
        <f>Miami_Retail[[#This Row],[sales_usd]] / Miami_Retail[[#This Row],[customers]]</f>
        <v>16.435168539325844</v>
      </c>
      <c r="I2865">
        <v>86.6</v>
      </c>
      <c r="J2865">
        <f>(Miami_Retail[[#This Row],[avg_temp_f]]-32) * (5/9)</f>
        <v>30.333333333333332</v>
      </c>
      <c r="K2865">
        <v>0.78</v>
      </c>
      <c r="L2865">
        <v>1</v>
      </c>
      <c r="M2865">
        <v>73.599999999999994</v>
      </c>
      <c r="N2865">
        <v>46.4</v>
      </c>
      <c r="O2865">
        <v>53.6</v>
      </c>
      <c r="P2865">
        <v>43.9</v>
      </c>
      <c r="Q2865">
        <v>56.1</v>
      </c>
    </row>
    <row r="2866" spans="1:17" x14ac:dyDescent="0.25">
      <c r="A2866" s="2">
        <v>45598</v>
      </c>
      <c r="B2866" s="2" t="str">
        <f t="shared" si="88"/>
        <v>Saturday</v>
      </c>
      <c r="C2866" s="2" t="b">
        <f t="shared" si="89"/>
        <v>1</v>
      </c>
      <c r="D2866">
        <v>4</v>
      </c>
      <c r="E2866" t="s">
        <v>8</v>
      </c>
      <c r="F2866">
        <v>243</v>
      </c>
      <c r="G2866" s="3">
        <v>3886.57</v>
      </c>
      <c r="H2866" s="3">
        <f>Miami_Retail[[#This Row],[sales_usd]] / Miami_Retail[[#This Row],[customers]]</f>
        <v>15.994115226337449</v>
      </c>
      <c r="I2866">
        <v>87.6</v>
      </c>
      <c r="J2866">
        <f>(Miami_Retail[[#This Row],[avg_temp_f]]-32) * (5/9)</f>
        <v>30.888888888888886</v>
      </c>
      <c r="K2866">
        <v>0</v>
      </c>
      <c r="L2866">
        <v>0</v>
      </c>
      <c r="M2866">
        <v>62.2</v>
      </c>
      <c r="N2866">
        <v>46.3</v>
      </c>
      <c r="O2866">
        <v>53.7</v>
      </c>
      <c r="P2866">
        <v>49</v>
      </c>
      <c r="Q2866">
        <v>51</v>
      </c>
    </row>
    <row r="2867" spans="1:17" x14ac:dyDescent="0.25">
      <c r="A2867" s="2">
        <v>45599</v>
      </c>
      <c r="B2867" s="2" t="str">
        <f t="shared" si="88"/>
        <v>Sunday</v>
      </c>
      <c r="C2867" s="2" t="b">
        <f t="shared" si="89"/>
        <v>1</v>
      </c>
      <c r="D2867">
        <v>4</v>
      </c>
      <c r="E2867" t="s">
        <v>8</v>
      </c>
      <c r="F2867">
        <v>234</v>
      </c>
      <c r="G2867" s="3">
        <v>3508.02</v>
      </c>
      <c r="H2867" s="3">
        <f>Miami_Retail[[#This Row],[sales_usd]] / Miami_Retail[[#This Row],[customers]]</f>
        <v>14.991538461538461</v>
      </c>
      <c r="I2867">
        <v>91.9</v>
      </c>
      <c r="J2867">
        <f>(Miami_Retail[[#This Row],[avg_temp_f]]-32) * (5/9)</f>
        <v>33.277777777777786</v>
      </c>
      <c r="K2867">
        <v>0</v>
      </c>
      <c r="L2867">
        <v>0</v>
      </c>
      <c r="M2867">
        <v>66.3</v>
      </c>
      <c r="N2867">
        <v>45.8</v>
      </c>
      <c r="O2867">
        <v>54.2</v>
      </c>
      <c r="P2867">
        <v>50.2</v>
      </c>
      <c r="Q2867">
        <v>49.8</v>
      </c>
    </row>
    <row r="2868" spans="1:17" x14ac:dyDescent="0.25">
      <c r="A2868" s="2">
        <v>45600</v>
      </c>
      <c r="B2868" s="2" t="str">
        <f t="shared" si="88"/>
        <v>Monday</v>
      </c>
      <c r="C2868" s="2" t="b">
        <f t="shared" si="89"/>
        <v>0</v>
      </c>
      <c r="D2868">
        <v>4</v>
      </c>
      <c r="E2868" t="s">
        <v>8</v>
      </c>
      <c r="F2868">
        <v>223</v>
      </c>
      <c r="G2868" s="3">
        <v>3627.73</v>
      </c>
      <c r="H2868" s="3">
        <f>Miami_Retail[[#This Row],[sales_usd]] / Miami_Retail[[#This Row],[customers]]</f>
        <v>16.267847533632288</v>
      </c>
      <c r="I2868">
        <v>83.3</v>
      </c>
      <c r="J2868">
        <f>(Miami_Retail[[#This Row],[avg_temp_f]]-32) * (5/9)</f>
        <v>28.5</v>
      </c>
      <c r="K2868">
        <v>0</v>
      </c>
      <c r="L2868">
        <v>0</v>
      </c>
      <c r="M2868">
        <v>72</v>
      </c>
      <c r="N2868">
        <v>47.1</v>
      </c>
      <c r="O2868">
        <v>52.9</v>
      </c>
      <c r="P2868">
        <v>44.3</v>
      </c>
      <c r="Q2868">
        <v>55.7</v>
      </c>
    </row>
    <row r="2869" spans="1:17" x14ac:dyDescent="0.25">
      <c r="A2869" s="2">
        <v>45601</v>
      </c>
      <c r="B2869" s="2" t="str">
        <f t="shared" si="88"/>
        <v>Tuesday</v>
      </c>
      <c r="C2869" s="2" t="b">
        <f t="shared" si="89"/>
        <v>0</v>
      </c>
      <c r="D2869">
        <v>4</v>
      </c>
      <c r="E2869" t="s">
        <v>8</v>
      </c>
      <c r="F2869">
        <v>220</v>
      </c>
      <c r="G2869" s="3">
        <v>3288.58</v>
      </c>
      <c r="H2869" s="3">
        <f>Miami_Retail[[#This Row],[sales_usd]] / Miami_Retail[[#This Row],[customers]]</f>
        <v>14.948090909090908</v>
      </c>
      <c r="I2869">
        <v>83.1</v>
      </c>
      <c r="J2869">
        <f>(Miami_Retail[[#This Row],[avg_temp_f]]-32) * (5/9)</f>
        <v>28.388888888888886</v>
      </c>
      <c r="K2869">
        <v>0.79</v>
      </c>
      <c r="L2869">
        <v>1</v>
      </c>
      <c r="M2869">
        <v>65.8</v>
      </c>
      <c r="N2869">
        <v>46.7</v>
      </c>
      <c r="O2869">
        <v>53.3</v>
      </c>
      <c r="P2869">
        <v>43.6</v>
      </c>
      <c r="Q2869">
        <v>56.4</v>
      </c>
    </row>
    <row r="2870" spans="1:17" x14ac:dyDescent="0.25">
      <c r="A2870" s="2">
        <v>45602</v>
      </c>
      <c r="B2870" s="2" t="str">
        <f t="shared" si="88"/>
        <v>Wednesday</v>
      </c>
      <c r="C2870" s="2" t="b">
        <f t="shared" si="89"/>
        <v>0</v>
      </c>
      <c r="D2870">
        <v>4</v>
      </c>
      <c r="E2870" t="s">
        <v>8</v>
      </c>
      <c r="F2870">
        <v>228</v>
      </c>
      <c r="G2870" s="3">
        <v>3351.66</v>
      </c>
      <c r="H2870" s="3">
        <f>Miami_Retail[[#This Row],[sales_usd]] / Miami_Retail[[#This Row],[customers]]</f>
        <v>14.700263157894737</v>
      </c>
      <c r="I2870">
        <v>86</v>
      </c>
      <c r="J2870">
        <f>(Miami_Retail[[#This Row],[avg_temp_f]]-32) * (5/9)</f>
        <v>30</v>
      </c>
      <c r="K2870">
        <v>0</v>
      </c>
      <c r="L2870">
        <v>0</v>
      </c>
      <c r="M2870">
        <v>58.8</v>
      </c>
      <c r="N2870">
        <v>45</v>
      </c>
      <c r="O2870">
        <v>55</v>
      </c>
      <c r="P2870">
        <v>43.4</v>
      </c>
      <c r="Q2870">
        <v>56.6</v>
      </c>
    </row>
    <row r="2871" spans="1:17" x14ac:dyDescent="0.25">
      <c r="A2871" s="2">
        <v>45603</v>
      </c>
      <c r="B2871" s="2" t="str">
        <f t="shared" si="88"/>
        <v>Thursday</v>
      </c>
      <c r="C2871" s="2" t="b">
        <f t="shared" si="89"/>
        <v>0</v>
      </c>
      <c r="D2871">
        <v>4</v>
      </c>
      <c r="E2871" t="s">
        <v>8</v>
      </c>
      <c r="F2871">
        <v>209</v>
      </c>
      <c r="G2871" s="3">
        <v>3113.24</v>
      </c>
      <c r="H2871" s="3">
        <f>Miami_Retail[[#This Row],[sales_usd]] / Miami_Retail[[#This Row],[customers]]</f>
        <v>14.895885167464114</v>
      </c>
      <c r="I2871">
        <v>83.8</v>
      </c>
      <c r="J2871">
        <f>(Miami_Retail[[#This Row],[avg_temp_f]]-32) * (5/9)</f>
        <v>28.777777777777779</v>
      </c>
      <c r="K2871">
        <v>1.64</v>
      </c>
      <c r="L2871">
        <v>1</v>
      </c>
      <c r="M2871">
        <v>61.6</v>
      </c>
      <c r="N2871">
        <v>45.6</v>
      </c>
      <c r="O2871">
        <v>54.4</v>
      </c>
      <c r="P2871">
        <v>41</v>
      </c>
      <c r="Q2871">
        <v>59</v>
      </c>
    </row>
    <row r="2872" spans="1:17" x14ac:dyDescent="0.25">
      <c r="A2872" s="2">
        <v>45604</v>
      </c>
      <c r="B2872" s="2" t="str">
        <f t="shared" si="88"/>
        <v>Friday</v>
      </c>
      <c r="C2872" s="2" t="b">
        <f t="shared" si="89"/>
        <v>0</v>
      </c>
      <c r="D2872">
        <v>4</v>
      </c>
      <c r="E2872" t="s">
        <v>8</v>
      </c>
      <c r="F2872">
        <v>172</v>
      </c>
      <c r="G2872" s="3">
        <v>2766.72</v>
      </c>
      <c r="H2872" s="3">
        <f>Miami_Retail[[#This Row],[sales_usd]] / Miami_Retail[[#This Row],[customers]]</f>
        <v>16.085581395348836</v>
      </c>
      <c r="I2872">
        <v>82.8</v>
      </c>
      <c r="J2872">
        <f>(Miami_Retail[[#This Row],[avg_temp_f]]-32) * (5/9)</f>
        <v>28.222222222222221</v>
      </c>
      <c r="K2872">
        <v>0</v>
      </c>
      <c r="L2872">
        <v>0</v>
      </c>
      <c r="M2872">
        <v>76</v>
      </c>
      <c r="N2872">
        <v>47.7</v>
      </c>
      <c r="O2872">
        <v>52.3</v>
      </c>
      <c r="P2872">
        <v>44.1</v>
      </c>
      <c r="Q2872">
        <v>55.9</v>
      </c>
    </row>
    <row r="2873" spans="1:17" x14ac:dyDescent="0.25">
      <c r="A2873" s="2">
        <v>45605</v>
      </c>
      <c r="B2873" s="2" t="str">
        <f t="shared" si="88"/>
        <v>Saturday</v>
      </c>
      <c r="C2873" s="2" t="b">
        <f t="shared" si="89"/>
        <v>1</v>
      </c>
      <c r="D2873">
        <v>4</v>
      </c>
      <c r="E2873" t="s">
        <v>8</v>
      </c>
      <c r="F2873">
        <v>262</v>
      </c>
      <c r="G2873" s="3">
        <v>4182.63</v>
      </c>
      <c r="H2873" s="3">
        <f>Miami_Retail[[#This Row],[sales_usd]] / Miami_Retail[[#This Row],[customers]]</f>
        <v>15.964236641221374</v>
      </c>
      <c r="I2873">
        <v>88</v>
      </c>
      <c r="J2873">
        <f>(Miami_Retail[[#This Row],[avg_temp_f]]-32) * (5/9)</f>
        <v>31.111111111111114</v>
      </c>
      <c r="K2873">
        <v>0</v>
      </c>
      <c r="L2873">
        <v>0</v>
      </c>
      <c r="M2873">
        <v>68.3</v>
      </c>
      <c r="N2873">
        <v>45.9</v>
      </c>
      <c r="O2873">
        <v>54.1</v>
      </c>
      <c r="P2873">
        <v>50</v>
      </c>
      <c r="Q2873">
        <v>50</v>
      </c>
    </row>
    <row r="2874" spans="1:17" x14ac:dyDescent="0.25">
      <c r="A2874" s="2">
        <v>45606</v>
      </c>
      <c r="B2874" s="2" t="str">
        <f t="shared" si="88"/>
        <v>Sunday</v>
      </c>
      <c r="C2874" s="2" t="b">
        <f t="shared" si="89"/>
        <v>1</v>
      </c>
      <c r="D2874">
        <v>4</v>
      </c>
      <c r="E2874" t="s">
        <v>8</v>
      </c>
      <c r="F2874">
        <v>226</v>
      </c>
      <c r="G2874" s="3">
        <v>3538.14</v>
      </c>
      <c r="H2874" s="3">
        <f>Miami_Retail[[#This Row],[sales_usd]] / Miami_Retail[[#This Row],[customers]]</f>
        <v>15.655486725663716</v>
      </c>
      <c r="I2874">
        <v>86.7</v>
      </c>
      <c r="J2874">
        <f>(Miami_Retail[[#This Row],[avg_temp_f]]-32) * (5/9)</f>
        <v>30.388888888888893</v>
      </c>
      <c r="K2874">
        <v>0</v>
      </c>
      <c r="L2874">
        <v>0</v>
      </c>
      <c r="M2874">
        <v>61.7</v>
      </c>
      <c r="N2874">
        <v>45.2</v>
      </c>
      <c r="O2874">
        <v>54.8</v>
      </c>
      <c r="P2874">
        <v>49.7</v>
      </c>
      <c r="Q2874">
        <v>50.3</v>
      </c>
    </row>
    <row r="2875" spans="1:17" x14ac:dyDescent="0.25">
      <c r="A2875" s="2">
        <v>45607</v>
      </c>
      <c r="B2875" s="2" t="str">
        <f t="shared" si="88"/>
        <v>Monday</v>
      </c>
      <c r="C2875" s="2" t="b">
        <f t="shared" si="89"/>
        <v>0</v>
      </c>
      <c r="D2875">
        <v>4</v>
      </c>
      <c r="E2875" t="s">
        <v>8</v>
      </c>
      <c r="F2875">
        <v>225</v>
      </c>
      <c r="G2875" s="3">
        <v>3815.35</v>
      </c>
      <c r="H2875" s="3">
        <f>Miami_Retail[[#This Row],[sales_usd]] / Miami_Retail[[#This Row],[customers]]</f>
        <v>16.957111111111111</v>
      </c>
      <c r="I2875">
        <v>85.1</v>
      </c>
      <c r="J2875">
        <f>(Miami_Retail[[#This Row],[avg_temp_f]]-32) * (5/9)</f>
        <v>29.499999999999996</v>
      </c>
      <c r="K2875">
        <v>0</v>
      </c>
      <c r="L2875">
        <v>0</v>
      </c>
      <c r="M2875">
        <v>62.7</v>
      </c>
      <c r="N2875">
        <v>46.2</v>
      </c>
      <c r="O2875">
        <v>53.8</v>
      </c>
      <c r="P2875">
        <v>44.5</v>
      </c>
      <c r="Q2875">
        <v>55.5</v>
      </c>
    </row>
    <row r="2876" spans="1:17" x14ac:dyDescent="0.25">
      <c r="A2876" s="2">
        <v>45608</v>
      </c>
      <c r="B2876" s="2" t="str">
        <f t="shared" si="88"/>
        <v>Tuesday</v>
      </c>
      <c r="C2876" s="2" t="b">
        <f t="shared" si="89"/>
        <v>0</v>
      </c>
      <c r="D2876">
        <v>4</v>
      </c>
      <c r="E2876" t="s">
        <v>8</v>
      </c>
      <c r="F2876">
        <v>230</v>
      </c>
      <c r="G2876" s="3">
        <v>3527.8</v>
      </c>
      <c r="H2876" s="3">
        <f>Miami_Retail[[#This Row],[sales_usd]] / Miami_Retail[[#This Row],[customers]]</f>
        <v>15.338260869565218</v>
      </c>
      <c r="I2876">
        <v>84.9</v>
      </c>
      <c r="J2876">
        <f>(Miami_Retail[[#This Row],[avg_temp_f]]-32) * (5/9)</f>
        <v>29.388888888888893</v>
      </c>
      <c r="K2876">
        <v>0</v>
      </c>
      <c r="L2876">
        <v>0</v>
      </c>
      <c r="M2876">
        <v>66.3</v>
      </c>
      <c r="N2876">
        <v>46.5</v>
      </c>
      <c r="O2876">
        <v>53.5</v>
      </c>
      <c r="P2876">
        <v>43.5</v>
      </c>
      <c r="Q2876">
        <v>56.5</v>
      </c>
    </row>
    <row r="2877" spans="1:17" x14ac:dyDescent="0.25">
      <c r="A2877" s="2">
        <v>45609</v>
      </c>
      <c r="B2877" s="2" t="str">
        <f t="shared" si="88"/>
        <v>Wednesday</v>
      </c>
      <c r="C2877" s="2" t="b">
        <f t="shared" si="89"/>
        <v>0</v>
      </c>
      <c r="D2877">
        <v>4</v>
      </c>
      <c r="E2877" t="s">
        <v>8</v>
      </c>
      <c r="F2877">
        <v>207</v>
      </c>
      <c r="G2877" s="3">
        <v>3519.92</v>
      </c>
      <c r="H2877" s="3">
        <f>Miami_Retail[[#This Row],[sales_usd]] / Miami_Retail[[#This Row],[customers]]</f>
        <v>17.004444444444445</v>
      </c>
      <c r="I2877">
        <v>85.9</v>
      </c>
      <c r="J2877">
        <f>(Miami_Retail[[#This Row],[avg_temp_f]]-32) * (5/9)</f>
        <v>29.94444444444445</v>
      </c>
      <c r="K2877">
        <v>0</v>
      </c>
      <c r="L2877">
        <v>0</v>
      </c>
      <c r="M2877">
        <v>62</v>
      </c>
      <c r="N2877">
        <v>46.2</v>
      </c>
      <c r="O2877">
        <v>53.8</v>
      </c>
      <c r="P2877">
        <v>43.3</v>
      </c>
      <c r="Q2877">
        <v>56.7</v>
      </c>
    </row>
    <row r="2878" spans="1:17" x14ac:dyDescent="0.25">
      <c r="A2878" s="2">
        <v>45610</v>
      </c>
      <c r="B2878" s="2" t="str">
        <f t="shared" si="88"/>
        <v>Thursday</v>
      </c>
      <c r="C2878" s="2" t="b">
        <f t="shared" si="89"/>
        <v>0</v>
      </c>
      <c r="D2878">
        <v>4</v>
      </c>
      <c r="E2878" t="s">
        <v>8</v>
      </c>
      <c r="F2878">
        <v>216</v>
      </c>
      <c r="G2878" s="3">
        <v>3298.72</v>
      </c>
      <c r="H2878" s="3">
        <f>Miami_Retail[[#This Row],[sales_usd]] / Miami_Retail[[#This Row],[customers]]</f>
        <v>15.271851851851851</v>
      </c>
      <c r="I2878">
        <v>76.2</v>
      </c>
      <c r="J2878">
        <f>(Miami_Retail[[#This Row],[avg_temp_f]]-32) * (5/9)</f>
        <v>24.555555555555557</v>
      </c>
      <c r="K2878">
        <v>0</v>
      </c>
      <c r="L2878">
        <v>0</v>
      </c>
      <c r="M2878">
        <v>61.6</v>
      </c>
      <c r="N2878">
        <v>45.9</v>
      </c>
      <c r="O2878">
        <v>54.1</v>
      </c>
      <c r="P2878">
        <v>42.4</v>
      </c>
      <c r="Q2878">
        <v>57.6</v>
      </c>
    </row>
    <row r="2879" spans="1:17" x14ac:dyDescent="0.25">
      <c r="A2879" s="2">
        <v>45611</v>
      </c>
      <c r="B2879" s="2" t="str">
        <f t="shared" si="88"/>
        <v>Friday</v>
      </c>
      <c r="C2879" s="2" t="b">
        <f t="shared" si="89"/>
        <v>0</v>
      </c>
      <c r="D2879">
        <v>4</v>
      </c>
      <c r="E2879" t="s">
        <v>8</v>
      </c>
      <c r="F2879">
        <v>200</v>
      </c>
      <c r="G2879" s="3">
        <v>2733.75</v>
      </c>
      <c r="H2879" s="3">
        <f>Miami_Retail[[#This Row],[sales_usd]] / Miami_Retail[[#This Row],[customers]]</f>
        <v>13.668749999999999</v>
      </c>
      <c r="I2879">
        <v>77.599999999999994</v>
      </c>
      <c r="J2879">
        <f>(Miami_Retail[[#This Row],[avg_temp_f]]-32) * (5/9)</f>
        <v>25.333333333333332</v>
      </c>
      <c r="K2879">
        <v>0</v>
      </c>
      <c r="L2879">
        <v>0</v>
      </c>
      <c r="M2879">
        <v>59.7</v>
      </c>
      <c r="N2879">
        <v>47.2</v>
      </c>
      <c r="O2879">
        <v>52.8</v>
      </c>
      <c r="P2879">
        <v>45</v>
      </c>
      <c r="Q2879">
        <v>55</v>
      </c>
    </row>
    <row r="2880" spans="1:17" x14ac:dyDescent="0.25">
      <c r="A2880" s="2">
        <v>45612</v>
      </c>
      <c r="B2880" s="2" t="str">
        <f t="shared" si="88"/>
        <v>Saturday</v>
      </c>
      <c r="C2880" s="2" t="b">
        <f t="shared" si="89"/>
        <v>1</v>
      </c>
      <c r="D2880">
        <v>4</v>
      </c>
      <c r="E2880" t="s">
        <v>8</v>
      </c>
      <c r="F2880">
        <v>256</v>
      </c>
      <c r="G2880" s="3">
        <v>3753.53</v>
      </c>
      <c r="H2880" s="3">
        <f>Miami_Retail[[#This Row],[sales_usd]] / Miami_Retail[[#This Row],[customers]]</f>
        <v>14.662226562500001</v>
      </c>
      <c r="I2880">
        <v>88.2</v>
      </c>
      <c r="J2880">
        <f>(Miami_Retail[[#This Row],[avg_temp_f]]-32) * (5/9)</f>
        <v>31.222222222222225</v>
      </c>
      <c r="K2880">
        <v>0</v>
      </c>
      <c r="L2880">
        <v>0</v>
      </c>
      <c r="M2880">
        <v>59.8</v>
      </c>
      <c r="N2880">
        <v>47.3</v>
      </c>
      <c r="O2880">
        <v>52.7</v>
      </c>
      <c r="P2880">
        <v>49</v>
      </c>
      <c r="Q2880">
        <v>51</v>
      </c>
    </row>
    <row r="2881" spans="1:17" x14ac:dyDescent="0.25">
      <c r="A2881" s="2">
        <v>45613</v>
      </c>
      <c r="B2881" s="2" t="str">
        <f t="shared" si="88"/>
        <v>Sunday</v>
      </c>
      <c r="C2881" s="2" t="b">
        <f t="shared" si="89"/>
        <v>1</v>
      </c>
      <c r="D2881">
        <v>4</v>
      </c>
      <c r="E2881" t="s">
        <v>8</v>
      </c>
      <c r="F2881">
        <v>235</v>
      </c>
      <c r="G2881" s="3">
        <v>3515.25</v>
      </c>
      <c r="H2881" s="3">
        <f>Miami_Retail[[#This Row],[sales_usd]] / Miami_Retail[[#This Row],[customers]]</f>
        <v>14.958510638297872</v>
      </c>
      <c r="I2881">
        <v>86.1</v>
      </c>
      <c r="J2881">
        <f>(Miami_Retail[[#This Row],[avg_temp_f]]-32) * (5/9)</f>
        <v>30.055555555555554</v>
      </c>
      <c r="K2881">
        <v>2.02</v>
      </c>
      <c r="L2881">
        <v>1</v>
      </c>
      <c r="M2881">
        <v>56.6</v>
      </c>
      <c r="N2881">
        <v>45.6</v>
      </c>
      <c r="O2881">
        <v>54.4</v>
      </c>
      <c r="P2881">
        <v>50.2</v>
      </c>
      <c r="Q2881">
        <v>49.8</v>
      </c>
    </row>
    <row r="2882" spans="1:17" x14ac:dyDescent="0.25">
      <c r="A2882" s="2">
        <v>45614</v>
      </c>
      <c r="B2882" s="2" t="str">
        <f t="shared" ref="B2882:B2925" si="90">TEXT(A2882, "dddd")</f>
        <v>Monday</v>
      </c>
      <c r="C2882" s="2" t="b">
        <f t="shared" ref="C2882:C2925" si="91">IF(WEEKDAY(A2882,2)&gt;5,TRUE,FALSE)</f>
        <v>0</v>
      </c>
      <c r="D2882">
        <v>4</v>
      </c>
      <c r="E2882" t="s">
        <v>8</v>
      </c>
      <c r="F2882">
        <v>221</v>
      </c>
      <c r="G2882" s="3">
        <v>3221.39</v>
      </c>
      <c r="H2882" s="3">
        <f>Miami_Retail[[#This Row],[sales_usd]] / Miami_Retail[[#This Row],[customers]]</f>
        <v>14.576425339366516</v>
      </c>
      <c r="I2882">
        <v>81.099999999999994</v>
      </c>
      <c r="J2882">
        <f>(Miami_Retail[[#This Row],[avg_temp_f]]-32) * (5/9)</f>
        <v>27.277777777777775</v>
      </c>
      <c r="K2882">
        <v>0</v>
      </c>
      <c r="L2882">
        <v>0</v>
      </c>
      <c r="M2882">
        <v>58.6</v>
      </c>
      <c r="N2882">
        <v>46.2</v>
      </c>
      <c r="O2882">
        <v>53.8</v>
      </c>
      <c r="P2882">
        <v>44.5</v>
      </c>
      <c r="Q2882">
        <v>55.5</v>
      </c>
    </row>
    <row r="2883" spans="1:17" x14ac:dyDescent="0.25">
      <c r="A2883" s="2">
        <v>45615</v>
      </c>
      <c r="B2883" s="2" t="str">
        <f t="shared" si="90"/>
        <v>Tuesday</v>
      </c>
      <c r="C2883" s="2" t="b">
        <f t="shared" si="91"/>
        <v>0</v>
      </c>
      <c r="D2883">
        <v>4</v>
      </c>
      <c r="E2883" t="s">
        <v>8</v>
      </c>
      <c r="F2883">
        <v>227</v>
      </c>
      <c r="G2883" s="3">
        <v>3526.62</v>
      </c>
      <c r="H2883" s="3">
        <f>Miami_Retail[[#This Row],[sales_usd]] / Miami_Retail[[#This Row],[customers]]</f>
        <v>15.535770925110132</v>
      </c>
      <c r="I2883">
        <v>82.6</v>
      </c>
      <c r="J2883">
        <f>(Miami_Retail[[#This Row],[avg_temp_f]]-32) * (5/9)</f>
        <v>28.111111111111111</v>
      </c>
      <c r="K2883">
        <v>0</v>
      </c>
      <c r="L2883">
        <v>0</v>
      </c>
      <c r="M2883">
        <v>58.3</v>
      </c>
      <c r="N2883">
        <v>45.5</v>
      </c>
      <c r="O2883">
        <v>54.5</v>
      </c>
      <c r="P2883">
        <v>43.5</v>
      </c>
      <c r="Q2883">
        <v>56.5</v>
      </c>
    </row>
    <row r="2884" spans="1:17" x14ac:dyDescent="0.25">
      <c r="A2884" s="2">
        <v>45616</v>
      </c>
      <c r="B2884" s="2" t="str">
        <f t="shared" si="90"/>
        <v>Wednesday</v>
      </c>
      <c r="C2884" s="2" t="b">
        <f t="shared" si="91"/>
        <v>0</v>
      </c>
      <c r="D2884">
        <v>4</v>
      </c>
      <c r="E2884" t="s">
        <v>8</v>
      </c>
      <c r="F2884">
        <v>233</v>
      </c>
      <c r="G2884" s="3">
        <v>3734.02</v>
      </c>
      <c r="H2884" s="3">
        <f>Miami_Retail[[#This Row],[sales_usd]] / Miami_Retail[[#This Row],[customers]]</f>
        <v>16.025836909871245</v>
      </c>
      <c r="I2884">
        <v>85.9</v>
      </c>
      <c r="J2884">
        <f>(Miami_Retail[[#This Row],[avg_temp_f]]-32) * (5/9)</f>
        <v>29.94444444444445</v>
      </c>
      <c r="K2884">
        <v>0</v>
      </c>
      <c r="L2884">
        <v>0</v>
      </c>
      <c r="M2884">
        <v>67.400000000000006</v>
      </c>
      <c r="N2884">
        <v>46.7</v>
      </c>
      <c r="O2884">
        <v>53.3</v>
      </c>
      <c r="P2884">
        <v>43.8</v>
      </c>
      <c r="Q2884">
        <v>56.2</v>
      </c>
    </row>
    <row r="2885" spans="1:17" x14ac:dyDescent="0.25">
      <c r="A2885" s="2">
        <v>45617</v>
      </c>
      <c r="B2885" s="2" t="str">
        <f t="shared" si="90"/>
        <v>Thursday</v>
      </c>
      <c r="C2885" s="2" t="b">
        <f t="shared" si="91"/>
        <v>0</v>
      </c>
      <c r="D2885">
        <v>4</v>
      </c>
      <c r="E2885" t="s">
        <v>8</v>
      </c>
      <c r="F2885">
        <v>198</v>
      </c>
      <c r="G2885" s="3">
        <v>3155.35</v>
      </c>
      <c r="H2885" s="3">
        <f>Miami_Retail[[#This Row],[sales_usd]] / Miami_Retail[[#This Row],[customers]]</f>
        <v>15.93611111111111</v>
      </c>
      <c r="I2885">
        <v>82.3</v>
      </c>
      <c r="J2885">
        <f>(Miami_Retail[[#This Row],[avg_temp_f]]-32) * (5/9)</f>
        <v>27.944444444444443</v>
      </c>
      <c r="K2885">
        <v>0</v>
      </c>
      <c r="L2885">
        <v>0</v>
      </c>
      <c r="M2885">
        <v>60.6</v>
      </c>
      <c r="N2885">
        <v>46.9</v>
      </c>
      <c r="O2885">
        <v>53.1</v>
      </c>
      <c r="P2885">
        <v>44.5</v>
      </c>
      <c r="Q2885">
        <v>55.5</v>
      </c>
    </row>
    <row r="2886" spans="1:17" x14ac:dyDescent="0.25">
      <c r="A2886" s="2">
        <v>45618</v>
      </c>
      <c r="B2886" s="2" t="str">
        <f t="shared" si="90"/>
        <v>Friday</v>
      </c>
      <c r="C2886" s="2" t="b">
        <f t="shared" si="91"/>
        <v>0</v>
      </c>
      <c r="D2886">
        <v>4</v>
      </c>
      <c r="E2886" t="s">
        <v>8</v>
      </c>
      <c r="F2886">
        <v>174</v>
      </c>
      <c r="G2886" s="3">
        <v>2676.17</v>
      </c>
      <c r="H2886" s="3">
        <f>Miami_Retail[[#This Row],[sales_usd]] / Miami_Retail[[#This Row],[customers]]</f>
        <v>15.380287356321839</v>
      </c>
      <c r="I2886">
        <v>77.400000000000006</v>
      </c>
      <c r="J2886">
        <f>(Miami_Retail[[#This Row],[avg_temp_f]]-32) * (5/9)</f>
        <v>25.222222222222225</v>
      </c>
      <c r="K2886">
        <v>0</v>
      </c>
      <c r="L2886">
        <v>0</v>
      </c>
      <c r="M2886">
        <v>67</v>
      </c>
      <c r="N2886">
        <v>46</v>
      </c>
      <c r="O2886">
        <v>54</v>
      </c>
      <c r="P2886">
        <v>43.8</v>
      </c>
      <c r="Q2886">
        <v>56.2</v>
      </c>
    </row>
    <row r="2887" spans="1:17" x14ac:dyDescent="0.25">
      <c r="A2887" s="2">
        <v>45619</v>
      </c>
      <c r="B2887" s="2" t="str">
        <f t="shared" si="90"/>
        <v>Saturday</v>
      </c>
      <c r="C2887" s="2" t="b">
        <f t="shared" si="91"/>
        <v>1</v>
      </c>
      <c r="D2887">
        <v>4</v>
      </c>
      <c r="E2887" t="s">
        <v>8</v>
      </c>
      <c r="F2887">
        <v>242</v>
      </c>
      <c r="G2887" s="3">
        <v>4151.97</v>
      </c>
      <c r="H2887" s="3">
        <f>Miami_Retail[[#This Row],[sales_usd]] / Miami_Retail[[#This Row],[customers]]</f>
        <v>17.156900826446282</v>
      </c>
      <c r="I2887">
        <v>78.7</v>
      </c>
      <c r="J2887">
        <f>(Miami_Retail[[#This Row],[avg_temp_f]]-32) * (5/9)</f>
        <v>25.944444444444446</v>
      </c>
      <c r="K2887">
        <v>0</v>
      </c>
      <c r="L2887">
        <v>0</v>
      </c>
      <c r="M2887">
        <v>65.5</v>
      </c>
      <c r="N2887">
        <v>47.2</v>
      </c>
      <c r="O2887">
        <v>52.8</v>
      </c>
      <c r="P2887">
        <v>52</v>
      </c>
      <c r="Q2887">
        <v>48</v>
      </c>
    </row>
    <row r="2888" spans="1:17" x14ac:dyDescent="0.25">
      <c r="A2888" s="2">
        <v>45620</v>
      </c>
      <c r="B2888" s="2" t="str">
        <f t="shared" si="90"/>
        <v>Sunday</v>
      </c>
      <c r="C2888" s="2" t="b">
        <f t="shared" si="91"/>
        <v>1</v>
      </c>
      <c r="D2888">
        <v>4</v>
      </c>
      <c r="E2888" t="s">
        <v>8</v>
      </c>
      <c r="F2888">
        <v>250</v>
      </c>
      <c r="G2888" s="3">
        <v>4110.51</v>
      </c>
      <c r="H2888" s="3">
        <f>Miami_Retail[[#This Row],[sales_usd]] / Miami_Retail[[#This Row],[customers]]</f>
        <v>16.442040000000002</v>
      </c>
      <c r="I2888">
        <v>84.5</v>
      </c>
      <c r="J2888">
        <f>(Miami_Retail[[#This Row],[avg_temp_f]]-32) * (5/9)</f>
        <v>29.166666666666668</v>
      </c>
      <c r="K2888">
        <v>0</v>
      </c>
      <c r="L2888">
        <v>0</v>
      </c>
      <c r="M2888">
        <v>62.6</v>
      </c>
      <c r="N2888">
        <v>47.9</v>
      </c>
      <c r="O2888">
        <v>52.1</v>
      </c>
      <c r="P2888">
        <v>50.7</v>
      </c>
      <c r="Q2888">
        <v>49.3</v>
      </c>
    </row>
    <row r="2889" spans="1:17" x14ac:dyDescent="0.25">
      <c r="A2889" s="2">
        <v>45621</v>
      </c>
      <c r="B2889" s="2" t="str">
        <f t="shared" si="90"/>
        <v>Monday</v>
      </c>
      <c r="C2889" s="2" t="b">
        <f t="shared" si="91"/>
        <v>0</v>
      </c>
      <c r="D2889">
        <v>4</v>
      </c>
      <c r="E2889" t="s">
        <v>8</v>
      </c>
      <c r="F2889">
        <v>190</v>
      </c>
      <c r="G2889" s="3">
        <v>2757.07</v>
      </c>
      <c r="H2889" s="3">
        <f>Miami_Retail[[#This Row],[sales_usd]] / Miami_Retail[[#This Row],[customers]]</f>
        <v>14.510894736842106</v>
      </c>
      <c r="I2889">
        <v>83.9</v>
      </c>
      <c r="J2889">
        <f>(Miami_Retail[[#This Row],[avg_temp_f]]-32) * (5/9)</f>
        <v>28.833333333333339</v>
      </c>
      <c r="K2889">
        <v>0</v>
      </c>
      <c r="L2889">
        <v>0</v>
      </c>
      <c r="M2889">
        <v>56.8</v>
      </c>
      <c r="N2889">
        <v>47.4</v>
      </c>
      <c r="O2889">
        <v>52.6</v>
      </c>
      <c r="P2889">
        <v>43.4</v>
      </c>
      <c r="Q2889">
        <v>56.6</v>
      </c>
    </row>
    <row r="2890" spans="1:17" x14ac:dyDescent="0.25">
      <c r="A2890" s="2">
        <v>45622</v>
      </c>
      <c r="B2890" s="2" t="str">
        <f t="shared" si="90"/>
        <v>Tuesday</v>
      </c>
      <c r="C2890" s="2" t="b">
        <f t="shared" si="91"/>
        <v>0</v>
      </c>
      <c r="D2890">
        <v>4</v>
      </c>
      <c r="E2890" t="s">
        <v>8</v>
      </c>
      <c r="F2890">
        <v>223</v>
      </c>
      <c r="G2890" s="3">
        <v>3549.07</v>
      </c>
      <c r="H2890" s="3">
        <f>Miami_Retail[[#This Row],[sales_usd]] / Miami_Retail[[#This Row],[customers]]</f>
        <v>15.915112107623319</v>
      </c>
      <c r="I2890">
        <v>84.8</v>
      </c>
      <c r="J2890">
        <f>(Miami_Retail[[#This Row],[avg_temp_f]]-32) * (5/9)</f>
        <v>29.333333333333332</v>
      </c>
      <c r="K2890">
        <v>0.74</v>
      </c>
      <c r="L2890">
        <v>1</v>
      </c>
      <c r="M2890">
        <v>59</v>
      </c>
      <c r="N2890">
        <v>48</v>
      </c>
      <c r="O2890">
        <v>52</v>
      </c>
      <c r="P2890">
        <v>42.4</v>
      </c>
      <c r="Q2890">
        <v>57.6</v>
      </c>
    </row>
    <row r="2891" spans="1:17" x14ac:dyDescent="0.25">
      <c r="A2891" s="2">
        <v>45623</v>
      </c>
      <c r="B2891" s="2" t="str">
        <f t="shared" si="90"/>
        <v>Wednesday</v>
      </c>
      <c r="C2891" s="2" t="b">
        <f t="shared" si="91"/>
        <v>0</v>
      </c>
      <c r="D2891">
        <v>4</v>
      </c>
      <c r="E2891" t="s">
        <v>8</v>
      </c>
      <c r="F2891">
        <v>243</v>
      </c>
      <c r="G2891" s="3">
        <v>4139.92</v>
      </c>
      <c r="H2891" s="3">
        <f>Miami_Retail[[#This Row],[sales_usd]] / Miami_Retail[[#This Row],[customers]]</f>
        <v>17.03670781893004</v>
      </c>
      <c r="I2891">
        <v>92.3</v>
      </c>
      <c r="J2891">
        <f>(Miami_Retail[[#This Row],[avg_temp_f]]-32) * (5/9)</f>
        <v>33.5</v>
      </c>
      <c r="K2891">
        <v>0</v>
      </c>
      <c r="L2891">
        <v>0</v>
      </c>
      <c r="M2891">
        <v>61.9</v>
      </c>
      <c r="N2891">
        <v>47.9</v>
      </c>
      <c r="O2891">
        <v>52.1</v>
      </c>
      <c r="P2891">
        <v>45</v>
      </c>
      <c r="Q2891">
        <v>55</v>
      </c>
    </row>
    <row r="2892" spans="1:17" x14ac:dyDescent="0.25">
      <c r="A2892" s="2">
        <v>45624</v>
      </c>
      <c r="B2892" s="2" t="str">
        <f t="shared" si="90"/>
        <v>Thursday</v>
      </c>
      <c r="C2892" s="2" t="b">
        <f t="shared" si="91"/>
        <v>0</v>
      </c>
      <c r="D2892">
        <v>4</v>
      </c>
      <c r="E2892" t="s">
        <v>8</v>
      </c>
      <c r="F2892">
        <v>186</v>
      </c>
      <c r="G2892" s="3">
        <v>2949.49</v>
      </c>
      <c r="H2892" s="3">
        <f>Miami_Retail[[#This Row],[sales_usd]] / Miami_Retail[[#This Row],[customers]]</f>
        <v>15.857473118279568</v>
      </c>
      <c r="I2892">
        <v>77.3</v>
      </c>
      <c r="J2892">
        <f>(Miami_Retail[[#This Row],[avg_temp_f]]-32) * (5/9)</f>
        <v>25.166666666666668</v>
      </c>
      <c r="K2892">
        <v>0</v>
      </c>
      <c r="L2892">
        <v>0</v>
      </c>
      <c r="M2892">
        <v>56.7</v>
      </c>
      <c r="N2892">
        <v>48.3</v>
      </c>
      <c r="O2892">
        <v>51.7</v>
      </c>
      <c r="P2892">
        <v>43.1</v>
      </c>
      <c r="Q2892">
        <v>56.9</v>
      </c>
    </row>
    <row r="2893" spans="1:17" x14ac:dyDescent="0.25">
      <c r="A2893" s="2">
        <v>45625</v>
      </c>
      <c r="B2893" s="2" t="str">
        <f t="shared" si="90"/>
        <v>Friday</v>
      </c>
      <c r="C2893" s="2" t="b">
        <f t="shared" si="91"/>
        <v>0</v>
      </c>
      <c r="D2893">
        <v>4</v>
      </c>
      <c r="E2893" t="s">
        <v>8</v>
      </c>
      <c r="F2893">
        <v>181</v>
      </c>
      <c r="G2893" s="3">
        <v>3029.73</v>
      </c>
      <c r="H2893" s="3">
        <f>Miami_Retail[[#This Row],[sales_usd]] / Miami_Retail[[#This Row],[customers]]</f>
        <v>16.738839779005524</v>
      </c>
      <c r="I2893">
        <v>82.8</v>
      </c>
      <c r="J2893">
        <f>(Miami_Retail[[#This Row],[avg_temp_f]]-32) * (5/9)</f>
        <v>28.222222222222221</v>
      </c>
      <c r="K2893">
        <v>0</v>
      </c>
      <c r="L2893">
        <v>0</v>
      </c>
      <c r="M2893">
        <v>67.900000000000006</v>
      </c>
      <c r="N2893">
        <v>48.8</v>
      </c>
      <c r="O2893">
        <v>51.2</v>
      </c>
      <c r="P2893">
        <v>43.7</v>
      </c>
      <c r="Q2893">
        <v>56.3</v>
      </c>
    </row>
    <row r="2894" spans="1:17" x14ac:dyDescent="0.25">
      <c r="A2894" s="2">
        <v>45626</v>
      </c>
      <c r="B2894" s="2" t="str">
        <f t="shared" si="90"/>
        <v>Saturday</v>
      </c>
      <c r="C2894" s="2" t="b">
        <f t="shared" si="91"/>
        <v>1</v>
      </c>
      <c r="D2894">
        <v>4</v>
      </c>
      <c r="E2894" t="s">
        <v>8</v>
      </c>
      <c r="F2894">
        <v>251</v>
      </c>
      <c r="G2894" s="3">
        <v>3912.49</v>
      </c>
      <c r="H2894" s="3">
        <f>Miami_Retail[[#This Row],[sales_usd]] / Miami_Retail[[#This Row],[customers]]</f>
        <v>15.587609561752988</v>
      </c>
      <c r="I2894">
        <v>81.400000000000006</v>
      </c>
      <c r="J2894">
        <f>(Miami_Retail[[#This Row],[avg_temp_f]]-32) * (5/9)</f>
        <v>27.44444444444445</v>
      </c>
      <c r="K2894">
        <v>0</v>
      </c>
      <c r="L2894">
        <v>0</v>
      </c>
      <c r="M2894">
        <v>57.2</v>
      </c>
      <c r="N2894">
        <v>47.6</v>
      </c>
      <c r="O2894">
        <v>52.4</v>
      </c>
      <c r="P2894">
        <v>50.4</v>
      </c>
      <c r="Q2894">
        <v>49.6</v>
      </c>
    </row>
    <row r="2895" spans="1:17" x14ac:dyDescent="0.25">
      <c r="A2895" s="2">
        <v>45627</v>
      </c>
      <c r="B2895" s="2" t="str">
        <f t="shared" si="90"/>
        <v>Sunday</v>
      </c>
      <c r="C2895" s="2" t="b">
        <f t="shared" si="91"/>
        <v>1</v>
      </c>
      <c r="D2895">
        <v>4</v>
      </c>
      <c r="E2895" t="s">
        <v>8</v>
      </c>
      <c r="F2895">
        <v>235</v>
      </c>
      <c r="G2895" s="3">
        <v>3723.93</v>
      </c>
      <c r="H2895" s="3">
        <f>Miami_Retail[[#This Row],[sales_usd]] / Miami_Retail[[#This Row],[customers]]</f>
        <v>15.846510638297872</v>
      </c>
      <c r="I2895">
        <v>80.5</v>
      </c>
      <c r="J2895">
        <f>(Miami_Retail[[#This Row],[avg_temp_f]]-32) * (5/9)</f>
        <v>26.944444444444446</v>
      </c>
      <c r="K2895">
        <v>0</v>
      </c>
      <c r="L2895">
        <v>0</v>
      </c>
      <c r="M2895">
        <v>57.8</v>
      </c>
      <c r="N2895">
        <v>48.5</v>
      </c>
      <c r="O2895">
        <v>51.5</v>
      </c>
      <c r="P2895">
        <v>50</v>
      </c>
      <c r="Q2895">
        <v>50</v>
      </c>
    </row>
    <row r="2896" spans="1:17" x14ac:dyDescent="0.25">
      <c r="A2896" s="2">
        <v>45628</v>
      </c>
      <c r="B2896" s="2" t="str">
        <f t="shared" si="90"/>
        <v>Monday</v>
      </c>
      <c r="C2896" s="2" t="b">
        <f t="shared" si="91"/>
        <v>0</v>
      </c>
      <c r="D2896">
        <v>4</v>
      </c>
      <c r="E2896" t="s">
        <v>8</v>
      </c>
      <c r="F2896">
        <v>235</v>
      </c>
      <c r="G2896" s="3">
        <v>3835.02</v>
      </c>
      <c r="H2896" s="3">
        <f>Miami_Retail[[#This Row],[sales_usd]] / Miami_Retail[[#This Row],[customers]]</f>
        <v>16.319234042553191</v>
      </c>
      <c r="I2896">
        <v>83.8</v>
      </c>
      <c r="J2896">
        <f>(Miami_Retail[[#This Row],[avg_temp_f]]-32) * (5/9)</f>
        <v>28.777777777777779</v>
      </c>
      <c r="K2896">
        <v>0</v>
      </c>
      <c r="L2896">
        <v>0</v>
      </c>
      <c r="M2896">
        <v>60.4</v>
      </c>
      <c r="N2896">
        <v>48</v>
      </c>
      <c r="O2896">
        <v>52</v>
      </c>
      <c r="P2896">
        <v>45.5</v>
      </c>
      <c r="Q2896">
        <v>54.5</v>
      </c>
    </row>
    <row r="2897" spans="1:17" x14ac:dyDescent="0.25">
      <c r="A2897" s="2">
        <v>45629</v>
      </c>
      <c r="B2897" s="2" t="str">
        <f t="shared" si="90"/>
        <v>Tuesday</v>
      </c>
      <c r="C2897" s="2" t="b">
        <f t="shared" si="91"/>
        <v>0</v>
      </c>
      <c r="D2897">
        <v>4</v>
      </c>
      <c r="E2897" t="s">
        <v>8</v>
      </c>
      <c r="F2897">
        <v>200</v>
      </c>
      <c r="G2897" s="3">
        <v>2903.98</v>
      </c>
      <c r="H2897" s="3">
        <f>Miami_Retail[[#This Row],[sales_usd]] / Miami_Retail[[#This Row],[customers]]</f>
        <v>14.5199</v>
      </c>
      <c r="I2897">
        <v>82.8</v>
      </c>
      <c r="J2897">
        <f>(Miami_Retail[[#This Row],[avg_temp_f]]-32) * (5/9)</f>
        <v>28.222222222222221</v>
      </c>
      <c r="K2897">
        <v>0.22</v>
      </c>
      <c r="L2897">
        <v>1</v>
      </c>
      <c r="M2897">
        <v>68.400000000000006</v>
      </c>
      <c r="N2897">
        <v>45.8</v>
      </c>
      <c r="O2897">
        <v>54.2</v>
      </c>
      <c r="P2897">
        <v>43.3</v>
      </c>
      <c r="Q2897">
        <v>56.7</v>
      </c>
    </row>
    <row r="2898" spans="1:17" x14ac:dyDescent="0.25">
      <c r="A2898" s="2">
        <v>45630</v>
      </c>
      <c r="B2898" s="2" t="str">
        <f t="shared" si="90"/>
        <v>Wednesday</v>
      </c>
      <c r="C2898" s="2" t="b">
        <f t="shared" si="91"/>
        <v>0</v>
      </c>
      <c r="D2898">
        <v>4</v>
      </c>
      <c r="E2898" t="s">
        <v>8</v>
      </c>
      <c r="F2898">
        <v>191</v>
      </c>
      <c r="G2898" s="3">
        <v>3143.49</v>
      </c>
      <c r="H2898" s="3">
        <f>Miami_Retail[[#This Row],[sales_usd]] / Miami_Retail[[#This Row],[customers]]</f>
        <v>16.458062827225131</v>
      </c>
      <c r="I2898">
        <v>83.7</v>
      </c>
      <c r="J2898">
        <f>(Miami_Retail[[#This Row],[avg_temp_f]]-32) * (5/9)</f>
        <v>28.722222222222225</v>
      </c>
      <c r="K2898">
        <v>1.73</v>
      </c>
      <c r="L2898">
        <v>1</v>
      </c>
      <c r="M2898">
        <v>50</v>
      </c>
      <c r="N2898">
        <v>48.4</v>
      </c>
      <c r="O2898">
        <v>51.6</v>
      </c>
      <c r="P2898">
        <v>44.9</v>
      </c>
      <c r="Q2898">
        <v>55.1</v>
      </c>
    </row>
    <row r="2899" spans="1:17" x14ac:dyDescent="0.25">
      <c r="A2899" s="2">
        <v>45631</v>
      </c>
      <c r="B2899" s="2" t="str">
        <f t="shared" si="90"/>
        <v>Thursday</v>
      </c>
      <c r="C2899" s="2" t="b">
        <f t="shared" si="91"/>
        <v>0</v>
      </c>
      <c r="D2899">
        <v>4</v>
      </c>
      <c r="E2899" t="s">
        <v>8</v>
      </c>
      <c r="F2899">
        <v>198</v>
      </c>
      <c r="G2899" s="3">
        <v>3172.05</v>
      </c>
      <c r="H2899" s="3">
        <f>Miami_Retail[[#This Row],[sales_usd]] / Miami_Retail[[#This Row],[customers]]</f>
        <v>16.020454545454545</v>
      </c>
      <c r="I2899">
        <v>77.5</v>
      </c>
      <c r="J2899">
        <f>(Miami_Retail[[#This Row],[avg_temp_f]]-32) * (5/9)</f>
        <v>25.277777777777779</v>
      </c>
      <c r="K2899">
        <v>0</v>
      </c>
      <c r="L2899">
        <v>0</v>
      </c>
      <c r="M2899">
        <v>56.5</v>
      </c>
      <c r="N2899">
        <v>48.5</v>
      </c>
      <c r="O2899">
        <v>51.5</v>
      </c>
      <c r="P2899">
        <v>44.7</v>
      </c>
      <c r="Q2899">
        <v>55.3</v>
      </c>
    </row>
    <row r="2900" spans="1:17" x14ac:dyDescent="0.25">
      <c r="A2900" s="2">
        <v>45632</v>
      </c>
      <c r="B2900" s="2" t="str">
        <f t="shared" si="90"/>
        <v>Friday</v>
      </c>
      <c r="C2900" s="2" t="b">
        <f t="shared" si="91"/>
        <v>0</v>
      </c>
      <c r="D2900">
        <v>4</v>
      </c>
      <c r="E2900" t="s">
        <v>8</v>
      </c>
      <c r="F2900">
        <v>167</v>
      </c>
      <c r="G2900" s="3">
        <v>2456.38</v>
      </c>
      <c r="H2900" s="3">
        <f>Miami_Retail[[#This Row],[sales_usd]] / Miami_Retail[[#This Row],[customers]]</f>
        <v>14.708862275449102</v>
      </c>
      <c r="I2900">
        <v>79.900000000000006</v>
      </c>
      <c r="J2900">
        <f>(Miami_Retail[[#This Row],[avg_temp_f]]-32) * (5/9)</f>
        <v>26.611111111111114</v>
      </c>
      <c r="K2900">
        <v>0.02</v>
      </c>
      <c r="L2900">
        <v>1</v>
      </c>
      <c r="M2900">
        <v>56.4</v>
      </c>
      <c r="N2900">
        <v>47</v>
      </c>
      <c r="O2900">
        <v>53</v>
      </c>
      <c r="P2900">
        <v>44.4</v>
      </c>
      <c r="Q2900">
        <v>55.6</v>
      </c>
    </row>
    <row r="2901" spans="1:17" x14ac:dyDescent="0.25">
      <c r="A2901" s="2">
        <v>45633</v>
      </c>
      <c r="B2901" s="2" t="str">
        <f t="shared" si="90"/>
        <v>Saturday</v>
      </c>
      <c r="C2901" s="2" t="b">
        <f t="shared" si="91"/>
        <v>1</v>
      </c>
      <c r="D2901">
        <v>4</v>
      </c>
      <c r="E2901" t="s">
        <v>8</v>
      </c>
      <c r="F2901">
        <v>230</v>
      </c>
      <c r="G2901" s="3">
        <v>3289.28</v>
      </c>
      <c r="H2901" s="3">
        <f>Miami_Retail[[#This Row],[sales_usd]] / Miami_Retail[[#This Row],[customers]]</f>
        <v>14.301217391304348</v>
      </c>
      <c r="I2901">
        <v>74.599999999999994</v>
      </c>
      <c r="J2901">
        <f>(Miami_Retail[[#This Row],[avg_temp_f]]-32) * (5/9)</f>
        <v>23.666666666666664</v>
      </c>
      <c r="K2901">
        <v>0.86</v>
      </c>
      <c r="L2901">
        <v>1</v>
      </c>
      <c r="M2901">
        <v>52</v>
      </c>
      <c r="N2901">
        <v>47.1</v>
      </c>
      <c r="O2901">
        <v>52.9</v>
      </c>
      <c r="P2901">
        <v>50.3</v>
      </c>
      <c r="Q2901">
        <v>49.7</v>
      </c>
    </row>
    <row r="2902" spans="1:17" x14ac:dyDescent="0.25">
      <c r="A2902" s="2">
        <v>45634</v>
      </c>
      <c r="B2902" s="2" t="str">
        <f t="shared" si="90"/>
        <v>Sunday</v>
      </c>
      <c r="C2902" s="2" t="b">
        <f t="shared" si="91"/>
        <v>1</v>
      </c>
      <c r="D2902">
        <v>4</v>
      </c>
      <c r="E2902" t="s">
        <v>8</v>
      </c>
      <c r="F2902">
        <v>217</v>
      </c>
      <c r="G2902" s="3">
        <v>3414.91</v>
      </c>
      <c r="H2902" s="3">
        <f>Miami_Retail[[#This Row],[sales_usd]] / Miami_Retail[[#This Row],[customers]]</f>
        <v>15.736912442396312</v>
      </c>
      <c r="I2902">
        <v>73.2</v>
      </c>
      <c r="J2902">
        <f>(Miami_Retail[[#This Row],[avg_temp_f]]-32) * (5/9)</f>
        <v>22.888888888888893</v>
      </c>
      <c r="K2902">
        <v>0</v>
      </c>
      <c r="L2902">
        <v>0</v>
      </c>
      <c r="M2902">
        <v>57.6</v>
      </c>
      <c r="N2902">
        <v>48</v>
      </c>
      <c r="O2902">
        <v>52</v>
      </c>
      <c r="P2902">
        <v>52.5</v>
      </c>
      <c r="Q2902">
        <v>47.5</v>
      </c>
    </row>
    <row r="2903" spans="1:17" x14ac:dyDescent="0.25">
      <c r="A2903" s="2">
        <v>45635</v>
      </c>
      <c r="B2903" s="2" t="str">
        <f t="shared" si="90"/>
        <v>Monday</v>
      </c>
      <c r="C2903" s="2" t="b">
        <f t="shared" si="91"/>
        <v>0</v>
      </c>
      <c r="D2903">
        <v>4</v>
      </c>
      <c r="E2903" t="s">
        <v>8</v>
      </c>
      <c r="F2903">
        <v>213</v>
      </c>
      <c r="G2903" s="3">
        <v>3153.48</v>
      </c>
      <c r="H2903" s="3">
        <f>Miami_Retail[[#This Row],[sales_usd]] / Miami_Retail[[#This Row],[customers]]</f>
        <v>14.805070422535211</v>
      </c>
      <c r="I2903">
        <v>83.7</v>
      </c>
      <c r="J2903">
        <f>(Miami_Retail[[#This Row],[avg_temp_f]]-32) * (5/9)</f>
        <v>28.722222222222225</v>
      </c>
      <c r="K2903">
        <v>0</v>
      </c>
      <c r="L2903">
        <v>0</v>
      </c>
      <c r="M2903">
        <v>56.6</v>
      </c>
      <c r="N2903">
        <v>48.7</v>
      </c>
      <c r="O2903">
        <v>51.3</v>
      </c>
      <c r="P2903">
        <v>43.9</v>
      </c>
      <c r="Q2903">
        <v>56.1</v>
      </c>
    </row>
    <row r="2904" spans="1:17" x14ac:dyDescent="0.25">
      <c r="A2904" s="2">
        <v>45636</v>
      </c>
      <c r="B2904" s="2" t="str">
        <f t="shared" si="90"/>
        <v>Tuesday</v>
      </c>
      <c r="C2904" s="2" t="b">
        <f t="shared" si="91"/>
        <v>0</v>
      </c>
      <c r="D2904">
        <v>4</v>
      </c>
      <c r="E2904" t="s">
        <v>8</v>
      </c>
      <c r="F2904">
        <v>181</v>
      </c>
      <c r="G2904" s="3">
        <v>2958.83</v>
      </c>
      <c r="H2904" s="3">
        <f>Miami_Retail[[#This Row],[sales_usd]] / Miami_Retail[[#This Row],[customers]]</f>
        <v>16.347127071823206</v>
      </c>
      <c r="I2904">
        <v>74.7</v>
      </c>
      <c r="J2904">
        <f>(Miami_Retail[[#This Row],[avg_temp_f]]-32) * (5/9)</f>
        <v>23.722222222222225</v>
      </c>
      <c r="K2904">
        <v>0</v>
      </c>
      <c r="L2904">
        <v>0</v>
      </c>
      <c r="M2904">
        <v>59.1</v>
      </c>
      <c r="N2904">
        <v>47.4</v>
      </c>
      <c r="O2904">
        <v>52.6</v>
      </c>
      <c r="P2904">
        <v>45.6</v>
      </c>
      <c r="Q2904">
        <v>54.4</v>
      </c>
    </row>
    <row r="2905" spans="1:17" x14ac:dyDescent="0.25">
      <c r="A2905" s="2">
        <v>45637</v>
      </c>
      <c r="B2905" s="2" t="str">
        <f t="shared" si="90"/>
        <v>Wednesday</v>
      </c>
      <c r="C2905" s="2" t="b">
        <f t="shared" si="91"/>
        <v>0</v>
      </c>
      <c r="D2905">
        <v>4</v>
      </c>
      <c r="E2905" t="s">
        <v>8</v>
      </c>
      <c r="F2905">
        <v>211</v>
      </c>
      <c r="G2905" s="3">
        <v>3174.62</v>
      </c>
      <c r="H2905" s="3">
        <f>Miami_Retail[[#This Row],[sales_usd]] / Miami_Retail[[#This Row],[customers]]</f>
        <v>15.045592417061611</v>
      </c>
      <c r="I2905">
        <v>78.900000000000006</v>
      </c>
      <c r="J2905">
        <f>(Miami_Retail[[#This Row],[avg_temp_f]]-32) * (5/9)</f>
        <v>26.055555555555561</v>
      </c>
      <c r="K2905">
        <v>0</v>
      </c>
      <c r="L2905">
        <v>0</v>
      </c>
      <c r="M2905">
        <v>49.3</v>
      </c>
      <c r="N2905">
        <v>48.8</v>
      </c>
      <c r="O2905">
        <v>51.2</v>
      </c>
      <c r="P2905">
        <v>42.4</v>
      </c>
      <c r="Q2905">
        <v>57.6</v>
      </c>
    </row>
    <row r="2906" spans="1:17" x14ac:dyDescent="0.25">
      <c r="A2906" s="2">
        <v>45638</v>
      </c>
      <c r="B2906" s="2" t="str">
        <f t="shared" si="90"/>
        <v>Thursday</v>
      </c>
      <c r="C2906" s="2" t="b">
        <f t="shared" si="91"/>
        <v>0</v>
      </c>
      <c r="D2906">
        <v>4</v>
      </c>
      <c r="E2906" t="s">
        <v>8</v>
      </c>
      <c r="F2906">
        <v>213</v>
      </c>
      <c r="G2906" s="3">
        <v>3283.98</v>
      </c>
      <c r="H2906" s="3">
        <f>Miami_Retail[[#This Row],[sales_usd]] / Miami_Retail[[#This Row],[customers]]</f>
        <v>15.417746478873239</v>
      </c>
      <c r="I2906">
        <v>75.7</v>
      </c>
      <c r="J2906">
        <f>(Miami_Retail[[#This Row],[avg_temp_f]]-32) * (5/9)</f>
        <v>24.277777777777782</v>
      </c>
      <c r="K2906">
        <v>0</v>
      </c>
      <c r="L2906">
        <v>0</v>
      </c>
      <c r="M2906">
        <v>56.8</v>
      </c>
      <c r="N2906">
        <v>49.4</v>
      </c>
      <c r="O2906">
        <v>50.6</v>
      </c>
      <c r="P2906">
        <v>45.7</v>
      </c>
      <c r="Q2906">
        <v>54.3</v>
      </c>
    </row>
    <row r="2907" spans="1:17" x14ac:dyDescent="0.25">
      <c r="A2907" s="2">
        <v>45639</v>
      </c>
      <c r="B2907" s="2" t="str">
        <f t="shared" si="90"/>
        <v>Friday</v>
      </c>
      <c r="C2907" s="2" t="b">
        <f t="shared" si="91"/>
        <v>0</v>
      </c>
      <c r="D2907">
        <v>4</v>
      </c>
      <c r="E2907" t="s">
        <v>8</v>
      </c>
      <c r="F2907">
        <v>188</v>
      </c>
      <c r="G2907" s="3">
        <v>2828.17</v>
      </c>
      <c r="H2907" s="3">
        <f>Miami_Retail[[#This Row],[sales_usd]] / Miami_Retail[[#This Row],[customers]]</f>
        <v>15.04345744680851</v>
      </c>
      <c r="I2907">
        <v>72.099999999999994</v>
      </c>
      <c r="J2907">
        <f>(Miami_Retail[[#This Row],[avg_temp_f]]-32) * (5/9)</f>
        <v>22.277777777777775</v>
      </c>
      <c r="K2907">
        <v>0</v>
      </c>
      <c r="L2907">
        <v>0</v>
      </c>
      <c r="M2907">
        <v>54.4</v>
      </c>
      <c r="N2907">
        <v>49.7</v>
      </c>
      <c r="O2907">
        <v>50.3</v>
      </c>
      <c r="P2907">
        <v>46</v>
      </c>
      <c r="Q2907">
        <v>54</v>
      </c>
    </row>
    <row r="2908" spans="1:17" x14ac:dyDescent="0.25">
      <c r="A2908" s="2">
        <v>45640</v>
      </c>
      <c r="B2908" s="2" t="str">
        <f t="shared" si="90"/>
        <v>Saturday</v>
      </c>
      <c r="C2908" s="2" t="b">
        <f t="shared" si="91"/>
        <v>1</v>
      </c>
      <c r="D2908">
        <v>4</v>
      </c>
      <c r="E2908" t="s">
        <v>8</v>
      </c>
      <c r="F2908">
        <v>231</v>
      </c>
      <c r="G2908" s="3">
        <v>3725.25</v>
      </c>
      <c r="H2908" s="3">
        <f>Miami_Retail[[#This Row],[sales_usd]] / Miami_Retail[[#This Row],[customers]]</f>
        <v>16.126623376623378</v>
      </c>
      <c r="I2908">
        <v>79</v>
      </c>
      <c r="J2908">
        <f>(Miami_Retail[[#This Row],[avg_temp_f]]-32) * (5/9)</f>
        <v>26.111111111111111</v>
      </c>
      <c r="K2908">
        <v>0</v>
      </c>
      <c r="L2908">
        <v>0</v>
      </c>
      <c r="M2908">
        <v>55.3</v>
      </c>
      <c r="N2908">
        <v>48.9</v>
      </c>
      <c r="O2908">
        <v>51.1</v>
      </c>
      <c r="P2908">
        <v>50.4</v>
      </c>
      <c r="Q2908">
        <v>49.6</v>
      </c>
    </row>
    <row r="2909" spans="1:17" x14ac:dyDescent="0.25">
      <c r="A2909" s="2">
        <v>45641</v>
      </c>
      <c r="B2909" s="2" t="str">
        <f t="shared" si="90"/>
        <v>Sunday</v>
      </c>
      <c r="C2909" s="2" t="b">
        <f t="shared" si="91"/>
        <v>1</v>
      </c>
      <c r="D2909">
        <v>4</v>
      </c>
      <c r="E2909" t="s">
        <v>8</v>
      </c>
      <c r="F2909">
        <v>175</v>
      </c>
      <c r="G2909" s="3">
        <v>2654.25</v>
      </c>
      <c r="H2909" s="3">
        <f>Miami_Retail[[#This Row],[sales_usd]] / Miami_Retail[[#This Row],[customers]]</f>
        <v>15.167142857142856</v>
      </c>
      <c r="I2909">
        <v>78.5</v>
      </c>
      <c r="J2909">
        <f>(Miami_Retail[[#This Row],[avg_temp_f]]-32) * (5/9)</f>
        <v>25.833333333333336</v>
      </c>
      <c r="K2909">
        <v>1.52</v>
      </c>
      <c r="L2909">
        <v>1</v>
      </c>
      <c r="M2909">
        <v>49</v>
      </c>
      <c r="N2909">
        <v>47.8</v>
      </c>
      <c r="O2909">
        <v>52.2</v>
      </c>
      <c r="P2909">
        <v>49.3</v>
      </c>
      <c r="Q2909">
        <v>50.7</v>
      </c>
    </row>
    <row r="2910" spans="1:17" x14ac:dyDescent="0.25">
      <c r="A2910" s="2">
        <v>45642</v>
      </c>
      <c r="B2910" s="2" t="str">
        <f t="shared" si="90"/>
        <v>Monday</v>
      </c>
      <c r="C2910" s="2" t="b">
        <f t="shared" si="91"/>
        <v>0</v>
      </c>
      <c r="D2910">
        <v>4</v>
      </c>
      <c r="E2910" t="s">
        <v>8</v>
      </c>
      <c r="F2910">
        <v>221</v>
      </c>
      <c r="G2910" s="3">
        <v>3220.29</v>
      </c>
      <c r="H2910" s="3">
        <f>Miami_Retail[[#This Row],[sales_usd]] / Miami_Retail[[#This Row],[customers]]</f>
        <v>14.571447963800905</v>
      </c>
      <c r="I2910">
        <v>78.8</v>
      </c>
      <c r="J2910">
        <f>(Miami_Retail[[#This Row],[avg_temp_f]]-32) * (5/9)</f>
        <v>26</v>
      </c>
      <c r="K2910">
        <v>0</v>
      </c>
      <c r="L2910">
        <v>0</v>
      </c>
      <c r="M2910">
        <v>59.7</v>
      </c>
      <c r="N2910">
        <v>47.8</v>
      </c>
      <c r="O2910">
        <v>52.2</v>
      </c>
      <c r="P2910">
        <v>44.3</v>
      </c>
      <c r="Q2910">
        <v>55.7</v>
      </c>
    </row>
    <row r="2911" spans="1:17" x14ac:dyDescent="0.25">
      <c r="A2911" s="2">
        <v>45643</v>
      </c>
      <c r="B2911" s="2" t="str">
        <f t="shared" si="90"/>
        <v>Tuesday</v>
      </c>
      <c r="C2911" s="2" t="b">
        <f t="shared" si="91"/>
        <v>0</v>
      </c>
      <c r="D2911">
        <v>4</v>
      </c>
      <c r="E2911" t="s">
        <v>8</v>
      </c>
      <c r="F2911">
        <v>185</v>
      </c>
      <c r="G2911" s="3">
        <v>2637.3</v>
      </c>
      <c r="H2911" s="3">
        <f>Miami_Retail[[#This Row],[sales_usd]] / Miami_Retail[[#This Row],[customers]]</f>
        <v>14.255675675675677</v>
      </c>
      <c r="I2911">
        <v>77</v>
      </c>
      <c r="J2911">
        <f>(Miami_Retail[[#This Row],[avg_temp_f]]-32) * (5/9)</f>
        <v>25</v>
      </c>
      <c r="K2911">
        <v>1.75</v>
      </c>
      <c r="L2911">
        <v>1</v>
      </c>
      <c r="M2911">
        <v>47.3</v>
      </c>
      <c r="N2911">
        <v>47.7</v>
      </c>
      <c r="O2911">
        <v>52.3</v>
      </c>
      <c r="P2911">
        <v>41.3</v>
      </c>
      <c r="Q2911">
        <v>58.7</v>
      </c>
    </row>
    <row r="2912" spans="1:17" x14ac:dyDescent="0.25">
      <c r="A2912" s="2">
        <v>45644</v>
      </c>
      <c r="B2912" s="2" t="str">
        <f t="shared" si="90"/>
        <v>Wednesday</v>
      </c>
      <c r="C2912" s="2" t="b">
        <f t="shared" si="91"/>
        <v>0</v>
      </c>
      <c r="D2912">
        <v>4</v>
      </c>
      <c r="E2912" t="s">
        <v>8</v>
      </c>
      <c r="F2912">
        <v>184</v>
      </c>
      <c r="G2912" s="3">
        <v>2788.88</v>
      </c>
      <c r="H2912" s="3">
        <f>Miami_Retail[[#This Row],[sales_usd]] / Miami_Retail[[#This Row],[customers]]</f>
        <v>15.156956521739131</v>
      </c>
      <c r="I2912">
        <v>76.400000000000006</v>
      </c>
      <c r="J2912">
        <f>(Miami_Retail[[#This Row],[avg_temp_f]]-32) * (5/9)</f>
        <v>24.666666666666671</v>
      </c>
      <c r="K2912">
        <v>2.21</v>
      </c>
      <c r="L2912">
        <v>1</v>
      </c>
      <c r="M2912">
        <v>47</v>
      </c>
      <c r="N2912">
        <v>50.5</v>
      </c>
      <c r="O2912">
        <v>49.5</v>
      </c>
      <c r="P2912">
        <v>46.5</v>
      </c>
      <c r="Q2912">
        <v>53.5</v>
      </c>
    </row>
    <row r="2913" spans="1:17" x14ac:dyDescent="0.25">
      <c r="A2913" s="2">
        <v>45645</v>
      </c>
      <c r="B2913" s="2" t="str">
        <f t="shared" si="90"/>
        <v>Thursday</v>
      </c>
      <c r="C2913" s="2" t="b">
        <f t="shared" si="91"/>
        <v>0</v>
      </c>
      <c r="D2913">
        <v>4</v>
      </c>
      <c r="E2913" t="s">
        <v>8</v>
      </c>
      <c r="F2913">
        <v>152</v>
      </c>
      <c r="G2913" s="3">
        <v>2236.36</v>
      </c>
      <c r="H2913" s="3">
        <f>Miami_Retail[[#This Row],[sales_usd]] / Miami_Retail[[#This Row],[customers]]</f>
        <v>14.712894736842106</v>
      </c>
      <c r="I2913">
        <v>73.8</v>
      </c>
      <c r="J2913">
        <f>(Miami_Retail[[#This Row],[avg_temp_f]]-32) * (5/9)</f>
        <v>23.222222222222221</v>
      </c>
      <c r="K2913">
        <v>0</v>
      </c>
      <c r="L2913">
        <v>0</v>
      </c>
      <c r="M2913">
        <v>49</v>
      </c>
      <c r="N2913">
        <v>49.1</v>
      </c>
      <c r="O2913">
        <v>50.9</v>
      </c>
      <c r="P2913">
        <v>43</v>
      </c>
      <c r="Q2913">
        <v>57</v>
      </c>
    </row>
    <row r="2914" spans="1:17" x14ac:dyDescent="0.25">
      <c r="A2914" s="2">
        <v>45646</v>
      </c>
      <c r="B2914" s="2" t="str">
        <f t="shared" si="90"/>
        <v>Friday</v>
      </c>
      <c r="C2914" s="2" t="b">
        <f t="shared" si="91"/>
        <v>0</v>
      </c>
      <c r="D2914">
        <v>4</v>
      </c>
      <c r="E2914" t="s">
        <v>8</v>
      </c>
      <c r="F2914">
        <v>174</v>
      </c>
      <c r="G2914" s="3">
        <v>2736.11</v>
      </c>
      <c r="H2914" s="3">
        <f>Miami_Retail[[#This Row],[sales_usd]] / Miami_Retail[[#This Row],[customers]]</f>
        <v>15.72477011494253</v>
      </c>
      <c r="I2914">
        <v>73.5</v>
      </c>
      <c r="J2914">
        <f>(Miami_Retail[[#This Row],[avg_temp_f]]-32) * (5/9)</f>
        <v>23.055555555555557</v>
      </c>
      <c r="K2914">
        <v>0</v>
      </c>
      <c r="L2914">
        <v>0</v>
      </c>
      <c r="M2914">
        <v>55.1</v>
      </c>
      <c r="N2914">
        <v>46.1</v>
      </c>
      <c r="O2914">
        <v>53.9</v>
      </c>
      <c r="P2914">
        <v>44.4</v>
      </c>
      <c r="Q2914">
        <v>55.6</v>
      </c>
    </row>
    <row r="2915" spans="1:17" x14ac:dyDescent="0.25">
      <c r="A2915" s="2">
        <v>45647</v>
      </c>
      <c r="B2915" s="2" t="str">
        <f t="shared" si="90"/>
        <v>Saturday</v>
      </c>
      <c r="C2915" s="2" t="b">
        <f t="shared" si="91"/>
        <v>1</v>
      </c>
      <c r="D2915">
        <v>4</v>
      </c>
      <c r="E2915" t="s">
        <v>8</v>
      </c>
      <c r="F2915">
        <v>191</v>
      </c>
      <c r="G2915" s="3">
        <v>2898.94</v>
      </c>
      <c r="H2915" s="3">
        <f>Miami_Retail[[#This Row],[sales_usd]] / Miami_Retail[[#This Row],[customers]]</f>
        <v>15.177696335078535</v>
      </c>
      <c r="I2915">
        <v>76.7</v>
      </c>
      <c r="J2915">
        <f>(Miami_Retail[[#This Row],[avg_temp_f]]-32) * (5/9)</f>
        <v>24.833333333333336</v>
      </c>
      <c r="K2915">
        <v>0</v>
      </c>
      <c r="L2915">
        <v>0</v>
      </c>
      <c r="M2915">
        <v>50.8</v>
      </c>
      <c r="N2915">
        <v>49.7</v>
      </c>
      <c r="O2915">
        <v>50.3</v>
      </c>
      <c r="P2915">
        <v>51.9</v>
      </c>
      <c r="Q2915">
        <v>48.1</v>
      </c>
    </row>
    <row r="2916" spans="1:17" x14ac:dyDescent="0.25">
      <c r="A2916" s="2">
        <v>45648</v>
      </c>
      <c r="B2916" s="2" t="str">
        <f t="shared" si="90"/>
        <v>Sunday</v>
      </c>
      <c r="C2916" s="2" t="b">
        <f t="shared" si="91"/>
        <v>1</v>
      </c>
      <c r="D2916">
        <v>4</v>
      </c>
      <c r="E2916" t="s">
        <v>8</v>
      </c>
      <c r="F2916">
        <v>204</v>
      </c>
      <c r="G2916" s="3">
        <v>3019.52</v>
      </c>
      <c r="H2916" s="3">
        <f>Miami_Retail[[#This Row],[sales_usd]] / Miami_Retail[[#This Row],[customers]]</f>
        <v>14.80156862745098</v>
      </c>
      <c r="I2916">
        <v>77.900000000000006</v>
      </c>
      <c r="J2916">
        <f>(Miami_Retail[[#This Row],[avg_temp_f]]-32) * (5/9)</f>
        <v>25.500000000000004</v>
      </c>
      <c r="K2916">
        <v>0</v>
      </c>
      <c r="L2916">
        <v>0</v>
      </c>
      <c r="M2916">
        <v>53.3</v>
      </c>
      <c r="N2916">
        <v>48.3</v>
      </c>
      <c r="O2916">
        <v>51.7</v>
      </c>
      <c r="P2916">
        <v>49</v>
      </c>
      <c r="Q2916">
        <v>51</v>
      </c>
    </row>
    <row r="2917" spans="1:17" x14ac:dyDescent="0.25">
      <c r="A2917" s="2">
        <v>45649</v>
      </c>
      <c r="B2917" s="2" t="str">
        <f t="shared" si="90"/>
        <v>Monday</v>
      </c>
      <c r="C2917" s="2" t="b">
        <f t="shared" si="91"/>
        <v>0</v>
      </c>
      <c r="D2917">
        <v>4</v>
      </c>
      <c r="E2917" t="s">
        <v>8</v>
      </c>
      <c r="F2917">
        <v>172</v>
      </c>
      <c r="G2917" s="3">
        <v>2631.35</v>
      </c>
      <c r="H2917" s="3">
        <f>Miami_Retail[[#This Row],[sales_usd]] / Miami_Retail[[#This Row],[customers]]</f>
        <v>15.298546511627906</v>
      </c>
      <c r="I2917">
        <v>74.400000000000006</v>
      </c>
      <c r="J2917">
        <f>(Miami_Retail[[#This Row],[avg_temp_f]]-32) * (5/9)</f>
        <v>23.555555555555561</v>
      </c>
      <c r="K2917">
        <v>0</v>
      </c>
      <c r="L2917">
        <v>0</v>
      </c>
      <c r="M2917">
        <v>49.2</v>
      </c>
      <c r="N2917">
        <v>48.5</v>
      </c>
      <c r="O2917">
        <v>51.5</v>
      </c>
      <c r="P2917">
        <v>44.8</v>
      </c>
      <c r="Q2917">
        <v>55.2</v>
      </c>
    </row>
    <row r="2918" spans="1:17" x14ac:dyDescent="0.25">
      <c r="A2918" s="2">
        <v>45650</v>
      </c>
      <c r="B2918" s="2" t="str">
        <f t="shared" si="90"/>
        <v>Tuesday</v>
      </c>
      <c r="C2918" s="2" t="b">
        <f t="shared" si="91"/>
        <v>0</v>
      </c>
      <c r="D2918">
        <v>4</v>
      </c>
      <c r="E2918" t="s">
        <v>8</v>
      </c>
      <c r="F2918">
        <v>205</v>
      </c>
      <c r="G2918" s="3">
        <v>3173.03</v>
      </c>
      <c r="H2918" s="3">
        <f>Miami_Retail[[#This Row],[sales_usd]] / Miami_Retail[[#This Row],[customers]]</f>
        <v>15.47819512195122</v>
      </c>
      <c r="I2918">
        <v>77.7</v>
      </c>
      <c r="J2918">
        <f>(Miami_Retail[[#This Row],[avg_temp_f]]-32) * (5/9)</f>
        <v>25.388888888888893</v>
      </c>
      <c r="K2918">
        <v>0</v>
      </c>
      <c r="L2918">
        <v>0</v>
      </c>
      <c r="M2918">
        <v>47.7</v>
      </c>
      <c r="N2918">
        <v>49.3</v>
      </c>
      <c r="O2918">
        <v>50.7</v>
      </c>
      <c r="P2918">
        <v>43.8</v>
      </c>
      <c r="Q2918">
        <v>56.2</v>
      </c>
    </row>
    <row r="2919" spans="1:17" x14ac:dyDescent="0.25">
      <c r="A2919" s="2">
        <v>45651</v>
      </c>
      <c r="B2919" s="2" t="str">
        <f t="shared" si="90"/>
        <v>Wednesday</v>
      </c>
      <c r="C2919" s="2" t="b">
        <f t="shared" si="91"/>
        <v>0</v>
      </c>
      <c r="D2919">
        <v>4</v>
      </c>
      <c r="E2919" t="s">
        <v>8</v>
      </c>
      <c r="F2919">
        <v>178</v>
      </c>
      <c r="G2919" s="3">
        <v>2752.92</v>
      </c>
      <c r="H2919" s="3">
        <f>Miami_Retail[[#This Row],[sales_usd]] / Miami_Retail[[#This Row],[customers]]</f>
        <v>15.465842696629213</v>
      </c>
      <c r="I2919">
        <v>76.099999999999994</v>
      </c>
      <c r="J2919">
        <f>(Miami_Retail[[#This Row],[avg_temp_f]]-32) * (5/9)</f>
        <v>24.499999999999996</v>
      </c>
      <c r="K2919">
        <v>0.67</v>
      </c>
      <c r="L2919">
        <v>1</v>
      </c>
      <c r="M2919">
        <v>53.5</v>
      </c>
      <c r="N2919">
        <v>49.7</v>
      </c>
      <c r="O2919">
        <v>50.3</v>
      </c>
      <c r="P2919">
        <v>44.5</v>
      </c>
      <c r="Q2919">
        <v>55.5</v>
      </c>
    </row>
    <row r="2920" spans="1:17" x14ac:dyDescent="0.25">
      <c r="A2920" s="2">
        <v>45652</v>
      </c>
      <c r="B2920" s="2" t="str">
        <f t="shared" si="90"/>
        <v>Thursday</v>
      </c>
      <c r="C2920" s="2" t="b">
        <f t="shared" si="91"/>
        <v>0</v>
      </c>
      <c r="D2920">
        <v>4</v>
      </c>
      <c r="E2920" t="s">
        <v>8</v>
      </c>
      <c r="F2920">
        <v>179</v>
      </c>
      <c r="G2920" s="3">
        <v>2607.4499999999998</v>
      </c>
      <c r="H2920" s="3">
        <f>Miami_Retail[[#This Row],[sales_usd]] / Miami_Retail[[#This Row],[customers]]</f>
        <v>14.566759776536312</v>
      </c>
      <c r="I2920">
        <v>79.099999999999994</v>
      </c>
      <c r="J2920">
        <f>(Miami_Retail[[#This Row],[avg_temp_f]]-32) * (5/9)</f>
        <v>26.166666666666664</v>
      </c>
      <c r="K2920">
        <v>0</v>
      </c>
      <c r="L2920">
        <v>0</v>
      </c>
      <c r="M2920">
        <v>35</v>
      </c>
      <c r="N2920">
        <v>50.3</v>
      </c>
      <c r="O2920">
        <v>49.7</v>
      </c>
      <c r="P2920">
        <v>44.2</v>
      </c>
      <c r="Q2920">
        <v>55.8</v>
      </c>
    </row>
    <row r="2921" spans="1:17" x14ac:dyDescent="0.25">
      <c r="A2921" s="2">
        <v>45653</v>
      </c>
      <c r="B2921" s="2" t="str">
        <f t="shared" si="90"/>
        <v>Friday</v>
      </c>
      <c r="C2921" s="2" t="b">
        <f t="shared" si="91"/>
        <v>0</v>
      </c>
      <c r="D2921">
        <v>4</v>
      </c>
      <c r="E2921" t="s">
        <v>8</v>
      </c>
      <c r="F2921">
        <v>212</v>
      </c>
      <c r="G2921" s="3">
        <v>3213.08</v>
      </c>
      <c r="H2921" s="3">
        <f>Miami_Retail[[#This Row],[sales_usd]] / Miami_Retail[[#This Row],[customers]]</f>
        <v>15.156037735849056</v>
      </c>
      <c r="I2921">
        <v>82.2</v>
      </c>
      <c r="J2921">
        <f>(Miami_Retail[[#This Row],[avg_temp_f]]-32) * (5/9)</f>
        <v>27.888888888888893</v>
      </c>
      <c r="K2921">
        <v>0</v>
      </c>
      <c r="L2921">
        <v>0</v>
      </c>
      <c r="M2921">
        <v>51.6</v>
      </c>
      <c r="N2921">
        <v>48.5</v>
      </c>
      <c r="O2921">
        <v>51.5</v>
      </c>
      <c r="P2921">
        <v>44.5</v>
      </c>
      <c r="Q2921">
        <v>55.5</v>
      </c>
    </row>
    <row r="2922" spans="1:17" x14ac:dyDescent="0.25">
      <c r="A2922" s="2">
        <v>45654</v>
      </c>
      <c r="B2922" s="2" t="str">
        <f t="shared" si="90"/>
        <v>Saturday</v>
      </c>
      <c r="C2922" s="2" t="b">
        <f t="shared" si="91"/>
        <v>1</v>
      </c>
      <c r="D2922">
        <v>4</v>
      </c>
      <c r="E2922" t="s">
        <v>8</v>
      </c>
      <c r="F2922">
        <v>231</v>
      </c>
      <c r="G2922" s="3">
        <v>3509.83</v>
      </c>
      <c r="H2922" s="3">
        <f>Miami_Retail[[#This Row],[sales_usd]] / Miami_Retail[[#This Row],[customers]]</f>
        <v>15.194069264069263</v>
      </c>
      <c r="I2922">
        <v>78.5</v>
      </c>
      <c r="J2922">
        <f>(Miami_Retail[[#This Row],[avg_temp_f]]-32) * (5/9)</f>
        <v>25.833333333333336</v>
      </c>
      <c r="K2922">
        <v>1.83</v>
      </c>
      <c r="L2922">
        <v>1</v>
      </c>
      <c r="M2922">
        <v>43.6</v>
      </c>
      <c r="N2922">
        <v>48.2</v>
      </c>
      <c r="O2922">
        <v>51.8</v>
      </c>
      <c r="P2922">
        <v>51.9</v>
      </c>
      <c r="Q2922">
        <v>48.1</v>
      </c>
    </row>
    <row r="2923" spans="1:17" x14ac:dyDescent="0.25">
      <c r="A2923" s="2">
        <v>45655</v>
      </c>
      <c r="B2923" s="2" t="str">
        <f t="shared" si="90"/>
        <v>Sunday</v>
      </c>
      <c r="C2923" s="2" t="b">
        <f t="shared" si="91"/>
        <v>1</v>
      </c>
      <c r="D2923">
        <v>4</v>
      </c>
      <c r="E2923" t="s">
        <v>8</v>
      </c>
      <c r="F2923">
        <v>232</v>
      </c>
      <c r="G2923" s="3">
        <v>3794.38</v>
      </c>
      <c r="H2923" s="3">
        <f>Miami_Retail[[#This Row],[sales_usd]] / Miami_Retail[[#This Row],[customers]]</f>
        <v>16.355086206896551</v>
      </c>
      <c r="I2923">
        <v>74</v>
      </c>
      <c r="J2923">
        <f>(Miami_Retail[[#This Row],[avg_temp_f]]-32) * (5/9)</f>
        <v>23.333333333333336</v>
      </c>
      <c r="K2923">
        <v>0</v>
      </c>
      <c r="L2923">
        <v>0</v>
      </c>
      <c r="M2923">
        <v>52.1</v>
      </c>
      <c r="N2923">
        <v>50</v>
      </c>
      <c r="O2923">
        <v>50</v>
      </c>
      <c r="P2923">
        <v>51.9</v>
      </c>
      <c r="Q2923">
        <v>48.1</v>
      </c>
    </row>
    <row r="2924" spans="1:17" x14ac:dyDescent="0.25">
      <c r="A2924" s="2">
        <v>45656</v>
      </c>
      <c r="B2924" s="2" t="str">
        <f t="shared" si="90"/>
        <v>Monday</v>
      </c>
      <c r="C2924" s="2" t="b">
        <f t="shared" si="91"/>
        <v>0</v>
      </c>
      <c r="D2924">
        <v>4</v>
      </c>
      <c r="E2924" t="s">
        <v>8</v>
      </c>
      <c r="F2924">
        <v>184</v>
      </c>
      <c r="G2924" s="3">
        <v>2818.5</v>
      </c>
      <c r="H2924" s="3">
        <f>Miami_Retail[[#This Row],[sales_usd]] / Miami_Retail[[#This Row],[customers]]</f>
        <v>15.317934782608695</v>
      </c>
      <c r="I2924">
        <v>75.5</v>
      </c>
      <c r="J2924">
        <f>(Miami_Retail[[#This Row],[avg_temp_f]]-32) * (5/9)</f>
        <v>24.166666666666668</v>
      </c>
      <c r="K2924">
        <v>0.48</v>
      </c>
      <c r="L2924">
        <v>1</v>
      </c>
      <c r="M2924">
        <v>39.299999999999997</v>
      </c>
      <c r="N2924">
        <v>48.9</v>
      </c>
      <c r="O2924">
        <v>51.1</v>
      </c>
      <c r="P2924">
        <v>46.1</v>
      </c>
      <c r="Q2924">
        <v>53.9</v>
      </c>
    </row>
    <row r="2925" spans="1:17" x14ac:dyDescent="0.25">
      <c r="A2925" s="2">
        <v>45657</v>
      </c>
      <c r="B2925" s="2" t="str">
        <f t="shared" si="90"/>
        <v>Tuesday</v>
      </c>
      <c r="C2925" s="2" t="b">
        <f t="shared" si="91"/>
        <v>0</v>
      </c>
      <c r="D2925">
        <v>4</v>
      </c>
      <c r="E2925" t="s">
        <v>8</v>
      </c>
      <c r="F2925">
        <v>166</v>
      </c>
      <c r="G2925" s="3">
        <v>2603.5500000000002</v>
      </c>
      <c r="H2925" s="3">
        <f>Miami_Retail[[#This Row],[sales_usd]] / Miami_Retail[[#This Row],[customers]]</f>
        <v>15.684036144578315</v>
      </c>
      <c r="I2925">
        <v>70.900000000000006</v>
      </c>
      <c r="J2925">
        <f>(Miami_Retail[[#This Row],[avg_temp_f]]-32) * (5/9)</f>
        <v>21.611111111111114</v>
      </c>
      <c r="K2925">
        <v>0</v>
      </c>
      <c r="L2925">
        <v>0</v>
      </c>
      <c r="M2925">
        <v>47.8</v>
      </c>
      <c r="N2925">
        <v>50.2</v>
      </c>
      <c r="O2925">
        <v>49.8</v>
      </c>
      <c r="P2925">
        <v>43.8</v>
      </c>
      <c r="Q2925">
        <v>56.2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EEA564-582B-45AF-9BF5-C4D6F12FE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sales_2yrs</vt:lpstr>
      <vt:lpstr>survey_2yrs</vt:lpstr>
      <vt:lpstr>weather_2yrs</vt:lpstr>
      <vt:lpstr>Miami_Retail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Kwago Hoot</dc:creator>
  <cp:lastModifiedBy>Kwago Hoot</cp:lastModifiedBy>
  <dcterms:created xsi:type="dcterms:W3CDTF">2026-08-03T13:17:20Z</dcterms:created>
  <dcterms:modified xsi:type="dcterms:W3CDTF">2026-08-03T14:01:14Z</dcterms:modified>
</cp:coreProperties>
</file>